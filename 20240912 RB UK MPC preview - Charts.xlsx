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drawings/drawing15.xml" ContentType="application/vnd.openxmlformats-officedocument.drawingml.chartshapes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54929912-7C3F-4A8A-B14D-11C3AE25B95A}" xr6:coauthVersionLast="47" xr6:coauthVersionMax="47" xr10:uidLastSave="{00000000-0000-0000-0000-000000000000}"/>
  <bookViews>
    <workbookView xWindow="-120" yWindow="-120" windowWidth="29040" windowHeight="15840" activeTab="6" xr2:uid="{24145D7C-EF19-44BA-9077-3730693EF83D}"/>
  </bookViews>
  <sheets>
    <sheet name="Chart1" sheetId="5" r:id="rId1"/>
    <sheet name="Chart2" sheetId="8" r:id="rId2"/>
    <sheet name="Chart2 - monthly" sheetId="10" r:id="rId3"/>
    <sheet name="Chart3" sheetId="16" r:id="rId4"/>
    <sheet name="Chart4" sheetId="17" r:id="rId5"/>
    <sheet name="Chart4a" sheetId="18" r:id="rId6"/>
    <sheet name="Chart5" sheetId="24" r:id="rId7"/>
    <sheet name="Chart Data" sheetId="1" r:id="rId8"/>
    <sheet name="Market expectations" sheetId="7" r:id="rId9"/>
    <sheet name="MPR Chart 2.16" sheetId="3" r:id="rId10"/>
    <sheet name="MPR Chart 2.21" sheetId="2" r:id="rId11"/>
    <sheet name="HAVERM" sheetId="4" r:id="rId12"/>
    <sheet name="HAVERD" sheetId="6" r:id="rId13"/>
    <sheet name="HAVERQ" sheetId="11" r:id="rId14"/>
    <sheet name="GMW" sheetId="14" r:id="rId15"/>
    <sheet name="Maturity Profile of APF (Table)" sheetId="20" r:id="rId16"/>
    <sheet name="APF gilt sales" sheetId="21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__123Graph_A" hidden="1">'[1]Model inputs'!#REF!</definedName>
    <definedName name="__123Graph_AALLTAX" hidden="1">'[2]Forecast data'!#REF!</definedName>
    <definedName name="__123Graph_ACHGSPD1" hidden="1">'[3]CHGSPD19.FIN'!$B$10:$B$20</definedName>
    <definedName name="__123Graph_ACHGSPD2" hidden="1">'[3]CHGSPD19.FIN'!$E$11:$E$20</definedName>
    <definedName name="__123Graph_AEFF" hidden="1">'[4]T3 Page 1'!#REF!</definedName>
    <definedName name="__123Graph_AGR14PBF1" hidden="1">'[5]HIS19FIN(A)'!$AF$70:$AF$81</definedName>
    <definedName name="__123Graph_AHOMEVAT" hidden="1">'[2]Forecast data'!#REF!</definedName>
    <definedName name="__123Graph_AIMPORT" hidden="1">'[2]Forecast data'!#REF!</definedName>
    <definedName name="__123Graph_ALBFFIN" hidden="1">'[4]FC Page 1'!#REF!</definedName>
    <definedName name="__123Graph_ALBFFIN2" hidden="1">'[5]HIS19FIN(A)'!$K$59:$Q$59</definedName>
    <definedName name="__123Graph_ALBFHIC2" hidden="1">'[5]HIS19FIN(A)'!$D$59:$J$59</definedName>
    <definedName name="__123Graph_ALCB" hidden="1">'[5]HIS19FIN(A)'!$D$83:$I$83</definedName>
    <definedName name="__123Graph_ANACFIN" hidden="1">'[5]HIS19FIN(A)'!$K$97:$Q$97</definedName>
    <definedName name="__123Graph_ANACHIC" hidden="1">'[5]HIS19FIN(A)'!$D$97:$J$97</definedName>
    <definedName name="__123Graph_APIC" hidden="1">'[4]T3 Page 1'!#REF!</definedName>
    <definedName name="__123Graph_ATOBREV" hidden="1">'[2]Forecast data'!#REF!</definedName>
    <definedName name="__123Graph_ATOTAL" hidden="1">'[2]Forecast data'!#REF!</definedName>
    <definedName name="__123Graph_B" hidden="1">'[1]Model inputs'!#REF!</definedName>
    <definedName name="__123Graph_BCHGSPD1" hidden="1">'[3]CHGSPD19.FIN'!$H$10:$H$25</definedName>
    <definedName name="__123Graph_BCHGSPD2" hidden="1">'[3]CHGSPD19.FIN'!$I$11:$I$25</definedName>
    <definedName name="__123Graph_BEFF" hidden="1">'[4]T3 Page 1'!#REF!</definedName>
    <definedName name="__123Graph_BHOMEVAT" hidden="1">'[2]Forecast data'!#REF!</definedName>
    <definedName name="__123Graph_BIMPORT" hidden="1">'[2]Forecast data'!#REF!</definedName>
    <definedName name="__123Graph_BLBF" hidden="1">'[4]T3 Page 1'!#REF!</definedName>
    <definedName name="__123Graph_BLBFFIN" hidden="1">'[4]FC Page 1'!#REF!</definedName>
    <definedName name="__123Graph_BLCB" hidden="1">'[5]HIS19FIN(A)'!$D$79:$I$79</definedName>
    <definedName name="__123Graph_BPIC" hidden="1">'[4]T3 Page 1'!#REF!</definedName>
    <definedName name="__123Graph_BTOTAL" hidden="1">'[2]Forecast data'!#REF!</definedName>
    <definedName name="__123Graph_CACT13BUD" hidden="1">'[4]FC Page 1'!#REF!</definedName>
    <definedName name="__123Graph_CEFF" hidden="1">'[4]T3 Page 1'!#REF!</definedName>
    <definedName name="__123Graph_CGR14PBF1" hidden="1">'[5]HIS19FIN(A)'!$AK$70:$AK$81</definedName>
    <definedName name="__123Graph_CLBF" hidden="1">'[4]T3 Page 1'!#REF!</definedName>
    <definedName name="__123Graph_CPIC" hidden="1">'[4]T3 Page 1'!#REF!</definedName>
    <definedName name="__123Graph_DACT13BUD" hidden="1">'[4]FC Page 1'!#REF!</definedName>
    <definedName name="__123Graph_DEFF" hidden="1">'[4]T3 Page 1'!#REF!</definedName>
    <definedName name="__123Graph_DGR14PBF1" hidden="1">'[5]HIS19FIN(A)'!$AH$70:$AH$81</definedName>
    <definedName name="__123Graph_DLBF" hidden="1">'[4]T3 Page 1'!#REF!</definedName>
    <definedName name="__123Graph_DPIC" hidden="1">'[4]T3 Page 1'!#REF!</definedName>
    <definedName name="__123Graph_EACT13BUD" hidden="1">'[4]FC Page 1'!#REF!</definedName>
    <definedName name="__123Graph_EEFF" hidden="1">'[4]T3 Page 1'!#REF!</definedName>
    <definedName name="__123Graph_EEFFHIC" hidden="1">'[4]FC Page 1'!#REF!</definedName>
    <definedName name="__123Graph_EGR14PBF1" hidden="1">'[5]HIS19FIN(A)'!$AG$67:$AG$67</definedName>
    <definedName name="__123Graph_ELBF" hidden="1">'[4]T3 Page 1'!#REF!</definedName>
    <definedName name="__123Graph_EPIC" hidden="1">'[4]T3 Page 1'!#REF!</definedName>
    <definedName name="__123Graph_FACT13BUD" hidden="1">'[4]FC Page 1'!#REF!</definedName>
    <definedName name="__123Graph_FEFF" hidden="1">'[4]T3 Page 1'!#REF!</definedName>
    <definedName name="__123Graph_FEFFHIC" hidden="1">'[4]FC Page 1'!#REF!</definedName>
    <definedName name="__123Graph_FGR14PBF1" hidden="1">'[5]HIS19FIN(A)'!$AH$67:$AH$67</definedName>
    <definedName name="__123Graph_FLBF" hidden="1">'[4]T3 Page 1'!#REF!</definedName>
    <definedName name="__123Graph_FPIC" hidden="1">'[4]T3 Page 1'!#REF!</definedName>
    <definedName name="__123Graph_LBL_ARESID" hidden="1">'[5]HIS19FIN(A)'!$R$3:$W$3</definedName>
    <definedName name="__123Graph_LBL_BRESID" hidden="1">'[5]HIS19FIN(A)'!$R$3:$W$3</definedName>
    <definedName name="__123Graph_X" hidden="1">'[2]Forecast data'!#REF!</definedName>
    <definedName name="__123Graph_XACTHIC" hidden="1">'[4]FC Page 1'!#REF!</definedName>
    <definedName name="__123Graph_XALLTAX" hidden="1">'[2]Forecast data'!#REF!</definedName>
    <definedName name="__123Graph_XCHGSPD1" hidden="1">'[3]CHGSPD19.FIN'!$A$10:$A$25</definedName>
    <definedName name="__123Graph_XCHGSPD2" hidden="1">'[3]CHGSPD19.FIN'!$A$11:$A$25</definedName>
    <definedName name="__123Graph_XEFF" hidden="1">'[4]T3 Page 1'!#REF!</definedName>
    <definedName name="__123Graph_XGR14PBF1" hidden="1">'[5]HIS19FIN(A)'!$AL$70:$AL$81</definedName>
    <definedName name="__123Graph_XHOMEVAT" hidden="1">'[2]Forecast data'!#REF!</definedName>
    <definedName name="__123Graph_XIMPORT" hidden="1">'[2]Forecast data'!#REF!</definedName>
    <definedName name="__123Graph_XLBF" hidden="1">'[4]T3 Page 1'!#REF!</definedName>
    <definedName name="__123Graph_XLBFFIN2" hidden="1">'[5]HIS19FIN(A)'!$K$61:$Q$61</definedName>
    <definedName name="__123Graph_XLBFHIC" hidden="1">'[5]HIS19FIN(A)'!$D$61:$J$61</definedName>
    <definedName name="__123Graph_XLBFHIC2" hidden="1">'[5]HIS19FIN(A)'!$D$61:$J$61</definedName>
    <definedName name="__123Graph_XLCB" hidden="1">'[5]HIS19FIN(A)'!$D$79:$I$79</definedName>
    <definedName name="__123Graph_XNACFIN" hidden="1">'[5]HIS19FIN(A)'!$K$95:$Q$95</definedName>
    <definedName name="__123Graph_XNACHIC" hidden="1">'[5]HIS19FIN(A)'!$D$95:$J$95</definedName>
    <definedName name="__123Graph_XPIC" hidden="1">'[4]T3 Page 1'!#REF!</definedName>
    <definedName name="__123Graph_XSTAG2ALL" hidden="1">'[2]Forecast data'!#REF!</definedName>
    <definedName name="__123Graph_XSTAG2EC" hidden="1">'[2]Forecast data'!#REF!</definedName>
    <definedName name="__123Graph_XTOBREV" hidden="1">'[2]Forecast data'!#REF!</definedName>
    <definedName name="__123Graph_XTOTAL" hidden="1">'[2]Forecast data'!#REF!</definedName>
    <definedName name="_DLX1.INC">HAVERM!$A$1:$AG$6</definedName>
    <definedName name="_DLX2.INC">HAVERD!$G$2:$BW$7</definedName>
    <definedName name="_DLX3.INC">HAVERQ!$A$1:$G$6</definedName>
    <definedName name="_Fill" hidden="1">'[2]Forecast data'!#REF!</definedName>
    <definedName name="_xlnm._FilterDatabase" localSheetId="16" hidden="1">'APF gilt sales'!$A$2:$M$1931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TMAutoChart1Names" hidden="1">{"Chart","Chart 1028","Chart Chart 1028"}</definedName>
    <definedName name="_TMAutoChart1Refs" hidden="1">{"'Chart'!$J$4","'Chart'!$J$5","","","","","","","",""}</definedName>
    <definedName name="_TMAutoChartCount" hidden="1">1</definedName>
    <definedName name="anscount" hidden="1">2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BLPH1" hidden="1">'[6]4.6 ten year bonds'!$A$4</definedName>
    <definedName name="BLPH10" hidden="1">'[7]ROE data'!$Q$5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[8]Data!$D$8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[8]Data!$G$8</definedName>
    <definedName name="BLPH121" hidden="1">#REF!</definedName>
    <definedName name="BLPH122" hidden="1">#REF!</definedName>
    <definedName name="BLPH123" hidden="1">#REF!</definedName>
    <definedName name="BLPH128" hidden="1">[9]German!$B$5</definedName>
    <definedName name="BLPH129" hidden="1">[9]German!$F$5</definedName>
    <definedName name="BLPH13" hidden="1">[8]Data!$J$8</definedName>
    <definedName name="BLPH130" hidden="1">[9]German!$J$5</definedName>
    <definedName name="BLPH131" hidden="1">[9]German!$N$5</definedName>
    <definedName name="BLPH132" hidden="1">[9]French!$B$5</definedName>
    <definedName name="BLPH133" hidden="1">[9]French!$F$5</definedName>
    <definedName name="BLPH134" hidden="1">[9]French!#REF!</definedName>
    <definedName name="BLPH135" hidden="1">[9]Italian!$B$6</definedName>
    <definedName name="BLPH136" hidden="1">[9]Italian!$F$6</definedName>
    <definedName name="BLPH137" hidden="1">[9]Italian!$J$6</definedName>
    <definedName name="BLPH138" hidden="1">[9]Spanish!$B$5</definedName>
    <definedName name="BLPH139" hidden="1">[9]Spanish!$F$5</definedName>
    <definedName name="BLPH14" hidden="1">[8]Data!$M$8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[8]Data!#REF!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6" hidden="1">[10]Europeans!$F$6</definedName>
    <definedName name="BLPH165" hidden="1">'[11]H-Y spreads'!#REF!</definedName>
    <definedName name="BLPH166" hidden="1">'[11]H-Y spreads'!#REF!</definedName>
    <definedName name="BLPH167" hidden="1">'[11]H-Y spreads'!#REF!</definedName>
    <definedName name="BLPH168" hidden="1">'[12]sub-debt'!#REF!</definedName>
    <definedName name="BLPH17" hidden="1">[10]Europeans!$B$6</definedName>
    <definedName name="BLPH173" hidden="1">#REF!</definedName>
    <definedName name="BLPH174" hidden="1">#REF!</definedName>
    <definedName name="BLPH175" hidden="1">#REF!</definedName>
    <definedName name="BLPH18" hidden="1">[10]Europeans!$J$6</definedName>
    <definedName name="BLPH189" hidden="1">'[12]sub-debt'!#REF!</definedName>
    <definedName name="BLPH19" hidden="1">[10]Europeans!$N$6</definedName>
    <definedName name="BLPH190" hidden="1">'[12]sub-debt'!#REF!</definedName>
    <definedName name="BLPH191" hidden="1">'[12]sub-debt'!#REF!</definedName>
    <definedName name="BLPH192" hidden="1">'[12]sub-debt'!#REF!</definedName>
    <definedName name="BLPH193" hidden="1">'[12]sub-debt'!#REF!</definedName>
    <definedName name="BLPH194" hidden="1">'[12]sub-debt'!$B$165</definedName>
    <definedName name="BLPH195" hidden="1">'[12]sub-debt'!#REF!</definedName>
    <definedName name="BLPH196" hidden="1">'[12]sub-debt'!#REF!</definedName>
    <definedName name="BLPH197" hidden="1">'[12]sub-debt'!$B$164</definedName>
    <definedName name="BLPH198" hidden="1">'[12]sub-debt'!$E$164</definedName>
    <definedName name="BLPH199" hidden="1">'[12]sub-debt'!$H$164</definedName>
    <definedName name="BLPH2" hidden="1">'[6]4.6 ten year bonds'!$D$4</definedName>
    <definedName name="BLPH20" hidden="1">[10]Europeans!$V$6</definedName>
    <definedName name="BLPH200" hidden="1">'[12]sub-debt'!$K$164</definedName>
    <definedName name="BLPH201" hidden="1">'[12]sub-debt'!$N$164</definedName>
    <definedName name="BLPH202" hidden="1">'[12]sub-debt'!$Q$164</definedName>
    <definedName name="BLPH203" hidden="1">'[12]sub-debt'!#REF!</definedName>
    <definedName name="BLPH204" hidden="1">'[12]sub-debt'!$K$170</definedName>
    <definedName name="BLPH205" hidden="1">'[13]Bond data'!$J$2517:$HE$59909</definedName>
    <definedName name="BLPH206" hidden="1">'[13]Bond data'!$J$2665:$HE$59909</definedName>
    <definedName name="BLPH207" hidden="1">'[13]Bond data'!$J$2665:$HE$59909</definedName>
    <definedName name="BLPH208" hidden="1">'[13]Bond data'!$P$1210</definedName>
    <definedName name="BLPH209" hidden="1">#REF!</definedName>
    <definedName name="BLPH21" hidden="1">[10]Europeans!$R$6</definedName>
    <definedName name="BLPH210" hidden="1">'[13]Bond data'!$D$1208</definedName>
    <definedName name="BLPH211" hidden="1">'[13]Bond data'!$D$1213</definedName>
    <definedName name="BLPH212" hidden="1">[12]Bankruptcies!$B$7</definedName>
    <definedName name="BLPH22" hidden="1">'[10]US '!$B$5</definedName>
    <definedName name="BLPH222" hidden="1">#REF!</definedName>
    <definedName name="BLPH223" hidden="1">#REF!</definedName>
    <definedName name="BLPH224" hidden="1">#REF!</definedName>
    <definedName name="BLPH225" hidden="1">[12]Bankruptcies!$C$249</definedName>
    <definedName name="BLPH228" hidden="1">'[12]sub-debt'!#REF!</definedName>
    <definedName name="BLPH229" hidden="1">'[13]Bond data'!$AJ$5</definedName>
    <definedName name="BLPH23" hidden="1">'[10]US '!$F$5</definedName>
    <definedName name="BLPH230" hidden="1">'[13]Bond data'!$AG$5</definedName>
    <definedName name="BLPH231" hidden="1">'[13]Bond data'!$AL$5</definedName>
    <definedName name="BLPH232" hidden="1">'[13]Bond data'!$AI$5</definedName>
    <definedName name="BLPH233" hidden="1">'[13]Bond data'!$AF$5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4" hidden="1">'[10]US '!$J$5</definedName>
    <definedName name="BLPH25" hidden="1">'[10]US '!$N$5</definedName>
    <definedName name="BLPH26" hidden="1">'[10]US '!$R$5</definedName>
    <definedName name="BLPH27" hidden="1">'[10]US '!$V$5</definedName>
    <definedName name="BLPH28" hidden="1">'[10]US '!$Z$5</definedName>
    <definedName name="BLPH29" hidden="1">'[10]US '!$AD$5</definedName>
    <definedName name="BLPH3" hidden="1">'[6]4.6 ten year bonds'!$G$4</definedName>
    <definedName name="BLPH30" hidden="1">'[14]equity prices'!$R$5</definedName>
    <definedName name="BLPH31" hidden="1">'[14]equity prices'!$J$5</definedName>
    <definedName name="BLPH32" hidden="1">'[14]equity prices'!$F$5</definedName>
    <definedName name="BLPH33" hidden="1">'[14]equity prices'!$N$5</definedName>
    <definedName name="BLPH34" hidden="1">'[14]equity prices'!$B$5</definedName>
    <definedName name="BLPH35" hidden="1">'[14]equity prices'!$V$5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'[6]4.6 ten year bonds'!$J$4</definedName>
    <definedName name="BLPH40" hidden="1">#REF!</definedName>
    <definedName name="BLPH41" hidden="1">#REF!</definedName>
    <definedName name="BLPH42" hidden="1">#REF!</definedName>
    <definedName name="BLPH43" hidden="1">'[11]oil price'!#REF!</definedName>
    <definedName name="BLPH44" hidden="1">#REF!</definedName>
    <definedName name="BLPH45" hidden="1">'[11]US CP spreads'!#REF!</definedName>
    <definedName name="BLPH46" hidden="1">'[11]US CP spreads'!#REF!</definedName>
    <definedName name="BLPH47" hidden="1">'[11]US CP spreads'!#REF!</definedName>
    <definedName name="BLPH48" hidden="1">#REF!</definedName>
    <definedName name="BLPH49" hidden="1">'[11]Gov bond imp vols'!#REF!</definedName>
    <definedName name="BLPH5" hidden="1">'[6]4.6 ten year bonds'!$M$4</definedName>
    <definedName name="BLPH50" hidden="1">'[11]Gov bond imp vols'!#REF!</definedName>
    <definedName name="BLPH51" hidden="1">'[11]Gov bond imp vols'!#REF!</definedName>
    <definedName name="BLPH52" hidden="1">[11]banks!#REF!</definedName>
    <definedName name="BLPH53" hidden="1">[11]banks!#REF!</definedName>
    <definedName name="BLPH54" hidden="1">[11]banks!#REF!</definedName>
    <definedName name="BLPH55" hidden="1">[11]banks!#REF!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'[7]ROE data'!$A$34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'[11]cp iss'!#REF!</definedName>
    <definedName name="BLPH66" hidden="1">'[11]cp iss'!#REF!</definedName>
    <definedName name="BLPH67" hidden="1">'[11]cp iss'!#REF!</definedName>
    <definedName name="BLPH68" hidden="1">'[11]cp iss'!#REF!</definedName>
    <definedName name="BLPH69" hidden="1">'[11]cp iss'!#REF!</definedName>
    <definedName name="BLPH7" hidden="1">'[7]ROE data'!$E$7</definedName>
    <definedName name="BLPH70" hidden="1">'[11]cp iss'!#REF!</definedName>
    <definedName name="BLPH71" hidden="1">'[11]Jap prem'!#REF!</definedName>
    <definedName name="BLPH72" hidden="1">'[11]Jap prem'!#REF!</definedName>
    <definedName name="BLPH73" hidden="1">'[11]Jap prem'!#REF!</definedName>
    <definedName name="BLPH74" hidden="1">'[11]euro indices'!#REF!</definedName>
    <definedName name="BLPH75" hidden="1">'[11]euro indices'!#REF!</definedName>
    <definedName name="BLPH76" hidden="1">'[11]euro indices'!#REF!</definedName>
    <definedName name="BLPH77" hidden="1">'[11]euro indices'!#REF!</definedName>
    <definedName name="BLPH78" hidden="1">'[11]euro indices'!#REF!</definedName>
    <definedName name="BLPH79" hidden="1">'[11]euro indices'!#REF!</definedName>
    <definedName name="BLPH8" hidden="1">'[7]ROE data'!$I$43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'[7]ROE data'!$M$23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CIQWBGuid" hidden="1">"fa5452a5-43fc-463b-968d-1ded947c4d33"</definedName>
    <definedName name="CIQWBInfo" hidden="1">"{ ""CIQVersion"":""9.49.2423.4439"" }"</definedName>
    <definedName name="Data">[15]sheet0!$C$2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istribution" hidden="1">#REF!</definedName>
    <definedName name="ExtraProfiles" hidden="1">#REF!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fyu" hidden="1">'[2]Forecast data'!#REF!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Img_ML_1y7a6c1t" hidden="1">"IMG_6"</definedName>
    <definedName name="Img_ML_2f4p3r6p" hidden="1">"IMG_6"</definedName>
    <definedName name="Img_ML_2j6i5k6b" hidden="1">"IMG_6"</definedName>
    <definedName name="Img_ML_2v6s9i5c" hidden="1">"IMG_6"</definedName>
    <definedName name="Img_ML_2x1b8j5c" hidden="1">"IMG_6"</definedName>
    <definedName name="Img_ML_3b3j3x9k" hidden="1">"IMG_6"</definedName>
    <definedName name="Img_ML_3e2q4k7i" hidden="1">"IMG_6"</definedName>
    <definedName name="Img_ML_3h2n3p4v" hidden="1">"IMG_6"</definedName>
    <definedName name="Img_ML_3p2b9c6w" hidden="1">"IMG_6"</definedName>
    <definedName name="Img_ML_3x8m5t8j" hidden="1">"IMG_6"</definedName>
    <definedName name="Img_ML_4m3p5r8j" hidden="1">"IMG_18"</definedName>
    <definedName name="Img_ML_5d3i8b5s" hidden="1">"IMG_6"</definedName>
    <definedName name="Img_ML_5e7s6t2u" hidden="1">"IMG_18"</definedName>
    <definedName name="Img_ML_5f9x9u4u" hidden="1">"IMG_6"</definedName>
    <definedName name="Img_ML_5h6q3g8u" hidden="1">"IMG_6"</definedName>
    <definedName name="Img_ML_6f2p1m9g" hidden="1">"IMG_6"</definedName>
    <definedName name="Img_ML_6p3m8v1n" hidden="1">"IMG_6"</definedName>
    <definedName name="Img_ML_6y9f7y3n" hidden="1">"IMG_6"</definedName>
    <definedName name="Img_ML_7n6h3t1t" hidden="1">"IMG_6"</definedName>
    <definedName name="Img_ML_7w3j1h9t" hidden="1">"IMG_6"</definedName>
    <definedName name="Img_ML_8b4s3j4n" hidden="1">"IMG_6"</definedName>
    <definedName name="Img_ML_8b9j5t1p" hidden="1">"IMG_6"</definedName>
    <definedName name="Img_ML_8r1k8t4y" hidden="1">"IMG_6"</definedName>
    <definedName name="Img_ML_8t3m5u6f" hidden="1">"IMG_6"</definedName>
    <definedName name="Img_ML_9c9p6w6g" hidden="1">"IMG_6"</definedName>
    <definedName name="Img_ML_9g2r1i7c" hidden="1">"IMG_6"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"05/28/2015 10:38:17"</definedName>
    <definedName name="IQ_QTD" hidden="1">750000</definedName>
    <definedName name="IQ_TODAY" hidden="1">0</definedName>
    <definedName name="IQ_YTDMONTH" hidden="1">130000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Pop" hidden="1">[16]Population!#REF!</definedName>
    <definedName name="Population" hidden="1">#REF!</definedName>
    <definedName name="Profiles" hidden="1">#REF!</definedName>
    <definedName name="Projections" hidden="1">#REF!</definedName>
    <definedName name="Results" hidden="1">[17]UK99!$A$1:$A$1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encount" hidden="1">1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SpreadsheetBuilder_1" hidden="1">#REF!</definedName>
    <definedName name="SpreadsheetBuilder_2" hidden="1">#REF!</definedName>
    <definedName name="T4.9i" hidden="1">{#N/A,#N/A,FALSE,"TMCOMP96";#N/A,#N/A,FALSE,"MAT96";#N/A,#N/A,FALSE,"FANDA96";#N/A,#N/A,FALSE,"INTRAN96";#N/A,#N/A,FALSE,"NAA9697";#N/A,#N/A,FALSE,"ECWEBB";#N/A,#N/A,FALSE,"MFT96";#N/A,#N/A,FALSE,"CTrecon"}</definedName>
    <definedName name="T4.9j" hidden="1">{#N/A,#N/A,FALSE,"TMCOMP96";#N/A,#N/A,FALSE,"MAT96";#N/A,#N/A,FALSE,"FANDA96";#N/A,#N/A,FALSE,"INTRAN96";#N/A,#N/A,FALSE,"NAA9697";#N/A,#N/A,FALSE,"ECWEBB";#N/A,#N/A,FALSE,"MFT96";#N/A,#N/A,FALSE,"CTrecon"}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TRNR_0003e307e35943e69373a96f27511f32_720_2" hidden="1">#REF!</definedName>
    <definedName name="TRNR_000c6c9fd50a4caab7934b859e0281e3_294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007e390b58cf483cbf331df064b0cfb7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0087a30793e44327b0ab117720afff8f_291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00a4756b50464b6c9c7cdf11d25629c3_98_0" hidden="1">#REF!</definedName>
    <definedName name="TRNR_00abc12c19f64e34b8490c9ecc0eb605_288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00c93028e44b42e9b3492224346e6507_97_0" hidden="1">#REF!</definedName>
    <definedName name="TRNR_00f6a069d7164399af1ca7cba34a983e_413_1" hidden="1">#REF!</definedName>
    <definedName name="TRNR_017f59ac8ada43dba1be9e9a7d0d6273_98_0" hidden="1">#REF!</definedName>
    <definedName name="TRNR_018a8bded5da4bf0911bfb11c7b08474_283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02b9ee1f8a6c465b91fa1b33bc62aa58_112_195" hidden="1">#REF!</definedName>
    <definedName name="TRNR_02da124853504d05a5310d0bc39fd57b_198_8" hidden="1">#REF!</definedName>
    <definedName name="TRNR_0319965cf9014397959857430e043e17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03683c3f21334ef08b07cb89a5f9d31a_99_0" hidden="1">#REF!</definedName>
    <definedName name="TRNR_04e7d0670e6e4177a9c861a8fd8a45e1_310_7" hidden="1" xml:space="preserve">                                                                                                        '[18]Manuf delivery times'!$AK$4</definedName>
    <definedName name="TRNR_0631b139eda4413c89dac3f9a7340827_700_1" hidden="1">#REF!</definedName>
    <definedName name="TRNR_0643949265a240d0b2d092f41828b016_98_0" hidden="1">#REF!</definedName>
    <definedName name="TRNR_068edef156064ca38f001532b6e8736a_100_0" hidden="1">#REF!</definedName>
    <definedName name="TRNR_06f632dffb0648028005f92d6d913a6f_393_1" hidden="1">#REF!</definedName>
    <definedName name="TRNR_0710045a27574290b3d25fe947a77795_17_1" hidden="1">'[19]Regional data'!#REF!</definedName>
    <definedName name="TRNR_0797f627283c438d843908b0f764ec0e_311_7" hidden="1" xml:space="preserve">                                                                                                        '[18]Manuf delivery times'!$M$4</definedName>
    <definedName name="TRNR_0841ccc78ce241eb9055b046f360b6b3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08c12954c625474db199beac6961aedf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0931077f409d4debb2939d23f96b4c66_308_9" hidden="1" xml:space="preserve">                            '[18]Manuf PMIs'!$B$2</definedName>
    <definedName name="TRNR_094404681c0049aaaf105e6207cd0a9e_307_7" hidden="1" xml:space="preserve">                                                                                                        '[18]Manuf delivery times'!$M$4</definedName>
    <definedName name="TRNR_09a5fab5be8f4e2cb526c15ed0a59fa5_566_20" hidden="1">#REF!</definedName>
    <definedName name="TRNR_0a2275184c224813bc434b7e194df988_306_10" hidden="1" xml:space="preserve">                                                                                                        '[18]Composite PMIs'!$B$2</definedName>
    <definedName name="TRNR_0a325c2905d84576800bb1c6ebe8120e_315_8" hidden="1" xml:space="preserve">                                                                                                                                                '[18]Future PMIs'!$B$2</definedName>
    <definedName name="TRNR_0b5fe29dfa8d4faaac79fb438f207750_99_0" hidden="1">#REF!</definedName>
    <definedName name="TRNR_0b867d12c4f54c8f91d734197b3fd986_302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0c3ad9423e954a7e898e08a3a1d748bc_25_1" hidden="1">#REF!</definedName>
    <definedName name="TRNR_0c4ceb59db6343918e58d2ab16ce5388_307_7" hidden="1" xml:space="preserve">                            '[18]Manuf delivery times'!$B$4</definedName>
    <definedName name="TRNR_0cf23562878c43eb8b81a2986277632d_307_7" hidden="1" xml:space="preserve">                                                                                                        '[18]Manuf delivery times'!$M$4</definedName>
    <definedName name="TRNR_0d23b50afba04e2ab9430a3092fc16be_302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0d2461d9577344f98dc90df7dba79405_99_0" hidden="1">#REF!</definedName>
    <definedName name="TRNR_0d73f390a8474c3bbe1d7790da6d221b_307_7" hidden="1" xml:space="preserve">                                                                                                        '[18]Manuf delivery times'!$M$4</definedName>
    <definedName name="TRNR_0de00e6859e647ca9e5a9148ac8649db_98_0" hidden="1">#REF!</definedName>
    <definedName name="TRNR_0df742395f1f4a3fbaa7cf0e1aaf53cb_97_0" hidden="1">#REF!</definedName>
    <definedName name="TRNR_0e1285c88ca0470a9c6ca002132db23e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 PMIs'!$B$2</definedName>
    <definedName name="TRNR_0e68130afcab48d28f1902e2ab7ff44b_303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0ea8eef462cd4cf38c642af8600aed43_288_9" hidden="1" xml:space="preserve">                                                                                                                                                                                                            '[18]Manuf output PMIs'!$B$2</definedName>
    <definedName name="TRNR_0ef0034bfc944ccbbd0090460f71e0d5_98_0" hidden="1">#REF!</definedName>
    <definedName name="TRNR_0f44d734271040758f3cdbd14083d189_299_2" hidden="1">#REF!</definedName>
    <definedName name="TRNR_0f87b575b01c4904aa2be0fa7f1eaec1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0fbf97d0f7e24b04a1da147f4f6b0fad_112_180" hidden="1">#REF!</definedName>
    <definedName name="TRNR_0ff7eb090b204c91a3fe99e5ab7c926d_442_1" hidden="1">#REF!</definedName>
    <definedName name="TRNR_105939f09d9c49f4af81b018483c162d_719_2" hidden="1">#REF!</definedName>
    <definedName name="TRNR_1091c81026194364b4922fbaec09bfea_309_10" hidden="1" xml:space="preserve">                                                                                                        '[18]Manuf export PMIs'!$B$2</definedName>
    <definedName name="TRNR_10dd9d8b67d941aaa75a539b7d1a46d9_459_1" hidden="1">#REF!</definedName>
    <definedName name="TRNR_1137a7995b1e48a0bb357ae20bb96270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11b7f68bf37248119bd4215023647041_97_0" hidden="1">#REF!</definedName>
    <definedName name="TRNR_11ebe626973141a38af243c8d3f452b0_294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12812b8577e741d9916de3f66b9c82e6_98_1" hidden="1">#REF!</definedName>
    <definedName name="TRNR_12a6a666d94d4e229f70186b460c1df3_100_0" hidden="1">#REF!</definedName>
    <definedName name="TRNR_12a8f17b2e42433f84da20e17bf0778a_715_2" hidden="1">#REF!</definedName>
    <definedName name="TRNR_12ff7a83937147228270dfa635b334ee_281_6" hidden="1" xml:space="preserve">                                                                                                                    '[18]Manuf export PMIs'!$B$2</definedName>
    <definedName name="TRNR_1306d575d79040c89dd14611aea25382_310_7" hidden="1" xml:space="preserve">                            '[18]Manuf delivery times'!$M$4</definedName>
    <definedName name="TRNR_13bb93b88a48472fb0dee0149424460a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13c1665b63da47928df6996d40ee089e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140b526ab528435aa0d8c2094c9e044a_703_2" hidden="1">#REF!</definedName>
    <definedName name="TRNR_146ed7794dd14df0bca571c37abbad05_311_7" hidden="1" xml:space="preserve">                                                                                                        '[18]Manuf output'!$B$2</definedName>
    <definedName name="TRNR_14bb27092ba842f8a4a16d9ffe806e5c_98_0" hidden="1">#REF!</definedName>
    <definedName name="TRNR_14bd52c3dbac40a294b1118159a402e3_97_0" hidden="1">#REF!</definedName>
    <definedName name="TRNR_14fd0601c7514ccf8bc3007e5f450633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15572f8c3f4649d99c7be7dd112d1a3f_112_195" hidden="1">#REF!</definedName>
    <definedName name="TRNR_1574c9cacaf54b90bdb29dc1ce22a931_713_2" hidden="1">#REF!</definedName>
    <definedName name="TRNR_167b71cfd1a04bdfaf0962c49c87577a_99_0" hidden="1">#REF!</definedName>
    <definedName name="TRNR_17806c636444488d9fe0dc0f2f26792f_310_7" hidden="1" xml:space="preserve">                                                                                                        '[18]Manuf delivery times'!$B$4</definedName>
    <definedName name="TRNR_17d4195441624fdb85ecc12c95160d28_306_7" hidden="1" xml:space="preserve">                                                                        '[18]Composite output prices'!$B$2</definedName>
    <definedName name="TRNR_18584e92ca3e4467b687f1fa4863c5c8_299_8" hidden="1">#REF!</definedName>
    <definedName name="TRNR_1860ee5716ef455890ae4f5752761f85_442_1" hidden="1">#REF!</definedName>
    <definedName name="TRNR_18b4a61acf35430992af7ae0f561922f_156_11" hidden="1">#REF!</definedName>
    <definedName name="TRNR_190c01370b3f4edc9c1f237b59d44428_98_0" hidden="1">#REF!</definedName>
    <definedName name="TRNR_193b541aac9d4a649f7634d42cec389c_291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1a2335dd01314fe4a925b6eafd31798a_285_8" hidden="1" xml:space="preserve">                                                                                                                                                                '[18]Services PMIs'!$B$2</definedName>
    <definedName name="TRNR_1ad129cc110a4cd9979577f97ddc7e04_99_0" hidden="1">#REF!</definedName>
    <definedName name="TRNR_1bb0a669ed3c4e03a99462230824f86c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1bff51e4ad1c44b09a1ece8051e89492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1c563c349f3a426da56a9af4660802ad_182_8" hidden="1">#REF!</definedName>
    <definedName name="TRNR_1c900e0b25e84a1aa0015fe187cc90db_11_2" hidden="1">#REF!</definedName>
    <definedName name="TRNR_1ca6a69e2ae94614bb1675ea8f15f62c_99_0" hidden="1">#REF!</definedName>
    <definedName name="TRNR_1de07743b4ca48aa8c8d0a254cdc4440_307_7" hidden="1" xml:space="preserve">                                                                                                        '[18]Manuf output'!$B$2</definedName>
    <definedName name="TRNR_1e26865f923c445685571d047fd5314e_112_142" hidden="1">#REF!</definedName>
    <definedName name="TRNR_1e974028a759484d9ed777b81e5a5182_315_9" hidden="1" xml:space="preserve">                                                                                                        '[18]Manuf PMIs'!$B$2</definedName>
    <definedName name="TRNR_1ebc73d5b0f844d185a92b1316de8e3d_192_8" hidden="1">#REF!</definedName>
    <definedName name="TRNR_1ee17ecc7ece468ea038cece0dadbeaf_309_10" hidden="1" xml:space="preserve">                                                                                                        '[18]Composite PMIs'!$B$2</definedName>
    <definedName name="TRNR_1f38f8a002bf4c65a49d023159d813c3_706_2" hidden="1">#REF!</definedName>
    <definedName name="TRNR_1f588fb2ba7d4e87b9b213297a0cd0da_307_7" hidden="1" xml:space="preserve">                                                                                                        '[18]Manuf delivery times'!$M$4</definedName>
    <definedName name="TRNR_1f7c0dcffb574fa6b389f96d9af75021_98_1" hidden="1">#REF!</definedName>
    <definedName name="TRNR_1fa2d05f96874b9ab7234cf641b1c53f_289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1fda2f5e7b24416386edaf0ab1869a96_285_6" hidden="1" xml:space="preserve">                                                                                                                        '[18]Manuf export PMIs'!$B$2</definedName>
    <definedName name="TRNR_2005b639bbfe4130ae9c5c03cab5e4b8_98_0" hidden="1">#REF!</definedName>
    <definedName name="TRNR_2067e9e1a13a4686b778792d319cdf06_112_180" hidden="1">#REF!</definedName>
    <definedName name="TRNR_20937dca423d479fb8ded61363eceff2_99_0" hidden="1">#REF!</definedName>
    <definedName name="TRNR_20caa7c1780044a5b74e8021c43f1e41_98_0" hidden="1">#REF!</definedName>
    <definedName name="TRNR_20d55f04ddc34f19aaa8c5a1304cc163_171_6" hidden="1">#REF!</definedName>
    <definedName name="TRNR_20ee9b556e584633b8b5db3288199198_99_0" hidden="1">#REF!</definedName>
    <definedName name="TRNR_21080d19f34546f38d7c61f6ca0cbd2f_291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21cbf3f8f8fc4a86b6d385903cbb654e_118_7" hidden="1">#REF!</definedName>
    <definedName name="TRNR_21dcb34392a64084b78d11d1269d61ff_98_0" hidden="1">#REF!</definedName>
    <definedName name="TRNR_21e66bee47d644f0a6842d78e1d06759_302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22d5838926d94e2a88bdfd81ed43b011_98_0" hidden="1">#REF!</definedName>
    <definedName name="TRNR_2303a443a13b462795f53c1ce8914872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231574b02a37483c867a222af4aea2eb_286_9" hidden="1" xml:space="preserve">                                                                                                                                                                '[18]Composite PMIs'!$B$2</definedName>
    <definedName name="TRNR_235157c26c76476ab2da6a108867ac11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244d76835dd14d00b12c658eb91b9e9b_445_1" hidden="1">#REF!</definedName>
    <definedName name="TRNR_2502f5ac6f3e4533a0096661f99a085b_112_184" hidden="1">#REF!</definedName>
    <definedName name="TRNR_254447efdbf24fad89f07f925b2644f7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256e3560897646388e7e92f5e397db44_283_6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61200156d7a40e3bb3a0f8e4c29deec_193_8" hidden="1">#REF!</definedName>
    <definedName name="TRNR_2621c99a64554ec597f7ce2571464ccb_99_0" hidden="1">#REF!</definedName>
    <definedName name="TRNR_26b660f7a8354059980ad7a1f86e7e2d_707_1" hidden="1">#REF!</definedName>
    <definedName name="TRNR_26bea5062da2427eb03adff7a634fd5f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6f9aa30711e45dca714f40e2f3f79ec_303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6fb02711e804429ae5ee9a8dd86f859_98_0" hidden="1">#REF!</definedName>
    <definedName name="TRNR_276b397384de4d0789d55c19986412d7_112_121" hidden="1">#REF!</definedName>
    <definedName name="TRNR_288749616af2418899e47f8eaf18fff7_31_1" hidden="1">#REF!</definedName>
    <definedName name="TRNR_291ed13ff7ba4d198c4f2fcf99e18879_284_7" hidden="1" xml:space="preserve">                                                                                                                    '[18]Manuf PMIs'!$B$2</definedName>
    <definedName name="TRNR_29255f630752495894b8181d016863a6_277_7" hidden="1" xml:space="preserve">                        '[18]Composite PMIs'!$B$2</definedName>
    <definedName name="TRNR_29849db848c047caba75f61c4ee02415_98_0" hidden="1">#REF!</definedName>
    <definedName name="TRNR_298d51306f164c88b1714f3fd368c61f_288_9" hidden="1" xml:space="preserve">                                                                                                                                                                                                            '[18]Services PMIs'!$B$2</definedName>
    <definedName name="TRNR_29bc39c1e3c446e2adcb23e6f12c4846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9d65e013b4c49f0a5df8e14a969433d_100_0" hidden="1">#REF!</definedName>
    <definedName name="TRNR_29dfba2253614dcfb456569f00ba90ea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29e77c11cc3a48e4813ef9409878f420_112_177" hidden="1">#REF!</definedName>
    <definedName name="TRNR_2a1f8d24f79542ee9e8dc53bdc6b40f9_97_0" hidden="1">#REF!</definedName>
    <definedName name="TRNR_2a9e467260a8419d94ca9c88c3e1ffb6_98_0" hidden="1">#REF!</definedName>
    <definedName name="TRNR_2aa9a146c60049c2a9c4b426f978c95b_443_1" hidden="1">#REF!</definedName>
    <definedName name="TRNR_2b2aa526d448427aa797eff58a554249_296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2b31c5ea66d2415fa72afded35f03706_98_0" hidden="1">#REF!</definedName>
    <definedName name="TRNR_2be0e0978d0648e5a2df0a144c949fe8_278_7" hidden="1" xml:space="preserve">                        '[18]Manuf output'!$B$2</definedName>
    <definedName name="TRNR_2c7a7989ae7340f1aaa30158d1a91381_290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2cfa8bcac109407592c805bbea426bc3_395_1" hidden="1">#REF!</definedName>
    <definedName name="TRNR_2d4a108ae20f4a299d4c6b3498b226e1_311_7" hidden="1" xml:space="preserve">                                                                                                        '[18]Manuf delivery times'!$B$4</definedName>
    <definedName name="TRNR_2d676351e36947d4955178221d325df2_278_9" hidden="1" xml:space="preserve">                        '[18]Composite PMIs'!$B$2</definedName>
    <definedName name="TRNR_2deca9f7eb3544aca741cbf6ad1dfc1f_387_1" hidden="1">#REF!</definedName>
    <definedName name="TRNR_2e9cf882210e41988af24d7f2a45a757_286_9" hidden="1" xml:space="preserve">                                                                                                                                                                '[18]Manuf export PMIs'!$B$2</definedName>
    <definedName name="TRNR_2eeb96657c9a4064a24bba63f65810d6_349_1" hidden="1">'[20]All data and charts'!#REF!</definedName>
    <definedName name="TRNR_2ef4674371254e9ea3b9a4106ee1e124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2f03bd505b674d4e83f3401ec2af04e6_99_0" hidden="1">#REF!</definedName>
    <definedName name="TRNR_2f16e18fbffc4d04bbbd242b5d4098b4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2f8c547136e242b691842bc5362af6d6_98_1" hidden="1">#REF!</definedName>
    <definedName name="TRNR_2fbeea7cdb99473fb093752a53c5d2cf_307_7" hidden="1" xml:space="preserve">                                                                                                        '[18]Manuf delivery times'!$M$4</definedName>
    <definedName name="TRNR_2fc2126c92af4937980b72519cddabbb_283_7" hidden="1" xml:space="preserve">                                                                                                                    '[18]Manuf PMIs'!$B$2</definedName>
    <definedName name="TRNR_3028f1d7923f442e803aaab5c198fd66_98_0" hidden="1">#REF!</definedName>
    <definedName name="TRNR_30566eae70a84e9e826179d12a40b857_288_9" hidden="1" xml:space="preserve">                                                                                                                                                                                                            '[18]Manuf export PMIs'!$B$2</definedName>
    <definedName name="TRNR_309a98ab8f7a487db3ebbe9f69749d53_384_1" hidden="1">#REF!</definedName>
    <definedName name="TRNR_30e6009392f3433aadf269c31dcf8d6f_97_0" hidden="1">#REF!</definedName>
    <definedName name="TRNR_30f713e4b1f14e8db066d528ff87cbd0_283_9" hidden="1" xml:space="preserve">                                                                                                                    '[18]Composite PMIs'!$B$2</definedName>
    <definedName name="TRNR_311b974cda114b86b3d7147d4ca13f4b_721_2" hidden="1">#REF!</definedName>
    <definedName name="TRNR_313edd9cf460428cb411e40fbd2411c8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3177270a867a468b8dd7c40b917b2f6d_380_1" hidden="1">#REF!</definedName>
    <definedName name="TRNR_31e5cdee19b6402aac86f4f4ca58f28c_452_1" hidden="1">#REF!</definedName>
    <definedName name="TRNR_320895a0c4d549e38300165740baa16e_706_1" hidden="1">#REF!</definedName>
    <definedName name="TRNR_322799367f6846e29f9610f024f058cc_216_114" hidden="1">#REF!</definedName>
    <definedName name="TRNR_32809883206a42dc91f7132e1ca6318d_705_1" hidden="1">#REF!</definedName>
    <definedName name="TRNR_32bee6d90e1646019edbf0bc46e058bc_440_1" hidden="1">#REF!</definedName>
    <definedName name="TRNR_32e7045a29e34a17a3c5f24787c72899_309_9" hidden="1" xml:space="preserve">                                                                                                        '[18]Services PMIs'!$B$2</definedName>
    <definedName name="TRNR_32fbebc0c5a6406193c01e638192f651_26_4" hidden="1">#REF!</definedName>
    <definedName name="TRNR_32fcf8dbfa704b8fbfbb5e3fb0853a1b_112_117" hidden="1">#REF!</definedName>
    <definedName name="TRNR_3364fc349b4b4805963ddda363f027c2_112_143" hidden="1">#REF!</definedName>
    <definedName name="TRNR_3405653761aa440aa1eb0c71e92ee44b_291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341e8ba510014c0ab1d571bbcf21597d_98_0" hidden="1">#REF!</definedName>
    <definedName name="TRNR_342b1d6c6520424b8eacaa7f49a30473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34bed4f94b964f5d9e52ccbcd57636c7_279_2" hidden="1">#REF!</definedName>
    <definedName name="TRNR_34cb5b8f18bc48b692ba64b049a532eb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3555a747017a4846a918f52ea17b5701_98_0" hidden="1">#REF!</definedName>
    <definedName name="TRNR_3578bd6196174e80961094790cd5295e_285_9" hidden="1" xml:space="preserve">                                                                                                                        '[18]Composite PMIs'!$B$2</definedName>
    <definedName name="TRNR_3597b151fd374377b9a63a737b1c5121_98_0" hidden="1">#REF!</definedName>
    <definedName name="TRNR_35f27a856fa44e33a26fb8987fbb6c9f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36553b495ae245f3a533330b3da14dc0_315_7" hidden="1" xml:space="preserve">                                                                                                        '[18]Composite input prices'!$B$2</definedName>
    <definedName name="TRNR_36d7e675f87c427bb979bd3088b2ea57_286_7" hidden="1" xml:space="preserve">                                                                                                                                                                '[18]Manuf output'!$B$2</definedName>
    <definedName name="TRNR_3729d02bdd5640dfb8e0707252f4c536_288_9" hidden="1" xml:space="preserve">                                                                                                                                                                                                            '[18]Manuf PMIs'!$B$2</definedName>
    <definedName name="TRNR_378d71762ff64318826f324bd5f2e52d_97_0" hidden="1">#REF!</definedName>
    <definedName name="TRNR_37b732b18dfa4db1b0c31ab94ea1cad5_100_0" hidden="1">#REF!</definedName>
    <definedName name="TRNR_38779692e88d489387350c1864690787_723_2" hidden="1">#REF!</definedName>
    <definedName name="TRNR_391f594cb9e9457fadbb2905a100cf8b_310_10" hidden="1" xml:space="preserve">                                                                                                        '[18]Manuf export PMIs'!$B$2</definedName>
    <definedName name="TRNR_3997129a5c014648ad189419faad6fb9_705_2" hidden="1">#REF!</definedName>
    <definedName name="TRNR_39c48992742e4a9686f9fb8252c7e881_196_8" hidden="1">#REF!</definedName>
    <definedName name="TRNR_3a5a6fa53ee640229212a86c22e30934_97_0" hidden="1">#REF!</definedName>
    <definedName name="TRNR_3a9d6d2f499440c0b5fdf1a6329887d8_306_7" hidden="1" xml:space="preserve">                                                                                                        '[18]Manuf output'!$B$2</definedName>
    <definedName name="TRNR_3ac4f96c44514e0a8f9d333c99baa30b_99_0" hidden="1">#REF!</definedName>
    <definedName name="TRNR_3af34af805614162a48fe19ad4e91983_703_2" hidden="1">#REF!</definedName>
    <definedName name="TRNR_3b09db52974849b5bb7da16cd1046abf_703_2" hidden="1">#REF!</definedName>
    <definedName name="TRNR_3bb78cd505a8473fbe8f24119bbdc4b9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3c017e62cde44e8c866f6ed3403ab13d_315_10" hidden="1">#REF!</definedName>
    <definedName name="TRNR_3c47826343e44169b6de9271fcb2d7e4_279_9" hidden="1" xml:space="preserve">                                                                    '[18]Composite PMIs'!$B$2</definedName>
    <definedName name="TRNR_3c714f82ea0a441ca831ada1abe484ed_702_1" hidden="1">#REF!</definedName>
    <definedName name="TRNR_3cbc35ea55384710a7071c6b1b12815c_194_8" hidden="1">#REF!</definedName>
    <definedName name="TRNR_3ccd173591d341e6a00a96b14d1c5753_98_0" hidden="1">#REF!</definedName>
    <definedName name="TRNR_3cff5cffb727441a9dac38c0dc13e414_315_8" hidden="1" xml:space="preserve">                                                                                                                                                                                        [21]Reuters!$B$2</definedName>
    <definedName name="TRNR_3d3cbcfe40044479a887d5a3a4342fa0_98_0" hidden="1">#REF!</definedName>
    <definedName name="TRNR_3d49446b1af84177ab4590e2fed649c4_287_2" hidden="1">#REF!</definedName>
    <definedName name="TRNR_3d7430ca0386434d9e13c11f335f2412_308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3dc6eb9da8ab4c72bdf8531e8c18e042_407_1" hidden="1">#REF!</definedName>
    <definedName name="TRNR_3e4000216e774990ba08df339a5ca023_98_1" hidden="1">#REF!</definedName>
    <definedName name="TRNR_3e82d8cfc9704c488a2be3711633c844_285_8" hidden="1" xml:space="preserve">                                                                                                                                                                '[18]Manuf PMIs'!$B$2</definedName>
    <definedName name="TRNR_3eeca1394b9943ec965c40ba4e305fe2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3ef9b2834b7b4f8a8502a3f87f1de34e_281_2" hidden="1">#REF!</definedName>
    <definedName name="TRNR_3f1f2ee27ae1456aa9fe4db376791860_280_6" hidden="1">#REF!</definedName>
    <definedName name="TRNR_3f9f43395379445ebb70e15598e77a5b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3fcf8d14f1c7492bb91003bd9b5c61db_717_1" hidden="1">#REF!</definedName>
    <definedName name="TRNR_3ff3b6f68e2c477aa2725fa510e77414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4063527510b74345baadfd37941dacd9_112_176" hidden="1">#REF!</definedName>
    <definedName name="TRNR_40842c0b11e6471c8c1a512142d9fb49_112_179" hidden="1">#REF!</definedName>
    <definedName name="TRNR_408dfc60899d4228823351ece3cae1f6_112_149" hidden="1">#REF!</definedName>
    <definedName name="TRNR_40f8ab44181a4916b40050aeb30726fc_310_9" hidden="1" xml:space="preserve">                                                                                                        '[18]Manuf output PMIs'!$B$2</definedName>
    <definedName name="TRNR_411fd349272b442ca456a3b6e01fb3d0_281_6" hidden="1" xml:space="preserve">                                                '[18]Manuf export PMIs'!$B$2</definedName>
    <definedName name="TRNR_41584f61e7cd44c2bccbfc9ca1b75b9d_307_7" hidden="1" xml:space="preserve">                                                                                                        '[18]Manuf delivery times'!$M$4</definedName>
    <definedName name="TRNR_419dd23e85704223bd489abc4159da24_315_7" hidden="1" xml:space="preserve">                                                                                                        '[18]Manuf delivery times'!$AK$4</definedName>
    <definedName name="TRNR_41a16b8feca74cb7aae552bc62dc93b7_667_1" hidden="1">#REF!</definedName>
    <definedName name="TRNR_4258f162d01948dfbe94951e438fecbb_100_0" hidden="1">#REF!</definedName>
    <definedName name="TRNR_42ac4705a58b4e60bdb0f1c3f4ff5462_97_0" hidden="1">#REF!</definedName>
    <definedName name="TRNR_42b8a21f18594fba9079504eb2f73e12_286_9" hidden="1" xml:space="preserve">                                                                                                                                                                '[18]Composite PMIs'!$B$2</definedName>
    <definedName name="TRNR_42f872313d344abf898cde8f80a36b5a_315_9" hidden="1" xml:space="preserve">                                                                                                        '[18]Services PMIs'!$B$2</definedName>
    <definedName name="TRNR_431c7532105e4117bb38a3e7bdbd6c2e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43375f26a0ed46baaadb0e0b18b5fe51_302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4386c43276014c989311c91119f594cc_99_0" hidden="1">#REF!</definedName>
    <definedName name="TRNR_44a1db3b2c3f4734b68f10c350bfc498_310_7" hidden="1" xml:space="preserve">                                                                                                        '[18]Manuf delivery times'!$AK$4</definedName>
    <definedName name="TRNR_453bb1f701da4a109f19c60857266ec6_112_177" hidden="1">#REF!</definedName>
    <definedName name="TRNR_454092e01bfe4aa989f8f09add181d65_98_0" hidden="1">#REF!</definedName>
    <definedName name="TRNR_45b379c471b34315864700adca07a504_315_9" hidden="1" xml:space="preserve">                                                                                                        '[18]Services PMIs'!$B$2</definedName>
    <definedName name="TRNR_45ccd6a4e4a84fb697072b68dff5070d_318_7" hidden="1" xml:space="preserve">                                                                                [21]Reuters!$B$2</definedName>
    <definedName name="TRNR_45d5855463bf4f999a6e80087150fbd2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4614ae3f00f445d4af89c1c88502f6bb_98_0" hidden="1">#REF!</definedName>
    <definedName name="TRNR_46358a84dd6a4983acf72e34d0485b22_98_0" hidden="1">#REF!</definedName>
    <definedName name="TRNR_4652f26893fc480899bae1fc94510fcf_447_1" hidden="1">#REF!</definedName>
    <definedName name="TRNR_4655e3ae33e144c8ab0807e5601a9e3f_306_7" hidden="1" xml:space="preserve">                                '[18]Composite input prices'!$B$2</definedName>
    <definedName name="TRNR_46d25b77349e47c9ba0fab839fd07856_112_178" hidden="1">#REF!</definedName>
    <definedName name="TRNR_46efc2cf0b5d4ef4a09387edc65ffbe8_277_9" hidden="1" xml:space="preserve">                        '[18]Composite PMIs'!$B$2</definedName>
    <definedName name="TRNR_472d4ea01a68426986565d36553e71bf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479cac9e67b2476093e00fa80f551e29_290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4814dd04edd24e2f9e1e001b99d6983e_303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48a6cd8095d946b184a43c6b701af1e2_98_0" hidden="1">#REF!</definedName>
    <definedName name="TRNR_48e0bb1b4c9f4484bf1ac4e52d5ab58c_98_0" hidden="1">#REF!</definedName>
    <definedName name="TRNR_498c476858a0491886616d4a24ff444d_310_7" hidden="1" xml:space="preserve">                                                                                                        '[18]Manuf delivery times'!$Y$4</definedName>
    <definedName name="TRNR_49d32ab095a1485fbdfdc19091f083ca_155_11" hidden="1">#REF!</definedName>
    <definedName name="TRNR_4a7b675b7c514ab68cb6ecada4c929c3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4b1f55213cd04778943ad890490e6f3c_315_10" hidden="1" xml:space="preserve">                                                                                                        '[18]Composite PMIs'!$B$2</definedName>
    <definedName name="TRNR_4be0df85f5e24a92b42ece544f917348_707_2" hidden="1">#REF!</definedName>
    <definedName name="TRNR_4c0402295499435289bc3839d65cd2cc_97_0" hidden="1">#REF!</definedName>
    <definedName name="TRNR_4c3b3a5537294a99aaf5386378113afe_47_2" hidden="1">#REF!</definedName>
    <definedName name="TRNR_4cfbffd509be4bdfb7a7bf41cb337077_279_6" hidden="1" xml:space="preserve">                            '[18]Manuf export PMIs'!$B$2</definedName>
    <definedName name="TRNR_4d156476711d4198a1aa4cedc4d7c2de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4d50b9e1bcf3489fa25cf6d8032a252a_306_7" hidden="1" xml:space="preserve">                                                                        '[18]Composite output prices'!$B$2</definedName>
    <definedName name="TRNR_4d886a59d20f4786bb23bbab0792d8f9_283_7" hidden="1" xml:space="preserve">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4e43979341694c739d8161fd1d0ee338_284_7" hidden="1" xml:space="preserve">                                                                                                                    '[18]Manuf output'!$B$2</definedName>
    <definedName name="TRNR_4edf133c00d044b58804bbb0b26bc04e_98_0" hidden="1">#REF!</definedName>
    <definedName name="TRNR_4ef50f5713f0403bac46470070bf537e_202_8" hidden="1">#REF!</definedName>
    <definedName name="TRNR_4efc07f281844fd184f2cd71c8a95c1c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4f136458ba51493f98cace81d7083b43_98_0" hidden="1">#REF!</definedName>
    <definedName name="TRNR_4f22633b4ba44be3aa1b3d55aeaf6418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4f37d90c142347269e2d4f2d3f317372_306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4fbc285ab3504259862d01c2c9105992_315_9" hidden="1" xml:space="preserve">                                                                                                        '[18]Manuf PMIs'!$B$2</definedName>
    <definedName name="TRNR_501d2b38390f4b3b8610a5e889a99e86_98_0" hidden="1">#REF!</definedName>
    <definedName name="TRNR_5071a39a5a35436591ff362e60146b73_98_0" hidden="1">#REF!</definedName>
    <definedName name="TRNR_50bfa0e43b6543329c72f619f4e53ad1_99_1" hidden="1">#REF!</definedName>
    <definedName name="TRNR_50cb516a77c4455ebb6908c2a65db952_569_1" hidden="1">#REF!</definedName>
    <definedName name="TRNR_50cf63ffdb234adaa98cef25f860b2a4_281_7" hidden="1" xml:space="preserve">                                                                                                                    '[18]Manuf output'!$B$2</definedName>
    <definedName name="TRNR_50e3097de13e4d38baf4a0eb1f7b06d2_713_2" hidden="1">#REF!</definedName>
    <definedName name="TRNR_5195a2b9e9ff48ef9b168a3b1cb8648b_447_1" hidden="1">#REF!</definedName>
    <definedName name="TRNR_51b4d383dd1d481fbde86275edab3234_97_1" hidden="1">#REF!</definedName>
    <definedName name="TRNR_51eb20c32d194120a0a2c8054688a979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51ef163e40c84ccba2404333fb1c13df_98_0" hidden="1">#REF!</definedName>
    <definedName name="TRNR_526c6638a314405894f291905437a5d1_99_0" hidden="1">#REF!</definedName>
    <definedName name="TRNR_52b4a9e6ecd24b19a9a8d4c7c3c6a646_112_116" hidden="1">#REF!</definedName>
    <definedName name="TRNR_52c5c9faab6240a99379b01181a5e40d_97_0" hidden="1">#REF!</definedName>
    <definedName name="TRNR_52e75611969e43db8dd4de3b82232854_307_7" hidden="1" xml:space="preserve">                                                                                                        '[18]Manuf delivery times'!$M$4</definedName>
    <definedName name="TRNR_52f821e2901c4e00860258c8f1fd7c49_99_1" hidden="1">#REF!</definedName>
    <definedName name="TRNR_5363153b6d8d4ec78d278f405ef30fa7_259_14" hidden="1">#REF!</definedName>
    <definedName name="TRNR_536b827c28874e5188de57074c5d737c_98_0" hidden="1">#REF!</definedName>
    <definedName name="TRNR_5391e7dd39b345e8874f824dfd83b7fc_99_0" hidden="1">#REF!</definedName>
    <definedName name="TRNR_541da4bbf31b4f1f88719eb34b1cc2f2_283_9" hidden="1" xml:space="preserve">                                                                                                                    '[18]Composite PMIs'!$B$2</definedName>
    <definedName name="TRNR_5441e8dffcb74079b6c73a23e91d7b35_156_11" hidden="1">#REF!</definedName>
    <definedName name="TRNR_54df269e11f54b71aef067fe71817653_704_2" hidden="1">#REF!</definedName>
    <definedName name="TRNR_54e06503c8e54762bbd5fa45a37b11da_315_10" hidden="1" xml:space="preserve">                                                                                                                                                '[18]Future PMIs'!$B$2</definedName>
    <definedName name="TRNR_54fd4dd03da1462b8e521cd0d8006809_653_1" hidden="1">#REF!</definedName>
    <definedName name="TRNR_55229ce4c97f4364ba49c92c83d5c6a7_286_9" hidden="1" xml:space="preserve">                                                                                                                                                                '[18]Manuf export PMIs'!$B$2</definedName>
    <definedName name="TRNR_55545c09b8ce4ec39dcab3da27c5dbf8_286_9" hidden="1" xml:space="preserve">                                                                                                                                                                '[18]Manuf PMIs'!$B$2</definedName>
    <definedName name="TRNR_55545da0a92644eb8c37c5b42cd11cc0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PMIs'!$B$2</definedName>
    <definedName name="TRNR_55dcc582237741d1af5af98c65eecfd4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562e5133316b40228b0283515bf5c1ec_310_7" hidden="1" xml:space="preserve">                                                                                                        '[18]Composite input prices'!$B$2</definedName>
    <definedName name="TRNR_56a499d6abc942b4ae6d57e5223453eb_157_11" hidden="1">#REF!</definedName>
    <definedName name="TRNR_56d6afec88a244c684c6b3c777b639b7_97_0" hidden="1">#REF!</definedName>
    <definedName name="TRNR_57056536ca2c4b848526967645728338_309_7" hidden="1" xml:space="preserve">                                                                                                                                                                                                                '[18]Composite input prices'!$B$2</definedName>
    <definedName name="TRNR_571120b4aca9497dae10ff9ad6072d73_294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5733d1fbb01b4746812b048570a8b77a_97_0" hidden="1">#REF!</definedName>
    <definedName name="TRNR_57351a39f95243349b912827d6031fd6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5740a8a980894cdfaee534352acd1fac_183_8" hidden="1">#REF!</definedName>
    <definedName name="TRNR_57669617256841e79b0cc43311025525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5772289de2484f5a9d665032d423e87e_100_0" hidden="1">#REF!</definedName>
    <definedName name="TRNR_579875e00d5b4613bd4f73b0218536e3_281_7" hidden="1" xml:space="preserve">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57e971dfb2a84c68a5ec355f5e9b3acc_98_0" hidden="1">#REF!</definedName>
    <definedName name="TRNR_58ba6a5c98ef4ad1914b190731ec1440_98_0" hidden="1">#REF!</definedName>
    <definedName name="TRNR_58f0add449f54ab9ae67705414cb6043_306_7" hidden="1" xml:space="preserve">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58fadf4842ec499b83e9afbf3e082258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590767d0622a4cc2bdd040d648224730_97_0" hidden="1">#REF!</definedName>
    <definedName name="TRNR_59445df5cd9e431b9953cf892bb8d33f_281_7" hidden="1" xml:space="preserve">                                                                                                                    '[18]Manuf output'!$B$2</definedName>
    <definedName name="TRNR_5953e668d9684415a790c7655944470c_112_127" hidden="1">#REF!</definedName>
    <definedName name="TRNR_598a957fab1847a2b4ec1acff33897a2_316_7" hidden="1" xml:space="preserve">                                                                                [21]Reuters!$B$2</definedName>
    <definedName name="TRNR_599c7f799c66426698f32afb66367fa4_709_2" hidden="1">#REF!</definedName>
    <definedName name="TRNR_59b3d9c7d7a24081b99918c48305e3d3_97_1" hidden="1">#REF!</definedName>
    <definedName name="TRNR_5a021ce6c2bd42d2a3e45365553afe32_310_9" hidden="1" xml:space="preserve">                                                                                                        '[18]Services PMIs'!$B$2</definedName>
    <definedName name="TRNR_5a072383c8b74ef3a3ed93719682c167_97_0" hidden="1">#REF!</definedName>
    <definedName name="TRNR_5ac8be497c4645bfb47b0421a75c7a3b_290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5be0e0fdcc1847fd9b2a00e30286cece_98_0" hidden="1">#REF!</definedName>
    <definedName name="TRNR_5c25558eb19142c092ab724ab8909976_290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5c83308e42fe441bb628c6d6ed19f693_96_9" hidden="1">#REF!</definedName>
    <definedName name="TRNR_5c9023ec161d4a96935568bb49ea755e_98_0" hidden="1">#REF!</definedName>
    <definedName name="TRNR_5cfd1b00882145bca272c525039f99f6_310_7" hidden="1" xml:space="preserve">                                                                                                        '[18]Manuf delivery times'!$Y$4</definedName>
    <definedName name="TRNR_5d4e431e79c74821876762a11491a144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5d59acd1609d4d44bc1aa20fb653fce9_100_0" hidden="1">#REF!</definedName>
    <definedName name="TRNR_5d94f54bd78a4da68f556474442fb39b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5dccfa00e9f848fd9e9a996da639f06c_286_9" hidden="1" xml:space="preserve">                                                                                                                                                                '[18]Manuf PMIs'!$B$2</definedName>
    <definedName name="TRNR_5e0c063c176747f7b7f6bfa0ce55691b_306_7" hidden="1" xml:space="preserve">                                '[18]Composite input prices'!$B$2</definedName>
    <definedName name="TRNR_5e40ff51b67c49f6bbbe952a8d085f9d_285_7" hidden="1" xml:space="preserve">                                                                                                                        '[18]Manuf PMIs'!$B$2</definedName>
    <definedName name="TRNR_5e5420b484924b24a197b9e00a454363_704_2" hidden="1">#REF!</definedName>
    <definedName name="TRNR_5fa96268210e4375822ae6a2b9c038ff_700_1" hidden="1">#REF!</definedName>
    <definedName name="TRNR_5fcd21bc0c7f46c685a1ef2914f80fad_99_0" hidden="1">#REF!</definedName>
    <definedName name="TRNR_603c40efdef04adeb8dd66897a1a23b7_283_6" hidden="1" xml:space="preserve">                                                                                                                    '[18]Manuf export PMIs'!$B$2</definedName>
    <definedName name="TRNR_6073805a27e04524b69b79c11d500780_100_0" hidden="1">#REF!</definedName>
    <definedName name="TRNR_60a66ba42d454eb8a7174d78b543e85f_98_0" hidden="1">#REF!</definedName>
    <definedName name="TRNR_60c469fd77e849368a53b3ed7a6ee627_98_0" hidden="1">#REF!</definedName>
    <definedName name="TRNR_60e668a8cc454362bdbf8983704f994d_98_0" hidden="1">#REF!</definedName>
    <definedName name="TRNR_60f90830f9654e7883552f545cad1b44_112_123" hidden="1">#REF!</definedName>
    <definedName name="TRNR_611472cb10474a73a40d71fc15fcfb1e_283_6" hidden="1" xml:space="preserve">                                                                                                                    '[18]Manuf export PMIs'!$B$2</definedName>
    <definedName name="TRNR_61380d45f06d4fbcaebe0fd74765419d_98_0" hidden="1">#REF!</definedName>
    <definedName name="TRNR_62099eea001e4f10ae5daa2d70e4d11a_112_124" hidden="1">#REF!</definedName>
    <definedName name="TRNR_6240a5cf637c46b5a8307d630d946348_10_13" hidden="1">#REF!</definedName>
    <definedName name="TRNR_627c57c1d889401c8de7099472c21275_280_7" hidden="1" xml:space="preserve">                                                                                                                                                '[18]Manuf PMIs'!$B$2</definedName>
    <definedName name="TRNR_62aea05a0f1946c081e649cb691900c7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62c051b33bba49cc81e917b72fb938e0_290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63de082a102c426fa020f5de3cc31ca5_98_0" hidden="1">#REF!</definedName>
    <definedName name="TRNR_641ef2122d984a399384b374414369a5_99_0" hidden="1">#REF!</definedName>
    <definedName name="TRNR_6440b1e2e74241358b242b7ff334adbe_181_8" hidden="1">#REF!</definedName>
    <definedName name="TRNR_65170fc970bc41e4a45abfd74a758dd2_280_7" hidden="1" xml:space="preserve">                                                                                                                                        '[18]Manuf output'!$B$2</definedName>
    <definedName name="TRNR_65468318650048ad8301b906ba7d606e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65bfcc7c66664ef6b85fa7d2c7116df5_288_9" hidden="1" xml:space="preserve">                                                                                                                                                                                                            '[18]Manuf export PMIs'!$B$2</definedName>
    <definedName name="TRNR_65c3885f861d457c8c9b2e73cf2f436e_99_0" hidden="1">#REF!</definedName>
    <definedName name="TRNR_65e52080d0594fd496ad0b4bad424339_279_7" hidden="1" xml:space="preserve">                                                '[18]Manuf PMIs'!$B$2</definedName>
    <definedName name="TRNR_6653fffe1e274787bf4172293afb4a9e_98_0" hidden="1">#REF!</definedName>
    <definedName name="TRNR_6696cdce334f45a3ab80ccf96cba5bab_97_1" hidden="1">#REF!</definedName>
    <definedName name="TRNR_669e5313d3d541d1b783f1ce030a0b4f_318_7" hidden="1" xml:space="preserve">                                                                                [21]Reuters!$B$2</definedName>
    <definedName name="TRNR_66f493e79c7b486db31bcfea2e5d3bae_1080_3" hidden="1">#REF!</definedName>
    <definedName name="TRNR_66fc55f523f14b77aa6a3bd79dc4b571_288_9" hidden="1" xml:space="preserve">                                                                                                                                                                                                            '[18]Services PMIs'!$B$2</definedName>
    <definedName name="TRNR_66ff7493938d4066a42fe6d24e1cf83b_112_131" hidden="1">#REF!</definedName>
    <definedName name="TRNR_6779789569cf49bc93359a6a307378e6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67aa71d9c648469ab4204ee54b98cbed_97_0" hidden="1">#REF!</definedName>
    <definedName name="TRNR_67bcfc69906b417898c526159e7fe7dc_171_6" hidden="1">#REF!</definedName>
    <definedName name="TRNR_67eb88a07173414a8ffcc2d28aa8c4d2_306_9" hidden="1" xml:space="preserve">                                                                                                        '[18]Manuf PMIs'!$B$2</definedName>
    <definedName name="TRNR_67f221b191cd44aeab109bac23e95b46_315_9" hidden="1" xml:space="preserve">                                                                                                        '[18]Manuf PMIs'!$B$2</definedName>
    <definedName name="TRNR_68647ef34e3a47b8870401c03573cdcc_281_7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68861c636c444fda845a5c6a7d6b1068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692fca88c0614913af791bf1d5ae5f6f_97_0" hidden="1">#REF!</definedName>
    <definedName name="TRNR_6963b818e6e24d4abf842e139c4be345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699f2f4ee94443ccab9cb3774bd8b3cf_100_0" hidden="1">#REF!</definedName>
    <definedName name="TRNR_69c2be9d0ad944888d5fbfc878cc7826_188_8" hidden="1">#REF!</definedName>
    <definedName name="TRNR_6a34239821684ee7a55446e656f8f388_288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6a601a20c91a4b0f8e17a5c5d5560d6a_701_1" hidden="1">#REF!</definedName>
    <definedName name="TRNR_6b6b16c180a14330a360768b2ccafbb0_282_9" hidden="1" xml:space="preserve">                                                                                                                    '[18]Composite PMIs'!$B$2</definedName>
    <definedName name="TRNR_6ba191fa25f54f74824d55a69cf7b0a4_671_1" hidden="1">#REF!</definedName>
    <definedName name="TRNR_6c23a638b74645c3ac55dbbc6c0f9e90_97_0" hidden="1">#REF!</definedName>
    <definedName name="TRNR_6d20c39b831c4fcba05293ed8bf7318f_290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6da400fee26449b7834a15573e4f3fb9_281_2" hidden="1">#REF!</definedName>
    <definedName name="TRNR_6e049d66ec26490b9e10ac9396a55d82_286_8" hidden="1" xml:space="preserve">                                                                                                                                                                '[18]Manuf PMIs'!$B$2</definedName>
    <definedName name="TRNR_6e707e3ccbd545d0bbce4db4d56ae265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6e7349c153374e82b1f99e03320408dc_698_1" hidden="1">#REF!</definedName>
    <definedName name="TRNR_6eaaa571346848ae9b6496a79e41a711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6ecade6a199a475797466980359cbf95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6ed154f88aca4f75b1fc72284bc34375_98_0" hidden="1">#REF!</definedName>
    <definedName name="TRNR_6ed3ef1c46df4715956ff01aaee1944a_106_1" hidden="1">#REF!</definedName>
    <definedName name="TRNR_6f01a7e798cb4ad38d4801a1f5c8bab9_97_0" hidden="1">#REF!</definedName>
    <definedName name="TRNR_6f4ebf63b9744cdd98f312f8845c2ac7_382_1" hidden="1">#REF!</definedName>
    <definedName name="TRNR_6fba2992c14947f180ddb34a994826b9_98_0" hidden="1">#REF!</definedName>
    <definedName name="TRNR_6fe4b3151c014406a4f21cf919cf370c_700_1" hidden="1">#REF!</definedName>
    <definedName name="TRNR_6fe7dcc0d78548cdaff5c67b8fe9d32d_286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703554c85802411a9c89e08427322fd1_449_1" hidden="1">#REF!</definedName>
    <definedName name="TRNR_707ee32c9019465c9744511927faa873_278_6" hidden="1" xml:space="preserve">                        '[18]Manuf export PMIs'!$B$2</definedName>
    <definedName name="TRNR_70a143575fbe4f55aed3ca3890e779d5_99_0" hidden="1">#REF!</definedName>
    <definedName name="TRNR_70a4051452944240b6cd48e8bbdb25da_289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70fd1542ae0d4ff38395449291d63ca8_310_7" hidden="1" xml:space="preserve">                                                                                                        '[18]Manuf output'!$B$2</definedName>
    <definedName name="TRNR_71c3bc57fcda41c0a080afa972057d7c_286_8" hidden="1" xml:space="preserve">                                                                                                                                                                '[18]Manuf PMIs'!$B$2</definedName>
    <definedName name="TRNR_72829a14872c4d5b883d5a2444aef57c_97_0" hidden="1">#REF!</definedName>
    <definedName name="TRNR_72c371f334e546d7b1c464d301e31a88_310_8" hidden="1" xml:space="preserve">                                                                                                        '[18]Manuf output PMIs'!$B$2</definedName>
    <definedName name="TRNR_734401364ef0400b9b66d73cbec4b06c_299_2" hidden="1">#REF!</definedName>
    <definedName name="TRNR_74075b3009e34169bb4103afc3da651a_99_0" hidden="1">#REF!</definedName>
    <definedName name="TRNR_74341e6822d84dd48fd94c0cfbf6b118_302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7482c4254c6c4c6c909790eb92e1d576_184_8" hidden="1">#REF!</definedName>
    <definedName name="TRNR_7573544af4e645c48b6fd91089902179_9_1" hidden="1">'[19]Regional data'!#REF!</definedName>
    <definedName name="TRNR_75baabd9b69747daa1912375aa32d91a_716_2" hidden="1">#REF!</definedName>
    <definedName name="TRNR_75cdae5814454297a5cdfdaa4a3defd3_98_0" hidden="1">#REF!</definedName>
    <definedName name="TRNR_75f7e4ace5064a8ab4b85e0b677140d6_385_1" hidden="1">#REF!</definedName>
    <definedName name="TRNR_766fcfeebb1f42cc8a583f6e010d0cbb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76904e7ef166485fa5fc9dc15d1befca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76f05a82b7364c55992d50493880db49_98_1" hidden="1">#REF!</definedName>
    <definedName name="TRNR_77123872ec9f44f1ae91cde308a9ecb3_279_7" hidden="1" xml:space="preserve">                                                                                                                                '[18]Manuf output'!$B$2</definedName>
    <definedName name="TRNR_772f48a6a9324023be21c76a6e24b2e3_99_0" hidden="1">#REF!</definedName>
    <definedName name="TRNR_77df256bca62436e8ae8de65fd5bb61d_97_0" hidden="1">#REF!</definedName>
    <definedName name="TRNR_77fc4495f4ad463c8a56aef3bbd95359_112_151" hidden="1">#REF!</definedName>
    <definedName name="TRNR_786e612bae064d028ee3be9af0830413_98_0" hidden="1">#REF!</definedName>
    <definedName name="TRNR_787cf38ece054332b4d063d8106f0642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78d2b36147334f1ea945aa259d8fd6e1_315_10" hidden="1">#REF!</definedName>
    <definedName name="TRNR_78d93fce0c2b46c7ae4e7e24b0a2d2bc_286_9" hidden="1" xml:space="preserve">                                                                                                                                                                '[18]Manuf PMIs'!$B$2</definedName>
    <definedName name="TRNR_78e2bed6081348bdbb72fc0539d80b0d_99_0" hidden="1">#REF!</definedName>
    <definedName name="TRNR_79345e43bafd441d90bd8b5cb9c318f0_10_5" hidden="1">#REF!</definedName>
    <definedName name="TRNR_793a24404b704713b5431c21da581b8d_703_2" hidden="1">#REF!</definedName>
    <definedName name="TRNR_799a07a6c0a4455da0537fcc234c44fa_415_1" hidden="1">#REF!</definedName>
    <definedName name="TRNR_79b06d6a77f8411b84f028e7ffe12649_315_10" hidden="1">#REF!</definedName>
    <definedName name="TRNR_79b73824ba35462dbe4d1304813f09ad_100_0" hidden="1">#REF!</definedName>
    <definedName name="TRNR_79b7eab912df448d8282e4e39a390149_112_118" hidden="1">#REF!</definedName>
    <definedName name="TRNR_7a5424c48dc3466ba6ef98d23add4972_172_4" hidden="1">#REF!</definedName>
    <definedName name="TRNR_7a5ca36d17ec4ea09ae2fe3d53a0d86c_527_1" hidden="1">[22]Other!#REF!</definedName>
    <definedName name="TRNR_7a672cc4e96b4b4ebdda5817e05c7792_302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7a789ccff9104c0f858305d723e192f8_97_0" hidden="1">#REF!</definedName>
    <definedName name="TRNR_7a922471fd1746be9789b262e3cc490c_310_9" hidden="1" xml:space="preserve">                                                                                                        '[18]Manuf PMIs'!$B$2</definedName>
    <definedName name="TRNR_7af2d4ec593e4601b7b3c482b6f411e9_112_136" hidden="1">#REF!</definedName>
    <definedName name="TRNR_7b18653423e14fb195f0bc21e6b8f5f1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7b29221370a94655939fff95e8399c67_290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7b4f9f28fd4d4d6bae975ad3621b24d9_315_8" hidden="1" xml:space="preserve">                                                                                                        '[18]Manuf output PMIs'!$B$2</definedName>
    <definedName name="TRNR_7b72459449d8454d99ec1d9dc07659ad_97_1" hidden="1">#REF!</definedName>
    <definedName name="TRNR_7bb0265e0a6949c095dc8f8ab329ff02_711_2" hidden="1">#REF!</definedName>
    <definedName name="TRNR_7c7c0e79db884216a0c91eb59d8dad56_112_183" hidden="1">#REF!</definedName>
    <definedName name="TRNR_7ca007883bfc4d89b7fc5c3988969a24_285_7" hidden="1" xml:space="preserve">                                                                                                                                                                '[18]Manuf output'!$B$2</definedName>
    <definedName name="TRNR_7d030e5f07a14cb98343d0465c5117d2_310_7" hidden="1" xml:space="preserve">                                                                                                        '[18]Manuf delivery times'!$M$4</definedName>
    <definedName name="TRNR_7d82786cbff341468014539a844f6882_444_1" hidden="1">#REF!</definedName>
    <definedName name="TRNR_7dcffb23cac14750b94462592fcdbaa4_282_7" hidden="1" xml:space="preserve">                                                                                                                    '[18]Manuf PMIs'!$B$2</definedName>
    <definedName name="TRNR_7e6a960e5ba04fba9afb043631cffc90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7f11bdc15d384a3fb8b5fcff3b942328_200_8" hidden="1">#REF!</definedName>
    <definedName name="TRNR_7fa05f7caa6948a582976963d8e07e1e_284_7" hidden="1" xml:space="preserve">                                                                                                                    '[18]Manuf output'!$B$2</definedName>
    <definedName name="TRNR_7fdf8b83a35e4221953169ec02bc5bb3_99_0" hidden="1">#REF!</definedName>
    <definedName name="TRNR_7fe965c3e72b49019667edfe2a619363_97_0" hidden="1">#REF!</definedName>
    <definedName name="TRNR_7ffa49b5cd0d49418e5a28ad2c28f45e_286_8" hidden="1" xml:space="preserve">                                                                                                                                                                '[18]Manuf PMIs'!$B$2</definedName>
    <definedName name="TRNR_800187d5e3df4809ba905859f9e65b35_315_10" hidden="1" xml:space="preserve">                                                                                                        '[18]Composite PMIs'!$B$2</definedName>
    <definedName name="TRNR_8006c12b68c04e4fae97dd6c1f32448f_307_7" hidden="1" xml:space="preserve">                                                                                                        '[18]Manuf delivery times'!$B$4</definedName>
    <definedName name="TRNR_800dfaeca06941a58fa2b19214e68cfc_288_9" hidden="1" xml:space="preserve">                                                                                                                                                                                                            '[18]Composite PMIs'!$B$2</definedName>
    <definedName name="TRNR_802efca6818744bcad3be70d3449f100_718_2" hidden="1">#REF!</definedName>
    <definedName name="TRNR_8079344611ad4cd7bd0e8594ba403a21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807dbfa75faa44e9ac75c62116d4499a_112_120" hidden="1">#REF!</definedName>
    <definedName name="TRNR_821b5d54081d4de0a50018e8dde20aee_291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82d9f7f67bba4af28dc8ee72b487aac8_98_0" hidden="1">#REF!</definedName>
    <definedName name="TRNR_836e40eed8944a2791c06b60ff03d8a6_99_0" hidden="1">#REF!</definedName>
    <definedName name="TRNR_83b022fd806249b1a04744eec1e102e1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842f1b6b321c4d1c8f6e9601e44280af_185_8" hidden="1">#REF!</definedName>
    <definedName name="TRNR_844518d8164743eaa5b486b4916b825e_277_9" hidden="1" xml:space="preserve">                        '[18]Composite PMIs'!$B$2</definedName>
    <definedName name="TRNR_84dd5aa359384e97bc87bd3f94d7d6bf_286_9" hidden="1" xml:space="preserve">                                                                                                                                                                '[18]Manuf export PMIs'!$B$2</definedName>
    <definedName name="TRNR_856509193a8c4fe69d6cd43caff79f85_284_7" hidden="1" xml:space="preserve">                                                                                                                    '[18]Manuf output'!$B$2</definedName>
    <definedName name="TRNR_859c976c1e7c45c18da142155ddf4f97_710_1" hidden="1">#REF!</definedName>
    <definedName name="TRNR_8645d4ead831420599794418fb96da68_306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869d23d7eb504342b55e7b994bb3d594_315_10" hidden="1">#REF!</definedName>
    <definedName name="TRNR_86c4ea5297ca42d3a1ccb54331480898_280_8" hidden="1">#REF!</definedName>
    <definedName name="TRNR_86e66eeb218d46efa220473d160c5907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873d726f0e0f480fad5b3c10c5e9e7a7_673_1" hidden="1">#REF!</definedName>
    <definedName name="TRNR_8758434eab614caaae77258020f28627_442_1" hidden="1">#REF!</definedName>
    <definedName name="TRNR_87710451908b47ceab46962b6dc6e281_281_6" hidden="1" xml:space="preserve">                                                                                                                    '[18]Manuf export PMIs'!$B$2</definedName>
    <definedName name="TRNR_87e0f68624d94b7a92ed828d9ae65128_283_7" hidden="1" xml:space="preserve">                                                                                                                    '[18]Manuf PMIs'!$B$2</definedName>
    <definedName name="TRNR_87eff291a7ca483ab7c2db911a0295df_97_0" hidden="1">#REF!</definedName>
    <definedName name="TRNR_88785580929340d6b95fe031401eebbb_699_1" hidden="1">#REF!</definedName>
    <definedName name="TRNR_889ee84ac46c40368b6e90329925b658_98_0" hidden="1">#REF!</definedName>
    <definedName name="TRNR_88c45a2bbe6e4f6c96a7850352b68f0a_112_129" hidden="1">#REF!</definedName>
    <definedName name="TRNR_8908a718344f4c61a066b5eef8b3b418_307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89586dfa858b46f58b5d4d7fc7fdf4a5_277_6" hidden="1" xml:space="preserve">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89676ee1566b4381b6a518f27d10e278_310_7" hidden="1" xml:space="preserve">                                                                                                        '[18]Manuf output'!$B$2</definedName>
    <definedName name="TRNR_8980747b8bd14de6b73f5259d460a37a_98_0" hidden="1">#REF!</definedName>
    <definedName name="TRNR_8b04eed165184b92ba4368d028314a53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8ba4e956e1af49e6a1a2a00156a83a95_98_0" hidden="1">#REF!</definedName>
    <definedName name="TRNR_8bc65e14fdc543098e3fcbe42dfc1a2a_97_0" hidden="1">#REF!</definedName>
    <definedName name="TRNR_8c1e2325c1e647aca83301f98ae8c998_100_0" hidden="1">#REF!</definedName>
    <definedName name="TRNR_8c4355a64741450788d772d0395ad4aa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8ca3e2aefe794a65aac1c48ee2f47db2_322_7" hidden="1" xml:space="preserve">                                        [21]Reuters!$B$2</definedName>
    <definedName name="TRNR_8cce189903884c0cb67413724b89553d_99_0" hidden="1">#REF!</definedName>
    <definedName name="TRNR_8d9eb727bdec433da47852007d4e828a_286_8" hidden="1" xml:space="preserve">                                                                                                                                                                '[18]Manuf PMIs'!$B$2</definedName>
    <definedName name="TRNR_8d9ff03875944fe8ac8246a56c90c49b_99_0" hidden="1">#REF!</definedName>
    <definedName name="TRNR_8df98887a23646769a9786605e38714c_112_178" hidden="1">#REF!</definedName>
    <definedName name="TRNR_8e8004903aa04947b13a3426469e1aa7_100_0" hidden="1">#REF!</definedName>
    <definedName name="TRNR_8ebb80fe9e4b4bd99c401fb6685085ed_98_0" hidden="1">#REF!</definedName>
    <definedName name="TRNR_8ebeec02d36e4e77be4b084eef70afb9_284_7" hidden="1" xml:space="preserve">                                                                                                                    '[18]Manuf output'!$B$2</definedName>
    <definedName name="TRNR_8ec40826c7914b08962fb7ad11c2940d_278_7" hidden="1" xml:space="preserve">                        '[18]Manuf output'!$B$2</definedName>
    <definedName name="TRNR_8f3a7637fe204bc78e8342a2001d42a8_288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8f64c0b308c140e78d2bc319e1b2a63b_186_8" hidden="1">#REF!</definedName>
    <definedName name="TRNR_8fb41b9b8f7d4aec9364e9c72426c568_199_8" hidden="1">#REF!</definedName>
    <definedName name="TRNR_8fd443098df74b08a1f1390a75b52fcd_98_0" hidden="1">#REF!</definedName>
    <definedName name="TRNR_8feda689e6214b5583cb6d98c265d1a1_306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906b082cf8114423b582b33f853438a4_566_21" hidden="1">#REF!</definedName>
    <definedName name="TRNR_90ba5793479f4c978ec5b6ba2e9bcd00_99_1" hidden="1">#REF!</definedName>
    <definedName name="TRNR_90c77e8a0e284b1384bc5cb70bd66d46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90cad421b289409f9945e09d242d124e_99_0" hidden="1">#REF!</definedName>
    <definedName name="TRNR_91b10e2b2dc14e129c698c080c55b0c3_315_9" hidden="1" xml:space="preserve">                                                                                                        '[18]Services PMIs'!$B$2</definedName>
    <definedName name="TRNR_9286b4a30457482996e7f6104a34818b_441_1" hidden="1">#REF!</definedName>
    <definedName name="TRNR_930dca76fb744f78b9a61c120cd48f5a_135_8" hidden="1">#REF!</definedName>
    <definedName name="TRNR_93330c8e5b424b8a94e2bf971dec1b01_194_8" hidden="1">#REF!</definedName>
    <definedName name="TRNR_939b2d9458dd410cb1dd8961ecdb280a_662_1" hidden="1">#REF!</definedName>
    <definedName name="TRNR_93b482638cc444cc8eafddf0f477add9_315_10" hidden="1" xml:space="preserve">                                                                                                        '[18]Composite PMIs'!$B$2</definedName>
    <definedName name="TRNR_94233686610247878051ff46473c3c74_155_8" hidden="1">#REF!</definedName>
    <definedName name="TRNR_943fbb0757e74dcea1a52069a9d0d174_664_1" hidden="1">#REF!</definedName>
    <definedName name="TRNR_949a0139c6844a6d9ff3767d3babeecc_291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94ae754d740d4bbc88a2c4287d5f47f4_97_0" hidden="1">#REF!</definedName>
    <definedName name="TRNR_94c2376d888c44c7b300546ac1b3a983_306_7" hidden="1" xml:space="preserve">                                '[18]Composite input prices'!$B$2</definedName>
    <definedName name="TRNR_94d7ca058cd64d2c83734fb10bd9d11e_100_0" hidden="1">#REF!</definedName>
    <definedName name="TRNR_9565f90c916e4f918d7903555fb973a4_259_5" hidden="1">#REF!</definedName>
    <definedName name="TRNR_956f01171cb447908f5a99e3d4153320_41_8" hidden="1">#REF!</definedName>
    <definedName name="TRNR_9574d97f5c8c489eaa5b78f94509e7d0_196_8" hidden="1">#REF!</definedName>
    <definedName name="TRNR_9583ac94f2b4420798b7951d603e5752_183_8" hidden="1">#REF!</definedName>
    <definedName name="TRNR_96388d5a8ace4260b7a87cb842821e6f_112_176" hidden="1">#REF!</definedName>
    <definedName name="TRNR_9648df8f9d9e466c917a52a939b2a133_648_1" hidden="1">#REF!</definedName>
    <definedName name="TRNR_9660dc7b7f554407b5b02bc64fe1558c_180_8" hidden="1">#REF!</definedName>
    <definedName name="TRNR_96fece27d65542d99f67cf424aa5df75_724_2" hidden="1">#REF!</definedName>
    <definedName name="TRNR_970b718934714653afe075722f1b2207_285_7" hidden="1" xml:space="preserve">                                                                                                                                                                '[18]Services PMIs'!$B$2</definedName>
    <definedName name="TRNR_9713ce85c6a8480ca98636ec616c7d36_290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972e9f2989dd4d6eb02578800a9b7ab4_405_1" hidden="1">#REF!</definedName>
    <definedName name="TRNR_9780abec9ca640e1b9a7f0607009b81e_97_0" hidden="1">#REF!</definedName>
    <definedName name="TRNR_97b06d3d586048aeb294efb7c0ea27f6_179_8" hidden="1">#REF!</definedName>
    <definedName name="TRNR_97d88169617347be957aaf9014949391_99_0" hidden="1">#REF!</definedName>
    <definedName name="TRNR_97ddd0a4e2f4410e9c3238fcdf568af8_277_9" hidden="1" xml:space="preserve">                        '[18]Composite PMIs'!$B$2</definedName>
    <definedName name="TRNR_98135532731d4a1a8d8ddf1a00d096a4_98_0" hidden="1">#REF!</definedName>
    <definedName name="TRNR_98f2d47b650b449d9fc6e8685ad0455c_112_178" hidden="1">#REF!</definedName>
    <definedName name="TRNR_98f84ea53b364812bbe92acd628474d5_307_10" hidden="1" xml:space="preserve">                                                                                                        '[18]Manuf export PMIs'!$B$2</definedName>
    <definedName name="TRNR_993bb6f2de8646ec80a07b082f9bf806_150_8" hidden="1">#REF!</definedName>
    <definedName name="TRNR_9a07050b1dc64ba497d833205868a50b_277_10" hidden="1" xml:space="preserve">                        '[18]Composite PMIs'!$B$2</definedName>
    <definedName name="TRNR_9a19bcb5d2894ffca9fdb048187425d4_299_13" hidden="1">#REF!</definedName>
    <definedName name="TRNR_9a237aba316248e3aac4ad69123b75d0_138_8" hidden="1">#REF!</definedName>
    <definedName name="TRNR_9af2d753d28b4061a8513da6da2541f2_289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9af536fe990c475ca127d247d5ab1fff_710_2" hidden="1">#REF!</definedName>
    <definedName name="TRNR_9af86e55e2c646fca0dae478c75267a8_297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9b2b29aee51347ce900e848207da02c1_98_0" hidden="1">#REF!</definedName>
    <definedName name="TRNR_9b391ce8f5634c6f904540a49c252f2f_713_1" hidden="1">#REF!</definedName>
    <definedName name="TRNR_9b4714d6431b49409d8cddbf7d5ec02c_315_9" hidden="1" xml:space="preserve">                                                                                                        '[18]Manuf PMIs'!$B$2</definedName>
    <definedName name="TRNR_9bad214f5f374a3dbc27637f802c08f3_703_2" hidden="1">#REF!</definedName>
    <definedName name="TRNR_9bba9b48fa1844d2b6caa71220b8cbe8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9c813ac25ec94097b1de4274ebf5c447_281_6" hidden="1" xml:space="preserve">                                                                                                                    '[18]Manuf export PMIs'!$B$2</definedName>
    <definedName name="TRNR_9c97a70b97d344d3883efdad503793eb_112_185" hidden="1">#REF!</definedName>
    <definedName name="TRNR_9c9ff6037c1e4f2cb1982048e8534153_302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9cd9e756aca947d1890dc3f6c51b44eb_99_0" hidden="1">#REF!</definedName>
    <definedName name="TRNR_9dad44a7adfa425a9960c440847da055_190_8" hidden="1">#REF!</definedName>
    <definedName name="TRNR_9db1173f20f24526bb0a8047289567da_281_7" hidden="1" xml:space="preserve">                                                                                                                    '[18]Manuf output'!$B$2</definedName>
    <definedName name="TRNR_9e40e591580a402798ea3b437b158105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9e5f9d1912a442afac9c3233046269b6_100_1" hidden="1">#REF!</definedName>
    <definedName name="TRNR_9f00fdbed2634b32b30f9e6cb15a7d9e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9f125976917a4a74a97354575ec038e2_708_2" hidden="1">#REF!</definedName>
    <definedName name="TRNR_9f76416b8d27445a898e074943e425ec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9fa9ebbc4ad84f199757353a1d76c09b_154_11" hidden="1">#REF!</definedName>
    <definedName name="TRNR_a05784b4867641f5a840d37fb13d35f5_288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a0ff40226c8a47c4bfcae1c4a49dc1fd_291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a10e2e6c9c234da18003dbea400f4c73_97_0" hidden="1">#REF!</definedName>
    <definedName name="TRNR_a12d59655c904d029ae9fd823e43e2aa_126_8" hidden="1">#REF!</definedName>
    <definedName name="TRNR_a13d868c895d4603917081d7caa9f613_651_1" hidden="1">#REF!</definedName>
    <definedName name="TRNR_a22b1c16dbcb4786b562121e6c045caa_1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a23c8cbf6ac840328fc36730fa49523b_672_1" hidden="1">#REF!</definedName>
    <definedName name="TRNR_a28e233c35f74bde9f0de0c89a932898_93_8" hidden="1">'[19]Regional data'!#REF!</definedName>
    <definedName name="TRNR_a40fdaab5f7e467ca07960b5ff05ecd4_315_7" hidden="1" xml:space="preserve">                                                                                                                        [21]Reuters!$B$2</definedName>
    <definedName name="TRNR_a44abfa29bfb46e9a03e8ce9917a48b2_650_1" hidden="1">#REF!</definedName>
    <definedName name="TRNR_a44c0c9d0e4c49d99e945936c4156161_284_7" hidden="1" xml:space="preserve">                                                                                                                    '[18]Manuf output'!$B$2</definedName>
    <definedName name="TRNR_a4eee254973c4c2aa1836ec2a8f719e9_703_2" hidden="1">#REF!</definedName>
    <definedName name="TRNR_a5998ca51cd7444c86ec3cde7f938380_112_126" hidden="1">#REF!</definedName>
    <definedName name="TRNR_a5c0431184bb4b67ab9993aa8a6a13c3_665_1" hidden="1">#REF!</definedName>
    <definedName name="TRNR_a6485b9854f74ac090ff268423cea287_281_8" hidden="1">#REF!</definedName>
    <definedName name="TRNR_a65863b1e8354bf0be8efb921afa858f_288_9" hidden="1" xml:space="preserve">                                                                                                                                                                                                            '[18]Manuf output PMIs'!$B$2</definedName>
    <definedName name="TRNR_a6cbcfa6085d45cdbe72a2402106d9ea_282_6" hidden="1" xml:space="preserve">                                                                                                                    '[18]Manuf export PMIs'!$B$2</definedName>
    <definedName name="TRNR_a723b8bf509b4104869b94a56dc326ba_308_9" hidden="1" xml:space="preserve">                                                                                                        '[18]Services PMIs'!$B$2</definedName>
    <definedName name="TRNR_a7dedf9708d5451fa2c452c9941ada14_99_0" hidden="1">#REF!</definedName>
    <definedName name="TRNR_a7e87a7053074cbb8b9678ba95a5c57d_288_9" hidden="1" xml:space="preserve">                                                                                                                                                                                                            '[18]Composite PMIs'!$B$2</definedName>
    <definedName name="TRNR_a81ed87b330046e2ba3be61de024d95e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a953c40aa1c74d738cbd31f300831270_137_8" hidden="1">#REF!</definedName>
    <definedName name="TRNR_a9842f294ea34daba98da365a35c179a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a9be088c282f41ef8cd0f51d65ac4b95_717_2" hidden="1">#REF!</definedName>
    <definedName name="TRNR_a9ec335c30db4b3a9f820220c551a5c9_97_0" hidden="1">#REF!</definedName>
    <definedName name="TRNR_aa211c959bae4d848d636a24ff6f0787_98_0" hidden="1">#REF!</definedName>
    <definedName name="TRNR_ab7957ba02084b29a5025226588defd2_279_6" hidden="1" xml:space="preserve">                                                                    '[18]Manuf export PMIs'!$B$2</definedName>
    <definedName name="TRNR_aba39d8439e24644b1be8208d24c2f48_281_7" hidden="1" xml:space="preserve">                                                                                                                    '[18]Manuf output'!$B$2</definedName>
    <definedName name="TRNR_ac6b41957d2c4e089efcc4965cb4fe81_98_0" hidden="1">#REF!</definedName>
    <definedName name="TRNR_ad3cfbac61e443c283cc104efa45a3bf_25_1" hidden="1">#REF!</definedName>
    <definedName name="TRNR_ad973f205c914887a3410a8baf7a9daf_101_3" hidden="1">'[19]Regional data'!#REF!</definedName>
    <definedName name="TRNR_adc0f23ac2204b5f849daecfeb2ce49e_99_0" hidden="1">#REF!</definedName>
    <definedName name="TRNR_add6a2c6dbc04defbfeea8f8f02a7ba7_459_1" hidden="1">#REF!</definedName>
    <definedName name="TRNR_ae1ded1753114e5cb009d00ffa0386b2_118_7" hidden="1">#REF!</definedName>
    <definedName name="TRNR_ae22be3169bb47da837ce899c1bf2353_112_182" hidden="1">#REF!</definedName>
    <definedName name="TRNR_ae4028ff160742ce9660b0bad5af1a03_290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ae4b89076339430a92a086c477fb06c9_698_1" hidden="1">#REF!</definedName>
    <definedName name="TRNR_aebfa3f4c82348bc941cd300f45f3d10_314_7" hidden="1" xml:space="preserve">                                                                                                        '[18]Manuf output'!$B$2</definedName>
    <definedName name="TRNR_af05abc4e6294f91b2636cb3183b6b0e_284_6" hidden="1" xml:space="preserve">                                                                                                                    '[18]Manuf export PMIs'!$B$2</definedName>
    <definedName name="TRNR_af09873f219d42179a34b4a25957bbe0_277_9" hidden="1" xml:space="preserve">                        '[18]Composite PMIs'!$B$2</definedName>
    <definedName name="TRNR_affaf14fd42c468dac7a2a3afdb93d23_315_10" hidden="1" xml:space="preserve">                                                                                                        '[18]Composite PMIs'!$B$2</definedName>
    <definedName name="TRNR_b050c63e1ac24ce084a54e193d34700f_287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b05b96e62aca49ee8fe80d985c569d07_285_7" hidden="1" xml:space="preserve">                                                                                                                                                                '[18]Services PMIs'!$B$2</definedName>
    <definedName name="TRNR_b0a97af200694497a3f7513bb176baae_8_1" hidden="1">'[22]Brent oil futures'!#REF!</definedName>
    <definedName name="TRNR_b0e16859ef5e4fe2ae2d84756cb10856_703_2" hidden="1">#REF!</definedName>
    <definedName name="TRNR_b0e7cac81dca4556b95666ceb1000b9d_703_1" hidden="1">#REF!</definedName>
    <definedName name="TRNR_b273326b883c4a149013eaf92125e87c_311_7" hidden="1" xml:space="preserve">                                                                                                        '[18]Manuf delivery times'!$Y$4</definedName>
    <definedName name="TRNR_b29e04d5b346434db643679e11a38553_307_7" hidden="1" xml:space="preserve">                                                                                                        '[18]Manuf output'!$B$2</definedName>
    <definedName name="TRNR_b2fe6770ac184a078b12494eabee8032_99_0" hidden="1">#REF!</definedName>
    <definedName name="TRNR_b32be7342410400a8fc1401c6f6414fc_306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b3b587a002ef40c4ad315123a6284e29_112_141" hidden="1">#REF!</definedName>
    <definedName name="TRNR_b401c4314c464ceea79403b6597653a8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b40f47897b86449b9b8c0f40bb36047d_99_0" hidden="1">#REF!</definedName>
    <definedName name="TRNR_b416559ccdb04601b610a2c7a415597b_153_8" hidden="1">#REF!</definedName>
    <definedName name="TRNR_b4c66bb5ad6a4d95aaeadfdaeb502132_98_1" hidden="1">#REF!</definedName>
    <definedName name="TRNR_b51ef0ff8434464ca0b108ef8fa29dbe_100_0" hidden="1">#REF!</definedName>
    <definedName name="TRNR_b59b6321bb2d4ceb846b3415bf7f799f_315_8" hidden="1" xml:space="preserve">                                                                                                        '[18]Manuf output PMIs'!$B$2</definedName>
    <definedName name="TRNR_b5cdc3062d4c405ab047f30b1f20ae64_309_9" hidden="1" xml:space="preserve">                                                                                                        '[18]Manuf PMIs'!$B$2</definedName>
    <definedName name="TRNR_b62d56ae6232493386140a331a48439b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b6553f0a14eb48529884103664acb898_283_6" hidden="1" xml:space="preserve">                                                                                                                    '[18]Manuf export PMIs'!$B$2</definedName>
    <definedName name="TRNR_b684f579ea82470281ea8f0eb0bb21c5_98_0" hidden="1">#REF!</definedName>
    <definedName name="TRNR_b6e37a83c86f495bb966cf16444444ad_98_0" hidden="1">#REF!</definedName>
    <definedName name="TRNR_b708a5219e2f407caf0ac48e85423916_440_1" hidden="1">#REF!</definedName>
    <definedName name="TRNR_b71ac3ed96de47cca7b2cd7bb04ded0e_281_7" hidden="1" xml:space="preserve">                                                                                                                    '[18]Manuf PMIs'!$B$2</definedName>
    <definedName name="TRNR_b73ab56719304231b5d2349210fc7af8_140_8" hidden="1">#REF!</definedName>
    <definedName name="TRNR_b792012fa624485e9039685e83c9329b_672_1" hidden="1">#REF!</definedName>
    <definedName name="TRNR_b82d647a00fa47869de730b8e28c3571_310_7" hidden="1" xml:space="preserve">                            '[18]Manuf delivery times'!$B$4</definedName>
    <definedName name="TRNR_b8e11cf35945473282b32660a22cfba1_282_7" hidden="1" xml:space="preserve">                                                                                                                    '[18]Manuf output'!$B$2</definedName>
    <definedName name="TRNR_b92d7d83e25e4b5e956870c37e1af432_285_8" hidden="1" xml:space="preserve">                                                                                                                                                                '[18]Services PMIs'!$B$2</definedName>
    <definedName name="TRNR_b97aae73b9f6458280dd08a45aaf148b_25_0" hidden="1">#REF!</definedName>
    <definedName name="TRNR_b9f4f3f57e1b47b896785fffdc7b4984_706_2" hidden="1">#REF!</definedName>
    <definedName name="TRNR_ba29e1f9d5df4fc2ae475a2d2c684fe6_100_0" hidden="1">#REF!</definedName>
    <definedName name="TRNR_ba537a0d777e42418d3d2456dfefeee4_285_8" hidden="1" xml:space="preserve">                                                                                                                                                                '[18]Services PMIs'!$B$2</definedName>
    <definedName name="TRNR_ba56bf6263e8423e8c7968e5d49cbea1_97_0" hidden="1">#REF!</definedName>
    <definedName name="TRNR_ba59e6bfe1b244e8a7d38bffe41bd821_99_0" hidden="1">#REF!</definedName>
    <definedName name="TRNR_ba6bbb72c3a84fdba811ce47174e4aca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ba9b2806012a4c01b0f569978484eea1_315_7" hidden="1" xml:space="preserve">                                                                                                        '[18]Manuf delivery times'!$B$4</definedName>
    <definedName name="TRNR_baac39cf767d4ecf952f2db825541529_287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bb511f0aa1184c808f0e90c12332041a_285_9" hidden="1" xml:space="preserve">                                                                                                                                                                '[18]Manuf export PMIs'!$B$2</definedName>
    <definedName name="TRNR_bb79a476cc7b450391769e1cab488a73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bbad3bf026e94843a77f54152998e9ae_98_1" hidden="1">#REF!</definedName>
    <definedName name="TRNR_bc1d1e88e59b4b15981d858abca0f86d_310_7" hidden="1" xml:space="preserve">                                                                                                        '[18]Manuf output'!$B$2</definedName>
    <definedName name="TRNR_bc4d9805a8a141a683da896c5e0abe27_98_1" hidden="1">#REF!</definedName>
    <definedName name="TRNR_bc8826efebb04ce7b5899253a7897cc8_315_7" hidden="1" xml:space="preserve">                                                                                                        '[18]Manuf delivery times'!$Y$4</definedName>
    <definedName name="TRNR_bca6a702c4ff4105b0f6d337e88ede0b_315_10" hidden="1" xml:space="preserve">                                                                                                        '[18]Composite PMIs'!$B$2</definedName>
    <definedName name="TRNR_bcd184f4e0374b2780b96dd42be6c09e_325_2" hidden="1">#REF!</definedName>
    <definedName name="TRNR_bd606e18cccf473dab2b248a56c6abfd_1_2" hidden="1">#REF!</definedName>
    <definedName name="TRNR_be0fa6848c7c4da280fab54069760559_306_7" hidden="1" xml:space="preserve">                                                                        '[18]Composite output prices'!$B$2</definedName>
    <definedName name="TRNR_be78a457ca6842d4bd629f3884ad4708_98_0" hidden="1">#REF!</definedName>
    <definedName name="TRNR_becc47eae9e943bab269f89366c867b6_29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becc946b44424a27a13912d4f6716c7f_9_1" hidden="1">[23]Futures!#REF!</definedName>
    <definedName name="TRNR_bf10308949d14ed9ba32e4104a3a0acb_97_0" hidden="1">#REF!</definedName>
    <definedName name="TRNR_bf5a13747a0048949d92bbef60df50d7_1_7" hidden="1" xml:space="preserve">                                                                        '[18]Composite output prices'!$B$2</definedName>
    <definedName name="TRNR_bf7654a83401463ea63302dd8edc2a72_195_8" hidden="1">#REF!</definedName>
    <definedName name="TRNR_bfc850e9d2964f1e9d03cde4c6afce15_98_0" hidden="1">#REF!</definedName>
    <definedName name="TRNR_c026e033725b4c22b64231cac695f8cf_128_8" hidden="1">#REF!</definedName>
    <definedName name="TRNR_c038f2daff804a3887c65d34a2689ecb_154_8" hidden="1">#REF!</definedName>
    <definedName name="TRNR_c04813e44fd9478e88db0dad0edbf364_99_0" hidden="1">#REF!</definedName>
    <definedName name="TRNR_c0d3f1f5895a4b21bc60017e53c2c423_315_7" hidden="1" xml:space="preserve">                                                                                                        '[18]Manuf delivery times'!$M$4</definedName>
    <definedName name="TRNR_c0d68073ba6c4718afd28eca1f19739c_285_9" hidden="1" xml:space="preserve">                                                                                                                                                                '[18]Composite PMIs'!$B$2</definedName>
    <definedName name="TRNR_c0e6d022d2154205ad5913afd6ae9410_98_0" hidden="1">#REF!</definedName>
    <definedName name="TRNR_c0f795789b0e47ae8bbf6ebe7e4acffb_89_14" hidden="1">#REF!</definedName>
    <definedName name="TRNR_c16782b730f44d84a77ebfa2bb3b4326_289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c1b341fc261a4738a0f9f71c2a2bb796_98_0" hidden="1">#REF!</definedName>
    <definedName name="TRNR_c1ff11bbea794a1da9d206b53b760be0_297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c2210d10cf2747d4a868f7ba6ed71be4_283_7" hidden="1" xml:space="preserve">                                                                                                                    '[18]Manuf output'!$B$2</definedName>
    <definedName name="TRNR_c2ccb9b8e41c49568bd06558d40756b0_97_0" hidden="1">#REF!</definedName>
    <definedName name="TRNR_c2d22215423e48cf9aacdd736193fd5a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c38141f1704947949209bb1560b6132d_309_9" hidden="1" xml:space="preserve">                                                                                                        '[18]Manuf output PMIs'!$B$2</definedName>
    <definedName name="TRNR_c383cabc4d3b42b3a0127d090215f3a3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c3ad5c81df2049d294b4da486b093f79_288_9" hidden="1" xml:space="preserve">                                                                                                                                                                                                            '[18]Manuf PMIs'!$B$2</definedName>
    <definedName name="TRNR_c3d353524a5f485e977c0a50c2e8a1a4_291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c3e5a15ca3d7495db1374bff85e24cc2_705_1" hidden="1">#REF!</definedName>
    <definedName name="TRNR_c468eaa206b544199489f5e758559e8c_279_6" hidden="1" xml:space="preserve">                                                        '[18]Manuf export PMIs'!$B$2</definedName>
    <definedName name="TRNR_c4ced292b7994952bcc19c3180ddd67b_98_0" hidden="1">#REF!</definedName>
    <definedName name="TRNR_c4d71313c9d5451b900930aca6fc1074_93_9" hidden="1">'[19]Regional data'!#REF!</definedName>
    <definedName name="TRNR_c555ec499e1b4d05a5b90cb966df51f9_179_8" hidden="1">#REF!</definedName>
    <definedName name="TRNR_c567e98468014a9badc01769edb0bd9d_455_1" hidden="1">#REF!</definedName>
    <definedName name="TRNR_c6378a7601f544498fac2898ffba420e_277_13" hidden="1" xml:space="preserve">                        '[18]Composite PMIs'!$B$2</definedName>
    <definedName name="TRNR_c666beaefbde4f76848484f902e72ed6_98_0" hidden="1">#REF!</definedName>
    <definedName name="TRNR_c6aff14f09e44ac09cc926db9a25d4be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c6c62fd7d56246559edeb6f2b982892d_98_0" hidden="1">#REF!</definedName>
    <definedName name="TRNR_c74feed572be4809aa5a85366fd8a191_156_11" hidden="1">#REF!</definedName>
    <definedName name="TRNR_c7f85c41944c4aafb092dbf672abe2c3_112_182" hidden="1">#REF!</definedName>
    <definedName name="TRNR_c8181e1645fa43ba82c83617e1e3d649_285_7" hidden="1" xml:space="preserve">                                                                                                                                                                '[18]Services PMIs'!$B$2</definedName>
    <definedName name="TRNR_c881600e062b4e1b91b5049a842974d3_283_6" hidden="1" xml:space="preserve">                                                                                                                    '[18]Manuf export PMIs'!$B$2</definedName>
    <definedName name="TRNR_c891e64a28a94c1dab34e13febd677ab_289_9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c8fc7042b3404ed18bef2f7ee90a5521_285_8" hidden="1" xml:space="preserve">                                                                                                                                                                '[18]Manuf export PMIs'!$B$2</definedName>
    <definedName name="TRNR_c9504bd313ae45f097b7896c11348961_97_1" hidden="1">#REF!</definedName>
    <definedName name="TRNR_c9521c97b287495a8578e28eebc351ec_98_0" hidden="1">#REF!</definedName>
    <definedName name="TRNR_c99f38492d93448cbd0489dc183d204d_112_181" hidden="1">#REF!</definedName>
    <definedName name="TRNR_c9bfcaf3f53646f5bc4ebed9d93f085e_389_1" hidden="1">#REF!</definedName>
    <definedName name="TRNR_c9eb7d0e77d24244846bbdbdeb5e0fb9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ca20d47d79364c41bfe25cd1659e22a7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ca9f2ac137254deba162139c6e4dfe76_289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cacec59a01c941978f6dcd40508e89b3_112_144" hidden="1">#REF!</definedName>
    <definedName name="TRNR_cb0961e6b4474d40a529e6f81fde66a6_315_10" hidden="1" xml:space="preserve">                                                                                                        '[18]Composite PMIs'!$B$2</definedName>
    <definedName name="TRNR_cb0fa6aebb4546a3819da6e2939078de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cb5e62ba48f84e0bb257172f207ab879_315_2" hidden="1" xml:space="preserve">                                                                                                                                                '[18]Future PMIs'!$B$2</definedName>
    <definedName name="TRNR_cb622918caee42f6ae3ce556cb6e70db_98_0" hidden="1">#REF!</definedName>
    <definedName name="TRNR_cb7d716561c240b4a8b71f482a2c8a70_307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cbf13a1a56f844e4a843d1d4f229ce0e_99_1" hidden="1">#REF!</definedName>
    <definedName name="TRNR_cc0bdf94361149fab355a7c037d359f5_118_8" hidden="1">#REF!</definedName>
    <definedName name="TRNR_cc2fb2016b5642fdb43f3954fd548eef_315_1" hidden="1" xml:space="preserve">                                                                                                                                                '[18]Future PMIs'!$B$2</definedName>
    <definedName name="TRNR_cc5eb8dbea284527a705ce3b6731cb68_302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cc7a24932dd449cabbbb743c2de3abc3_97_9" hidden="1" xml:space="preserve">        '[19]Regional data'!$A$5</definedName>
    <definedName name="TRNR_cce6468b42c04507aebfe40c33bc4554_99_0" hidden="1">#REF!</definedName>
    <definedName name="TRNR_cd1a4c48d4164b7f9c25c54c46deeab1_97_0" hidden="1">#REF!</definedName>
    <definedName name="TRNR_cd3afada9f13459d9e36fb2caa702b6f_97_0" hidden="1">#REF!</definedName>
    <definedName name="TRNR_cd4238a9364d477589b29a089fbef903_408_1" hidden="1">#REF!</definedName>
    <definedName name="TRNR_cea44949dcff467a9483df07d412512e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cea6c6693aec40679e80a4117abad7a8_98_1" hidden="1">#REF!</definedName>
    <definedName name="TRNR_cfb3137be8784b95a647e3fbedfa602b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cfbc8cd5c388460680114737719b48b5_281_7" hidden="1" xml:space="preserve">                                                                                                                    '[18]Manuf PMIs'!$B$2</definedName>
    <definedName name="TRNR_cff49944570c466698cbb380538f74a1_131_8" hidden="1">#REF!</definedName>
    <definedName name="TRNR_d0a49953ade24884a519e8de753e1517_98_0" hidden="1">#REF!</definedName>
    <definedName name="TRNR_d0b23859ccff4904a66e32eac85a6be7_290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d0c39f962edb4218b91f02c987bac850_98_0" hidden="1">#REF!</definedName>
    <definedName name="TRNR_d0d3407d0681427f8b6f7315ebdb31d3_97_0" hidden="1">#REF!</definedName>
    <definedName name="TRNR_d0ec4fafdc3747319c205ae3d98726e1_283_2" hidden="1">#REF!</definedName>
    <definedName name="TRNR_d1318cfe243542238ff27954b577227e_283_7" hidden="1" xml:space="preserve">                                                                                                                    '[18]Manuf PMIs'!$B$2</definedName>
    <definedName name="TRNR_d19a34a69b494094aaa59ecde11501bb_299_2" hidden="1">#REF!</definedName>
    <definedName name="TRNR_d1a80af695d64308b50eca3fbeb6bf12_722_2" hidden="1">#REF!</definedName>
    <definedName name="TRNR_d1d5c7a39ed04ecd8dd5d0806a63ee46_112_182" hidden="1">#REF!</definedName>
    <definedName name="TRNR_d21142a2eecd4c63a9954b4aca270276_98_0" hidden="1">#REF!</definedName>
    <definedName name="TRNR_d21d3d3120e84ef2acdbac4aa77d73c3_112_176" hidden="1">#REF!</definedName>
    <definedName name="TRNR_d29d44a82c9d423f9e70dd46151cf811_454_1" hidden="1">#REF!</definedName>
    <definedName name="TRNR_d29ee74d526f46c48933229c44f47242_121_8" hidden="1">#REF!</definedName>
    <definedName name="TRNR_d2bed874f5874711a57981a64ee998f4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d311ff1c06e34a498aa64102d04dd6cf_315_10" hidden="1">#REF!</definedName>
    <definedName name="TRNR_d31bdca7f87240749cfef48cb57b1fa3_306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d3331dcd914b43a7b16a3edab005524d_307_9" hidden="1" xml:space="preserve">                                                                                                        '[18]Manuf output PMIs'!$B$2</definedName>
    <definedName name="TRNR_d36490e3625b46c5a5c42f9332878968_97_0" hidden="1">#REF!</definedName>
    <definedName name="TRNR_d37774bdc7324e819ce3041b27e2eb0e_99_0" hidden="1">#REF!</definedName>
    <definedName name="TRNR_d3942e9853034f6ca4d28d33175964f2_99_1" hidden="1">#REF!</definedName>
    <definedName name="TRNR_d3d228b8513d4401b7ec1b86814bd711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d40322496aad4639b01e37dc9ee16d37_290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d4438217755841f78a7af28ee63aa693_25_3" hidden="1">#REF!</definedName>
    <definedName name="TRNR_d4511d1bb29f43c0b4414102a9f62ee0_100_0" hidden="1">#REF!</definedName>
    <definedName name="TRNR_d4eee4ee64174fdba83cf2fde29f566d_100_0" hidden="1">#REF!</definedName>
    <definedName name="TRNR_d4ffb02af7c94746a0293e1b115059ed_288_9" hidden="1" xml:space="preserve">                                                                                                                                                                                                            '[18]Manuf PMIs'!$B$2</definedName>
    <definedName name="TRNR_d51e5b3f873447c8a270feabb316a59a_98_1" hidden="1">#REF!</definedName>
    <definedName name="TRNR_d5d80e1cb0ab4e3f903c30ce366f29f8_448_1" hidden="1">#REF!</definedName>
    <definedName name="TRNR_d60c05ddef694f7497e39f85e459a311_335_13" hidden="1">#REF!</definedName>
    <definedName name="TRNR_d6c43d0c959e49b6900afd89eab534e3_34_5" hidden="1">#REF!</definedName>
    <definedName name="TRNR_d70d8310009949c4b7a8dc65d447fd01_315_9" hidden="1" xml:space="preserve">                                                                                                        '[18]Services PMIs'!$B$2</definedName>
    <definedName name="TRNR_d722cb1ee590432daab3a3f28eca462c_440_1" hidden="1">#REF!</definedName>
    <definedName name="TRNR_d7282baf18934f88988b9d45e7d16094_141_8" hidden="1">#REF!</definedName>
    <definedName name="TRNR_d7ba4fcff0eb475baa6125eda3aa7f99_286_9" hidden="1" xml:space="preserve">                                                                                                                                                                '[18]Services PMIs'!$B$2</definedName>
    <definedName name="TRNR_d7c7907abcf14031af422e762f641633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d81c355ade204bc68e01dc8909ad9d52_699_2" hidden="1">#REF!</definedName>
    <definedName name="TRNR_d86c948179654523ab9a0dd62525a26d_288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d8ea48be9a484605af9dc44272aa4a55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d96b16a2245946fdafac029e8a8a0b1d_198_8" hidden="1">#REF!</definedName>
    <definedName name="TRNR_da35348c8a4849b192c4b6a3b73ec353_191_8" hidden="1">#REF!</definedName>
    <definedName name="TRNR_da38853cf32b43e4bbba11b3c9b5ca49_307_7" hidden="1" xml:space="preserve">                                                                                                        '[18]Manuf output'!$B$2</definedName>
    <definedName name="TRNR_da49afb611d44929bfb22e1dbe9884a9_100_0" hidden="1">#REF!</definedName>
    <definedName name="TRNR_da9068957f294234bab0084953878698_310_7" hidden="1" xml:space="preserve">                                                                                                        '[18]Manuf delivery times'!$Y$4</definedName>
    <definedName name="TRNR_da98858b93344f1a853735dbc247dd68_288_9" hidden="1" xml:space="preserve">                                                                                                                                                                                                            '[18]Manuf export PMIs'!$B$2</definedName>
    <definedName name="TRNR_dafd58a173744edab815069c16ecbc59_390_1" hidden="1">#REF!</definedName>
    <definedName name="TRNR_db7ec86611fb45f6ac694c35e17774ea_281_9" hidden="1" xml:space="preserve">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dbb04face6ca41a9b1210efe3d8608eb_97_0" hidden="1">#REF!</definedName>
    <definedName name="TRNR_dc190217676842a0aae0dce1c2031d85_388_1" hidden="1">#REF!</definedName>
    <definedName name="TRNR_dc3124e17fd84240b7ac6377f31d1222_100_0" hidden="1">#REF!</definedName>
    <definedName name="TRNR_dc7d3c48d4244b0e871c073a3e768049_309_10" hidden="1" xml:space="preserve">                                                                                                        '[18]Composite PMIs'!$B$2</definedName>
    <definedName name="TRNR_dca9981ec06c433ea710f6f150cbc4b9_98_0" hidden="1">#REF!</definedName>
    <definedName name="TRNR_dcb3c767593244ddbc80d260503343a1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dcb97c9414074ffc8f0173e033c52b8e_98_0" hidden="1">#REF!</definedName>
    <definedName name="TRNR_dd03783a904c4194b6d9e20ac6831437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ddbdbeb0b48e4faf992796bfc5d0a8d7_130_8" hidden="1">#REF!</definedName>
    <definedName name="TRNR_ddc3c77d8f0242da937c601b56dedb37_186_8" hidden="1">#REF!</definedName>
    <definedName name="TRNR_de0b9b24db054167b6ad73ffec2d09d4_199_8" hidden="1">#REF!</definedName>
    <definedName name="TRNR_de4445355df040efa08a17f4b94ab546_406_1" hidden="1">#REF!</definedName>
    <definedName name="TRNR_dee2a6351bad4c948d16569a9fae8101_288_9" hidden="1" xml:space="preserve">                                                                                                                                                                                                            '[18]Services PMIs'!$B$2</definedName>
    <definedName name="TRNR_deed701d45ca445683efa29ef088d068_100_1" hidden="1">#REF!</definedName>
    <definedName name="TRNR_df73ed4366cd492db3eab55452dc5cf5_145_8" hidden="1">#REF!</definedName>
    <definedName name="TRNR_df7f1c873aaf462687bee2d06fba17f2_112_188" hidden="1">#REF!</definedName>
    <definedName name="TRNR_df88efa3a28c4f678b0e3539c295fbbc_285_6" hidden="1" xml:space="preserve">                                                                                                                                                                '[18]Services PMIs'!$B$2</definedName>
    <definedName name="TRNR_dfdbb6410c964b0c8caa9b507ee50648_725_2" hidden="1">#REF!</definedName>
    <definedName name="TRNR_dfe68b4010794d38969c083753fbbfe8_291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e01c2655ebb24b45a2fcca724bff50e1_148_8" hidden="1">#REF!</definedName>
    <definedName name="TRNR_e0466355a9ad474485016b497df0cb08_285_6" hidden="1" xml:space="preserve">                                                                                                                                                                '[18]Manuf export PMIs'!$B$2</definedName>
    <definedName name="TRNR_e128f8fd4ede458fbaa2757db43db5d0_717_1" hidden="1">#REF!</definedName>
    <definedName name="TRNR_e1ac9ac3280c4f4796b9dbf312accd91_285_7" hidden="1" xml:space="preserve">                                                                                                                                                                '[18]Manuf PMIs'!$B$2</definedName>
    <definedName name="TRNR_e1aead008cce4390a51ff12c0ac1dff1_100_0" hidden="1">#REF!</definedName>
    <definedName name="TRNR_e21786cc6fa04f1da9becc54805e6bd2_98_0" hidden="1">#REF!</definedName>
    <definedName name="TRNR_e2816e6a819d4ceabb78eb83eebcdde3_100_0" hidden="1">#REF!</definedName>
    <definedName name="TRNR_e2b1478666174f47afa50ed4a6c1ba6b_97_0" hidden="1">#REF!</definedName>
    <definedName name="TRNR_e30b5cdc4c7b42d0ba18da23b724bdbe_288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e3795762572949dfb31fe9fc59e2037b_100_0" hidden="1">#REF!</definedName>
    <definedName name="TRNR_e37d947b848c459381a3c5088cdee919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3d070af8ad341ad8c61a277d6d17d7a_97_0" hidden="1">#REF!</definedName>
    <definedName name="TRNR_e3f0883d458549f0a3c75f54e1c75868_285_7" hidden="1" xml:space="preserve">                                                                                                                                                                '[18]Services PMIs'!$B$2</definedName>
    <definedName name="TRNR_e4538e58dbb341deb57f1d338e0c3726_112_190" hidden="1">#REF!</definedName>
    <definedName name="TRNR_e4891adc1a4448eb99ece0cf94cf2644_285_7" hidden="1" xml:space="preserve">                                                                                                                                                                '[18]Manuf PMIs'!$B$2</definedName>
    <definedName name="TRNR_e4d79c395cfc4c118436ef9565abacfe_97_0" hidden="1">#REF!</definedName>
    <definedName name="TRNR_e4e024f22ad247b78d5b15a7090acd10_197_8" hidden="1">#REF!</definedName>
    <definedName name="TRNR_e4f0d0254e054dc9b27e9784a6bd9206_311_7" hidden="1" xml:space="preserve">                                                                                                        '[18]Manuf delivery times'!$AK$4</definedName>
    <definedName name="TRNR_e5937374e72e4b2796612100232ab67a_286_7" hidden="1" xml:space="preserve">                                                                                                                                                                '[18]Manuf output'!$B$2</definedName>
    <definedName name="TRNR_e5b0c1659ed74946ad479892711c0ba0_291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e5c6adc2bb0340f699bd16856de399c0_98_0" hidden="1">#REF!</definedName>
    <definedName name="TRNR_e5da5010394d484c80b36d0f195d6087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e5f7e424be5c4a2eb166f693677d3b5c_446_1" hidden="1">#REF!</definedName>
    <definedName name="TRNR_e623b84850b24c6aa37a3547fa040af9_282_9" hidden="1" xml:space="preserve">                                                                                                                    '[18]Composite PMIs'!$B$2</definedName>
    <definedName name="TRNR_e666509946c74f528157aa470e99691b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7242cc34ea748f09b9f462c06ce9db1_98_0" hidden="1">#REF!</definedName>
    <definedName name="TRNR_e7515cbee2ef4a8a80598d086589be2a_112_183" hidden="1">#REF!</definedName>
    <definedName name="TRNR_e76235956b494e218dfad2012f488224_719_2" hidden="1">#REF!</definedName>
    <definedName name="TRNR_e8056e1bbfd546b09bd350c0205dfec0_721_2" hidden="1">#REF!</definedName>
    <definedName name="TRNR_e84bc457b2394b22a102fb752bbda8e0_99_0" hidden="1">#REF!</definedName>
    <definedName name="TRNR_e8608c67e9184903b8451fff873f38ad_283_7" hidden="1" xml:space="preserve">                                                                                                                                                                                                                                '[18]Manuf PMIs'!$B$2</definedName>
    <definedName name="TRNR_e89ca8aa8141435eb161629544381ec1_278_7" hidden="1" xml:space="preserve">                        '[18]Manuf PMIs'!$B$2</definedName>
    <definedName name="TRNR_e8c7d992aa344994acca814ebf67ad8c_98_0" hidden="1">#REF!</definedName>
    <definedName name="TRNR_e91e2b3fa0ac45a9a805410e76a1de7e_702_1" hidden="1">#REF!</definedName>
    <definedName name="TRNR_e921797bb6c14357ae658eb9d965e3cf_717_2" hidden="1">#REF!</definedName>
    <definedName name="TRNR_e9bbba062d50403981d9069bf7f709bb_307_9" hidden="1" xml:space="preserve">                                                                                                        '[18]Manuf output PMIs'!$B$2</definedName>
    <definedName name="TRNR_e9bd8e3872404f98995e55d107d68063_302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a03ea19c4374cd6bed42a83e6023982_663_1" hidden="1">#REF!</definedName>
    <definedName name="TRNR_ea28e96a31f04a21af8a9e8b2708657f_99_0" hidden="1">#REF!</definedName>
    <definedName name="TRNR_eb098552faef45dab6d77ceeb55e814c_286_7" hidden="1" xml:space="preserve">                                                                                                                                                                '[18]Manuf output'!$B$2</definedName>
    <definedName name="TRNR_eb415100d8e04adc803b4a984eb38ac6_290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b90d7c136f7416fb0c07495b8f92d1d_299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ec5855de2bc8436c94705323e8df1362_171_8" hidden="1">#REF!</definedName>
    <definedName name="TRNR_ed0b570d9baa4815a29f232c2811146c_181_8" hidden="1">#REF!</definedName>
    <definedName name="TRNR_ed0ea9385ba640a5a967ce21e2fd1347_290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ed6ec5fb7f0e485b844d6d84ac3687c5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ed7a3547896b432ea4a448eeb566cdcd_97_0" hidden="1">#REF!</definedName>
    <definedName name="TRNR_ed7b09615f4e41c1af9b96ee257a90de_310_7" hidden="1" xml:space="preserve">                            '[18]Manuf delivery times'!$B$4</definedName>
    <definedName name="TRNR_eda75043308043ac8feb8b29c9b5ee8a_279_9" hidden="1" xml:space="preserve">                                                '[18]Composite PMIs'!$B$2</definedName>
    <definedName name="TRNR_edd75e2f067d4f5cae27d9ba8f184ea4_281_7" hidden="1" xml:space="preserve">                                                                                                                                                        '[18]Manuf PMIs'!$B$2</definedName>
    <definedName name="TRNR_ee72680fcc00486f9aa7993bfdb69a83_112_191" hidden="1">#REF!</definedName>
    <definedName name="TRNR_eea43a61bdf84f0c807d1613d66cb2d4_704_1" hidden="1">#REF!</definedName>
    <definedName name="TRNR_eec461feff7a4d0a9e09a6776797d7ba_98_0" hidden="1">#REF!</definedName>
    <definedName name="TRNR_ef42713f2d3e41c19af69b56bd2b86c6_282_7" hidden="1" xml:space="preserve">                                                                                                                    '[18]Manuf PMIs'!$B$2</definedName>
    <definedName name="TRNR_ef4b1001af884622a0cbee0cb268d3fd_291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f08b6ea18ac44015a06c16a0e8a0ba5d_310_7" hidden="1" xml:space="preserve">                                                                                                                                                                                                                '[18]Composite output prices'!$B$2</definedName>
    <definedName name="TRNR_f0b1b94ef08b4219bb61b17cd6e904d1_288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f0d0e750e34e45e1a61b31601bf0f789_302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f116bb4426c94c7398ad834b84485d9d_149_8" hidden="1">#REF!</definedName>
    <definedName name="TRNR_f1a5019585e949c8ae7cc8840f12c423_444_1" hidden="1">#REF!</definedName>
    <definedName name="TRNR_f224807b876e464d80453e7b715359eb_310_7" hidden="1" xml:space="preserve">                                                                                                        '[18]Manuf delivery times'!$M$4</definedName>
    <definedName name="TRNR_f23ec8e4b3aa410796578d6bdb0bd83a_134_8" hidden="1">#REF!</definedName>
    <definedName name="TRNR_f31fc68b9d504cd6b57ea3e95e94bd35_325_2" hidden="1">#REF!</definedName>
    <definedName name="TRNR_f35d89935b8a4db7a5e8e1feab186bbc_97_0" hidden="1">#REF!</definedName>
    <definedName name="TRNR_f3d67dfdb408469dbc10764324ad326f_112_128" hidden="1">#REF!</definedName>
    <definedName name="TRNR_f3fbc9c0127a4f73a38e54d091c967d2_201_8" hidden="1">#REF!</definedName>
    <definedName name="TRNR_f4052bef0bf64e59baf29ea3635d8133_285_7" hidden="1" xml:space="preserve">                                                                                                                                                                '[18]Services PMIs'!$B$2</definedName>
    <definedName name="TRNR_f45a145abfd249d38bb6be277f3cd5e0_310_7" hidden="1" xml:space="preserve">                                                                                                        '[18]Manuf delivery times'!$AK$4</definedName>
    <definedName name="TRNR_f47f44e0c9514690be6d2d00d368326a_315_8" hidden="1" xml:space="preserve">                                                                                                                        [21]Reuters!$B$2</definedName>
    <definedName name="TRNR_f537c8d3f42d45108ca929b90c316704_97_1" hidden="1">#REF!</definedName>
    <definedName name="TRNR_f58b3fd9f8c64fd3ae13ac8a19b0daaa_97_0" hidden="1">#REF!</definedName>
    <definedName name="TRNR_f5c0cfd13e3e4a36a21dba5995be3e4d_279_7" hidden="1" xml:space="preserve">                                                                    '[18]Manuf PMIs'!$B$2</definedName>
    <definedName name="TRNR_f5c846a404814ef4ada504650c6ea3bf_285_7" hidden="1" xml:space="preserve">                                                                                                                                                                '[18]Manuf export PMIs'!$B$2</definedName>
    <definedName name="TRNR_f5dc711bd11844feb0dbf5f643e89840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f6e29ca6032a44c19f16a17b5b603031_100_1" hidden="1">#REF!</definedName>
    <definedName name="TRNR_f6ef3bec5771465db23691b1696a31a5_99_0" hidden="1">#REF!</definedName>
    <definedName name="TRNR_f80b180a34c94893aff8720c72b7962b_172_6" hidden="1">#REF!</definedName>
    <definedName name="TRNR_f8253d9db38e4217b5a38c9d31553d20_99_0" hidden="1">#REF!</definedName>
    <definedName name="TRNR_f84cfbbfe053471c95fcdff4516b1ea2_285_9" hidden="1" xml:space="preserve">                                                                                                                                                                '[18]Services PMIs'!$B$2</definedName>
    <definedName name="TRNR_f8514fdce17c4600a3d834475667ea8e_98_0" hidden="1">#REF!</definedName>
    <definedName name="TRNR_f8531e962f484ea58d5647b98316e9e1_135_8" hidden="1">#REF!</definedName>
    <definedName name="TRNR_f859688cdfcb4d6fac73e6e43bf94689_129_8" hidden="1">#REF!</definedName>
    <definedName name="TRNR_f863ee52d6c549c9aead3bccb58ac4e6_97_0" hidden="1">#REF!</definedName>
    <definedName name="TRNR_f869a783ce71424b8dfff2171d0ae22c_100_0" hidden="1">#REF!</definedName>
    <definedName name="TRNR_f892cefaab3b4bc1b995305a945cbb32_100_0" hidden="1">#REF!</definedName>
    <definedName name="TRNR_f8edb7825f7547d0a2ac9179d04cda7a_315_10" hidden="1">#REF!</definedName>
    <definedName name="TRNR_f8fe39879ced47c3a5c472600a590536_288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f9d58d55e3cd455ebd5ee454518952a6_302_6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f9e391a3005b426883db105d49431747_41_16" hidden="1">'[24]DS - US (S weight source)'!#REF!</definedName>
    <definedName name="TRNR_f9ebf7143fca4d3d839d7983485850eb_98_0" hidden="1">#REF!</definedName>
    <definedName name="TRNR_fa5941c56d534fa9b9238ca7f406e7f9_310_9" hidden="1" xml:space="preserve">                                                                                                        '[18]Manuf output PMIs'!$B$2</definedName>
    <definedName name="TRNR_faa04832bd24487ba426f1b1769ea6c6_381_1" hidden="1">#REF!</definedName>
    <definedName name="TRNR_faa8d879b7274ea394d3eeb57cfe1b0e_392_1" hidden="1">#REF!</definedName>
    <definedName name="TRNR_fab6dc251994465baa9f3d0ce48968a1_283_7" hidden="1" xml:space="preserve">                                                                                                                    '[18]Manuf output'!$B$2</definedName>
    <definedName name="TRNR_fbad745966c0469aa229f1e80438fde5_280_7" hidden="1">#REF!</definedName>
    <definedName name="TRNR_fbfca71792f94155b6d78e7427713323_89_41" hidden="1">#REF!</definedName>
    <definedName name="TRNR_fc4c095bc7cc4cf390aba26448a90113_97_0" hidden="1">#REF!</definedName>
    <definedName name="TRNR_fc60c10b2ee5491dae183eba96670b53_181_8" hidden="1">#REF!</definedName>
    <definedName name="TRNR_fd5fb0c04cad45dd81c78381208dc79d_698_1" hidden="1">#REF!</definedName>
    <definedName name="TRNR_fd65caac9b614f7facfe9ee766d16283_657_1" hidden="1">#REF!</definedName>
    <definedName name="TRNR_fdc0d8e8ed6f4923b7125cc3bcb4e7c6_156_11" hidden="1">#REF!</definedName>
    <definedName name="TRNR_fde751bd1c894cd286ecbca7217e65eb_391_1" hidden="1">#REF!</definedName>
    <definedName name="TRNR_fdf5b1c2094e430596062172e1654d29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fe112d94a93c41cc94822ea31d97c891_127_8" hidden="1">#REF!</definedName>
    <definedName name="TRNR_fe62ba7c4390471e82e866de424f4c4a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fe8846b0f020452e851778a78f848521_310_7" hidden="1" xml:space="preserve">                                                                                                        '[18]Composite input prices'!$B$2</definedName>
    <definedName name="TRNR_febfa3a17ccb40f189f272c489b66cfb_98_0" hidden="1">#REF!</definedName>
    <definedName name="TRNR_ff65267a183f41a4afa49882419efbfb_290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ff8a662699ac41b28d19531a52365bc3_157_11" hidden="1">#REF!</definedName>
    <definedName name="TRNR_ffc2fc75dfbe46dabdb054faf21089dd_712_1" hidden="1">#REF!</definedName>
    <definedName name="TRNR_fff94229ce9e428e883ae4629c82e66d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wrn.table1." hidden="1">{#N/A,#N/A,FALSE,"CGBR95C"}</definedName>
    <definedName name="wrn.table2." hidden="1">{#N/A,#N/A,FALSE,"CGBR95C"}</definedName>
    <definedName name="wrn.tablea." hidden="1">{#N/A,#N/A,FALSE,"CGBR95C"}</definedName>
    <definedName name="wrn.tableb." hidden="1">{#N/A,#N/A,FALSE,"CGBR95C"}</definedName>
    <definedName name="wrn.tableq." hidden="1">{#N/A,#N/A,FALSE,"CGBR95C"}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8" i="1" l="1"/>
  <c r="AE7" i="1"/>
  <c r="AF7" i="1" s="1"/>
  <c r="AE6" i="1"/>
  <c r="AF6" i="1"/>
  <c r="AF8" i="1"/>
  <c r="AF5" i="1"/>
  <c r="AE5" i="1"/>
  <c r="AH3" i="1"/>
  <c r="AH4" i="1"/>
  <c r="AD3" i="1"/>
  <c r="AD4" i="1"/>
  <c r="AC6" i="1" l="1"/>
  <c r="AC7" i="1"/>
  <c r="AC8" i="1"/>
  <c r="AC5" i="1"/>
  <c r="AF4" i="1"/>
  <c r="AF3" i="1"/>
  <c r="K9" i="20"/>
  <c r="H9" i="20"/>
  <c r="H8" i="20"/>
  <c r="H7" i="20"/>
  <c r="H6" i="20"/>
  <c r="K6" i="20" s="1"/>
  <c r="K5" i="20"/>
  <c r="K4" i="20"/>
  <c r="H5" i="20"/>
  <c r="H4" i="20"/>
  <c r="K7" i="20" l="1"/>
  <c r="K8" i="20" s="1"/>
  <c r="W4" i="1"/>
  <c r="X4" i="1"/>
  <c r="Y4" i="1"/>
  <c r="Z4" i="1"/>
  <c r="W5" i="1"/>
  <c r="X5" i="1"/>
  <c r="Y5" i="1"/>
  <c r="Z5" i="1"/>
  <c r="W6" i="1"/>
  <c r="X6" i="1"/>
  <c r="Y6" i="1"/>
  <c r="Z6" i="1"/>
  <c r="W7" i="1"/>
  <c r="X7" i="1"/>
  <c r="Y7" i="1"/>
  <c r="Z7" i="1"/>
  <c r="W8" i="1"/>
  <c r="X8" i="1"/>
  <c r="Y8" i="1"/>
  <c r="Z8" i="1"/>
  <c r="W9" i="1"/>
  <c r="X9" i="1"/>
  <c r="Y9" i="1"/>
  <c r="Z9" i="1"/>
  <c r="W10" i="1"/>
  <c r="X10" i="1"/>
  <c r="Y10" i="1"/>
  <c r="Z10" i="1"/>
  <c r="W11" i="1"/>
  <c r="X11" i="1"/>
  <c r="Y11" i="1"/>
  <c r="Z11" i="1"/>
  <c r="W12" i="1"/>
  <c r="X12" i="1"/>
  <c r="Y12" i="1"/>
  <c r="Z12" i="1"/>
  <c r="W13" i="1"/>
  <c r="X13" i="1"/>
  <c r="Y13" i="1"/>
  <c r="Z13" i="1"/>
  <c r="W14" i="1"/>
  <c r="X14" i="1"/>
  <c r="Y14" i="1"/>
  <c r="Z14" i="1"/>
  <c r="W15" i="1"/>
  <c r="X15" i="1"/>
  <c r="Y15" i="1"/>
  <c r="Z15" i="1"/>
  <c r="W16" i="1"/>
  <c r="X16" i="1"/>
  <c r="Y16" i="1"/>
  <c r="Z16" i="1"/>
  <c r="W17" i="1"/>
  <c r="X17" i="1"/>
  <c r="Y17" i="1"/>
  <c r="Z17" i="1"/>
  <c r="W18" i="1"/>
  <c r="X18" i="1"/>
  <c r="Y18" i="1"/>
  <c r="Z18" i="1"/>
  <c r="W19" i="1"/>
  <c r="X19" i="1"/>
  <c r="Y19" i="1"/>
  <c r="Z19" i="1"/>
  <c r="W20" i="1"/>
  <c r="X20" i="1"/>
  <c r="Y20" i="1"/>
  <c r="Z20" i="1"/>
  <c r="W21" i="1"/>
  <c r="X21" i="1"/>
  <c r="Y21" i="1"/>
  <c r="Z21" i="1"/>
  <c r="W22" i="1"/>
  <c r="X22" i="1"/>
  <c r="Y22" i="1"/>
  <c r="Z22" i="1"/>
  <c r="W23" i="1"/>
  <c r="X23" i="1"/>
  <c r="Y23" i="1"/>
  <c r="Z23" i="1"/>
  <c r="W24" i="1"/>
  <c r="X24" i="1"/>
  <c r="Y24" i="1"/>
  <c r="Z24" i="1"/>
  <c r="W25" i="1"/>
  <c r="X25" i="1"/>
  <c r="Y25" i="1"/>
  <c r="Z25" i="1"/>
  <c r="W26" i="1"/>
  <c r="X26" i="1"/>
  <c r="Y26" i="1"/>
  <c r="Z26" i="1"/>
  <c r="W27" i="1"/>
  <c r="X27" i="1"/>
  <c r="Y27" i="1"/>
  <c r="Z27" i="1"/>
  <c r="W28" i="1"/>
  <c r="X28" i="1"/>
  <c r="Y28" i="1"/>
  <c r="Z28" i="1"/>
  <c r="W29" i="1"/>
  <c r="X29" i="1"/>
  <c r="Y29" i="1"/>
  <c r="Z29" i="1"/>
  <c r="W30" i="1"/>
  <c r="X30" i="1"/>
  <c r="Y30" i="1"/>
  <c r="Z30" i="1"/>
  <c r="W31" i="1"/>
  <c r="X31" i="1"/>
  <c r="Y31" i="1"/>
  <c r="Z31" i="1"/>
  <c r="W32" i="1"/>
  <c r="X32" i="1"/>
  <c r="Y32" i="1"/>
  <c r="Z32" i="1"/>
  <c r="W33" i="1"/>
  <c r="X33" i="1"/>
  <c r="Y33" i="1"/>
  <c r="Z33" i="1"/>
  <c r="W34" i="1"/>
  <c r="X34" i="1"/>
  <c r="Y34" i="1"/>
  <c r="Z34" i="1"/>
  <c r="W35" i="1"/>
  <c r="X35" i="1"/>
  <c r="Y35" i="1"/>
  <c r="Z35" i="1"/>
  <c r="W36" i="1"/>
  <c r="X36" i="1"/>
  <c r="Y36" i="1"/>
  <c r="Z36" i="1"/>
  <c r="W37" i="1"/>
  <c r="X37" i="1"/>
  <c r="Y37" i="1"/>
  <c r="Z37" i="1"/>
  <c r="W38" i="1"/>
  <c r="X38" i="1"/>
  <c r="Y38" i="1"/>
  <c r="Z38" i="1"/>
  <c r="W39" i="1"/>
  <c r="X39" i="1"/>
  <c r="Y39" i="1"/>
  <c r="Z39" i="1"/>
  <c r="W40" i="1"/>
  <c r="X40" i="1"/>
  <c r="Y40" i="1"/>
  <c r="Z40" i="1"/>
  <c r="W41" i="1"/>
  <c r="X41" i="1"/>
  <c r="Y41" i="1"/>
  <c r="Z41" i="1"/>
  <c r="W42" i="1"/>
  <c r="X42" i="1"/>
  <c r="Y42" i="1"/>
  <c r="Z42" i="1"/>
  <c r="W43" i="1"/>
  <c r="X43" i="1"/>
  <c r="Y43" i="1"/>
  <c r="Z43" i="1"/>
  <c r="W44" i="1"/>
  <c r="X44" i="1"/>
  <c r="Y44" i="1"/>
  <c r="Z44" i="1"/>
  <c r="W45" i="1"/>
  <c r="X45" i="1"/>
  <c r="Y45" i="1"/>
  <c r="Z45" i="1"/>
  <c r="W46" i="1"/>
  <c r="X46" i="1"/>
  <c r="Y46" i="1"/>
  <c r="Z46" i="1"/>
  <c r="W47" i="1"/>
  <c r="X47" i="1"/>
  <c r="Y47" i="1"/>
  <c r="Z47" i="1"/>
  <c r="W48" i="1"/>
  <c r="X48" i="1"/>
  <c r="Y48" i="1"/>
  <c r="Z48" i="1"/>
  <c r="W49" i="1"/>
  <c r="X49" i="1"/>
  <c r="Y49" i="1"/>
  <c r="Z49" i="1"/>
  <c r="W50" i="1"/>
  <c r="X50" i="1"/>
  <c r="Y50" i="1"/>
  <c r="Z50" i="1"/>
  <c r="W51" i="1"/>
  <c r="X51" i="1"/>
  <c r="Y51" i="1"/>
  <c r="Z51" i="1"/>
  <c r="W52" i="1"/>
  <c r="X52" i="1"/>
  <c r="Y52" i="1"/>
  <c r="Z52" i="1"/>
  <c r="W53" i="1"/>
  <c r="X53" i="1"/>
  <c r="Y53" i="1"/>
  <c r="Z53" i="1"/>
  <c r="W54" i="1"/>
  <c r="X54" i="1"/>
  <c r="Y54" i="1"/>
  <c r="Z54" i="1"/>
  <c r="W55" i="1"/>
  <c r="X55" i="1"/>
  <c r="Y55" i="1"/>
  <c r="Z55" i="1"/>
  <c r="W56" i="1"/>
  <c r="X56" i="1"/>
  <c r="Y56" i="1"/>
  <c r="Z56" i="1"/>
  <c r="W57" i="1"/>
  <c r="X57" i="1"/>
  <c r="Y57" i="1"/>
  <c r="Z57" i="1"/>
  <c r="W58" i="1"/>
  <c r="X58" i="1"/>
  <c r="Y58" i="1"/>
  <c r="Z58" i="1"/>
  <c r="W59" i="1"/>
  <c r="X59" i="1"/>
  <c r="Y59" i="1"/>
  <c r="Z59" i="1"/>
  <c r="W60" i="1"/>
  <c r="X60" i="1"/>
  <c r="Y60" i="1"/>
  <c r="Z60" i="1"/>
  <c r="W61" i="1"/>
  <c r="X61" i="1"/>
  <c r="Y61" i="1"/>
  <c r="Z61" i="1"/>
  <c r="W62" i="1"/>
  <c r="X62" i="1"/>
  <c r="Y62" i="1"/>
  <c r="Z62" i="1"/>
  <c r="W63" i="1"/>
  <c r="X63" i="1"/>
  <c r="Y63" i="1"/>
  <c r="Z63" i="1"/>
  <c r="W64" i="1"/>
  <c r="X64" i="1"/>
  <c r="Y64" i="1"/>
  <c r="Z64" i="1"/>
  <c r="W65" i="1"/>
  <c r="X65" i="1"/>
  <c r="Y65" i="1"/>
  <c r="Z65" i="1"/>
  <c r="W66" i="1"/>
  <c r="X66" i="1"/>
  <c r="Y66" i="1"/>
  <c r="Z66" i="1"/>
  <c r="W67" i="1"/>
  <c r="X67" i="1"/>
  <c r="Y67" i="1"/>
  <c r="Z67" i="1"/>
  <c r="W68" i="1"/>
  <c r="X68" i="1"/>
  <c r="Y68" i="1"/>
  <c r="Z68" i="1"/>
  <c r="W69" i="1"/>
  <c r="X69" i="1"/>
  <c r="Y69" i="1"/>
  <c r="Z69" i="1"/>
  <c r="W70" i="1"/>
  <c r="X70" i="1"/>
  <c r="Y70" i="1"/>
  <c r="Z70" i="1"/>
  <c r="X3" i="1"/>
  <c r="Y3" i="1"/>
  <c r="Z3" i="1"/>
  <c r="W3" i="1"/>
  <c r="Q4" i="1"/>
  <c r="R4" i="1"/>
  <c r="S4" i="1"/>
  <c r="T4" i="1"/>
  <c r="Q5" i="1"/>
  <c r="R5" i="1"/>
  <c r="S5" i="1"/>
  <c r="T5" i="1"/>
  <c r="Q6" i="1"/>
  <c r="R6" i="1"/>
  <c r="S6" i="1"/>
  <c r="T6" i="1"/>
  <c r="Q7" i="1"/>
  <c r="R7" i="1"/>
  <c r="S7" i="1"/>
  <c r="T7" i="1"/>
  <c r="Q8" i="1"/>
  <c r="R8" i="1"/>
  <c r="S8" i="1"/>
  <c r="T8" i="1"/>
  <c r="Q9" i="1"/>
  <c r="R9" i="1"/>
  <c r="S9" i="1"/>
  <c r="T9" i="1"/>
  <c r="Q10" i="1"/>
  <c r="R10" i="1"/>
  <c r="S10" i="1"/>
  <c r="T10" i="1"/>
  <c r="Q11" i="1"/>
  <c r="R11" i="1"/>
  <c r="S11" i="1"/>
  <c r="T11" i="1"/>
  <c r="Q12" i="1"/>
  <c r="R12" i="1"/>
  <c r="S12" i="1"/>
  <c r="T12" i="1"/>
  <c r="Q13" i="1"/>
  <c r="R13" i="1"/>
  <c r="S13" i="1"/>
  <c r="T13" i="1"/>
  <c r="Q14" i="1"/>
  <c r="R14" i="1"/>
  <c r="S14" i="1"/>
  <c r="T14" i="1"/>
  <c r="Q15" i="1"/>
  <c r="R15" i="1"/>
  <c r="S15" i="1"/>
  <c r="T15" i="1"/>
  <c r="Q16" i="1"/>
  <c r="R16" i="1"/>
  <c r="S16" i="1"/>
  <c r="T16" i="1"/>
  <c r="Q17" i="1"/>
  <c r="R17" i="1"/>
  <c r="S17" i="1"/>
  <c r="T17" i="1"/>
  <c r="Q18" i="1"/>
  <c r="R18" i="1"/>
  <c r="S18" i="1"/>
  <c r="T18" i="1"/>
  <c r="Q19" i="1"/>
  <c r="R19" i="1"/>
  <c r="S19" i="1"/>
  <c r="T19" i="1"/>
  <c r="Q20" i="1"/>
  <c r="R20" i="1"/>
  <c r="S20" i="1"/>
  <c r="T20" i="1"/>
  <c r="Q21" i="1"/>
  <c r="R21" i="1"/>
  <c r="S21" i="1"/>
  <c r="T21" i="1"/>
  <c r="Q22" i="1"/>
  <c r="R22" i="1"/>
  <c r="S22" i="1"/>
  <c r="T22" i="1"/>
  <c r="Q23" i="1"/>
  <c r="R23" i="1"/>
  <c r="S23" i="1"/>
  <c r="T23" i="1"/>
  <c r="Q24" i="1"/>
  <c r="R24" i="1"/>
  <c r="S24" i="1"/>
  <c r="T24" i="1"/>
  <c r="Q25" i="1"/>
  <c r="R25" i="1"/>
  <c r="S25" i="1"/>
  <c r="T25" i="1"/>
  <c r="Q26" i="1"/>
  <c r="R26" i="1"/>
  <c r="S26" i="1"/>
  <c r="T26" i="1"/>
  <c r="Q27" i="1"/>
  <c r="R27" i="1"/>
  <c r="S27" i="1"/>
  <c r="T27" i="1"/>
  <c r="Q28" i="1"/>
  <c r="R28" i="1"/>
  <c r="S28" i="1"/>
  <c r="T28" i="1"/>
  <c r="Q29" i="1"/>
  <c r="R29" i="1"/>
  <c r="S29" i="1"/>
  <c r="T29" i="1"/>
  <c r="Q30" i="1"/>
  <c r="R30" i="1"/>
  <c r="S30" i="1"/>
  <c r="T30" i="1"/>
  <c r="Q31" i="1"/>
  <c r="R31" i="1"/>
  <c r="S31" i="1"/>
  <c r="T31" i="1"/>
  <c r="Q32" i="1"/>
  <c r="R32" i="1"/>
  <c r="S32" i="1"/>
  <c r="T32" i="1"/>
  <c r="Q33" i="1"/>
  <c r="R33" i="1"/>
  <c r="S33" i="1"/>
  <c r="T33" i="1"/>
  <c r="Q34" i="1"/>
  <c r="R34" i="1"/>
  <c r="S34" i="1"/>
  <c r="T34" i="1"/>
  <c r="Q35" i="1"/>
  <c r="R35" i="1"/>
  <c r="S35" i="1"/>
  <c r="T35" i="1"/>
  <c r="Q36" i="1"/>
  <c r="R36" i="1"/>
  <c r="S36" i="1"/>
  <c r="T36" i="1"/>
  <c r="Q37" i="1"/>
  <c r="R37" i="1"/>
  <c r="S37" i="1"/>
  <c r="T37" i="1"/>
  <c r="Q38" i="1"/>
  <c r="R38" i="1"/>
  <c r="S38" i="1"/>
  <c r="T38" i="1"/>
  <c r="Q39" i="1"/>
  <c r="R39" i="1"/>
  <c r="S39" i="1"/>
  <c r="T39" i="1"/>
  <c r="Q40" i="1"/>
  <c r="R40" i="1"/>
  <c r="S40" i="1"/>
  <c r="T40" i="1"/>
  <c r="Q41" i="1"/>
  <c r="R41" i="1"/>
  <c r="S41" i="1"/>
  <c r="T41" i="1"/>
  <c r="Q42" i="1"/>
  <c r="R42" i="1"/>
  <c r="S42" i="1"/>
  <c r="T42" i="1"/>
  <c r="Q43" i="1"/>
  <c r="R43" i="1"/>
  <c r="S43" i="1"/>
  <c r="T43" i="1"/>
  <c r="Q44" i="1"/>
  <c r="R44" i="1"/>
  <c r="S44" i="1"/>
  <c r="T44" i="1"/>
  <c r="Q45" i="1"/>
  <c r="R45" i="1"/>
  <c r="S45" i="1"/>
  <c r="T45" i="1"/>
  <c r="Q46" i="1"/>
  <c r="R46" i="1"/>
  <c r="S46" i="1"/>
  <c r="T46" i="1"/>
  <c r="Q47" i="1"/>
  <c r="R47" i="1"/>
  <c r="S47" i="1"/>
  <c r="T47" i="1"/>
  <c r="Q48" i="1"/>
  <c r="R48" i="1"/>
  <c r="S48" i="1"/>
  <c r="T48" i="1"/>
  <c r="Q49" i="1"/>
  <c r="R49" i="1"/>
  <c r="S49" i="1"/>
  <c r="T49" i="1"/>
  <c r="Q50" i="1"/>
  <c r="R50" i="1"/>
  <c r="S50" i="1"/>
  <c r="T50" i="1"/>
  <c r="Q51" i="1"/>
  <c r="R51" i="1"/>
  <c r="S51" i="1"/>
  <c r="T51" i="1"/>
  <c r="Q52" i="1"/>
  <c r="R52" i="1"/>
  <c r="S52" i="1"/>
  <c r="T52" i="1"/>
  <c r="Q53" i="1"/>
  <c r="R53" i="1"/>
  <c r="S53" i="1"/>
  <c r="T53" i="1"/>
  <c r="Q54" i="1"/>
  <c r="R54" i="1"/>
  <c r="S54" i="1"/>
  <c r="T54" i="1"/>
  <c r="Q55" i="1"/>
  <c r="R55" i="1"/>
  <c r="S55" i="1"/>
  <c r="T55" i="1"/>
  <c r="Q56" i="1"/>
  <c r="R56" i="1"/>
  <c r="S56" i="1"/>
  <c r="T56" i="1"/>
  <c r="Q57" i="1"/>
  <c r="R57" i="1"/>
  <c r="S57" i="1"/>
  <c r="T57" i="1"/>
  <c r="Q58" i="1"/>
  <c r="R58" i="1"/>
  <c r="S58" i="1"/>
  <c r="T58" i="1"/>
  <c r="Q59" i="1"/>
  <c r="R59" i="1"/>
  <c r="S59" i="1"/>
  <c r="T59" i="1"/>
  <c r="Q60" i="1"/>
  <c r="R60" i="1"/>
  <c r="S60" i="1"/>
  <c r="T60" i="1"/>
  <c r="Q61" i="1"/>
  <c r="R61" i="1"/>
  <c r="S61" i="1"/>
  <c r="T61" i="1"/>
  <c r="Q62" i="1"/>
  <c r="R62" i="1"/>
  <c r="S62" i="1"/>
  <c r="T62" i="1"/>
  <c r="Q63" i="1"/>
  <c r="R63" i="1"/>
  <c r="S63" i="1"/>
  <c r="T63" i="1"/>
  <c r="Q64" i="1"/>
  <c r="R64" i="1"/>
  <c r="S64" i="1"/>
  <c r="T64" i="1"/>
  <c r="Q65" i="1"/>
  <c r="R65" i="1"/>
  <c r="S65" i="1"/>
  <c r="T65" i="1"/>
  <c r="Q66" i="1"/>
  <c r="R66" i="1"/>
  <c r="S66" i="1"/>
  <c r="T66" i="1"/>
  <c r="Q67" i="1"/>
  <c r="R67" i="1"/>
  <c r="S67" i="1"/>
  <c r="T67" i="1"/>
  <c r="Q68" i="1"/>
  <c r="R68" i="1"/>
  <c r="S68" i="1"/>
  <c r="T68" i="1"/>
  <c r="Q69" i="1"/>
  <c r="R69" i="1"/>
  <c r="S69" i="1"/>
  <c r="T69" i="1"/>
  <c r="Q70" i="1"/>
  <c r="R70" i="1"/>
  <c r="S70" i="1"/>
  <c r="T70" i="1"/>
  <c r="R3" i="1"/>
  <c r="S3" i="1"/>
  <c r="T3" i="1"/>
  <c r="Q3" i="1"/>
  <c r="A682" i="6" l="1"/>
  <c r="C682" i="6" s="1"/>
  <c r="B682" i="6"/>
  <c r="E682" i="6" s="1"/>
  <c r="A683" i="6"/>
  <c r="C683" i="6" s="1"/>
  <c r="B683" i="6"/>
  <c r="E683" i="6" s="1"/>
  <c r="A684" i="6"/>
  <c r="B684" i="6"/>
  <c r="E684" i="6" s="1"/>
  <c r="F684" i="6" s="1"/>
  <c r="C684" i="6"/>
  <c r="D684" i="6"/>
  <c r="A685" i="6"/>
  <c r="C685" i="6" s="1"/>
  <c r="B685" i="6"/>
  <c r="E685" i="6" s="1"/>
  <c r="A686" i="6"/>
  <c r="C686" i="6" s="1"/>
  <c r="B686" i="6"/>
  <c r="E686" i="6" s="1"/>
  <c r="A687" i="6"/>
  <c r="C687" i="6" s="1"/>
  <c r="B687" i="6"/>
  <c r="E687" i="6" s="1"/>
  <c r="A689" i="6"/>
  <c r="C689" i="6" s="1"/>
  <c r="B689" i="6"/>
  <c r="E689" i="6" s="1"/>
  <c r="A690" i="6"/>
  <c r="B690" i="6"/>
  <c r="D690" i="6" s="1"/>
  <c r="C690" i="6"/>
  <c r="A691" i="6"/>
  <c r="C691" i="6" s="1"/>
  <c r="B691" i="6"/>
  <c r="E691" i="6" s="1"/>
  <c r="A694" i="6"/>
  <c r="B694" i="6"/>
  <c r="D694" i="6" s="1"/>
  <c r="C694" i="6"/>
  <c r="A695" i="6"/>
  <c r="C695" i="6" s="1"/>
  <c r="B695" i="6"/>
  <c r="E695" i="6" s="1"/>
  <c r="A699" i="6"/>
  <c r="C699" i="6" s="1"/>
  <c r="B699" i="6"/>
  <c r="E699" i="6" s="1"/>
  <c r="F32" i="1"/>
  <c r="B33" i="1"/>
  <c r="K21" i="1"/>
  <c r="K9" i="1"/>
  <c r="J8" i="1"/>
  <c r="G35" i="1"/>
  <c r="G32" i="1"/>
  <c r="C34" i="1"/>
  <c r="C35" i="1"/>
  <c r="C36" i="1"/>
  <c r="C37" i="1"/>
  <c r="C38" i="1"/>
  <c r="C33" i="1"/>
  <c r="A672" i="6"/>
  <c r="B672" i="6" s="1"/>
  <c r="E672" i="6" s="1"/>
  <c r="A673" i="6"/>
  <c r="B673" i="6"/>
  <c r="E673" i="6" s="1"/>
  <c r="C673" i="6"/>
  <c r="D673" i="6" s="1"/>
  <c r="A674" i="6"/>
  <c r="A679" i="6" s="1"/>
  <c r="A675" i="6"/>
  <c r="B675" i="6" s="1"/>
  <c r="E675" i="6" s="1"/>
  <c r="C675" i="6"/>
  <c r="D675" i="6" s="1"/>
  <c r="A676" i="6"/>
  <c r="B676" i="6" s="1"/>
  <c r="E676" i="6" s="1"/>
  <c r="A678" i="6"/>
  <c r="B678" i="6" s="1"/>
  <c r="E678" i="6" s="1"/>
  <c r="A680" i="6"/>
  <c r="B680" i="6" s="1"/>
  <c r="E680" i="6" s="1"/>
  <c r="D689" i="6" l="1"/>
  <c r="F689" i="6"/>
  <c r="D687" i="6"/>
  <c r="F687" i="6"/>
  <c r="D686" i="6"/>
  <c r="F686" i="6"/>
  <c r="D683" i="6"/>
  <c r="F683" i="6"/>
  <c r="D691" i="6"/>
  <c r="F691" i="6"/>
  <c r="D699" i="6"/>
  <c r="F699" i="6"/>
  <c r="D695" i="6"/>
  <c r="F695" i="6"/>
  <c r="D685" i="6"/>
  <c r="F685" i="6"/>
  <c r="D682" i="6"/>
  <c r="F682" i="6"/>
  <c r="A704" i="6"/>
  <c r="A700" i="6"/>
  <c r="A696" i="6"/>
  <c r="E694" i="6"/>
  <c r="F694" i="6" s="1"/>
  <c r="A692" i="6"/>
  <c r="E690" i="6"/>
  <c r="F690" i="6" s="1"/>
  <c r="A688" i="6"/>
  <c r="B679" i="6"/>
  <c r="E679" i="6" s="1"/>
  <c r="C679" i="6"/>
  <c r="F675" i="6"/>
  <c r="A681" i="6"/>
  <c r="C678" i="6"/>
  <c r="A677" i="6"/>
  <c r="C674" i="6"/>
  <c r="B674" i="6"/>
  <c r="E674" i="6" s="1"/>
  <c r="F673" i="6"/>
  <c r="C680" i="6"/>
  <c r="C676" i="6"/>
  <c r="C672" i="6"/>
  <c r="A671" i="6"/>
  <c r="B671" i="6" s="1"/>
  <c r="E671" i="6" s="1"/>
  <c r="F31" i="1"/>
  <c r="A670" i="6"/>
  <c r="C670" i="6" s="1"/>
  <c r="A669" i="6"/>
  <c r="B669" i="6" s="1"/>
  <c r="E669" i="6" s="1"/>
  <c r="B32" i="1"/>
  <c r="K20" i="1"/>
  <c r="B31" i="1"/>
  <c r="BA18" i="7"/>
  <c r="A18" i="7"/>
  <c r="A643" i="6"/>
  <c r="C643" i="6" s="1"/>
  <c r="B643" i="6"/>
  <c r="E643" i="6"/>
  <c r="A644" i="6"/>
  <c r="B644" i="6"/>
  <c r="D644" i="6" s="1"/>
  <c r="C644" i="6"/>
  <c r="A645" i="6"/>
  <c r="A650" i="6" s="1"/>
  <c r="B645" i="6"/>
  <c r="E645" i="6" s="1"/>
  <c r="A646" i="6"/>
  <c r="A651" i="6" s="1"/>
  <c r="B646" i="6"/>
  <c r="E646" i="6" s="1"/>
  <c r="C646" i="6"/>
  <c r="F646" i="6" s="1"/>
  <c r="D646" i="6"/>
  <c r="A647" i="6"/>
  <c r="B647" i="6"/>
  <c r="C647" i="6"/>
  <c r="D647" i="6"/>
  <c r="E647" i="6"/>
  <c r="F647" i="6"/>
  <c r="A648" i="6"/>
  <c r="C648" i="6" s="1"/>
  <c r="B648" i="6"/>
  <c r="E648" i="6" s="1"/>
  <c r="A649" i="6"/>
  <c r="A654" i="6" s="1"/>
  <c r="B649" i="6"/>
  <c r="E649" i="6" s="1"/>
  <c r="A652" i="6"/>
  <c r="C652" i="6" s="1"/>
  <c r="B652" i="6"/>
  <c r="E652" i="6" s="1"/>
  <c r="A653" i="6"/>
  <c r="A658" i="6" s="1"/>
  <c r="B653" i="6"/>
  <c r="E653" i="6" s="1"/>
  <c r="A657" i="6"/>
  <c r="A662" i="6" s="1"/>
  <c r="F30" i="1"/>
  <c r="A697" i="6" l="1"/>
  <c r="B692" i="6"/>
  <c r="E692" i="6" s="1"/>
  <c r="C692" i="6"/>
  <c r="A701" i="6"/>
  <c r="B696" i="6"/>
  <c r="E696" i="6" s="1"/>
  <c r="C696" i="6"/>
  <c r="A705" i="6"/>
  <c r="B700" i="6"/>
  <c r="E700" i="6" s="1"/>
  <c r="C700" i="6"/>
  <c r="B704" i="6"/>
  <c r="E704" i="6" s="1"/>
  <c r="C704" i="6"/>
  <c r="A693" i="6"/>
  <c r="B688" i="6"/>
  <c r="E688" i="6" s="1"/>
  <c r="C688" i="6"/>
  <c r="F674" i="6"/>
  <c r="D674" i="6"/>
  <c r="C677" i="6"/>
  <c r="B677" i="6"/>
  <c r="E677" i="6" s="1"/>
  <c r="F678" i="6"/>
  <c r="D678" i="6"/>
  <c r="D672" i="6"/>
  <c r="F672" i="6"/>
  <c r="C681" i="6"/>
  <c r="B681" i="6"/>
  <c r="E681" i="6" s="1"/>
  <c r="D676" i="6"/>
  <c r="F676" i="6"/>
  <c r="D680" i="6"/>
  <c r="F680" i="6"/>
  <c r="D679" i="6"/>
  <c r="F679" i="6"/>
  <c r="C671" i="6"/>
  <c r="B670" i="6"/>
  <c r="E670" i="6" s="1"/>
  <c r="F670" i="6" s="1"/>
  <c r="C669" i="6"/>
  <c r="A655" i="6"/>
  <c r="B650" i="6"/>
  <c r="E650" i="6" s="1"/>
  <c r="C650" i="6"/>
  <c r="D652" i="6"/>
  <c r="F652" i="6"/>
  <c r="A659" i="6"/>
  <c r="B654" i="6"/>
  <c r="E654" i="6" s="1"/>
  <c r="C654" i="6"/>
  <c r="A667" i="6"/>
  <c r="B662" i="6"/>
  <c r="E662" i="6" s="1"/>
  <c r="C662" i="6"/>
  <c r="D648" i="6"/>
  <c r="F648" i="6"/>
  <c r="A663" i="6"/>
  <c r="B658" i="6"/>
  <c r="E658" i="6" s="1"/>
  <c r="C658" i="6"/>
  <c r="B651" i="6"/>
  <c r="E651" i="6" s="1"/>
  <c r="C651" i="6"/>
  <c r="A656" i="6"/>
  <c r="D643" i="6"/>
  <c r="F643" i="6"/>
  <c r="B657" i="6"/>
  <c r="E657" i="6" s="1"/>
  <c r="C657" i="6"/>
  <c r="C653" i="6"/>
  <c r="C649" i="6"/>
  <c r="C645" i="6"/>
  <c r="E644" i="6"/>
  <c r="F644" i="6" s="1"/>
  <c r="A617" i="6"/>
  <c r="B617" i="6" s="1"/>
  <c r="E617" i="6" s="1"/>
  <c r="A618" i="6"/>
  <c r="C618" i="6" s="1"/>
  <c r="B618" i="6"/>
  <c r="E618" i="6" s="1"/>
  <c r="A619" i="6"/>
  <c r="A624" i="6" s="1"/>
  <c r="B619" i="6"/>
  <c r="C619" i="6"/>
  <c r="F619" i="6" s="1"/>
  <c r="D619" i="6"/>
  <c r="E619" i="6"/>
  <c r="A620" i="6"/>
  <c r="B620" i="6" s="1"/>
  <c r="C620" i="6"/>
  <c r="A621" i="6"/>
  <c r="B621" i="6" s="1"/>
  <c r="E621" i="6" s="1"/>
  <c r="A622" i="6"/>
  <c r="C622" i="6" s="1"/>
  <c r="B622" i="6"/>
  <c r="E622" i="6" s="1"/>
  <c r="A625" i="6"/>
  <c r="B625" i="6" s="1"/>
  <c r="E625" i="6" s="1"/>
  <c r="A626" i="6"/>
  <c r="C626" i="6" s="1"/>
  <c r="B626" i="6"/>
  <c r="E626" i="6" s="1"/>
  <c r="A630" i="6"/>
  <c r="C630" i="6" s="1"/>
  <c r="B630" i="6"/>
  <c r="E630" i="6" s="1"/>
  <c r="F29" i="1"/>
  <c r="B30" i="1"/>
  <c r="A615" i="6"/>
  <c r="B615" i="6" s="1"/>
  <c r="E615" i="6" s="1"/>
  <c r="A616" i="6"/>
  <c r="B616" i="6"/>
  <c r="E616" i="6" s="1"/>
  <c r="C616" i="6"/>
  <c r="D616" i="6" s="1"/>
  <c r="A613" i="6"/>
  <c r="C613" i="6" s="1"/>
  <c r="B613" i="6"/>
  <c r="E613" i="6" s="1"/>
  <c r="A614" i="6"/>
  <c r="C614" i="6" s="1"/>
  <c r="B614" i="6"/>
  <c r="E614" i="6" s="1"/>
  <c r="A698" i="6" l="1"/>
  <c r="B693" i="6"/>
  <c r="E693" i="6" s="1"/>
  <c r="C693" i="6"/>
  <c r="B705" i="6"/>
  <c r="E705" i="6" s="1"/>
  <c r="C705" i="6"/>
  <c r="F696" i="6"/>
  <c r="D696" i="6"/>
  <c r="F688" i="6"/>
  <c r="D688" i="6"/>
  <c r="A706" i="6"/>
  <c r="B701" i="6"/>
  <c r="E701" i="6" s="1"/>
  <c r="C701" i="6"/>
  <c r="F704" i="6"/>
  <c r="D704" i="6"/>
  <c r="F692" i="6"/>
  <c r="D692" i="6"/>
  <c r="F700" i="6"/>
  <c r="D700" i="6"/>
  <c r="A702" i="6"/>
  <c r="B697" i="6"/>
  <c r="E697" i="6" s="1"/>
  <c r="C697" i="6"/>
  <c r="D681" i="6"/>
  <c r="F681" i="6"/>
  <c r="D677" i="6"/>
  <c r="F677" i="6"/>
  <c r="D671" i="6"/>
  <c r="F671" i="6"/>
  <c r="D670" i="6"/>
  <c r="D669" i="6"/>
  <c r="F669" i="6"/>
  <c r="F653" i="6"/>
  <c r="D653" i="6"/>
  <c r="F657" i="6"/>
  <c r="D657" i="6"/>
  <c r="B663" i="6"/>
  <c r="E663" i="6" s="1"/>
  <c r="C663" i="6"/>
  <c r="A668" i="6"/>
  <c r="B659" i="6"/>
  <c r="E659" i="6" s="1"/>
  <c r="C659" i="6"/>
  <c r="A664" i="6"/>
  <c r="D658" i="6"/>
  <c r="F658" i="6"/>
  <c r="C656" i="6"/>
  <c r="B656" i="6"/>
  <c r="E656" i="6" s="1"/>
  <c r="A661" i="6"/>
  <c r="F662" i="6"/>
  <c r="D662" i="6"/>
  <c r="F650" i="6"/>
  <c r="D650" i="6"/>
  <c r="F654" i="6"/>
  <c r="D654" i="6"/>
  <c r="F645" i="6"/>
  <c r="D645" i="6"/>
  <c r="D651" i="6"/>
  <c r="F651" i="6"/>
  <c r="F649" i="6"/>
  <c r="D649" i="6"/>
  <c r="B667" i="6"/>
  <c r="E667" i="6" s="1"/>
  <c r="C667" i="6"/>
  <c r="B655" i="6"/>
  <c r="E655" i="6" s="1"/>
  <c r="C655" i="6"/>
  <c r="A660" i="6"/>
  <c r="D620" i="6"/>
  <c r="E620" i="6"/>
  <c r="F620" i="6" s="1"/>
  <c r="D626" i="6"/>
  <c r="F626" i="6"/>
  <c r="D630" i="6"/>
  <c r="F630" i="6"/>
  <c r="D622" i="6"/>
  <c r="F622" i="6"/>
  <c r="A629" i="6"/>
  <c r="B624" i="6"/>
  <c r="E624" i="6" s="1"/>
  <c r="C624" i="6"/>
  <c r="D618" i="6"/>
  <c r="F618" i="6"/>
  <c r="A635" i="6"/>
  <c r="A631" i="6"/>
  <c r="A627" i="6"/>
  <c r="A623" i="6"/>
  <c r="C625" i="6"/>
  <c r="C621" i="6"/>
  <c r="C617" i="6"/>
  <c r="F616" i="6"/>
  <c r="C615" i="6"/>
  <c r="D613" i="6"/>
  <c r="F613" i="6"/>
  <c r="F614" i="6"/>
  <c r="D614" i="6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7" i="1"/>
  <c r="K10" i="1"/>
  <c r="K11" i="1"/>
  <c r="K12" i="1"/>
  <c r="K13" i="1"/>
  <c r="K14" i="1"/>
  <c r="K15" i="1"/>
  <c r="K16" i="1"/>
  <c r="K17" i="1"/>
  <c r="K18" i="1"/>
  <c r="K19" i="1"/>
  <c r="J4" i="1"/>
  <c r="J5" i="1"/>
  <c r="J6" i="1"/>
  <c r="J7" i="1"/>
  <c r="J3" i="1"/>
  <c r="BC54" i="7"/>
  <c r="BD53" i="7"/>
  <c r="BD54" i="7" s="1"/>
  <c r="BE53" i="7"/>
  <c r="BF53" i="7"/>
  <c r="BG53" i="7"/>
  <c r="BH53" i="7"/>
  <c r="BI53" i="7"/>
  <c r="BJ53" i="7"/>
  <c r="BK53" i="7"/>
  <c r="BL53" i="7"/>
  <c r="BM53" i="7"/>
  <c r="BN53" i="7"/>
  <c r="BO53" i="7"/>
  <c r="BP53" i="7"/>
  <c r="BQ53" i="7"/>
  <c r="BR53" i="7"/>
  <c r="BS53" i="7"/>
  <c r="BT53" i="7"/>
  <c r="BU53" i="7"/>
  <c r="BV53" i="7"/>
  <c r="BW53" i="7"/>
  <c r="BX53" i="7"/>
  <c r="BY53" i="7"/>
  <c r="BZ53" i="7"/>
  <c r="CA53" i="7"/>
  <c r="CB53" i="7"/>
  <c r="CC53" i="7"/>
  <c r="CD53" i="7"/>
  <c r="CE53" i="7"/>
  <c r="CF53" i="7"/>
  <c r="CG53" i="7"/>
  <c r="CH53" i="7"/>
  <c r="CI53" i="7"/>
  <c r="CJ53" i="7"/>
  <c r="CK53" i="7"/>
  <c r="CL53" i="7"/>
  <c r="CM53" i="7"/>
  <c r="CN53" i="7"/>
  <c r="CO53" i="7"/>
  <c r="CP53" i="7"/>
  <c r="CQ53" i="7"/>
  <c r="CR53" i="7"/>
  <c r="CS53" i="7"/>
  <c r="CT53" i="7"/>
  <c r="CU53" i="7"/>
  <c r="CV53" i="7"/>
  <c r="CW53" i="7"/>
  <c r="CX53" i="7"/>
  <c r="CY53" i="7"/>
  <c r="CZ53" i="7"/>
  <c r="DA53" i="7"/>
  <c r="DB53" i="7"/>
  <c r="DC53" i="7"/>
  <c r="DD53" i="7"/>
  <c r="DE53" i="7"/>
  <c r="DF53" i="7"/>
  <c r="DG53" i="7"/>
  <c r="DH53" i="7"/>
  <c r="DI53" i="7"/>
  <c r="BC53" i="7"/>
  <c r="BB53" i="7"/>
  <c r="B706" i="6" l="1"/>
  <c r="E706" i="6" s="1"/>
  <c r="C706" i="6"/>
  <c r="D701" i="6"/>
  <c r="F701" i="6"/>
  <c r="CK36" i="7"/>
  <c r="D705" i="6"/>
  <c r="F705" i="6"/>
  <c r="D697" i="6"/>
  <c r="F697" i="6"/>
  <c r="BM36" i="7"/>
  <c r="F693" i="6"/>
  <c r="D693" i="6"/>
  <c r="B702" i="6"/>
  <c r="E702" i="6" s="1"/>
  <c r="C702" i="6"/>
  <c r="A707" i="6"/>
  <c r="CB37" i="7"/>
  <c r="CC36" i="7"/>
  <c r="B698" i="6"/>
  <c r="E698" i="6" s="1"/>
  <c r="C698" i="6"/>
  <c r="A703" i="6"/>
  <c r="CD37" i="7" s="1"/>
  <c r="CM37" i="7"/>
  <c r="BH37" i="7"/>
  <c r="BQ37" i="7"/>
  <c r="BB36" i="7"/>
  <c r="BR37" i="7"/>
  <c r="BM37" i="7"/>
  <c r="BV36" i="7"/>
  <c r="CL37" i="7"/>
  <c r="CE36" i="7"/>
  <c r="CI36" i="7"/>
  <c r="BP37" i="7"/>
  <c r="BJ36" i="7"/>
  <c r="BD37" i="7"/>
  <c r="CQ37" i="7"/>
  <c r="BL37" i="7"/>
  <c r="BE36" i="7"/>
  <c r="BU37" i="7"/>
  <c r="CD36" i="7"/>
  <c r="CT37" i="7"/>
  <c r="CM36" i="7"/>
  <c r="BH36" i="7"/>
  <c r="BX37" i="7"/>
  <c r="BQ36" i="7"/>
  <c r="CG37" i="7"/>
  <c r="BR36" i="7"/>
  <c r="CH37" i="7"/>
  <c r="CC37" i="7"/>
  <c r="CL36" i="7"/>
  <c r="CU37" i="7"/>
  <c r="CU36" i="7"/>
  <c r="BP36" i="7"/>
  <c r="CF37" i="7"/>
  <c r="BY36" i="7"/>
  <c r="CO37" i="7"/>
  <c r="BZ36" i="7"/>
  <c r="CP37" i="7"/>
  <c r="BK37" i="7"/>
  <c r="BY37" i="7"/>
  <c r="CS37" i="7"/>
  <c r="CT36" i="7"/>
  <c r="CA36" i="7"/>
  <c r="BG37" i="7"/>
  <c r="BX36" i="7"/>
  <c r="CN37" i="7"/>
  <c r="CG36" i="7"/>
  <c r="CW37" i="7"/>
  <c r="CH36" i="7"/>
  <c r="BK36" i="7"/>
  <c r="CP36" i="7"/>
  <c r="BV37" i="7"/>
  <c r="CV36" i="7"/>
  <c r="BI36" i="7"/>
  <c r="CA37" i="7"/>
  <c r="BF37" i="7"/>
  <c r="CI37" i="7"/>
  <c r="BO37" i="7"/>
  <c r="CF36" i="7"/>
  <c r="CV37" i="7"/>
  <c r="CO36" i="7"/>
  <c r="BC36" i="7"/>
  <c r="BC37" i="7"/>
  <c r="BO36" i="7"/>
  <c r="BI37" i="7"/>
  <c r="BZ37" i="7"/>
  <c r="BN37" i="7"/>
  <c r="BG36" i="7"/>
  <c r="BW37" i="7"/>
  <c r="CN36" i="7"/>
  <c r="BS36" i="7"/>
  <c r="CW36" i="7"/>
  <c r="BS37" i="7"/>
  <c r="BB37" i="7"/>
  <c r="CJ36" i="7"/>
  <c r="CK37" i="7"/>
  <c r="CS36" i="7"/>
  <c r="BF36" i="7"/>
  <c r="CE37" i="7"/>
  <c r="BJ37" i="7"/>
  <c r="A666" i="6"/>
  <c r="C661" i="6"/>
  <c r="B661" i="6"/>
  <c r="E661" i="6" s="1"/>
  <c r="C668" i="6"/>
  <c r="B668" i="6"/>
  <c r="E668" i="6" s="1"/>
  <c r="D663" i="6"/>
  <c r="F663" i="6"/>
  <c r="D656" i="6"/>
  <c r="F656" i="6"/>
  <c r="D655" i="6"/>
  <c r="F655" i="6"/>
  <c r="D667" i="6"/>
  <c r="F667" i="6"/>
  <c r="C664" i="6"/>
  <c r="B664" i="6"/>
  <c r="E664" i="6" s="1"/>
  <c r="C660" i="6"/>
  <c r="B660" i="6"/>
  <c r="E660" i="6" s="1"/>
  <c r="A665" i="6"/>
  <c r="D659" i="6"/>
  <c r="F659" i="6"/>
  <c r="A636" i="6"/>
  <c r="B631" i="6"/>
  <c r="E631" i="6" s="1"/>
  <c r="C631" i="6"/>
  <c r="A632" i="6"/>
  <c r="B627" i="6"/>
  <c r="E627" i="6" s="1"/>
  <c r="C627" i="6"/>
  <c r="A640" i="6"/>
  <c r="B635" i="6"/>
  <c r="E635" i="6" s="1"/>
  <c r="C635" i="6"/>
  <c r="D617" i="6"/>
  <c r="F617" i="6"/>
  <c r="D621" i="6"/>
  <c r="F621" i="6"/>
  <c r="F624" i="6"/>
  <c r="D624" i="6"/>
  <c r="D625" i="6"/>
  <c r="F625" i="6"/>
  <c r="A628" i="6"/>
  <c r="B623" i="6"/>
  <c r="E623" i="6" s="1"/>
  <c r="C623" i="6"/>
  <c r="B629" i="6"/>
  <c r="E629" i="6" s="1"/>
  <c r="C629" i="6"/>
  <c r="A634" i="6"/>
  <c r="D615" i="6"/>
  <c r="F615" i="6"/>
  <c r="BE54" i="7"/>
  <c r="B9" i="6"/>
  <c r="D9" i="6" s="1"/>
  <c r="C9" i="6"/>
  <c r="B10" i="6"/>
  <c r="C10" i="6"/>
  <c r="F10" i="6" s="1"/>
  <c r="E10" i="6"/>
  <c r="B11" i="6"/>
  <c r="E11" i="6" s="1"/>
  <c r="C11" i="6"/>
  <c r="D11" i="6" s="1"/>
  <c r="F11" i="6"/>
  <c r="B12" i="6"/>
  <c r="E12" i="6" s="1"/>
  <c r="C12" i="6"/>
  <c r="B13" i="6"/>
  <c r="C13" i="6"/>
  <c r="D13" i="6"/>
  <c r="E13" i="6"/>
  <c r="F13" i="6" s="1"/>
  <c r="B14" i="6"/>
  <c r="E14" i="6" s="1"/>
  <c r="C14" i="6"/>
  <c r="D14" i="6" s="1"/>
  <c r="B15" i="6"/>
  <c r="E15" i="6" s="1"/>
  <c r="C15" i="6"/>
  <c r="B16" i="6"/>
  <c r="C16" i="6"/>
  <c r="D16" i="6"/>
  <c r="E16" i="6"/>
  <c r="F16" i="6"/>
  <c r="B17" i="6"/>
  <c r="D17" i="6" s="1"/>
  <c r="C17" i="6"/>
  <c r="B18" i="6"/>
  <c r="C18" i="6"/>
  <c r="F18" i="6" s="1"/>
  <c r="E18" i="6"/>
  <c r="B19" i="6"/>
  <c r="E19" i="6" s="1"/>
  <c r="C19" i="6"/>
  <c r="D19" i="6" s="1"/>
  <c r="F19" i="6"/>
  <c r="B20" i="6"/>
  <c r="E20" i="6" s="1"/>
  <c r="C20" i="6"/>
  <c r="B21" i="6"/>
  <c r="C21" i="6"/>
  <c r="D21" i="6"/>
  <c r="E21" i="6"/>
  <c r="F21" i="6" s="1"/>
  <c r="B22" i="6"/>
  <c r="E22" i="6" s="1"/>
  <c r="C22" i="6"/>
  <c r="D22" i="6" s="1"/>
  <c r="B23" i="6"/>
  <c r="E23" i="6" s="1"/>
  <c r="C23" i="6"/>
  <c r="B24" i="6"/>
  <c r="C24" i="6"/>
  <c r="D24" i="6"/>
  <c r="E24" i="6"/>
  <c r="F24" i="6"/>
  <c r="B25" i="6"/>
  <c r="D25" i="6" s="1"/>
  <c r="C25" i="6"/>
  <c r="B26" i="6"/>
  <c r="C26" i="6"/>
  <c r="F26" i="6" s="1"/>
  <c r="E26" i="6"/>
  <c r="B27" i="6"/>
  <c r="E27" i="6" s="1"/>
  <c r="C27" i="6"/>
  <c r="D27" i="6" s="1"/>
  <c r="F27" i="6"/>
  <c r="B28" i="6"/>
  <c r="E28" i="6" s="1"/>
  <c r="C28" i="6"/>
  <c r="B29" i="6"/>
  <c r="C29" i="6"/>
  <c r="D29" i="6"/>
  <c r="E29" i="6"/>
  <c r="F29" i="6" s="1"/>
  <c r="B30" i="6"/>
  <c r="E30" i="6" s="1"/>
  <c r="C30" i="6"/>
  <c r="D30" i="6" s="1"/>
  <c r="B31" i="6"/>
  <c r="E31" i="6" s="1"/>
  <c r="C31" i="6"/>
  <c r="B32" i="6"/>
  <c r="C32" i="6"/>
  <c r="D32" i="6"/>
  <c r="E32" i="6"/>
  <c r="F32" i="6"/>
  <c r="B33" i="6"/>
  <c r="D33" i="6" s="1"/>
  <c r="C33" i="6"/>
  <c r="B34" i="6"/>
  <c r="C34" i="6"/>
  <c r="F34" i="6" s="1"/>
  <c r="E34" i="6"/>
  <c r="B35" i="6"/>
  <c r="E35" i="6" s="1"/>
  <c r="C35" i="6"/>
  <c r="D35" i="6" s="1"/>
  <c r="F35" i="6"/>
  <c r="B36" i="6"/>
  <c r="E36" i="6" s="1"/>
  <c r="C36" i="6"/>
  <c r="B37" i="6"/>
  <c r="C37" i="6"/>
  <c r="D37" i="6"/>
  <c r="E37" i="6"/>
  <c r="F37" i="6" s="1"/>
  <c r="B38" i="6"/>
  <c r="E38" i="6" s="1"/>
  <c r="C38" i="6"/>
  <c r="D38" i="6" s="1"/>
  <c r="B39" i="6"/>
  <c r="E39" i="6" s="1"/>
  <c r="C39" i="6"/>
  <c r="B40" i="6"/>
  <c r="D40" i="6" s="1"/>
  <c r="C40" i="6"/>
  <c r="E40" i="6"/>
  <c r="F40" i="6" s="1"/>
  <c r="B41" i="6"/>
  <c r="D41" i="6" s="1"/>
  <c r="C41" i="6"/>
  <c r="B42" i="6"/>
  <c r="C42" i="6"/>
  <c r="F42" i="6" s="1"/>
  <c r="D42" i="6"/>
  <c r="E42" i="6"/>
  <c r="B43" i="6"/>
  <c r="E43" i="6" s="1"/>
  <c r="C43" i="6"/>
  <c r="D43" i="6" s="1"/>
  <c r="F43" i="6"/>
  <c r="B44" i="6"/>
  <c r="E44" i="6" s="1"/>
  <c r="C44" i="6"/>
  <c r="B45" i="6"/>
  <c r="C45" i="6"/>
  <c r="D45" i="6"/>
  <c r="E45" i="6"/>
  <c r="F45" i="6" s="1"/>
  <c r="B46" i="6"/>
  <c r="E46" i="6" s="1"/>
  <c r="C46" i="6"/>
  <c r="D46" i="6" s="1"/>
  <c r="B47" i="6"/>
  <c r="E47" i="6" s="1"/>
  <c r="C47" i="6"/>
  <c r="B48" i="6"/>
  <c r="C48" i="6"/>
  <c r="D48" i="6" s="1"/>
  <c r="E48" i="6"/>
  <c r="F48" i="6"/>
  <c r="B49" i="6"/>
  <c r="D49" i="6" s="1"/>
  <c r="C49" i="6"/>
  <c r="B50" i="6"/>
  <c r="C50" i="6"/>
  <c r="F50" i="6" s="1"/>
  <c r="E50" i="6"/>
  <c r="B51" i="6"/>
  <c r="E51" i="6" s="1"/>
  <c r="C51" i="6"/>
  <c r="D51" i="6" s="1"/>
  <c r="F51" i="6"/>
  <c r="B52" i="6"/>
  <c r="E52" i="6" s="1"/>
  <c r="C52" i="6"/>
  <c r="B53" i="6"/>
  <c r="C53" i="6"/>
  <c r="D53" i="6"/>
  <c r="E53" i="6"/>
  <c r="F53" i="6" s="1"/>
  <c r="B54" i="6"/>
  <c r="E54" i="6" s="1"/>
  <c r="C54" i="6"/>
  <c r="D54" i="6" s="1"/>
  <c r="B55" i="6"/>
  <c r="E55" i="6" s="1"/>
  <c r="C55" i="6"/>
  <c r="B56" i="6"/>
  <c r="C56" i="6"/>
  <c r="D56" i="6" s="1"/>
  <c r="E56" i="6"/>
  <c r="F56" i="6" s="1"/>
  <c r="B57" i="6"/>
  <c r="D57" i="6" s="1"/>
  <c r="C57" i="6"/>
  <c r="B58" i="6"/>
  <c r="C58" i="6"/>
  <c r="F58" i="6" s="1"/>
  <c r="E58" i="6"/>
  <c r="B59" i="6"/>
  <c r="E59" i="6" s="1"/>
  <c r="C59" i="6"/>
  <c r="D59" i="6" s="1"/>
  <c r="F59" i="6"/>
  <c r="B60" i="6"/>
  <c r="E60" i="6" s="1"/>
  <c r="C60" i="6"/>
  <c r="D60" i="6" s="1"/>
  <c r="B61" i="6"/>
  <c r="C61" i="6"/>
  <c r="D61" i="6"/>
  <c r="E61" i="6"/>
  <c r="F61" i="6" s="1"/>
  <c r="B62" i="6"/>
  <c r="E62" i="6" s="1"/>
  <c r="C62" i="6"/>
  <c r="D62" i="6" s="1"/>
  <c r="B63" i="6"/>
  <c r="E63" i="6" s="1"/>
  <c r="C63" i="6"/>
  <c r="B64" i="6"/>
  <c r="C64" i="6"/>
  <c r="D64" i="6" s="1"/>
  <c r="E64" i="6"/>
  <c r="F64" i="6"/>
  <c r="B65" i="6"/>
  <c r="D65" i="6" s="1"/>
  <c r="C65" i="6"/>
  <c r="B66" i="6"/>
  <c r="C66" i="6"/>
  <c r="E66" i="6"/>
  <c r="B67" i="6"/>
  <c r="E67" i="6" s="1"/>
  <c r="C67" i="6"/>
  <c r="D67" i="6" s="1"/>
  <c r="F67" i="6"/>
  <c r="B68" i="6"/>
  <c r="E68" i="6" s="1"/>
  <c r="C68" i="6"/>
  <c r="B69" i="6"/>
  <c r="C69" i="6"/>
  <c r="D69" i="6"/>
  <c r="E69" i="6"/>
  <c r="F69" i="6" s="1"/>
  <c r="B70" i="6"/>
  <c r="E70" i="6" s="1"/>
  <c r="C70" i="6"/>
  <c r="D70" i="6" s="1"/>
  <c r="B71" i="6"/>
  <c r="E71" i="6" s="1"/>
  <c r="C71" i="6"/>
  <c r="B72" i="6"/>
  <c r="C72" i="6"/>
  <c r="D72" i="6" s="1"/>
  <c r="E72" i="6"/>
  <c r="F72" i="6" s="1"/>
  <c r="B73" i="6"/>
  <c r="D73" i="6" s="1"/>
  <c r="C73" i="6"/>
  <c r="B74" i="6"/>
  <c r="C74" i="6"/>
  <c r="F74" i="6" s="1"/>
  <c r="D74" i="6"/>
  <c r="E74" i="6"/>
  <c r="B75" i="6"/>
  <c r="E75" i="6" s="1"/>
  <c r="C75" i="6"/>
  <c r="D75" i="6" s="1"/>
  <c r="F75" i="6"/>
  <c r="B76" i="6"/>
  <c r="E76" i="6" s="1"/>
  <c r="C76" i="6"/>
  <c r="D76" i="6" s="1"/>
  <c r="B77" i="6"/>
  <c r="C77" i="6"/>
  <c r="D77" i="6"/>
  <c r="E77" i="6"/>
  <c r="F77" i="6" s="1"/>
  <c r="B78" i="6"/>
  <c r="E78" i="6" s="1"/>
  <c r="C78" i="6"/>
  <c r="D78" i="6" s="1"/>
  <c r="B79" i="6"/>
  <c r="E79" i="6" s="1"/>
  <c r="C79" i="6"/>
  <c r="B80" i="6"/>
  <c r="C80" i="6"/>
  <c r="D80" i="6" s="1"/>
  <c r="E80" i="6"/>
  <c r="F80" i="6" s="1"/>
  <c r="B81" i="6"/>
  <c r="D81" i="6" s="1"/>
  <c r="C81" i="6"/>
  <c r="B82" i="6"/>
  <c r="C82" i="6"/>
  <c r="E82" i="6"/>
  <c r="B83" i="6"/>
  <c r="E83" i="6" s="1"/>
  <c r="F83" i="6" s="1"/>
  <c r="C83" i="6"/>
  <c r="D83" i="6" s="1"/>
  <c r="B84" i="6"/>
  <c r="E84" i="6" s="1"/>
  <c r="C84" i="6"/>
  <c r="B85" i="6"/>
  <c r="C85" i="6"/>
  <c r="D85" i="6"/>
  <c r="E85" i="6"/>
  <c r="F85" i="6" s="1"/>
  <c r="B86" i="6"/>
  <c r="E86" i="6" s="1"/>
  <c r="C86" i="6"/>
  <c r="D86" i="6" s="1"/>
  <c r="B87" i="6"/>
  <c r="E87" i="6" s="1"/>
  <c r="C87" i="6"/>
  <c r="B88" i="6"/>
  <c r="C88" i="6"/>
  <c r="D88" i="6" s="1"/>
  <c r="E88" i="6"/>
  <c r="F88" i="6" s="1"/>
  <c r="B89" i="6"/>
  <c r="D89" i="6" s="1"/>
  <c r="C89" i="6"/>
  <c r="B90" i="6"/>
  <c r="C90" i="6"/>
  <c r="F90" i="6" s="1"/>
  <c r="D90" i="6"/>
  <c r="E90" i="6"/>
  <c r="B91" i="6"/>
  <c r="E91" i="6" s="1"/>
  <c r="F91" i="6" s="1"/>
  <c r="C91" i="6"/>
  <c r="D91" i="6" s="1"/>
  <c r="B92" i="6"/>
  <c r="E92" i="6" s="1"/>
  <c r="C92" i="6"/>
  <c r="D92" i="6" s="1"/>
  <c r="B93" i="6"/>
  <c r="C93" i="6"/>
  <c r="D93" i="6"/>
  <c r="E93" i="6"/>
  <c r="F93" i="6" s="1"/>
  <c r="B94" i="6"/>
  <c r="E94" i="6" s="1"/>
  <c r="C94" i="6"/>
  <c r="D94" i="6" s="1"/>
  <c r="B95" i="6"/>
  <c r="E95" i="6" s="1"/>
  <c r="C95" i="6"/>
  <c r="B96" i="6"/>
  <c r="C96" i="6"/>
  <c r="D96" i="6" s="1"/>
  <c r="E96" i="6"/>
  <c r="F96" i="6"/>
  <c r="B97" i="6"/>
  <c r="D97" i="6" s="1"/>
  <c r="C97" i="6"/>
  <c r="B98" i="6"/>
  <c r="C98" i="6"/>
  <c r="F98" i="6" s="1"/>
  <c r="E98" i="6"/>
  <c r="B99" i="6"/>
  <c r="E99" i="6" s="1"/>
  <c r="C99" i="6"/>
  <c r="D99" i="6" s="1"/>
  <c r="F99" i="6"/>
  <c r="B100" i="6"/>
  <c r="E100" i="6" s="1"/>
  <c r="C100" i="6"/>
  <c r="B101" i="6"/>
  <c r="C101" i="6"/>
  <c r="D101" i="6"/>
  <c r="E101" i="6"/>
  <c r="F101" i="6"/>
  <c r="B102" i="6"/>
  <c r="E102" i="6" s="1"/>
  <c r="C102" i="6"/>
  <c r="D102" i="6" s="1"/>
  <c r="B103" i="6"/>
  <c r="E103" i="6" s="1"/>
  <c r="C103" i="6"/>
  <c r="F103" i="6" s="1"/>
  <c r="B104" i="6"/>
  <c r="C104" i="6"/>
  <c r="D104" i="6" s="1"/>
  <c r="E104" i="6"/>
  <c r="F104" i="6" s="1"/>
  <c r="B105" i="6"/>
  <c r="C105" i="6"/>
  <c r="B106" i="6"/>
  <c r="C106" i="6"/>
  <c r="D106" i="6"/>
  <c r="E106" i="6"/>
  <c r="B107" i="6"/>
  <c r="E107" i="6" s="1"/>
  <c r="F107" i="6" s="1"/>
  <c r="C107" i="6"/>
  <c r="D107" i="6" s="1"/>
  <c r="B108" i="6"/>
  <c r="E108" i="6" s="1"/>
  <c r="C108" i="6"/>
  <c r="B109" i="6"/>
  <c r="C109" i="6"/>
  <c r="D109" i="6"/>
  <c r="E109" i="6"/>
  <c r="F109" i="6" s="1"/>
  <c r="B110" i="6"/>
  <c r="C110" i="6"/>
  <c r="D110" i="6" s="1"/>
  <c r="E110" i="6"/>
  <c r="B111" i="6"/>
  <c r="E111" i="6" s="1"/>
  <c r="C111" i="6"/>
  <c r="D111" i="6" s="1"/>
  <c r="F111" i="6"/>
  <c r="B112" i="6"/>
  <c r="C112" i="6"/>
  <c r="D112" i="6" s="1"/>
  <c r="E112" i="6"/>
  <c r="F112" i="6"/>
  <c r="B113" i="6"/>
  <c r="E113" i="6" s="1"/>
  <c r="F113" i="6" s="1"/>
  <c r="C113" i="6"/>
  <c r="D113" i="6"/>
  <c r="B114" i="6"/>
  <c r="C114" i="6"/>
  <c r="F114" i="6" s="1"/>
  <c r="E114" i="6"/>
  <c r="B115" i="6"/>
  <c r="C115" i="6"/>
  <c r="B116" i="6"/>
  <c r="C116" i="6"/>
  <c r="E116" i="6"/>
  <c r="B117" i="6"/>
  <c r="C117" i="6"/>
  <c r="D117" i="6"/>
  <c r="E117" i="6"/>
  <c r="F117" i="6"/>
  <c r="B118" i="6"/>
  <c r="C118" i="6"/>
  <c r="E118" i="6"/>
  <c r="B119" i="6"/>
  <c r="E119" i="6" s="1"/>
  <c r="F119" i="6" s="1"/>
  <c r="C119" i="6"/>
  <c r="D119" i="6"/>
  <c r="B120" i="6"/>
  <c r="C120" i="6"/>
  <c r="D120" i="6" s="1"/>
  <c r="E120" i="6"/>
  <c r="F120" i="6" s="1"/>
  <c r="B121" i="6"/>
  <c r="E121" i="6" s="1"/>
  <c r="F121" i="6" s="1"/>
  <c r="C121" i="6"/>
  <c r="D121" i="6"/>
  <c r="B122" i="6"/>
  <c r="C122" i="6"/>
  <c r="E122" i="6"/>
  <c r="B123" i="6"/>
  <c r="C123" i="6"/>
  <c r="B124" i="6"/>
  <c r="C124" i="6"/>
  <c r="E124" i="6"/>
  <c r="B125" i="6"/>
  <c r="C125" i="6"/>
  <c r="D125" i="6"/>
  <c r="E125" i="6"/>
  <c r="F125" i="6" s="1"/>
  <c r="B126" i="6"/>
  <c r="C126" i="6"/>
  <c r="E126" i="6"/>
  <c r="B127" i="6"/>
  <c r="E127" i="6" s="1"/>
  <c r="C127" i="6"/>
  <c r="B128" i="6"/>
  <c r="C128" i="6"/>
  <c r="D128" i="6" s="1"/>
  <c r="E128" i="6"/>
  <c r="F128" i="6"/>
  <c r="B129" i="6"/>
  <c r="E129" i="6" s="1"/>
  <c r="F129" i="6" s="1"/>
  <c r="C129" i="6"/>
  <c r="D129" i="6"/>
  <c r="B130" i="6"/>
  <c r="C130" i="6"/>
  <c r="D130" i="6"/>
  <c r="E130" i="6"/>
  <c r="B131" i="6"/>
  <c r="C131" i="6"/>
  <c r="B132" i="6"/>
  <c r="E132" i="6" s="1"/>
  <c r="C132" i="6"/>
  <c r="B133" i="6"/>
  <c r="C133" i="6"/>
  <c r="D133" i="6"/>
  <c r="E133" i="6"/>
  <c r="F133" i="6"/>
  <c r="B134" i="6"/>
  <c r="C134" i="6"/>
  <c r="E134" i="6"/>
  <c r="B135" i="6"/>
  <c r="E135" i="6" s="1"/>
  <c r="F135" i="6" s="1"/>
  <c r="C135" i="6"/>
  <c r="D135" i="6"/>
  <c r="B136" i="6"/>
  <c r="C136" i="6"/>
  <c r="D136" i="6" s="1"/>
  <c r="E136" i="6"/>
  <c r="F136" i="6" s="1"/>
  <c r="B137" i="6"/>
  <c r="E137" i="6" s="1"/>
  <c r="F137" i="6" s="1"/>
  <c r="C137" i="6"/>
  <c r="D137" i="6"/>
  <c r="B138" i="6"/>
  <c r="C138" i="6"/>
  <c r="E138" i="6"/>
  <c r="B139" i="6"/>
  <c r="C139" i="6"/>
  <c r="B140" i="6"/>
  <c r="C140" i="6"/>
  <c r="E140" i="6"/>
  <c r="B141" i="6"/>
  <c r="C141" i="6"/>
  <c r="D141" i="6"/>
  <c r="E141" i="6"/>
  <c r="F141" i="6" s="1"/>
  <c r="B142" i="6"/>
  <c r="C142" i="6"/>
  <c r="E142" i="6"/>
  <c r="B143" i="6"/>
  <c r="E143" i="6" s="1"/>
  <c r="C143" i="6"/>
  <c r="D143" i="6" s="1"/>
  <c r="F143" i="6"/>
  <c r="B144" i="6"/>
  <c r="C144" i="6"/>
  <c r="D144" i="6" s="1"/>
  <c r="E144" i="6"/>
  <c r="F144" i="6"/>
  <c r="B145" i="6"/>
  <c r="E145" i="6" s="1"/>
  <c r="F145" i="6" s="1"/>
  <c r="C145" i="6"/>
  <c r="B146" i="6"/>
  <c r="C146" i="6"/>
  <c r="D146" i="6"/>
  <c r="E146" i="6"/>
  <c r="B147" i="6"/>
  <c r="E147" i="6" s="1"/>
  <c r="F147" i="6" s="1"/>
  <c r="C147" i="6"/>
  <c r="B148" i="6"/>
  <c r="C148" i="6"/>
  <c r="E148" i="6"/>
  <c r="B149" i="6"/>
  <c r="C149" i="6"/>
  <c r="D149" i="6"/>
  <c r="E149" i="6"/>
  <c r="F149" i="6" s="1"/>
  <c r="B150" i="6"/>
  <c r="C150" i="6"/>
  <c r="E150" i="6"/>
  <c r="B151" i="6"/>
  <c r="C151" i="6"/>
  <c r="B152" i="6"/>
  <c r="C152" i="6"/>
  <c r="D152" i="6" s="1"/>
  <c r="E152" i="6"/>
  <c r="F152" i="6" s="1"/>
  <c r="B153" i="6"/>
  <c r="E153" i="6" s="1"/>
  <c r="F153" i="6" s="1"/>
  <c r="C153" i="6"/>
  <c r="D153" i="6"/>
  <c r="B154" i="6"/>
  <c r="C154" i="6"/>
  <c r="D154" i="6" s="1"/>
  <c r="E154" i="6"/>
  <c r="B155" i="6"/>
  <c r="E155" i="6" s="1"/>
  <c r="C155" i="6"/>
  <c r="D155" i="6" s="1"/>
  <c r="F155" i="6"/>
  <c r="B156" i="6"/>
  <c r="E156" i="6" s="1"/>
  <c r="C156" i="6"/>
  <c r="B157" i="6"/>
  <c r="C157" i="6"/>
  <c r="D157" i="6"/>
  <c r="E157" i="6"/>
  <c r="F157" i="6" s="1"/>
  <c r="B158" i="6"/>
  <c r="C158" i="6"/>
  <c r="E158" i="6"/>
  <c r="B159" i="6"/>
  <c r="E159" i="6" s="1"/>
  <c r="C159" i="6"/>
  <c r="D159" i="6" s="1"/>
  <c r="F159" i="6"/>
  <c r="B160" i="6"/>
  <c r="C160" i="6"/>
  <c r="D160" i="6" s="1"/>
  <c r="E160" i="6"/>
  <c r="F160" i="6" s="1"/>
  <c r="B161" i="6"/>
  <c r="E161" i="6" s="1"/>
  <c r="F161" i="6" s="1"/>
  <c r="C161" i="6"/>
  <c r="D161" i="6"/>
  <c r="B162" i="6"/>
  <c r="C162" i="6"/>
  <c r="D162" i="6"/>
  <c r="E162" i="6"/>
  <c r="B163" i="6"/>
  <c r="C163" i="6"/>
  <c r="B164" i="6"/>
  <c r="C164" i="6"/>
  <c r="E164" i="6"/>
  <c r="B165" i="6"/>
  <c r="C165" i="6"/>
  <c r="D165" i="6"/>
  <c r="E165" i="6"/>
  <c r="F165" i="6"/>
  <c r="B166" i="6"/>
  <c r="C166" i="6"/>
  <c r="E166" i="6"/>
  <c r="B167" i="6"/>
  <c r="E167" i="6" s="1"/>
  <c r="C167" i="6"/>
  <c r="B168" i="6"/>
  <c r="C168" i="6"/>
  <c r="D168" i="6" s="1"/>
  <c r="E168" i="6"/>
  <c r="F168" i="6" s="1"/>
  <c r="B169" i="6"/>
  <c r="C169" i="6"/>
  <c r="B170" i="6"/>
  <c r="C170" i="6"/>
  <c r="E170" i="6"/>
  <c r="B171" i="6"/>
  <c r="C171" i="6"/>
  <c r="B172" i="6"/>
  <c r="C172" i="6"/>
  <c r="E172" i="6"/>
  <c r="B173" i="6"/>
  <c r="C173" i="6"/>
  <c r="D173" i="6"/>
  <c r="E173" i="6"/>
  <c r="F173" i="6"/>
  <c r="B174" i="6"/>
  <c r="C174" i="6"/>
  <c r="E174" i="6"/>
  <c r="B175" i="6"/>
  <c r="E175" i="6" s="1"/>
  <c r="C175" i="6"/>
  <c r="D175" i="6" s="1"/>
  <c r="B176" i="6"/>
  <c r="C176" i="6"/>
  <c r="D176" i="6" s="1"/>
  <c r="E176" i="6"/>
  <c r="F176" i="6"/>
  <c r="B177" i="6"/>
  <c r="E177" i="6" s="1"/>
  <c r="F177" i="6" s="1"/>
  <c r="C177" i="6"/>
  <c r="D177" i="6"/>
  <c r="B178" i="6"/>
  <c r="C178" i="6"/>
  <c r="E178" i="6"/>
  <c r="B179" i="6"/>
  <c r="C179" i="6"/>
  <c r="B180" i="6"/>
  <c r="C180" i="6"/>
  <c r="E180" i="6"/>
  <c r="B181" i="6"/>
  <c r="C181" i="6"/>
  <c r="D181" i="6"/>
  <c r="E181" i="6"/>
  <c r="F181" i="6"/>
  <c r="B182" i="6"/>
  <c r="C182" i="6"/>
  <c r="E182" i="6"/>
  <c r="B183" i="6"/>
  <c r="E183" i="6" s="1"/>
  <c r="C183" i="6"/>
  <c r="D183" i="6"/>
  <c r="F183" i="6"/>
  <c r="B184" i="6"/>
  <c r="C184" i="6"/>
  <c r="D184" i="6" s="1"/>
  <c r="E184" i="6"/>
  <c r="F184" i="6" s="1"/>
  <c r="B185" i="6"/>
  <c r="E185" i="6" s="1"/>
  <c r="F185" i="6" s="1"/>
  <c r="C185" i="6"/>
  <c r="D185" i="6"/>
  <c r="B186" i="6"/>
  <c r="C186" i="6"/>
  <c r="E186" i="6"/>
  <c r="B187" i="6"/>
  <c r="C187" i="6"/>
  <c r="B188" i="6"/>
  <c r="C188" i="6"/>
  <c r="E188" i="6"/>
  <c r="B189" i="6"/>
  <c r="C189" i="6"/>
  <c r="D189" i="6"/>
  <c r="E189" i="6"/>
  <c r="F189" i="6" s="1"/>
  <c r="B190" i="6"/>
  <c r="C190" i="6"/>
  <c r="E190" i="6"/>
  <c r="B191" i="6"/>
  <c r="E191" i="6" s="1"/>
  <c r="C191" i="6"/>
  <c r="B192" i="6"/>
  <c r="C192" i="6"/>
  <c r="D192" i="6" s="1"/>
  <c r="E192" i="6"/>
  <c r="F192" i="6"/>
  <c r="B193" i="6"/>
  <c r="E193" i="6" s="1"/>
  <c r="F193" i="6" s="1"/>
  <c r="C193" i="6"/>
  <c r="D193" i="6"/>
  <c r="B194" i="6"/>
  <c r="C194" i="6"/>
  <c r="D194" i="6"/>
  <c r="E194" i="6"/>
  <c r="B195" i="6"/>
  <c r="C195" i="6"/>
  <c r="B196" i="6"/>
  <c r="E196" i="6" s="1"/>
  <c r="C196" i="6"/>
  <c r="B197" i="6"/>
  <c r="C197" i="6"/>
  <c r="D197" i="6"/>
  <c r="E197" i="6"/>
  <c r="F197" i="6"/>
  <c r="B198" i="6"/>
  <c r="C198" i="6"/>
  <c r="E198" i="6"/>
  <c r="B199" i="6"/>
  <c r="E199" i="6" s="1"/>
  <c r="F199" i="6" s="1"/>
  <c r="C199" i="6"/>
  <c r="B200" i="6"/>
  <c r="C200" i="6"/>
  <c r="D200" i="6" s="1"/>
  <c r="E200" i="6"/>
  <c r="F200" i="6" s="1"/>
  <c r="B201" i="6"/>
  <c r="C201" i="6"/>
  <c r="B202" i="6"/>
  <c r="C202" i="6"/>
  <c r="F202" i="6" s="1"/>
  <c r="D202" i="6"/>
  <c r="E202" i="6"/>
  <c r="B203" i="6"/>
  <c r="C203" i="6"/>
  <c r="B204" i="6"/>
  <c r="C204" i="6"/>
  <c r="E204" i="6"/>
  <c r="B205" i="6"/>
  <c r="C205" i="6"/>
  <c r="D205" i="6"/>
  <c r="E205" i="6"/>
  <c r="F205" i="6" s="1"/>
  <c r="B206" i="6"/>
  <c r="C206" i="6"/>
  <c r="E206" i="6"/>
  <c r="B207" i="6"/>
  <c r="E207" i="6" s="1"/>
  <c r="F207" i="6" s="1"/>
  <c r="C207" i="6"/>
  <c r="B208" i="6"/>
  <c r="C208" i="6"/>
  <c r="D208" i="6" s="1"/>
  <c r="E208" i="6"/>
  <c r="F208" i="6"/>
  <c r="B209" i="6"/>
  <c r="C209" i="6"/>
  <c r="B210" i="6"/>
  <c r="C210" i="6"/>
  <c r="D210" i="6"/>
  <c r="E210" i="6"/>
  <c r="B211" i="6"/>
  <c r="C211" i="6"/>
  <c r="B212" i="6"/>
  <c r="C212" i="6"/>
  <c r="E212" i="6"/>
  <c r="B213" i="6"/>
  <c r="C213" i="6"/>
  <c r="D213" i="6"/>
  <c r="E213" i="6"/>
  <c r="F213" i="6" s="1"/>
  <c r="B214" i="6"/>
  <c r="C214" i="6"/>
  <c r="E214" i="6"/>
  <c r="B215" i="6"/>
  <c r="E215" i="6" s="1"/>
  <c r="C215" i="6"/>
  <c r="D215" i="6"/>
  <c r="F215" i="6"/>
  <c r="B216" i="6"/>
  <c r="C216" i="6"/>
  <c r="D216" i="6" s="1"/>
  <c r="E216" i="6"/>
  <c r="F216" i="6" s="1"/>
  <c r="B217" i="6"/>
  <c r="E217" i="6" s="1"/>
  <c r="F217" i="6" s="1"/>
  <c r="C217" i="6"/>
  <c r="B218" i="6"/>
  <c r="C218" i="6"/>
  <c r="D218" i="6" s="1"/>
  <c r="E218" i="6"/>
  <c r="B219" i="6"/>
  <c r="C219" i="6"/>
  <c r="B220" i="6"/>
  <c r="E220" i="6" s="1"/>
  <c r="C220" i="6"/>
  <c r="B221" i="6"/>
  <c r="C221" i="6"/>
  <c r="D221" i="6"/>
  <c r="E221" i="6"/>
  <c r="F221" i="6" s="1"/>
  <c r="B222" i="6"/>
  <c r="C222" i="6"/>
  <c r="E222" i="6"/>
  <c r="B223" i="6"/>
  <c r="E223" i="6" s="1"/>
  <c r="C223" i="6"/>
  <c r="D223" i="6" s="1"/>
  <c r="F223" i="6"/>
  <c r="B224" i="6"/>
  <c r="C224" i="6"/>
  <c r="D224" i="6" s="1"/>
  <c r="E224" i="6"/>
  <c r="F224" i="6" s="1"/>
  <c r="B225" i="6"/>
  <c r="E225" i="6" s="1"/>
  <c r="F225" i="6" s="1"/>
  <c r="C225" i="6"/>
  <c r="D225" i="6"/>
  <c r="B226" i="6"/>
  <c r="C226" i="6"/>
  <c r="D226" i="6"/>
  <c r="E226" i="6"/>
  <c r="B227" i="6"/>
  <c r="C227" i="6"/>
  <c r="B228" i="6"/>
  <c r="C228" i="6"/>
  <c r="E228" i="6"/>
  <c r="B229" i="6"/>
  <c r="C229" i="6"/>
  <c r="D229" i="6"/>
  <c r="E229" i="6"/>
  <c r="F229" i="6"/>
  <c r="B230" i="6"/>
  <c r="C230" i="6"/>
  <c r="E230" i="6"/>
  <c r="B231" i="6"/>
  <c r="E231" i="6" s="1"/>
  <c r="C231" i="6"/>
  <c r="B232" i="6"/>
  <c r="C232" i="6"/>
  <c r="D232" i="6" s="1"/>
  <c r="E232" i="6"/>
  <c r="F232" i="6" s="1"/>
  <c r="B233" i="6"/>
  <c r="C233" i="6"/>
  <c r="B234" i="6"/>
  <c r="C234" i="6"/>
  <c r="D234" i="6"/>
  <c r="E234" i="6"/>
  <c r="B235" i="6"/>
  <c r="E235" i="6" s="1"/>
  <c r="C235" i="6"/>
  <c r="B236" i="6"/>
  <c r="E236" i="6" s="1"/>
  <c r="C236" i="6"/>
  <c r="D236" i="6"/>
  <c r="F236" i="6"/>
  <c r="B237" i="6"/>
  <c r="E237" i="6" s="1"/>
  <c r="F237" i="6" s="1"/>
  <c r="C237" i="6"/>
  <c r="B238" i="6"/>
  <c r="D238" i="6" s="1"/>
  <c r="C238" i="6"/>
  <c r="B239" i="6"/>
  <c r="C239" i="6"/>
  <c r="E239" i="6"/>
  <c r="B240" i="6"/>
  <c r="E240" i="6" s="1"/>
  <c r="C240" i="6"/>
  <c r="D240" i="6" s="1"/>
  <c r="B241" i="6"/>
  <c r="C241" i="6"/>
  <c r="D241" i="6" s="1"/>
  <c r="E241" i="6"/>
  <c r="F241" i="6" s="1"/>
  <c r="B242" i="6"/>
  <c r="C242" i="6"/>
  <c r="D242" i="6"/>
  <c r="E242" i="6"/>
  <c r="F242" i="6"/>
  <c r="B243" i="6"/>
  <c r="E243" i="6" s="1"/>
  <c r="C243" i="6"/>
  <c r="F243" i="6" s="1"/>
  <c r="B244" i="6"/>
  <c r="E244" i="6" s="1"/>
  <c r="F244" i="6" s="1"/>
  <c r="C244" i="6"/>
  <c r="D244" i="6"/>
  <c r="B245" i="6"/>
  <c r="C245" i="6"/>
  <c r="D245" i="6" s="1"/>
  <c r="E245" i="6"/>
  <c r="F245" i="6" s="1"/>
  <c r="B246" i="6"/>
  <c r="C246" i="6"/>
  <c r="B247" i="6"/>
  <c r="C247" i="6"/>
  <c r="E247" i="6"/>
  <c r="B248" i="6"/>
  <c r="E248" i="6" s="1"/>
  <c r="C248" i="6"/>
  <c r="B249" i="6"/>
  <c r="C249" i="6"/>
  <c r="D249" i="6" s="1"/>
  <c r="E249" i="6"/>
  <c r="B250" i="6"/>
  <c r="C250" i="6"/>
  <c r="D250" i="6"/>
  <c r="E250" i="6"/>
  <c r="F250" i="6"/>
  <c r="B251" i="6"/>
  <c r="E251" i="6" s="1"/>
  <c r="C251" i="6"/>
  <c r="D251" i="6" s="1"/>
  <c r="B252" i="6"/>
  <c r="E252" i="6" s="1"/>
  <c r="C252" i="6"/>
  <c r="D252" i="6"/>
  <c r="F252" i="6"/>
  <c r="B253" i="6"/>
  <c r="C253" i="6"/>
  <c r="D253" i="6" s="1"/>
  <c r="E253" i="6"/>
  <c r="F253" i="6" s="1"/>
  <c r="B254" i="6"/>
  <c r="C254" i="6"/>
  <c r="D254" i="6"/>
  <c r="E254" i="6"/>
  <c r="B255" i="6"/>
  <c r="C255" i="6"/>
  <c r="E255" i="6"/>
  <c r="B256" i="6"/>
  <c r="E256" i="6" s="1"/>
  <c r="F256" i="6" s="1"/>
  <c r="C256" i="6"/>
  <c r="B257" i="6"/>
  <c r="C257" i="6"/>
  <c r="E257" i="6"/>
  <c r="B258" i="6"/>
  <c r="C258" i="6"/>
  <c r="D258" i="6"/>
  <c r="E258" i="6"/>
  <c r="F258" i="6"/>
  <c r="B259" i="6"/>
  <c r="E259" i="6" s="1"/>
  <c r="C259" i="6"/>
  <c r="D259" i="6" s="1"/>
  <c r="B260" i="6"/>
  <c r="E260" i="6" s="1"/>
  <c r="F260" i="6" s="1"/>
  <c r="C260" i="6"/>
  <c r="B261" i="6"/>
  <c r="E261" i="6" s="1"/>
  <c r="F261" i="6" s="1"/>
  <c r="C261" i="6"/>
  <c r="D261" i="6" s="1"/>
  <c r="B262" i="6"/>
  <c r="E262" i="6" s="1"/>
  <c r="C262" i="6"/>
  <c r="D262" i="6"/>
  <c r="B263" i="6"/>
  <c r="C263" i="6"/>
  <c r="E263" i="6"/>
  <c r="B264" i="6"/>
  <c r="E264" i="6" s="1"/>
  <c r="C264" i="6"/>
  <c r="F264" i="6"/>
  <c r="B265" i="6"/>
  <c r="C265" i="6"/>
  <c r="D265" i="6" s="1"/>
  <c r="E265" i="6"/>
  <c r="F265" i="6"/>
  <c r="B266" i="6"/>
  <c r="C266" i="6"/>
  <c r="D266" i="6"/>
  <c r="E266" i="6"/>
  <c r="F266" i="6"/>
  <c r="B267" i="6"/>
  <c r="E267" i="6" s="1"/>
  <c r="C267" i="6"/>
  <c r="F267" i="6" s="1"/>
  <c r="D267" i="6"/>
  <c r="B268" i="6"/>
  <c r="C268" i="6"/>
  <c r="B269" i="6"/>
  <c r="E269" i="6" s="1"/>
  <c r="F269" i="6" s="1"/>
  <c r="C269" i="6"/>
  <c r="B270" i="6"/>
  <c r="C270" i="6"/>
  <c r="B271" i="6"/>
  <c r="C271" i="6"/>
  <c r="E271" i="6"/>
  <c r="B272" i="6"/>
  <c r="E272" i="6" s="1"/>
  <c r="C272" i="6"/>
  <c r="D272" i="6" s="1"/>
  <c r="F272" i="6"/>
  <c r="B273" i="6"/>
  <c r="C273" i="6"/>
  <c r="D273" i="6" s="1"/>
  <c r="E273" i="6"/>
  <c r="F273" i="6" s="1"/>
  <c r="B274" i="6"/>
  <c r="C274" i="6"/>
  <c r="D274" i="6"/>
  <c r="E274" i="6"/>
  <c r="F274" i="6"/>
  <c r="B275" i="6"/>
  <c r="E275" i="6" s="1"/>
  <c r="C275" i="6"/>
  <c r="F275" i="6" s="1"/>
  <c r="B276" i="6"/>
  <c r="E276" i="6" s="1"/>
  <c r="C276" i="6"/>
  <c r="D276" i="6"/>
  <c r="F276" i="6"/>
  <c r="B277" i="6"/>
  <c r="C277" i="6"/>
  <c r="E277" i="6"/>
  <c r="F277" i="6" s="1"/>
  <c r="B278" i="6"/>
  <c r="D278" i="6" s="1"/>
  <c r="C278" i="6"/>
  <c r="E278" i="6"/>
  <c r="B279" i="6"/>
  <c r="C279" i="6"/>
  <c r="E279" i="6"/>
  <c r="B280" i="6"/>
  <c r="E280" i="6" s="1"/>
  <c r="C280" i="6"/>
  <c r="F280" i="6" s="1"/>
  <c r="B281" i="6"/>
  <c r="C281" i="6"/>
  <c r="E281" i="6"/>
  <c r="B282" i="6"/>
  <c r="C282" i="6"/>
  <c r="D282" i="6"/>
  <c r="E282" i="6"/>
  <c r="F282" i="6"/>
  <c r="B283" i="6"/>
  <c r="E283" i="6" s="1"/>
  <c r="C283" i="6"/>
  <c r="B284" i="6"/>
  <c r="E284" i="6" s="1"/>
  <c r="F284" i="6" s="1"/>
  <c r="C284" i="6"/>
  <c r="D284" i="6"/>
  <c r="B285" i="6"/>
  <c r="C285" i="6"/>
  <c r="D285" i="6" s="1"/>
  <c r="E285" i="6"/>
  <c r="F285" i="6" s="1"/>
  <c r="B286" i="6"/>
  <c r="E286" i="6" s="1"/>
  <c r="C286" i="6"/>
  <c r="D286" i="6"/>
  <c r="B287" i="6"/>
  <c r="C287" i="6"/>
  <c r="E287" i="6"/>
  <c r="B288" i="6"/>
  <c r="E288" i="6" s="1"/>
  <c r="C288" i="6"/>
  <c r="F288" i="6" s="1"/>
  <c r="B289" i="6"/>
  <c r="C289" i="6"/>
  <c r="D289" i="6" s="1"/>
  <c r="E289" i="6"/>
  <c r="B290" i="6"/>
  <c r="C290" i="6"/>
  <c r="D290" i="6"/>
  <c r="E290" i="6"/>
  <c r="F290" i="6"/>
  <c r="B291" i="6"/>
  <c r="E291" i="6" s="1"/>
  <c r="C291" i="6"/>
  <c r="D291" i="6"/>
  <c r="B292" i="6"/>
  <c r="C292" i="6"/>
  <c r="B293" i="6"/>
  <c r="E293" i="6" s="1"/>
  <c r="F293" i="6" s="1"/>
  <c r="C293" i="6"/>
  <c r="B294" i="6"/>
  <c r="C294" i="6"/>
  <c r="F294" i="6" s="1"/>
  <c r="D294" i="6"/>
  <c r="E294" i="6"/>
  <c r="B295" i="6"/>
  <c r="C295" i="6"/>
  <c r="E295" i="6"/>
  <c r="B296" i="6"/>
  <c r="E296" i="6" s="1"/>
  <c r="C296" i="6"/>
  <c r="D296" i="6" s="1"/>
  <c r="F296" i="6"/>
  <c r="B297" i="6"/>
  <c r="C297" i="6"/>
  <c r="D297" i="6" s="1"/>
  <c r="E297" i="6"/>
  <c r="F297" i="6"/>
  <c r="B298" i="6"/>
  <c r="C298" i="6"/>
  <c r="D298" i="6"/>
  <c r="E298" i="6"/>
  <c r="F298" i="6"/>
  <c r="B299" i="6"/>
  <c r="E299" i="6" s="1"/>
  <c r="C299" i="6"/>
  <c r="D299" i="6"/>
  <c r="B300" i="6"/>
  <c r="E300" i="6" s="1"/>
  <c r="C300" i="6"/>
  <c r="F300" i="6"/>
  <c r="B301" i="6"/>
  <c r="E301" i="6" s="1"/>
  <c r="F301" i="6" s="1"/>
  <c r="C301" i="6"/>
  <c r="B302" i="6"/>
  <c r="D302" i="6" s="1"/>
  <c r="C302" i="6"/>
  <c r="B303" i="6"/>
  <c r="C303" i="6"/>
  <c r="E303" i="6"/>
  <c r="B304" i="6"/>
  <c r="E304" i="6" s="1"/>
  <c r="C304" i="6"/>
  <c r="D304" i="6" s="1"/>
  <c r="B305" i="6"/>
  <c r="C305" i="6"/>
  <c r="D305" i="6" s="1"/>
  <c r="E305" i="6"/>
  <c r="F305" i="6" s="1"/>
  <c r="B306" i="6"/>
  <c r="C306" i="6"/>
  <c r="D306" i="6"/>
  <c r="E306" i="6"/>
  <c r="F306" i="6"/>
  <c r="B307" i="6"/>
  <c r="E307" i="6" s="1"/>
  <c r="C307" i="6"/>
  <c r="F307" i="6" s="1"/>
  <c r="B308" i="6"/>
  <c r="E308" i="6" s="1"/>
  <c r="F308" i="6" s="1"/>
  <c r="C308" i="6"/>
  <c r="D308" i="6"/>
  <c r="B309" i="6"/>
  <c r="C309" i="6"/>
  <c r="D309" i="6" s="1"/>
  <c r="E309" i="6"/>
  <c r="F309" i="6" s="1"/>
  <c r="B310" i="6"/>
  <c r="C310" i="6"/>
  <c r="B311" i="6"/>
  <c r="C311" i="6"/>
  <c r="E311" i="6"/>
  <c r="B312" i="6"/>
  <c r="E312" i="6" s="1"/>
  <c r="C312" i="6"/>
  <c r="B313" i="6"/>
  <c r="C313" i="6"/>
  <c r="D313" i="6" s="1"/>
  <c r="E313" i="6"/>
  <c r="B314" i="6"/>
  <c r="C314" i="6"/>
  <c r="D314" i="6"/>
  <c r="E314" i="6"/>
  <c r="F314" i="6"/>
  <c r="B315" i="6"/>
  <c r="E315" i="6" s="1"/>
  <c r="C315" i="6"/>
  <c r="D315" i="6" s="1"/>
  <c r="B316" i="6"/>
  <c r="E316" i="6" s="1"/>
  <c r="C316" i="6"/>
  <c r="D316" i="6"/>
  <c r="F316" i="6"/>
  <c r="B317" i="6"/>
  <c r="C317" i="6"/>
  <c r="D317" i="6" s="1"/>
  <c r="E317" i="6"/>
  <c r="F317" i="6" s="1"/>
  <c r="B318" i="6"/>
  <c r="C318" i="6"/>
  <c r="D318" i="6"/>
  <c r="E318" i="6"/>
  <c r="B319" i="6"/>
  <c r="C319" i="6"/>
  <c r="E319" i="6"/>
  <c r="B320" i="6"/>
  <c r="E320" i="6" s="1"/>
  <c r="F320" i="6" s="1"/>
  <c r="C320" i="6"/>
  <c r="B321" i="6"/>
  <c r="C321" i="6"/>
  <c r="E321" i="6"/>
  <c r="B322" i="6"/>
  <c r="C322" i="6"/>
  <c r="D322" i="6"/>
  <c r="E322" i="6"/>
  <c r="F322" i="6"/>
  <c r="B323" i="6"/>
  <c r="E323" i="6" s="1"/>
  <c r="C323" i="6"/>
  <c r="D323" i="6" s="1"/>
  <c r="B324" i="6"/>
  <c r="C324" i="6"/>
  <c r="B325" i="6"/>
  <c r="E325" i="6" s="1"/>
  <c r="F325" i="6" s="1"/>
  <c r="C325" i="6"/>
  <c r="D325" i="6" s="1"/>
  <c r="B326" i="6"/>
  <c r="E326" i="6" s="1"/>
  <c r="C326" i="6"/>
  <c r="F326" i="6" s="1"/>
  <c r="D326" i="6"/>
  <c r="B327" i="6"/>
  <c r="C327" i="6"/>
  <c r="E327" i="6"/>
  <c r="B328" i="6"/>
  <c r="E328" i="6" s="1"/>
  <c r="C328" i="6"/>
  <c r="F328" i="6"/>
  <c r="B329" i="6"/>
  <c r="C329" i="6"/>
  <c r="D329" i="6" s="1"/>
  <c r="E329" i="6"/>
  <c r="F329" i="6"/>
  <c r="B330" i="6"/>
  <c r="C330" i="6"/>
  <c r="D330" i="6"/>
  <c r="E330" i="6"/>
  <c r="F330" i="6"/>
  <c r="B331" i="6"/>
  <c r="E331" i="6" s="1"/>
  <c r="C331" i="6"/>
  <c r="F331" i="6" s="1"/>
  <c r="D331" i="6"/>
  <c r="B332" i="6"/>
  <c r="C332" i="6"/>
  <c r="B333" i="6"/>
  <c r="E333" i="6" s="1"/>
  <c r="F333" i="6" s="1"/>
  <c r="C333" i="6"/>
  <c r="B334" i="6"/>
  <c r="C334" i="6"/>
  <c r="B335" i="6"/>
  <c r="C335" i="6"/>
  <c r="E335" i="6"/>
  <c r="B336" i="6"/>
  <c r="E336" i="6" s="1"/>
  <c r="C336" i="6"/>
  <c r="D336" i="6" s="1"/>
  <c r="B337" i="6"/>
  <c r="C337" i="6"/>
  <c r="D337" i="6" s="1"/>
  <c r="E337" i="6"/>
  <c r="F337" i="6" s="1"/>
  <c r="B338" i="6"/>
  <c r="C338" i="6"/>
  <c r="D338" i="6"/>
  <c r="E338" i="6"/>
  <c r="F338" i="6"/>
  <c r="B339" i="6"/>
  <c r="E339" i="6" s="1"/>
  <c r="C339" i="6"/>
  <c r="B340" i="6"/>
  <c r="E340" i="6" s="1"/>
  <c r="C340" i="6"/>
  <c r="D340" i="6"/>
  <c r="F340" i="6"/>
  <c r="B341" i="6"/>
  <c r="C341" i="6"/>
  <c r="E341" i="6"/>
  <c r="F341" i="6" s="1"/>
  <c r="B342" i="6"/>
  <c r="D342" i="6" s="1"/>
  <c r="C342" i="6"/>
  <c r="E342" i="6"/>
  <c r="B343" i="6"/>
  <c r="C343" i="6"/>
  <c r="E343" i="6"/>
  <c r="B344" i="6"/>
  <c r="E344" i="6" s="1"/>
  <c r="C344" i="6"/>
  <c r="B345" i="6"/>
  <c r="C345" i="6"/>
  <c r="E345" i="6"/>
  <c r="B346" i="6"/>
  <c r="C346" i="6"/>
  <c r="D346" i="6"/>
  <c r="E346" i="6"/>
  <c r="F346" i="6"/>
  <c r="B347" i="6"/>
  <c r="E347" i="6" s="1"/>
  <c r="C347" i="6"/>
  <c r="B348" i="6"/>
  <c r="E348" i="6" s="1"/>
  <c r="C348" i="6"/>
  <c r="B349" i="6"/>
  <c r="E349" i="6" s="1"/>
  <c r="F349" i="6" s="1"/>
  <c r="C349" i="6"/>
  <c r="B350" i="6"/>
  <c r="E350" i="6" s="1"/>
  <c r="C350" i="6"/>
  <c r="B351" i="6"/>
  <c r="C351" i="6"/>
  <c r="D351" i="6" s="1"/>
  <c r="E351" i="6"/>
  <c r="F351" i="6"/>
  <c r="B352" i="6"/>
  <c r="E352" i="6" s="1"/>
  <c r="F352" i="6" s="1"/>
  <c r="C352" i="6"/>
  <c r="B353" i="6"/>
  <c r="E353" i="6" s="1"/>
  <c r="F353" i="6" s="1"/>
  <c r="C353" i="6"/>
  <c r="B354" i="6"/>
  <c r="C354" i="6"/>
  <c r="D354" i="6"/>
  <c r="E354" i="6"/>
  <c r="F354" i="6" s="1"/>
  <c r="B355" i="6"/>
  <c r="E355" i="6" s="1"/>
  <c r="C355" i="6"/>
  <c r="D355" i="6"/>
  <c r="B356" i="6"/>
  <c r="D356" i="6" s="1"/>
  <c r="C356" i="6"/>
  <c r="E356" i="6"/>
  <c r="F356" i="6"/>
  <c r="B357" i="6"/>
  <c r="C357" i="6"/>
  <c r="E357" i="6"/>
  <c r="F357" i="6" s="1"/>
  <c r="B358" i="6"/>
  <c r="C358" i="6"/>
  <c r="D358" i="6"/>
  <c r="E358" i="6"/>
  <c r="F358" i="6" s="1"/>
  <c r="B359" i="6"/>
  <c r="C359" i="6"/>
  <c r="E359" i="6"/>
  <c r="B360" i="6"/>
  <c r="E360" i="6" s="1"/>
  <c r="C360" i="6"/>
  <c r="B361" i="6"/>
  <c r="E361" i="6" s="1"/>
  <c r="C361" i="6"/>
  <c r="D361" i="6" s="1"/>
  <c r="F361" i="6"/>
  <c r="B362" i="6"/>
  <c r="D362" i="6" s="1"/>
  <c r="C362" i="6"/>
  <c r="B363" i="6"/>
  <c r="C363" i="6"/>
  <c r="D363" i="6"/>
  <c r="E363" i="6"/>
  <c r="B364" i="6"/>
  <c r="E364" i="6" s="1"/>
  <c r="C364" i="6"/>
  <c r="F364" i="6" s="1"/>
  <c r="D364" i="6"/>
  <c r="B365" i="6"/>
  <c r="C365" i="6"/>
  <c r="E365" i="6"/>
  <c r="B366" i="6"/>
  <c r="E366" i="6" s="1"/>
  <c r="C366" i="6"/>
  <c r="B367" i="6"/>
  <c r="C367" i="6"/>
  <c r="D367" i="6" s="1"/>
  <c r="E367" i="6"/>
  <c r="B368" i="6"/>
  <c r="E368" i="6" s="1"/>
  <c r="C368" i="6"/>
  <c r="F368" i="6"/>
  <c r="B369" i="6"/>
  <c r="C369" i="6"/>
  <c r="E369" i="6"/>
  <c r="B370" i="6"/>
  <c r="C370" i="6"/>
  <c r="D370" i="6"/>
  <c r="E370" i="6"/>
  <c r="F370" i="6"/>
  <c r="B371" i="6"/>
  <c r="E371" i="6" s="1"/>
  <c r="C371" i="6"/>
  <c r="B372" i="6"/>
  <c r="C372" i="6"/>
  <c r="F372" i="6" s="1"/>
  <c r="D372" i="6"/>
  <c r="E372" i="6"/>
  <c r="B373" i="6"/>
  <c r="E373" i="6" s="1"/>
  <c r="C373" i="6"/>
  <c r="F373" i="6" s="1"/>
  <c r="B374" i="6"/>
  <c r="E374" i="6" s="1"/>
  <c r="F374" i="6" s="1"/>
  <c r="C374" i="6"/>
  <c r="D374" i="6"/>
  <c r="B375" i="6"/>
  <c r="C375" i="6"/>
  <c r="D375" i="6"/>
  <c r="E375" i="6"/>
  <c r="F375" i="6"/>
  <c r="B376" i="6"/>
  <c r="E376" i="6" s="1"/>
  <c r="F376" i="6" s="1"/>
  <c r="C376" i="6"/>
  <c r="D376" i="6"/>
  <c r="B377" i="6"/>
  <c r="C377" i="6"/>
  <c r="D377" i="6"/>
  <c r="E377" i="6"/>
  <c r="F377" i="6"/>
  <c r="B378" i="6"/>
  <c r="E378" i="6" s="1"/>
  <c r="C378" i="6"/>
  <c r="B379" i="6"/>
  <c r="E379" i="6" s="1"/>
  <c r="C379" i="6"/>
  <c r="D379" i="6" s="1"/>
  <c r="B380" i="6"/>
  <c r="D380" i="6" s="1"/>
  <c r="C380" i="6"/>
  <c r="E380" i="6"/>
  <c r="F380" i="6"/>
  <c r="B381" i="6"/>
  <c r="E381" i="6" s="1"/>
  <c r="C381" i="6"/>
  <c r="B382" i="6"/>
  <c r="C382" i="6"/>
  <c r="D382" i="6"/>
  <c r="E382" i="6"/>
  <c r="B383" i="6"/>
  <c r="E383" i="6" s="1"/>
  <c r="F383" i="6" s="1"/>
  <c r="C383" i="6"/>
  <c r="B384" i="6"/>
  <c r="C384" i="6"/>
  <c r="E384" i="6"/>
  <c r="B385" i="6"/>
  <c r="C385" i="6"/>
  <c r="D385" i="6"/>
  <c r="E385" i="6"/>
  <c r="F385" i="6" s="1"/>
  <c r="B386" i="6"/>
  <c r="E386" i="6" s="1"/>
  <c r="C386" i="6"/>
  <c r="B387" i="6"/>
  <c r="E387" i="6" s="1"/>
  <c r="C387" i="6"/>
  <c r="D387" i="6" s="1"/>
  <c r="F387" i="6"/>
  <c r="B388" i="6"/>
  <c r="D388" i="6" s="1"/>
  <c r="C388" i="6"/>
  <c r="E388" i="6"/>
  <c r="F388" i="6"/>
  <c r="B389" i="6"/>
  <c r="E389" i="6" s="1"/>
  <c r="C389" i="6"/>
  <c r="F389" i="6" s="1"/>
  <c r="D389" i="6"/>
  <c r="B390" i="6"/>
  <c r="C390" i="6"/>
  <c r="F390" i="6" s="1"/>
  <c r="E390" i="6"/>
  <c r="B391" i="6"/>
  <c r="E391" i="6" s="1"/>
  <c r="C391" i="6"/>
  <c r="D391" i="6" s="1"/>
  <c r="F391" i="6"/>
  <c r="B392" i="6"/>
  <c r="C392" i="6"/>
  <c r="E392" i="6"/>
  <c r="B393" i="6"/>
  <c r="C393" i="6"/>
  <c r="D393" i="6"/>
  <c r="E393" i="6"/>
  <c r="F393" i="6"/>
  <c r="B394" i="6"/>
  <c r="E394" i="6" s="1"/>
  <c r="C394" i="6"/>
  <c r="B395" i="6"/>
  <c r="E395" i="6" s="1"/>
  <c r="C395" i="6"/>
  <c r="D395" i="6" s="1"/>
  <c r="B396" i="6"/>
  <c r="D396" i="6" s="1"/>
  <c r="C396" i="6"/>
  <c r="E396" i="6"/>
  <c r="F396" i="6"/>
  <c r="B397" i="6"/>
  <c r="E397" i="6" s="1"/>
  <c r="C397" i="6"/>
  <c r="B398" i="6"/>
  <c r="C398" i="6"/>
  <c r="D398" i="6"/>
  <c r="E398" i="6"/>
  <c r="B399" i="6"/>
  <c r="E399" i="6" s="1"/>
  <c r="F399" i="6" s="1"/>
  <c r="C399" i="6"/>
  <c r="B400" i="6"/>
  <c r="C400" i="6"/>
  <c r="E400" i="6"/>
  <c r="B401" i="6"/>
  <c r="C401" i="6"/>
  <c r="D401" i="6"/>
  <c r="E401" i="6"/>
  <c r="F401" i="6" s="1"/>
  <c r="B402" i="6"/>
  <c r="E402" i="6" s="1"/>
  <c r="C402" i="6"/>
  <c r="B403" i="6"/>
  <c r="E403" i="6" s="1"/>
  <c r="C403" i="6"/>
  <c r="D403" i="6" s="1"/>
  <c r="F403" i="6"/>
  <c r="B404" i="6"/>
  <c r="D404" i="6" s="1"/>
  <c r="C404" i="6"/>
  <c r="E404" i="6"/>
  <c r="F404" i="6"/>
  <c r="B405" i="6"/>
  <c r="E405" i="6" s="1"/>
  <c r="C405" i="6"/>
  <c r="F405" i="6" s="1"/>
  <c r="D405" i="6"/>
  <c r="B406" i="6"/>
  <c r="C406" i="6"/>
  <c r="F406" i="6" s="1"/>
  <c r="E406" i="6"/>
  <c r="B407" i="6"/>
  <c r="E407" i="6" s="1"/>
  <c r="C407" i="6"/>
  <c r="D407" i="6" s="1"/>
  <c r="F407" i="6"/>
  <c r="B408" i="6"/>
  <c r="C408" i="6"/>
  <c r="E408" i="6"/>
  <c r="B409" i="6"/>
  <c r="C409" i="6"/>
  <c r="D409" i="6"/>
  <c r="E409" i="6"/>
  <c r="F409" i="6"/>
  <c r="B410" i="6"/>
  <c r="E410" i="6" s="1"/>
  <c r="C410" i="6"/>
  <c r="B411" i="6"/>
  <c r="E411" i="6" s="1"/>
  <c r="C411" i="6"/>
  <c r="D411" i="6" s="1"/>
  <c r="B412" i="6"/>
  <c r="D412" i="6" s="1"/>
  <c r="C412" i="6"/>
  <c r="E412" i="6"/>
  <c r="F412" i="6"/>
  <c r="B413" i="6"/>
  <c r="E413" i="6" s="1"/>
  <c r="C413" i="6"/>
  <c r="B414" i="6"/>
  <c r="C414" i="6"/>
  <c r="D414" i="6"/>
  <c r="E414" i="6"/>
  <c r="B415" i="6"/>
  <c r="E415" i="6" s="1"/>
  <c r="F415" i="6" s="1"/>
  <c r="C415" i="6"/>
  <c r="B416" i="6"/>
  <c r="C416" i="6"/>
  <c r="E416" i="6"/>
  <c r="B417" i="6"/>
  <c r="C417" i="6"/>
  <c r="D417" i="6"/>
  <c r="E417" i="6"/>
  <c r="F417" i="6" s="1"/>
  <c r="B418" i="6"/>
  <c r="E418" i="6" s="1"/>
  <c r="C418" i="6"/>
  <c r="B419" i="6"/>
  <c r="E419" i="6" s="1"/>
  <c r="C419" i="6"/>
  <c r="D419" i="6" s="1"/>
  <c r="F419" i="6"/>
  <c r="B420" i="6"/>
  <c r="D420" i="6" s="1"/>
  <c r="C420" i="6"/>
  <c r="E420" i="6"/>
  <c r="F420" i="6"/>
  <c r="B421" i="6"/>
  <c r="E421" i="6" s="1"/>
  <c r="C421" i="6"/>
  <c r="F421" i="6" s="1"/>
  <c r="B422" i="6"/>
  <c r="C422" i="6"/>
  <c r="F422" i="6" s="1"/>
  <c r="E422" i="6"/>
  <c r="B423" i="6"/>
  <c r="E423" i="6" s="1"/>
  <c r="C423" i="6"/>
  <c r="D423" i="6" s="1"/>
  <c r="F423" i="6"/>
  <c r="B424" i="6"/>
  <c r="C424" i="6"/>
  <c r="E424" i="6"/>
  <c r="B425" i="6"/>
  <c r="C425" i="6"/>
  <c r="D425" i="6"/>
  <c r="E425" i="6"/>
  <c r="F425" i="6"/>
  <c r="B426" i="6"/>
  <c r="E426" i="6" s="1"/>
  <c r="C426" i="6"/>
  <c r="B427" i="6"/>
  <c r="E427" i="6" s="1"/>
  <c r="C427" i="6"/>
  <c r="D427" i="6" s="1"/>
  <c r="B428" i="6"/>
  <c r="D428" i="6" s="1"/>
  <c r="C428" i="6"/>
  <c r="E428" i="6"/>
  <c r="F428" i="6"/>
  <c r="B429" i="6"/>
  <c r="E429" i="6" s="1"/>
  <c r="C429" i="6"/>
  <c r="B430" i="6"/>
  <c r="C430" i="6"/>
  <c r="F430" i="6" s="1"/>
  <c r="D430" i="6"/>
  <c r="E430" i="6"/>
  <c r="B431" i="6"/>
  <c r="E431" i="6" s="1"/>
  <c r="F431" i="6" s="1"/>
  <c r="C431" i="6"/>
  <c r="B432" i="6"/>
  <c r="C432" i="6"/>
  <c r="E432" i="6"/>
  <c r="B433" i="6"/>
  <c r="C433" i="6"/>
  <c r="D433" i="6"/>
  <c r="E433" i="6"/>
  <c r="F433" i="6" s="1"/>
  <c r="B434" i="6"/>
  <c r="E434" i="6" s="1"/>
  <c r="C434" i="6"/>
  <c r="B435" i="6"/>
  <c r="E435" i="6" s="1"/>
  <c r="C435" i="6"/>
  <c r="D435" i="6" s="1"/>
  <c r="F435" i="6"/>
  <c r="B436" i="6"/>
  <c r="C436" i="6"/>
  <c r="D436" i="6" s="1"/>
  <c r="E436" i="6"/>
  <c r="F436" i="6"/>
  <c r="B437" i="6"/>
  <c r="E437" i="6" s="1"/>
  <c r="C437" i="6"/>
  <c r="F437" i="6" s="1"/>
  <c r="B438" i="6"/>
  <c r="C438" i="6"/>
  <c r="F438" i="6" s="1"/>
  <c r="E438" i="6"/>
  <c r="B439" i="6"/>
  <c r="E439" i="6" s="1"/>
  <c r="C439" i="6"/>
  <c r="D439" i="6" s="1"/>
  <c r="F439" i="6"/>
  <c r="B440" i="6"/>
  <c r="C440" i="6"/>
  <c r="E440" i="6"/>
  <c r="B441" i="6"/>
  <c r="C441" i="6"/>
  <c r="D441" i="6"/>
  <c r="E441" i="6"/>
  <c r="F441" i="6"/>
  <c r="B442" i="6"/>
  <c r="E442" i="6" s="1"/>
  <c r="C442" i="6"/>
  <c r="B443" i="6"/>
  <c r="E443" i="6" s="1"/>
  <c r="C443" i="6"/>
  <c r="D443" i="6" s="1"/>
  <c r="B444" i="6"/>
  <c r="C444" i="6"/>
  <c r="D444" i="6" s="1"/>
  <c r="E444" i="6"/>
  <c r="F444" i="6"/>
  <c r="B445" i="6"/>
  <c r="E445" i="6" s="1"/>
  <c r="C445" i="6"/>
  <c r="B446" i="6"/>
  <c r="C446" i="6"/>
  <c r="F446" i="6" s="1"/>
  <c r="D446" i="6"/>
  <c r="E446" i="6"/>
  <c r="B447" i="6"/>
  <c r="E447" i="6" s="1"/>
  <c r="F447" i="6" s="1"/>
  <c r="C447" i="6"/>
  <c r="B448" i="6"/>
  <c r="C448" i="6"/>
  <c r="E448" i="6"/>
  <c r="B449" i="6"/>
  <c r="C449" i="6"/>
  <c r="D449" i="6"/>
  <c r="E449" i="6"/>
  <c r="F449" i="6" s="1"/>
  <c r="B450" i="6"/>
  <c r="E450" i="6" s="1"/>
  <c r="C450" i="6"/>
  <c r="B451" i="6"/>
  <c r="E451" i="6" s="1"/>
  <c r="C451" i="6"/>
  <c r="D451" i="6" s="1"/>
  <c r="F451" i="6"/>
  <c r="B452" i="6"/>
  <c r="C452" i="6"/>
  <c r="D452" i="6" s="1"/>
  <c r="E452" i="6"/>
  <c r="F452" i="6"/>
  <c r="B453" i="6"/>
  <c r="E453" i="6" s="1"/>
  <c r="C453" i="6"/>
  <c r="F453" i="6" s="1"/>
  <c r="B454" i="6"/>
  <c r="C454" i="6"/>
  <c r="F454" i="6" s="1"/>
  <c r="E454" i="6"/>
  <c r="B455" i="6"/>
  <c r="E455" i="6" s="1"/>
  <c r="C455" i="6"/>
  <c r="D455" i="6" s="1"/>
  <c r="F455" i="6"/>
  <c r="B456" i="6"/>
  <c r="C456" i="6"/>
  <c r="E456" i="6"/>
  <c r="B457" i="6"/>
  <c r="C457" i="6"/>
  <c r="D457" i="6"/>
  <c r="E457" i="6"/>
  <c r="F457" i="6"/>
  <c r="B458" i="6"/>
  <c r="E458" i="6" s="1"/>
  <c r="C458" i="6"/>
  <c r="B459" i="6"/>
  <c r="E459" i="6" s="1"/>
  <c r="C459" i="6"/>
  <c r="D459" i="6" s="1"/>
  <c r="B460" i="6"/>
  <c r="C460" i="6"/>
  <c r="D460" i="6" s="1"/>
  <c r="E460" i="6"/>
  <c r="F460" i="6"/>
  <c r="B461" i="6"/>
  <c r="E461" i="6" s="1"/>
  <c r="C461" i="6"/>
  <c r="B462" i="6"/>
  <c r="C462" i="6"/>
  <c r="F462" i="6" s="1"/>
  <c r="D462" i="6"/>
  <c r="E462" i="6"/>
  <c r="B463" i="6"/>
  <c r="E463" i="6" s="1"/>
  <c r="F463" i="6" s="1"/>
  <c r="C463" i="6"/>
  <c r="B464" i="6"/>
  <c r="C464" i="6"/>
  <c r="E464" i="6"/>
  <c r="B465" i="6"/>
  <c r="C465" i="6"/>
  <c r="D465" i="6"/>
  <c r="E465" i="6"/>
  <c r="F465" i="6" s="1"/>
  <c r="B466" i="6"/>
  <c r="E466" i="6" s="1"/>
  <c r="C466" i="6"/>
  <c r="B467" i="6"/>
  <c r="E467" i="6" s="1"/>
  <c r="C467" i="6"/>
  <c r="D467" i="6" s="1"/>
  <c r="F467" i="6"/>
  <c r="B468" i="6"/>
  <c r="C468" i="6"/>
  <c r="D468" i="6" s="1"/>
  <c r="E468" i="6"/>
  <c r="F468" i="6"/>
  <c r="B469" i="6"/>
  <c r="E469" i="6" s="1"/>
  <c r="C469" i="6"/>
  <c r="F469" i="6" s="1"/>
  <c r="B470" i="6"/>
  <c r="C470" i="6"/>
  <c r="F470" i="6" s="1"/>
  <c r="E470" i="6"/>
  <c r="B471" i="6"/>
  <c r="E471" i="6" s="1"/>
  <c r="C471" i="6"/>
  <c r="D471" i="6" s="1"/>
  <c r="F471" i="6"/>
  <c r="B472" i="6"/>
  <c r="C472" i="6"/>
  <c r="D472" i="6" s="1"/>
  <c r="E472" i="6"/>
  <c r="B473" i="6"/>
  <c r="C473" i="6"/>
  <c r="D473" i="6"/>
  <c r="E473" i="6"/>
  <c r="F473" i="6" s="1"/>
  <c r="B474" i="6"/>
  <c r="E474" i="6" s="1"/>
  <c r="C474" i="6"/>
  <c r="D474" i="6" s="1"/>
  <c r="B475" i="6"/>
  <c r="E475" i="6" s="1"/>
  <c r="C475" i="6"/>
  <c r="D475" i="6"/>
  <c r="F475" i="6"/>
  <c r="B476" i="6"/>
  <c r="C476" i="6"/>
  <c r="D476" i="6" s="1"/>
  <c r="E476" i="6"/>
  <c r="F476" i="6" s="1"/>
  <c r="B477" i="6"/>
  <c r="C477" i="6"/>
  <c r="D477" i="6"/>
  <c r="E477" i="6"/>
  <c r="B478" i="6"/>
  <c r="C478" i="6"/>
  <c r="F478" i="6" s="1"/>
  <c r="E478" i="6"/>
  <c r="B479" i="6"/>
  <c r="E479" i="6" s="1"/>
  <c r="C479" i="6"/>
  <c r="D479" i="6" s="1"/>
  <c r="F479" i="6"/>
  <c r="B480" i="6"/>
  <c r="C480" i="6"/>
  <c r="E480" i="6"/>
  <c r="F480" i="6" s="1"/>
  <c r="B481" i="6"/>
  <c r="C481" i="6"/>
  <c r="D481" i="6"/>
  <c r="E481" i="6"/>
  <c r="F481" i="6"/>
  <c r="B482" i="6"/>
  <c r="C482" i="6"/>
  <c r="F482" i="6" s="1"/>
  <c r="E482" i="6"/>
  <c r="B483" i="6"/>
  <c r="E483" i="6" s="1"/>
  <c r="C483" i="6"/>
  <c r="D483" i="6"/>
  <c r="F483" i="6"/>
  <c r="B484" i="6"/>
  <c r="C484" i="6"/>
  <c r="D484" i="6" s="1"/>
  <c r="E484" i="6"/>
  <c r="F484" i="6" s="1"/>
  <c r="B485" i="6"/>
  <c r="C485" i="6"/>
  <c r="D485" i="6"/>
  <c r="E485" i="6"/>
  <c r="F485" i="6" s="1"/>
  <c r="B486" i="6"/>
  <c r="C486" i="6"/>
  <c r="F486" i="6" s="1"/>
  <c r="E486" i="6"/>
  <c r="B487" i="6"/>
  <c r="E487" i="6" s="1"/>
  <c r="C487" i="6"/>
  <c r="D487" i="6" s="1"/>
  <c r="F487" i="6"/>
  <c r="B488" i="6"/>
  <c r="C488" i="6"/>
  <c r="E488" i="6"/>
  <c r="F488" i="6" s="1"/>
  <c r="B489" i="6"/>
  <c r="C489" i="6"/>
  <c r="D489" i="6"/>
  <c r="E489" i="6"/>
  <c r="F489" i="6"/>
  <c r="B490" i="6"/>
  <c r="C490" i="6"/>
  <c r="F490" i="6" s="1"/>
  <c r="E490" i="6"/>
  <c r="B491" i="6"/>
  <c r="E491" i="6" s="1"/>
  <c r="C491" i="6"/>
  <c r="D491" i="6"/>
  <c r="F491" i="6"/>
  <c r="B492" i="6"/>
  <c r="C492" i="6"/>
  <c r="D492" i="6" s="1"/>
  <c r="E492" i="6"/>
  <c r="F492" i="6" s="1"/>
  <c r="B493" i="6"/>
  <c r="C493" i="6"/>
  <c r="D493" i="6"/>
  <c r="E493" i="6"/>
  <c r="F493" i="6" s="1"/>
  <c r="B494" i="6"/>
  <c r="C494" i="6"/>
  <c r="F494" i="6" s="1"/>
  <c r="E494" i="6"/>
  <c r="B495" i="6"/>
  <c r="E495" i="6" s="1"/>
  <c r="C495" i="6"/>
  <c r="D495" i="6" s="1"/>
  <c r="F495" i="6"/>
  <c r="B496" i="6"/>
  <c r="C496" i="6"/>
  <c r="E496" i="6"/>
  <c r="F496" i="6" s="1"/>
  <c r="B497" i="6"/>
  <c r="C497" i="6"/>
  <c r="D497" i="6"/>
  <c r="E497" i="6"/>
  <c r="F497" i="6"/>
  <c r="B498" i="6"/>
  <c r="C498" i="6"/>
  <c r="F498" i="6" s="1"/>
  <c r="E498" i="6"/>
  <c r="B499" i="6"/>
  <c r="E499" i="6" s="1"/>
  <c r="C499" i="6"/>
  <c r="D499" i="6"/>
  <c r="F499" i="6"/>
  <c r="B500" i="6"/>
  <c r="C500" i="6"/>
  <c r="D500" i="6" s="1"/>
  <c r="E500" i="6"/>
  <c r="F500" i="6" s="1"/>
  <c r="B501" i="6"/>
  <c r="C501" i="6"/>
  <c r="D501" i="6"/>
  <c r="E501" i="6"/>
  <c r="F501" i="6" s="1"/>
  <c r="B502" i="6"/>
  <c r="C502" i="6"/>
  <c r="F502" i="6" s="1"/>
  <c r="E502" i="6"/>
  <c r="B503" i="6"/>
  <c r="E503" i="6" s="1"/>
  <c r="C503" i="6"/>
  <c r="D503" i="6" s="1"/>
  <c r="F503" i="6"/>
  <c r="B504" i="6"/>
  <c r="C504" i="6"/>
  <c r="E504" i="6"/>
  <c r="F504" i="6" s="1"/>
  <c r="B505" i="6"/>
  <c r="C505" i="6"/>
  <c r="D505" i="6"/>
  <c r="E505" i="6"/>
  <c r="F505" i="6"/>
  <c r="B506" i="6"/>
  <c r="C506" i="6"/>
  <c r="F506" i="6" s="1"/>
  <c r="E506" i="6"/>
  <c r="B507" i="6"/>
  <c r="E507" i="6" s="1"/>
  <c r="C507" i="6"/>
  <c r="D507" i="6"/>
  <c r="F507" i="6"/>
  <c r="B508" i="6"/>
  <c r="C508" i="6"/>
  <c r="D508" i="6" s="1"/>
  <c r="E508" i="6"/>
  <c r="F508" i="6" s="1"/>
  <c r="B509" i="6"/>
  <c r="C509" i="6"/>
  <c r="D509" i="6"/>
  <c r="E509" i="6"/>
  <c r="F509" i="6" s="1"/>
  <c r="B510" i="6"/>
  <c r="C510" i="6"/>
  <c r="F510" i="6" s="1"/>
  <c r="E510" i="6"/>
  <c r="B511" i="6"/>
  <c r="E511" i="6" s="1"/>
  <c r="C511" i="6"/>
  <c r="F511" i="6"/>
  <c r="B512" i="6"/>
  <c r="C512" i="6"/>
  <c r="E512" i="6"/>
  <c r="F512" i="6" s="1"/>
  <c r="B513" i="6"/>
  <c r="C513" i="6"/>
  <c r="D513" i="6"/>
  <c r="E513" i="6"/>
  <c r="F513" i="6"/>
  <c r="B514" i="6"/>
  <c r="C514" i="6"/>
  <c r="F514" i="6" s="1"/>
  <c r="E514" i="6"/>
  <c r="B515" i="6"/>
  <c r="E515" i="6" s="1"/>
  <c r="C515" i="6"/>
  <c r="D515" i="6"/>
  <c r="F515" i="6"/>
  <c r="B516" i="6"/>
  <c r="C516" i="6"/>
  <c r="D516" i="6" s="1"/>
  <c r="E516" i="6"/>
  <c r="F516" i="6" s="1"/>
  <c r="B517" i="6"/>
  <c r="C517" i="6"/>
  <c r="D517" i="6"/>
  <c r="E517" i="6"/>
  <c r="F517" i="6" s="1"/>
  <c r="B518" i="6"/>
  <c r="C518" i="6"/>
  <c r="F518" i="6" s="1"/>
  <c r="E518" i="6"/>
  <c r="B519" i="6"/>
  <c r="E519" i="6" s="1"/>
  <c r="C519" i="6"/>
  <c r="D519" i="6"/>
  <c r="F519" i="6"/>
  <c r="B520" i="6"/>
  <c r="C520" i="6"/>
  <c r="D520" i="6" s="1"/>
  <c r="E520" i="6"/>
  <c r="B521" i="6"/>
  <c r="C521" i="6"/>
  <c r="D521" i="6"/>
  <c r="E521" i="6"/>
  <c r="F521" i="6" s="1"/>
  <c r="B522" i="6"/>
  <c r="C522" i="6"/>
  <c r="F522" i="6" s="1"/>
  <c r="E522" i="6"/>
  <c r="B523" i="6"/>
  <c r="E523" i="6" s="1"/>
  <c r="C523" i="6"/>
  <c r="F523" i="6" s="1"/>
  <c r="D523" i="6"/>
  <c r="B524" i="6"/>
  <c r="E524" i="6" s="1"/>
  <c r="C524" i="6"/>
  <c r="F524" i="6" s="1"/>
  <c r="B525" i="6"/>
  <c r="C525" i="6"/>
  <c r="D525" i="6"/>
  <c r="E525" i="6"/>
  <c r="F525" i="6"/>
  <c r="B526" i="6"/>
  <c r="C526" i="6"/>
  <c r="F526" i="6" s="1"/>
  <c r="E526" i="6"/>
  <c r="B527" i="6"/>
  <c r="E527" i="6" s="1"/>
  <c r="C527" i="6"/>
  <c r="D527" i="6" s="1"/>
  <c r="F527" i="6"/>
  <c r="B528" i="6"/>
  <c r="E528" i="6" s="1"/>
  <c r="C528" i="6"/>
  <c r="F528" i="6" s="1"/>
  <c r="B529" i="6"/>
  <c r="C529" i="6"/>
  <c r="F529" i="6" s="1"/>
  <c r="E529" i="6"/>
  <c r="B530" i="6"/>
  <c r="C530" i="6"/>
  <c r="D530" i="6" s="1"/>
  <c r="E530" i="6"/>
  <c r="F530" i="6"/>
  <c r="B531" i="6"/>
  <c r="C531" i="6"/>
  <c r="D531" i="6" s="1"/>
  <c r="E531" i="6"/>
  <c r="B532" i="6"/>
  <c r="C532" i="6"/>
  <c r="D532" i="6"/>
  <c r="E532" i="6"/>
  <c r="F532" i="6"/>
  <c r="B533" i="6"/>
  <c r="E533" i="6" s="1"/>
  <c r="C533" i="6"/>
  <c r="D533" i="6" s="1"/>
  <c r="B534" i="6"/>
  <c r="E534" i="6" s="1"/>
  <c r="F534" i="6" s="1"/>
  <c r="C534" i="6"/>
  <c r="D534" i="6"/>
  <c r="B535" i="6"/>
  <c r="C535" i="6"/>
  <c r="D535" i="6"/>
  <c r="E535" i="6"/>
  <c r="F535" i="6" s="1"/>
  <c r="B536" i="6"/>
  <c r="E536" i="6" s="1"/>
  <c r="C536" i="6"/>
  <c r="D536" i="6" s="1"/>
  <c r="B537" i="6"/>
  <c r="C537" i="6"/>
  <c r="F537" i="6" s="1"/>
  <c r="E537" i="6"/>
  <c r="B538" i="6"/>
  <c r="E538" i="6" s="1"/>
  <c r="F538" i="6" s="1"/>
  <c r="C538" i="6"/>
  <c r="D538" i="6" s="1"/>
  <c r="B539" i="6"/>
  <c r="C539" i="6"/>
  <c r="D539" i="6" s="1"/>
  <c r="E539" i="6"/>
  <c r="B540" i="6"/>
  <c r="C540" i="6"/>
  <c r="D540" i="6"/>
  <c r="E540" i="6"/>
  <c r="F540" i="6"/>
  <c r="B541" i="6"/>
  <c r="E541" i="6" s="1"/>
  <c r="C541" i="6"/>
  <c r="D541" i="6" s="1"/>
  <c r="B542" i="6"/>
  <c r="E542" i="6" s="1"/>
  <c r="F542" i="6" s="1"/>
  <c r="C542" i="6"/>
  <c r="D542" i="6"/>
  <c r="B543" i="6"/>
  <c r="C543" i="6"/>
  <c r="D543" i="6"/>
  <c r="E543" i="6"/>
  <c r="F543" i="6" s="1"/>
  <c r="B544" i="6"/>
  <c r="E544" i="6" s="1"/>
  <c r="C544" i="6"/>
  <c r="D544" i="6" s="1"/>
  <c r="B545" i="6"/>
  <c r="C545" i="6"/>
  <c r="F545" i="6" s="1"/>
  <c r="E545" i="6"/>
  <c r="B546" i="6"/>
  <c r="E546" i="6" s="1"/>
  <c r="F546" i="6" s="1"/>
  <c r="C546" i="6"/>
  <c r="D546" i="6" s="1"/>
  <c r="B547" i="6"/>
  <c r="C547" i="6"/>
  <c r="D547" i="6" s="1"/>
  <c r="E547" i="6"/>
  <c r="B548" i="6"/>
  <c r="C548" i="6"/>
  <c r="D548" i="6"/>
  <c r="E548" i="6"/>
  <c r="F548" i="6"/>
  <c r="B549" i="6"/>
  <c r="E549" i="6" s="1"/>
  <c r="C549" i="6"/>
  <c r="D549" i="6" s="1"/>
  <c r="B550" i="6"/>
  <c r="E550" i="6" s="1"/>
  <c r="F550" i="6" s="1"/>
  <c r="C550" i="6"/>
  <c r="D550" i="6"/>
  <c r="B551" i="6"/>
  <c r="C551" i="6"/>
  <c r="D551" i="6"/>
  <c r="E551" i="6"/>
  <c r="F551" i="6" s="1"/>
  <c r="B552" i="6"/>
  <c r="E552" i="6" s="1"/>
  <c r="C552" i="6"/>
  <c r="D552" i="6" s="1"/>
  <c r="B553" i="6"/>
  <c r="C553" i="6"/>
  <c r="F553" i="6" s="1"/>
  <c r="E553" i="6"/>
  <c r="B554" i="6"/>
  <c r="E554" i="6" s="1"/>
  <c r="F554" i="6" s="1"/>
  <c r="C554" i="6"/>
  <c r="D554" i="6" s="1"/>
  <c r="B555" i="6"/>
  <c r="C555" i="6"/>
  <c r="D555" i="6" s="1"/>
  <c r="E555" i="6"/>
  <c r="B556" i="6"/>
  <c r="C556" i="6"/>
  <c r="D556" i="6"/>
  <c r="E556" i="6"/>
  <c r="F556" i="6"/>
  <c r="B557" i="6"/>
  <c r="E557" i="6" s="1"/>
  <c r="C557" i="6"/>
  <c r="D557" i="6" s="1"/>
  <c r="B558" i="6"/>
  <c r="E558" i="6" s="1"/>
  <c r="F558" i="6" s="1"/>
  <c r="C558" i="6"/>
  <c r="D558" i="6"/>
  <c r="B559" i="6"/>
  <c r="C559" i="6"/>
  <c r="D559" i="6"/>
  <c r="E559" i="6"/>
  <c r="F559" i="6" s="1"/>
  <c r="B560" i="6"/>
  <c r="E560" i="6" s="1"/>
  <c r="C560" i="6"/>
  <c r="D560" i="6" s="1"/>
  <c r="B561" i="6"/>
  <c r="C561" i="6"/>
  <c r="F561" i="6" s="1"/>
  <c r="E561" i="6"/>
  <c r="B562" i="6"/>
  <c r="E562" i="6" s="1"/>
  <c r="F562" i="6" s="1"/>
  <c r="C562" i="6"/>
  <c r="D562" i="6" s="1"/>
  <c r="B563" i="6"/>
  <c r="C563" i="6"/>
  <c r="D563" i="6" s="1"/>
  <c r="E563" i="6"/>
  <c r="B564" i="6"/>
  <c r="C564" i="6"/>
  <c r="D564" i="6"/>
  <c r="E564" i="6"/>
  <c r="F564" i="6"/>
  <c r="B565" i="6"/>
  <c r="E565" i="6" s="1"/>
  <c r="C565" i="6"/>
  <c r="D565" i="6" s="1"/>
  <c r="B566" i="6"/>
  <c r="E566" i="6" s="1"/>
  <c r="F566" i="6" s="1"/>
  <c r="C566" i="6"/>
  <c r="D566" i="6"/>
  <c r="B567" i="6"/>
  <c r="C567" i="6"/>
  <c r="D567" i="6"/>
  <c r="E567" i="6"/>
  <c r="F567" i="6" s="1"/>
  <c r="B568" i="6"/>
  <c r="E568" i="6" s="1"/>
  <c r="C568" i="6"/>
  <c r="D568" i="6" s="1"/>
  <c r="B569" i="6"/>
  <c r="C569" i="6"/>
  <c r="F569" i="6" s="1"/>
  <c r="E569" i="6"/>
  <c r="B570" i="6"/>
  <c r="E570" i="6" s="1"/>
  <c r="F570" i="6" s="1"/>
  <c r="C570" i="6"/>
  <c r="D570" i="6" s="1"/>
  <c r="B571" i="6"/>
  <c r="C571" i="6"/>
  <c r="D571" i="6" s="1"/>
  <c r="E571" i="6"/>
  <c r="B572" i="6"/>
  <c r="C572" i="6"/>
  <c r="D572" i="6"/>
  <c r="E572" i="6"/>
  <c r="F572" i="6"/>
  <c r="B573" i="6"/>
  <c r="E573" i="6" s="1"/>
  <c r="C573" i="6"/>
  <c r="D573" i="6" s="1"/>
  <c r="B574" i="6"/>
  <c r="E574" i="6" s="1"/>
  <c r="F574" i="6" s="1"/>
  <c r="C574" i="6"/>
  <c r="D574" i="6"/>
  <c r="B575" i="6"/>
  <c r="C575" i="6"/>
  <c r="D575" i="6"/>
  <c r="E575" i="6"/>
  <c r="F575" i="6" s="1"/>
  <c r="B576" i="6"/>
  <c r="E576" i="6" s="1"/>
  <c r="C576" i="6"/>
  <c r="D576" i="6" s="1"/>
  <c r="B577" i="6"/>
  <c r="C577" i="6"/>
  <c r="F577" i="6" s="1"/>
  <c r="E577" i="6"/>
  <c r="B578" i="6"/>
  <c r="E578" i="6" s="1"/>
  <c r="F578" i="6" s="1"/>
  <c r="C578" i="6"/>
  <c r="D578" i="6" s="1"/>
  <c r="B579" i="6"/>
  <c r="C579" i="6"/>
  <c r="D579" i="6" s="1"/>
  <c r="E579" i="6"/>
  <c r="B580" i="6"/>
  <c r="E580" i="6" s="1"/>
  <c r="F580" i="6" s="1"/>
  <c r="C580" i="6"/>
  <c r="D580" i="6"/>
  <c r="B581" i="6"/>
  <c r="E581" i="6" s="1"/>
  <c r="C581" i="6"/>
  <c r="D581" i="6" s="1"/>
  <c r="B582" i="6"/>
  <c r="E582" i="6" s="1"/>
  <c r="F582" i="6" s="1"/>
  <c r="C582" i="6"/>
  <c r="D582" i="6"/>
  <c r="B583" i="6"/>
  <c r="C583" i="6"/>
  <c r="F583" i="6" s="1"/>
  <c r="D583" i="6"/>
  <c r="E583" i="6"/>
  <c r="B584" i="6"/>
  <c r="E584" i="6" s="1"/>
  <c r="C584" i="6"/>
  <c r="D584" i="6" s="1"/>
  <c r="B585" i="6"/>
  <c r="C585" i="6"/>
  <c r="F585" i="6" s="1"/>
  <c r="E585" i="6"/>
  <c r="B586" i="6"/>
  <c r="D586" i="6" s="1"/>
  <c r="C586" i="6"/>
  <c r="B587" i="6"/>
  <c r="C587" i="6"/>
  <c r="D587" i="6" s="1"/>
  <c r="E587" i="6"/>
  <c r="B588" i="6"/>
  <c r="E588" i="6" s="1"/>
  <c r="F588" i="6" s="1"/>
  <c r="C588" i="6"/>
  <c r="D588" i="6"/>
  <c r="B589" i="6"/>
  <c r="E589" i="6" s="1"/>
  <c r="C589" i="6"/>
  <c r="D589" i="6" s="1"/>
  <c r="B590" i="6"/>
  <c r="E590" i="6" s="1"/>
  <c r="F590" i="6" s="1"/>
  <c r="C590" i="6"/>
  <c r="D590" i="6"/>
  <c r="B591" i="6"/>
  <c r="C591" i="6"/>
  <c r="F591" i="6" s="1"/>
  <c r="D591" i="6"/>
  <c r="E591" i="6"/>
  <c r="B592" i="6"/>
  <c r="E592" i="6" s="1"/>
  <c r="C592" i="6"/>
  <c r="D592" i="6" s="1"/>
  <c r="B593" i="6"/>
  <c r="C593" i="6"/>
  <c r="F593" i="6" s="1"/>
  <c r="E593" i="6"/>
  <c r="B594" i="6"/>
  <c r="D594" i="6" s="1"/>
  <c r="C594" i="6"/>
  <c r="B595" i="6"/>
  <c r="C595" i="6"/>
  <c r="D595" i="6" s="1"/>
  <c r="E595" i="6"/>
  <c r="B596" i="6"/>
  <c r="E596" i="6" s="1"/>
  <c r="F596" i="6" s="1"/>
  <c r="C596" i="6"/>
  <c r="D596" i="6"/>
  <c r="B597" i="6"/>
  <c r="E597" i="6" s="1"/>
  <c r="C597" i="6"/>
  <c r="D597" i="6" s="1"/>
  <c r="B598" i="6"/>
  <c r="E598" i="6" s="1"/>
  <c r="F598" i="6" s="1"/>
  <c r="C598" i="6"/>
  <c r="D598" i="6"/>
  <c r="B599" i="6"/>
  <c r="C599" i="6"/>
  <c r="F599" i="6" s="1"/>
  <c r="D599" i="6"/>
  <c r="E599" i="6"/>
  <c r="B600" i="6"/>
  <c r="E600" i="6" s="1"/>
  <c r="C600" i="6"/>
  <c r="D600" i="6" s="1"/>
  <c r="B601" i="6"/>
  <c r="C601" i="6"/>
  <c r="F601" i="6" s="1"/>
  <c r="E601" i="6"/>
  <c r="B602" i="6"/>
  <c r="D602" i="6" s="1"/>
  <c r="C602" i="6"/>
  <c r="B603" i="6"/>
  <c r="C603" i="6"/>
  <c r="D603" i="6" s="1"/>
  <c r="E603" i="6"/>
  <c r="B604" i="6"/>
  <c r="E604" i="6" s="1"/>
  <c r="F604" i="6" s="1"/>
  <c r="C604" i="6"/>
  <c r="D604" i="6"/>
  <c r="B605" i="6"/>
  <c r="E605" i="6" s="1"/>
  <c r="C605" i="6"/>
  <c r="D605" i="6" s="1"/>
  <c r="B606" i="6"/>
  <c r="E606" i="6" s="1"/>
  <c r="F606" i="6" s="1"/>
  <c r="C606" i="6"/>
  <c r="D606" i="6"/>
  <c r="B607" i="6"/>
  <c r="C607" i="6"/>
  <c r="F607" i="6" s="1"/>
  <c r="D607" i="6"/>
  <c r="E607" i="6"/>
  <c r="B608" i="6"/>
  <c r="E608" i="6" s="1"/>
  <c r="C608" i="6"/>
  <c r="D608" i="6" s="1"/>
  <c r="B609" i="6"/>
  <c r="C609" i="6"/>
  <c r="F609" i="6" s="1"/>
  <c r="E609" i="6"/>
  <c r="B610" i="6"/>
  <c r="D610" i="6" s="1"/>
  <c r="C610" i="6"/>
  <c r="B611" i="6"/>
  <c r="C611" i="6"/>
  <c r="D611" i="6" s="1"/>
  <c r="E611" i="6"/>
  <c r="B612" i="6"/>
  <c r="E612" i="6" s="1"/>
  <c r="F612" i="6" s="1"/>
  <c r="C612" i="6"/>
  <c r="D612" i="6"/>
  <c r="F8" i="6"/>
  <c r="E8" i="6"/>
  <c r="D8" i="6"/>
  <c r="C8" i="6"/>
  <c r="B8" i="6"/>
  <c r="BC63" i="7"/>
  <c r="BD63" i="7" s="1"/>
  <c r="BE63" i="7" s="1"/>
  <c r="BF63" i="7" s="1"/>
  <c r="BG63" i="7" s="1"/>
  <c r="BH63" i="7" s="1"/>
  <c r="BI63" i="7" s="1"/>
  <c r="BJ63" i="7" s="1"/>
  <c r="BK63" i="7" s="1"/>
  <c r="BL63" i="7" s="1"/>
  <c r="BM63" i="7" s="1"/>
  <c r="BN63" i="7" s="1"/>
  <c r="BO63" i="7" s="1"/>
  <c r="BP63" i="7" s="1"/>
  <c r="BQ63" i="7" s="1"/>
  <c r="BR63" i="7" s="1"/>
  <c r="BS63" i="7" s="1"/>
  <c r="BT63" i="7" s="1"/>
  <c r="BU63" i="7" s="1"/>
  <c r="BC3" i="7"/>
  <c r="BD3" i="7"/>
  <c r="BE3" i="7"/>
  <c r="BF3" i="7"/>
  <c r="BG3" i="7"/>
  <c r="BH3" i="7"/>
  <c r="BI3" i="7"/>
  <c r="BJ3" i="7"/>
  <c r="BK3" i="7"/>
  <c r="BL3" i="7"/>
  <c r="BM3" i="7"/>
  <c r="BN3" i="7"/>
  <c r="BO3" i="7"/>
  <c r="BP3" i="7"/>
  <c r="BQ3" i="7"/>
  <c r="BR3" i="7"/>
  <c r="BS3" i="7"/>
  <c r="BT3" i="7"/>
  <c r="BU3" i="7"/>
  <c r="BV3" i="7"/>
  <c r="BW3" i="7"/>
  <c r="BX3" i="7"/>
  <c r="BY3" i="7"/>
  <c r="BZ3" i="7"/>
  <c r="CA3" i="7"/>
  <c r="CB3" i="7"/>
  <c r="CC3" i="7"/>
  <c r="CD3" i="7"/>
  <c r="CE3" i="7"/>
  <c r="CF3" i="7"/>
  <c r="CG3" i="7"/>
  <c r="CH3" i="7"/>
  <c r="CI3" i="7"/>
  <c r="CJ3" i="7"/>
  <c r="CK3" i="7"/>
  <c r="CL3" i="7"/>
  <c r="CM3" i="7"/>
  <c r="CN3" i="7"/>
  <c r="CO3" i="7"/>
  <c r="CP3" i="7"/>
  <c r="CQ3" i="7"/>
  <c r="CR3" i="7"/>
  <c r="CS3" i="7"/>
  <c r="CT3" i="7"/>
  <c r="CU3" i="7"/>
  <c r="CV3" i="7"/>
  <c r="CW3" i="7"/>
  <c r="BB3" i="7"/>
  <c r="BC18" i="7"/>
  <c r="BC20" i="7"/>
  <c r="BA49" i="7"/>
  <c r="BA37" i="7"/>
  <c r="BA35" i="7"/>
  <c r="BB20" i="7"/>
  <c r="BA36" i="7"/>
  <c r="BB18" i="7"/>
  <c r="BA17" i="7"/>
  <c r="BA15" i="7"/>
  <c r="BA13" i="7"/>
  <c r="BC13" i="7" s="1"/>
  <c r="BD4" i="7"/>
  <c r="BD18" i="7" s="1"/>
  <c r="BC2" i="7"/>
  <c r="A49" i="7"/>
  <c r="BT36" i="7" l="1"/>
  <c r="D698" i="6"/>
  <c r="F698" i="6"/>
  <c r="CR37" i="7"/>
  <c r="C707" i="6"/>
  <c r="B707" i="6"/>
  <c r="E707" i="6" s="1"/>
  <c r="CB36" i="7"/>
  <c r="BW36" i="7"/>
  <c r="D702" i="6"/>
  <c r="F702" i="6"/>
  <c r="D706" i="6"/>
  <c r="F706" i="6"/>
  <c r="C703" i="6"/>
  <c r="B703" i="6"/>
  <c r="E703" i="6" s="1"/>
  <c r="BU36" i="7"/>
  <c r="CQ36" i="7"/>
  <c r="CR36" i="7"/>
  <c r="BT37" i="7"/>
  <c r="BD36" i="7"/>
  <c r="BN36" i="7"/>
  <c r="BE37" i="7"/>
  <c r="BL36" i="7"/>
  <c r="CJ37" i="7"/>
  <c r="BD35" i="7"/>
  <c r="BL35" i="7"/>
  <c r="BT35" i="7"/>
  <c r="CB35" i="7"/>
  <c r="CJ35" i="7"/>
  <c r="CR35" i="7"/>
  <c r="BC35" i="7"/>
  <c r="BS35" i="7"/>
  <c r="BE35" i="7"/>
  <c r="BM35" i="7"/>
  <c r="BU35" i="7"/>
  <c r="CC35" i="7"/>
  <c r="CK35" i="7"/>
  <c r="CS35" i="7"/>
  <c r="BF35" i="7"/>
  <c r="BN35" i="7"/>
  <c r="BV35" i="7"/>
  <c r="CD35" i="7"/>
  <c r="CL35" i="7"/>
  <c r="CT35" i="7"/>
  <c r="BK35" i="7"/>
  <c r="BG35" i="7"/>
  <c r="BO35" i="7"/>
  <c r="BW35" i="7"/>
  <c r="CE35" i="7"/>
  <c r="CM35" i="7"/>
  <c r="CU35" i="7"/>
  <c r="CI35" i="7"/>
  <c r="BH35" i="7"/>
  <c r="BP35" i="7"/>
  <c r="BX35" i="7"/>
  <c r="CF35" i="7"/>
  <c r="CN35" i="7"/>
  <c r="CV35" i="7"/>
  <c r="CA35" i="7"/>
  <c r="BI35" i="7"/>
  <c r="BQ35" i="7"/>
  <c r="BY35" i="7"/>
  <c r="CG35" i="7"/>
  <c r="CO35" i="7"/>
  <c r="CW35" i="7"/>
  <c r="BB35" i="7"/>
  <c r="BJ35" i="7"/>
  <c r="BR35" i="7"/>
  <c r="BZ35" i="7"/>
  <c r="CH35" i="7"/>
  <c r="CP35" i="7"/>
  <c r="CQ35" i="7"/>
  <c r="D664" i="6"/>
  <c r="F664" i="6"/>
  <c r="D668" i="6"/>
  <c r="F668" i="6"/>
  <c r="D660" i="6"/>
  <c r="F660" i="6"/>
  <c r="C665" i="6"/>
  <c r="B665" i="6"/>
  <c r="E665" i="6" s="1"/>
  <c r="F661" i="6"/>
  <c r="D661" i="6"/>
  <c r="B666" i="6"/>
  <c r="E666" i="6" s="1"/>
  <c r="C666" i="6"/>
  <c r="C634" i="6"/>
  <c r="A639" i="6"/>
  <c r="B634" i="6"/>
  <c r="E634" i="6" s="1"/>
  <c r="B640" i="6"/>
  <c r="E640" i="6" s="1"/>
  <c r="C640" i="6"/>
  <c r="F623" i="6"/>
  <c r="D623" i="6"/>
  <c r="A637" i="6"/>
  <c r="B632" i="6"/>
  <c r="E632" i="6" s="1"/>
  <c r="C632" i="6"/>
  <c r="F631" i="6"/>
  <c r="D631" i="6"/>
  <c r="A633" i="6"/>
  <c r="B628" i="6"/>
  <c r="E628" i="6" s="1"/>
  <c r="C628" i="6"/>
  <c r="D629" i="6"/>
  <c r="F629" i="6"/>
  <c r="F627" i="6"/>
  <c r="D627" i="6"/>
  <c r="F635" i="6"/>
  <c r="D635" i="6"/>
  <c r="A641" i="6"/>
  <c r="B636" i="6"/>
  <c r="E636" i="6" s="1"/>
  <c r="C636" i="6"/>
  <c r="BA66" i="7"/>
  <c r="BA57" i="7"/>
  <c r="BF54" i="7"/>
  <c r="BA65" i="7"/>
  <c r="BA56" i="7"/>
  <c r="D426" i="6"/>
  <c r="F426" i="6"/>
  <c r="D424" i="6"/>
  <c r="F424" i="6"/>
  <c r="D408" i="6"/>
  <c r="F408" i="6"/>
  <c r="D394" i="6"/>
  <c r="F394" i="6"/>
  <c r="D392" i="6"/>
  <c r="F392" i="6"/>
  <c r="D378" i="6"/>
  <c r="F378" i="6"/>
  <c r="D312" i="6"/>
  <c r="F312" i="6"/>
  <c r="F283" i="6"/>
  <c r="D283" i="6"/>
  <c r="D281" i="6"/>
  <c r="F281" i="6"/>
  <c r="D257" i="6"/>
  <c r="F257" i="6"/>
  <c r="D239" i="6"/>
  <c r="F239" i="6"/>
  <c r="F66" i="6"/>
  <c r="D66" i="6"/>
  <c r="D63" i="6"/>
  <c r="F63" i="6"/>
  <c r="D609" i="6"/>
  <c r="D601" i="6"/>
  <c r="D593" i="6"/>
  <c r="D585" i="6"/>
  <c r="D577" i="6"/>
  <c r="D569" i="6"/>
  <c r="D561" i="6"/>
  <c r="D553" i="6"/>
  <c r="D545" i="6"/>
  <c r="D537" i="6"/>
  <c r="D529" i="6"/>
  <c r="D512" i="6"/>
  <c r="D504" i="6"/>
  <c r="D496" i="6"/>
  <c r="D488" i="6"/>
  <c r="D480" i="6"/>
  <c r="D469" i="6"/>
  <c r="D453" i="6"/>
  <c r="D437" i="6"/>
  <c r="D421" i="6"/>
  <c r="F371" i="6"/>
  <c r="D371" i="6"/>
  <c r="D369" i="6"/>
  <c r="D348" i="6"/>
  <c r="F348" i="6"/>
  <c r="D243" i="6"/>
  <c r="E201" i="6"/>
  <c r="F201" i="6" s="1"/>
  <c r="D201" i="6"/>
  <c r="F138" i="6"/>
  <c r="D138" i="6"/>
  <c r="D440" i="6"/>
  <c r="F440" i="6"/>
  <c r="D246" i="6"/>
  <c r="E246" i="6"/>
  <c r="E610" i="6"/>
  <c r="F610" i="6" s="1"/>
  <c r="F605" i="6"/>
  <c r="E602" i="6"/>
  <c r="F602" i="6" s="1"/>
  <c r="F597" i="6"/>
  <c r="E594" i="6"/>
  <c r="F594" i="6" s="1"/>
  <c r="F589" i="6"/>
  <c r="E586" i="6"/>
  <c r="F586" i="6" s="1"/>
  <c r="F581" i="6"/>
  <c r="F573" i="6"/>
  <c r="F565" i="6"/>
  <c r="F557" i="6"/>
  <c r="F549" i="6"/>
  <c r="F541" i="6"/>
  <c r="F533" i="6"/>
  <c r="F414" i="6"/>
  <c r="F398" i="6"/>
  <c r="F382" i="6"/>
  <c r="F347" i="6"/>
  <c r="D347" i="6"/>
  <c r="D345" i="6"/>
  <c r="F345" i="6"/>
  <c r="D327" i="6"/>
  <c r="F327" i="6"/>
  <c r="E324" i="6"/>
  <c r="F324" i="6" s="1"/>
  <c r="D324" i="6"/>
  <c r="D211" i="6"/>
  <c r="E211" i="6"/>
  <c r="F211" i="6" s="1"/>
  <c r="D166" i="6"/>
  <c r="F166" i="6"/>
  <c r="D164" i="6"/>
  <c r="F164" i="6"/>
  <c r="D366" i="6"/>
  <c r="F366" i="6"/>
  <c r="E332" i="6"/>
  <c r="F332" i="6" s="1"/>
  <c r="D332" i="6"/>
  <c r="D270" i="6"/>
  <c r="E270" i="6"/>
  <c r="F270" i="6" s="1"/>
  <c r="E151" i="6"/>
  <c r="F151" i="6" s="1"/>
  <c r="D151" i="6"/>
  <c r="F608" i="6"/>
  <c r="F600" i="6"/>
  <c r="F592" i="6"/>
  <c r="F584" i="6"/>
  <c r="F576" i="6"/>
  <c r="F568" i="6"/>
  <c r="F560" i="6"/>
  <c r="F552" i="6"/>
  <c r="F544" i="6"/>
  <c r="F536" i="6"/>
  <c r="D511" i="6"/>
  <c r="F477" i="6"/>
  <c r="D466" i="6"/>
  <c r="F466" i="6"/>
  <c r="D464" i="6"/>
  <c r="F464" i="6"/>
  <c r="F459" i="6"/>
  <c r="D450" i="6"/>
  <c r="F450" i="6"/>
  <c r="D448" i="6"/>
  <c r="F448" i="6"/>
  <c r="F443" i="6"/>
  <c r="D434" i="6"/>
  <c r="F434" i="6"/>
  <c r="D432" i="6"/>
  <c r="F432" i="6"/>
  <c r="F427" i="6"/>
  <c r="D418" i="6"/>
  <c r="F418" i="6"/>
  <c r="D416" i="6"/>
  <c r="F416" i="6"/>
  <c r="F411" i="6"/>
  <c r="D402" i="6"/>
  <c r="F402" i="6"/>
  <c r="D400" i="6"/>
  <c r="F400" i="6"/>
  <c r="F395" i="6"/>
  <c r="D386" i="6"/>
  <c r="F386" i="6"/>
  <c r="D384" i="6"/>
  <c r="F384" i="6"/>
  <c r="F379" i="6"/>
  <c r="D360" i="6"/>
  <c r="F360" i="6"/>
  <c r="F339" i="6"/>
  <c r="D339" i="6"/>
  <c r="F334" i="6"/>
  <c r="D321" i="6"/>
  <c r="F321" i="6"/>
  <c r="D303" i="6"/>
  <c r="F303" i="6"/>
  <c r="D248" i="6"/>
  <c r="F248" i="6"/>
  <c r="E169" i="6"/>
  <c r="F169" i="6" s="1"/>
  <c r="D169" i="6"/>
  <c r="F611" i="6"/>
  <c r="F603" i="6"/>
  <c r="F595" i="6"/>
  <c r="F587" i="6"/>
  <c r="F579" i="6"/>
  <c r="F571" i="6"/>
  <c r="F563" i="6"/>
  <c r="F555" i="6"/>
  <c r="F547" i="6"/>
  <c r="F539" i="6"/>
  <c r="F531" i="6"/>
  <c r="D526" i="6"/>
  <c r="D461" i="6"/>
  <c r="D445" i="6"/>
  <c r="D429" i="6"/>
  <c r="D413" i="6"/>
  <c r="D397" i="6"/>
  <c r="D381" i="6"/>
  <c r="D365" i="6"/>
  <c r="F365" i="6"/>
  <c r="D353" i="6"/>
  <c r="D350" i="6"/>
  <c r="F344" i="6"/>
  <c r="D334" i="6"/>
  <c r="E334" i="6"/>
  <c r="D307" i="6"/>
  <c r="D231" i="6"/>
  <c r="F231" i="6"/>
  <c r="D458" i="6"/>
  <c r="F458" i="6"/>
  <c r="D442" i="6"/>
  <c r="F442" i="6"/>
  <c r="D528" i="6"/>
  <c r="D522" i="6"/>
  <c r="F520" i="6"/>
  <c r="F472" i="6"/>
  <c r="D470" i="6"/>
  <c r="F461" i="6"/>
  <c r="D454" i="6"/>
  <c r="F445" i="6"/>
  <c r="D438" i="6"/>
  <c r="F429" i="6"/>
  <c r="D422" i="6"/>
  <c r="F413" i="6"/>
  <c r="D406" i="6"/>
  <c r="F397" i="6"/>
  <c r="D390" i="6"/>
  <c r="F381" i="6"/>
  <c r="F367" i="6"/>
  <c r="E362" i="6"/>
  <c r="F362" i="6" s="1"/>
  <c r="F336" i="6"/>
  <c r="D310" i="6"/>
  <c r="E310" i="6"/>
  <c r="F310" i="6" s="1"/>
  <c r="E292" i="6"/>
  <c r="F292" i="6" s="1"/>
  <c r="D292" i="6"/>
  <c r="E268" i="6"/>
  <c r="F268" i="6" s="1"/>
  <c r="D268" i="6"/>
  <c r="D179" i="6"/>
  <c r="E179" i="6"/>
  <c r="F179" i="6" s="1"/>
  <c r="D456" i="6"/>
  <c r="F456" i="6"/>
  <c r="D410" i="6"/>
  <c r="F410" i="6"/>
  <c r="D524" i="6"/>
  <c r="D518" i="6"/>
  <c r="D514" i="6"/>
  <c r="D510" i="6"/>
  <c r="D506" i="6"/>
  <c r="D502" i="6"/>
  <c r="D498" i="6"/>
  <c r="D494" i="6"/>
  <c r="D490" i="6"/>
  <c r="D486" i="6"/>
  <c r="D482" i="6"/>
  <c r="D478" i="6"/>
  <c r="F474" i="6"/>
  <c r="D463" i="6"/>
  <c r="D447" i="6"/>
  <c r="D431" i="6"/>
  <c r="D415" i="6"/>
  <c r="D399" i="6"/>
  <c r="D383" i="6"/>
  <c r="D359" i="6"/>
  <c r="F359" i="6"/>
  <c r="D349" i="6"/>
  <c r="D263" i="6"/>
  <c r="F263" i="6"/>
  <c r="F191" i="6"/>
  <c r="D191" i="6"/>
  <c r="D368" i="6"/>
  <c r="F363" i="6"/>
  <c r="F318" i="6"/>
  <c r="E302" i="6"/>
  <c r="F302" i="6" s="1"/>
  <c r="D300" i="6"/>
  <c r="F289" i="6"/>
  <c r="D287" i="6"/>
  <c r="F287" i="6"/>
  <c r="F254" i="6"/>
  <c r="E238" i="6"/>
  <c r="F238" i="6" s="1"/>
  <c r="F122" i="6"/>
  <c r="D122" i="6"/>
  <c r="D352" i="6"/>
  <c r="F342" i="6"/>
  <c r="D333" i="6"/>
  <c r="D320" i="6"/>
  <c r="F313" i="6"/>
  <c r="D311" i="6"/>
  <c r="F311" i="6"/>
  <c r="F291" i="6"/>
  <c r="F278" i="6"/>
  <c r="D269" i="6"/>
  <c r="D260" i="6"/>
  <c r="D256" i="6"/>
  <c r="F249" i="6"/>
  <c r="D247" i="6"/>
  <c r="F247" i="6"/>
  <c r="D230" i="6"/>
  <c r="F230" i="6"/>
  <c r="D228" i="6"/>
  <c r="F228" i="6"/>
  <c r="D217" i="6"/>
  <c r="D195" i="6"/>
  <c r="E195" i="6"/>
  <c r="F195" i="6" s="1"/>
  <c r="F178" i="6"/>
  <c r="D178" i="6"/>
  <c r="D127" i="6"/>
  <c r="F127" i="6"/>
  <c r="D373" i="6"/>
  <c r="F369" i="6"/>
  <c r="F350" i="6"/>
  <c r="D344" i="6"/>
  <c r="D335" i="6"/>
  <c r="F335" i="6"/>
  <c r="F315" i="6"/>
  <c r="F304" i="6"/>
  <c r="D293" i="6"/>
  <c r="D280" i="6"/>
  <c r="D275" i="6"/>
  <c r="D271" i="6"/>
  <c r="F271" i="6"/>
  <c r="F251" i="6"/>
  <c r="F240" i="6"/>
  <c r="E233" i="6"/>
  <c r="F233" i="6" s="1"/>
  <c r="D233" i="6"/>
  <c r="D220" i="6"/>
  <c r="F220" i="6"/>
  <c r="D207" i="6"/>
  <c r="D199" i="6"/>
  <c r="F175" i="6"/>
  <c r="D79" i="6"/>
  <c r="F79" i="6"/>
  <c r="D295" i="6"/>
  <c r="F295" i="6"/>
  <c r="F262" i="6"/>
  <c r="D235" i="6"/>
  <c r="F235" i="6"/>
  <c r="D212" i="6"/>
  <c r="F212" i="6"/>
  <c r="D187" i="6"/>
  <c r="E187" i="6"/>
  <c r="F187" i="6" s="1"/>
  <c r="D182" i="6"/>
  <c r="F182" i="6"/>
  <c r="D180" i="6"/>
  <c r="F180" i="6"/>
  <c r="D167" i="6"/>
  <c r="F167" i="6"/>
  <c r="F82" i="6"/>
  <c r="D82" i="6"/>
  <c r="F49" i="6"/>
  <c r="D357" i="6"/>
  <c r="F355" i="6"/>
  <c r="D341" i="6"/>
  <c r="D328" i="6"/>
  <c r="D319" i="6"/>
  <c r="F319" i="6"/>
  <c r="F299" i="6"/>
  <c r="F286" i="6"/>
  <c r="D277" i="6"/>
  <c r="D264" i="6"/>
  <c r="D255" i="6"/>
  <c r="F255" i="6"/>
  <c r="D222" i="6"/>
  <c r="F222" i="6"/>
  <c r="D214" i="6"/>
  <c r="F214" i="6"/>
  <c r="E209" i="6"/>
  <c r="F209" i="6" s="1"/>
  <c r="D209" i="6"/>
  <c r="F170" i="6"/>
  <c r="D170" i="6"/>
  <c r="D118" i="6"/>
  <c r="F118" i="6"/>
  <c r="D116" i="6"/>
  <c r="F116" i="6"/>
  <c r="D343" i="6"/>
  <c r="F343" i="6"/>
  <c r="F323" i="6"/>
  <c r="D301" i="6"/>
  <c r="D288" i="6"/>
  <c r="D279" i="6"/>
  <c r="F279" i="6"/>
  <c r="F259" i="6"/>
  <c r="F246" i="6"/>
  <c r="D237" i="6"/>
  <c r="F186" i="6"/>
  <c r="D186" i="6"/>
  <c r="D131" i="6"/>
  <c r="E131" i="6"/>
  <c r="F131" i="6" s="1"/>
  <c r="F226" i="6"/>
  <c r="D206" i="6"/>
  <c r="F206" i="6"/>
  <c r="D204" i="6"/>
  <c r="F204" i="6"/>
  <c r="D171" i="6"/>
  <c r="E171" i="6"/>
  <c r="F171" i="6" s="1"/>
  <c r="F162" i="6"/>
  <c r="D142" i="6"/>
  <c r="F142" i="6"/>
  <c r="D140" i="6"/>
  <c r="F140" i="6"/>
  <c r="D71" i="6"/>
  <c r="F71" i="6"/>
  <c r="D68" i="6"/>
  <c r="F234" i="6"/>
  <c r="D219" i="6"/>
  <c r="E219" i="6"/>
  <c r="F219" i="6" s="1"/>
  <c r="F210" i="6"/>
  <c r="D190" i="6"/>
  <c r="F190" i="6"/>
  <c r="D188" i="6"/>
  <c r="F188" i="6"/>
  <c r="F146" i="6"/>
  <c r="D126" i="6"/>
  <c r="F126" i="6"/>
  <c r="D124" i="6"/>
  <c r="F124" i="6"/>
  <c r="F106" i="6"/>
  <c r="D103" i="6"/>
  <c r="D98" i="6"/>
  <c r="D87" i="6"/>
  <c r="F87" i="6"/>
  <c r="D84" i="6"/>
  <c r="D34" i="6"/>
  <c r="D26" i="6"/>
  <c r="D18" i="6"/>
  <c r="D10" i="6"/>
  <c r="D150" i="6"/>
  <c r="F150" i="6"/>
  <c r="D148" i="6"/>
  <c r="F148" i="6"/>
  <c r="D115" i="6"/>
  <c r="E115" i="6"/>
  <c r="F115" i="6" s="1"/>
  <c r="D108" i="6"/>
  <c r="F108" i="6"/>
  <c r="D95" i="6"/>
  <c r="F95" i="6"/>
  <c r="F81" i="6"/>
  <c r="D203" i="6"/>
  <c r="E203" i="6"/>
  <c r="F203" i="6" s="1"/>
  <c r="F194" i="6"/>
  <c r="D174" i="6"/>
  <c r="F174" i="6"/>
  <c r="D172" i="6"/>
  <c r="F172" i="6"/>
  <c r="D145" i="6"/>
  <c r="D139" i="6"/>
  <c r="E139" i="6"/>
  <c r="F139" i="6" s="1"/>
  <c r="F130" i="6"/>
  <c r="D100" i="6"/>
  <c r="F100" i="6"/>
  <c r="F89" i="6"/>
  <c r="D50" i="6"/>
  <c r="D39" i="6"/>
  <c r="F39" i="6"/>
  <c r="D36" i="6"/>
  <c r="D31" i="6"/>
  <c r="F31" i="6"/>
  <c r="D28" i="6"/>
  <c r="D23" i="6"/>
  <c r="F23" i="6"/>
  <c r="D20" i="6"/>
  <c r="D15" i="6"/>
  <c r="F15" i="6"/>
  <c r="D12" i="6"/>
  <c r="D227" i="6"/>
  <c r="E227" i="6"/>
  <c r="F227" i="6" s="1"/>
  <c r="F218" i="6"/>
  <c r="D198" i="6"/>
  <c r="F198" i="6"/>
  <c r="D196" i="6"/>
  <c r="F196" i="6"/>
  <c r="D163" i="6"/>
  <c r="E163" i="6"/>
  <c r="F163" i="6" s="1"/>
  <c r="F154" i="6"/>
  <c r="D134" i="6"/>
  <c r="F134" i="6"/>
  <c r="D132" i="6"/>
  <c r="F132" i="6"/>
  <c r="D114" i="6"/>
  <c r="D105" i="6"/>
  <c r="E105" i="6"/>
  <c r="F105" i="6" s="1"/>
  <c r="D58" i="6"/>
  <c r="D47" i="6"/>
  <c r="F47" i="6"/>
  <c r="D44" i="6"/>
  <c r="F25" i="6"/>
  <c r="F9" i="6"/>
  <c r="D158" i="6"/>
  <c r="F158" i="6"/>
  <c r="D156" i="6"/>
  <c r="F156" i="6"/>
  <c r="D147" i="6"/>
  <c r="D123" i="6"/>
  <c r="E123" i="6"/>
  <c r="F123" i="6" s="1"/>
  <c r="D55" i="6"/>
  <c r="F55" i="6"/>
  <c r="D52" i="6"/>
  <c r="F110" i="6"/>
  <c r="F102" i="6"/>
  <c r="F94" i="6"/>
  <c r="F86" i="6"/>
  <c r="F78" i="6"/>
  <c r="F70" i="6"/>
  <c r="F62" i="6"/>
  <c r="F54" i="6"/>
  <c r="F46" i="6"/>
  <c r="F38" i="6"/>
  <c r="F30" i="6"/>
  <c r="F22" i="6"/>
  <c r="F14" i="6"/>
  <c r="E97" i="6"/>
  <c r="F97" i="6" s="1"/>
  <c r="F92" i="6"/>
  <c r="E89" i="6"/>
  <c r="F84" i="6"/>
  <c r="E81" i="6"/>
  <c r="F76" i="6"/>
  <c r="E73" i="6"/>
  <c r="F73" i="6" s="1"/>
  <c r="F68" i="6"/>
  <c r="E65" i="6"/>
  <c r="F65" i="6" s="1"/>
  <c r="F60" i="6"/>
  <c r="E57" i="6"/>
  <c r="F57" i="6" s="1"/>
  <c r="F52" i="6"/>
  <c r="E49" i="6"/>
  <c r="F44" i="6"/>
  <c r="E41" i="6"/>
  <c r="F41" i="6" s="1"/>
  <c r="F36" i="6"/>
  <c r="E33" i="6"/>
  <c r="F33" i="6" s="1"/>
  <c r="F28" i="6"/>
  <c r="E25" i="6"/>
  <c r="F20" i="6"/>
  <c r="E17" i="6"/>
  <c r="F17" i="6" s="1"/>
  <c r="F12" i="6"/>
  <c r="E9" i="6"/>
  <c r="BC19" i="7"/>
  <c r="BC15" i="7"/>
  <c r="BD13" i="7"/>
  <c r="BA34" i="7"/>
  <c r="BC17" i="7"/>
  <c r="BD17" i="7"/>
  <c r="BA30" i="7"/>
  <c r="BB13" i="7"/>
  <c r="BA8" i="7"/>
  <c r="BA32" i="7"/>
  <c r="BD15" i="7"/>
  <c r="BA10" i="7"/>
  <c r="BA27" i="7" s="1"/>
  <c r="BB15" i="7"/>
  <c r="BD19" i="7"/>
  <c r="BD20" i="7"/>
  <c r="BA12" i="7"/>
  <c r="BA16" i="7"/>
  <c r="BB16" i="7" s="1"/>
  <c r="BA14" i="7"/>
  <c r="BD2" i="7"/>
  <c r="BE4" i="7"/>
  <c r="BE17" i="7" s="1"/>
  <c r="BB17" i="7"/>
  <c r="BB19" i="7"/>
  <c r="BB41" i="7"/>
  <c r="BB40" i="7"/>
  <c r="BB43" i="7" s="1"/>
  <c r="BC41" i="7"/>
  <c r="BC40" i="7"/>
  <c r="BC43" i="7" s="1"/>
  <c r="D703" i="6" l="1"/>
  <c r="F703" i="6"/>
  <c r="D707" i="6"/>
  <c r="F707" i="6"/>
  <c r="BD34" i="7"/>
  <c r="BL34" i="7"/>
  <c r="BT34" i="7"/>
  <c r="CB34" i="7"/>
  <c r="CJ34" i="7"/>
  <c r="CR34" i="7"/>
  <c r="BC34" i="7"/>
  <c r="BE34" i="7"/>
  <c r="BM34" i="7"/>
  <c r="BU34" i="7"/>
  <c r="CC34" i="7"/>
  <c r="CK34" i="7"/>
  <c r="CS34" i="7"/>
  <c r="CI34" i="7"/>
  <c r="BF34" i="7"/>
  <c r="BN34" i="7"/>
  <c r="BV34" i="7"/>
  <c r="CD34" i="7"/>
  <c r="CL34" i="7"/>
  <c r="CT34" i="7"/>
  <c r="BS34" i="7"/>
  <c r="BG34" i="7"/>
  <c r="BO34" i="7"/>
  <c r="BW34" i="7"/>
  <c r="CE34" i="7"/>
  <c r="CM34" i="7"/>
  <c r="CU34" i="7"/>
  <c r="BK34" i="7"/>
  <c r="BH34" i="7"/>
  <c r="BP34" i="7"/>
  <c r="BX34" i="7"/>
  <c r="CF34" i="7"/>
  <c r="CN34" i="7"/>
  <c r="CV34" i="7"/>
  <c r="CA34" i="7"/>
  <c r="BI34" i="7"/>
  <c r="BQ34" i="7"/>
  <c r="BY34" i="7"/>
  <c r="CG34" i="7"/>
  <c r="CO34" i="7"/>
  <c r="CW34" i="7"/>
  <c r="BB34" i="7"/>
  <c r="BJ34" i="7"/>
  <c r="BR34" i="7"/>
  <c r="BZ34" i="7"/>
  <c r="CH34" i="7"/>
  <c r="CP34" i="7"/>
  <c r="CQ34" i="7"/>
  <c r="BB32" i="7"/>
  <c r="BJ32" i="7"/>
  <c r="BR32" i="7"/>
  <c r="BZ32" i="7"/>
  <c r="CH32" i="7"/>
  <c r="CP32" i="7"/>
  <c r="BC32" i="7"/>
  <c r="BK32" i="7"/>
  <c r="BS32" i="7"/>
  <c r="CA32" i="7"/>
  <c r="CI32" i="7"/>
  <c r="CQ32" i="7"/>
  <c r="BY32" i="7"/>
  <c r="BD32" i="7"/>
  <c r="BL32" i="7"/>
  <c r="BT32" i="7"/>
  <c r="CB32" i="7"/>
  <c r="CJ32" i="7"/>
  <c r="CR32" i="7"/>
  <c r="BE32" i="7"/>
  <c r="BM32" i="7"/>
  <c r="BU32" i="7"/>
  <c r="CC32" i="7"/>
  <c r="CK32" i="7"/>
  <c r="CS32" i="7"/>
  <c r="CW32" i="7"/>
  <c r="BF32" i="7"/>
  <c r="BN32" i="7"/>
  <c r="BV32" i="7"/>
  <c r="CD32" i="7"/>
  <c r="CL32" i="7"/>
  <c r="CT32" i="7"/>
  <c r="CG32" i="7"/>
  <c r="BG32" i="7"/>
  <c r="BO32" i="7"/>
  <c r="BW32" i="7"/>
  <c r="CE32" i="7"/>
  <c r="CM32" i="7"/>
  <c r="CU32" i="7"/>
  <c r="BQ32" i="7"/>
  <c r="BH32" i="7"/>
  <c r="BP32" i="7"/>
  <c r="BX32" i="7"/>
  <c r="CF32" i="7"/>
  <c r="CN32" i="7"/>
  <c r="CV32" i="7"/>
  <c r="BI32" i="7"/>
  <c r="CO32" i="7"/>
  <c r="F665" i="6"/>
  <c r="D665" i="6"/>
  <c r="F666" i="6"/>
  <c r="D666" i="6"/>
  <c r="B637" i="6"/>
  <c r="E637" i="6" s="1"/>
  <c r="C637" i="6"/>
  <c r="A642" i="6"/>
  <c r="B641" i="6"/>
  <c r="E641" i="6" s="1"/>
  <c r="C641" i="6"/>
  <c r="B633" i="6"/>
  <c r="E633" i="6" s="1"/>
  <c r="C633" i="6"/>
  <c r="A638" i="6"/>
  <c r="D640" i="6"/>
  <c r="F640" i="6"/>
  <c r="D636" i="6"/>
  <c r="F636" i="6"/>
  <c r="F628" i="6"/>
  <c r="D628" i="6"/>
  <c r="F632" i="6"/>
  <c r="D632" i="6"/>
  <c r="B639" i="6"/>
  <c r="E639" i="6" s="1"/>
  <c r="C639" i="6"/>
  <c r="D634" i="6"/>
  <c r="F634" i="6"/>
  <c r="BG54" i="7"/>
  <c r="BB10" i="7"/>
  <c r="BE13" i="7"/>
  <c r="BE15" i="7"/>
  <c r="BD12" i="7"/>
  <c r="BE12" i="7"/>
  <c r="BC12" i="7"/>
  <c r="BA33" i="7"/>
  <c r="BA25" i="7"/>
  <c r="BE8" i="7"/>
  <c r="BC8" i="7"/>
  <c r="BD8" i="7"/>
  <c r="BE18" i="7"/>
  <c r="BE20" i="7"/>
  <c r="BB8" i="7"/>
  <c r="BD14" i="7"/>
  <c r="BC14" i="7"/>
  <c r="BE14" i="7"/>
  <c r="BE19" i="7"/>
  <c r="BC10" i="7"/>
  <c r="BD10" i="7"/>
  <c r="BE10" i="7"/>
  <c r="BA11" i="7"/>
  <c r="BA6" i="7" s="1"/>
  <c r="BE16" i="7"/>
  <c r="BC16" i="7"/>
  <c r="BD16" i="7"/>
  <c r="BA29" i="7"/>
  <c r="BA7" i="7"/>
  <c r="BB12" i="7"/>
  <c r="BA31" i="7"/>
  <c r="BB14" i="7"/>
  <c r="BA9" i="7"/>
  <c r="BC44" i="7"/>
  <c r="BC42" i="7"/>
  <c r="BF4" i="7"/>
  <c r="BF16" i="7" s="1"/>
  <c r="BD41" i="7"/>
  <c r="BD40" i="7"/>
  <c r="BD43" i="7" s="1"/>
  <c r="BE2" i="7"/>
  <c r="BB44" i="7"/>
  <c r="BB48" i="7" s="1"/>
  <c r="BB42" i="7"/>
  <c r="A35" i="7"/>
  <c r="A37" i="7"/>
  <c r="B20" i="7"/>
  <c r="B18" i="7"/>
  <c r="C18" i="7" s="1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/>
  <c r="AL3" i="7"/>
  <c r="AM3" i="7"/>
  <c r="AN3" i="7"/>
  <c r="AO3" i="7"/>
  <c r="AP3" i="7"/>
  <c r="AQ3" i="7"/>
  <c r="AR3" i="7"/>
  <c r="AS3" i="7"/>
  <c r="AT3" i="7"/>
  <c r="AU3" i="7"/>
  <c r="AV3" i="7"/>
  <c r="AW3" i="7"/>
  <c r="AX3" i="7"/>
  <c r="B3" i="7"/>
  <c r="A13" i="7"/>
  <c r="A8" i="7" s="1"/>
  <c r="B8" i="7" s="1"/>
  <c r="A15" i="7"/>
  <c r="A10" i="7" s="1"/>
  <c r="B10" i="7" s="1"/>
  <c r="A14" i="7"/>
  <c r="A9" i="7" s="1"/>
  <c r="B9" i="7" s="1"/>
  <c r="A17" i="7"/>
  <c r="A12" i="7" s="1"/>
  <c r="D4" i="7"/>
  <c r="E4" i="7" s="1"/>
  <c r="F4" i="7" s="1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BB33" i="7" l="1"/>
  <c r="BJ33" i="7"/>
  <c r="BR33" i="7"/>
  <c r="BZ33" i="7"/>
  <c r="CH33" i="7"/>
  <c r="CP33" i="7"/>
  <c r="BQ33" i="7"/>
  <c r="BC33" i="7"/>
  <c r="BK33" i="7"/>
  <c r="BS33" i="7"/>
  <c r="CA33" i="7"/>
  <c r="CI33" i="7"/>
  <c r="CQ33" i="7"/>
  <c r="BI33" i="7"/>
  <c r="BD33" i="7"/>
  <c r="BL33" i="7"/>
  <c r="BT33" i="7"/>
  <c r="CB33" i="7"/>
  <c r="CJ33" i="7"/>
  <c r="CR33" i="7"/>
  <c r="BY33" i="7"/>
  <c r="CW33" i="7"/>
  <c r="BE33" i="7"/>
  <c r="BM33" i="7"/>
  <c r="BU33" i="7"/>
  <c r="CC33" i="7"/>
  <c r="CK33" i="7"/>
  <c r="CS33" i="7"/>
  <c r="CO33" i="7"/>
  <c r="BF33" i="7"/>
  <c r="BN33" i="7"/>
  <c r="BV33" i="7"/>
  <c r="CD33" i="7"/>
  <c r="CL33" i="7"/>
  <c r="CT33" i="7"/>
  <c r="CG33" i="7"/>
  <c r="BG33" i="7"/>
  <c r="BO33" i="7"/>
  <c r="BW33" i="7"/>
  <c r="CE33" i="7"/>
  <c r="CM33" i="7"/>
  <c r="CU33" i="7"/>
  <c r="BH33" i="7"/>
  <c r="BP33" i="7"/>
  <c r="BX33" i="7"/>
  <c r="CF33" i="7"/>
  <c r="CN33" i="7"/>
  <c r="CV33" i="7"/>
  <c r="D641" i="6"/>
  <c r="F641" i="6"/>
  <c r="F639" i="6"/>
  <c r="D639" i="6"/>
  <c r="C642" i="6"/>
  <c r="B642" i="6"/>
  <c r="E642" i="6" s="1"/>
  <c r="D637" i="6"/>
  <c r="F637" i="6"/>
  <c r="C638" i="6"/>
  <c r="B638" i="6"/>
  <c r="E638" i="6" s="1"/>
  <c r="D633" i="6"/>
  <c r="F633" i="6"/>
  <c r="BH54" i="7"/>
  <c r="BF9" i="7"/>
  <c r="BC9" i="7"/>
  <c r="BE9" i="7"/>
  <c r="BD9" i="7"/>
  <c r="BD11" i="7"/>
  <c r="BE11" i="7"/>
  <c r="BF11" i="7"/>
  <c r="BC11" i="7"/>
  <c r="BB11" i="7"/>
  <c r="BF18" i="7"/>
  <c r="BF20" i="7"/>
  <c r="BF19" i="7"/>
  <c r="BF15" i="7"/>
  <c r="BF13" i="7"/>
  <c r="BF17" i="7"/>
  <c r="BD7" i="7"/>
  <c r="BE7" i="7"/>
  <c r="BF7" i="7"/>
  <c r="BC7" i="7"/>
  <c r="B40" i="7"/>
  <c r="B43" i="7" s="1"/>
  <c r="B41" i="7"/>
  <c r="BF12" i="7"/>
  <c r="BD6" i="7"/>
  <c r="BE6" i="7"/>
  <c r="BF6" i="7"/>
  <c r="BC6" i="7"/>
  <c r="BA28" i="7"/>
  <c r="BF14" i="7"/>
  <c r="BF10" i="7"/>
  <c r="BF8" i="7"/>
  <c r="BB6" i="7"/>
  <c r="BA23" i="7"/>
  <c r="BB7" i="7"/>
  <c r="BA24" i="7"/>
  <c r="BA26" i="7"/>
  <c r="BB9" i="7"/>
  <c r="BG4" i="7"/>
  <c r="BG6" i="7" s="1"/>
  <c r="BF2" i="7"/>
  <c r="BE41" i="7"/>
  <c r="BE40" i="7"/>
  <c r="BE43" i="7" s="1"/>
  <c r="BC48" i="7"/>
  <c r="BD44" i="7"/>
  <c r="BD42" i="7"/>
  <c r="A7" i="7"/>
  <c r="A29" i="7"/>
  <c r="G4" i="7"/>
  <c r="G8" i="7" s="1"/>
  <c r="A30" i="7"/>
  <c r="F18" i="7"/>
  <c r="C9" i="7"/>
  <c r="D9" i="7"/>
  <c r="E9" i="7"/>
  <c r="F9" i="7"/>
  <c r="C10" i="7"/>
  <c r="D10" i="7"/>
  <c r="E10" i="7"/>
  <c r="F10" i="7"/>
  <c r="E18" i="7"/>
  <c r="B12" i="7"/>
  <c r="A36" i="7"/>
  <c r="D18" i="7"/>
  <c r="B17" i="7"/>
  <c r="A27" i="7"/>
  <c r="A34" i="7"/>
  <c r="A26" i="7"/>
  <c r="B13" i="7"/>
  <c r="A25" i="7"/>
  <c r="B14" i="7"/>
  <c r="A32" i="7"/>
  <c r="B15" i="7"/>
  <c r="C20" i="7"/>
  <c r="B19" i="7"/>
  <c r="A31" i="7"/>
  <c r="F20" i="7"/>
  <c r="E20" i="7"/>
  <c r="D20" i="7"/>
  <c r="F8" i="7"/>
  <c r="E8" i="7"/>
  <c r="D8" i="7"/>
  <c r="C8" i="7"/>
  <c r="A16" i="7"/>
  <c r="BE64" i="7" l="1"/>
  <c r="BF55" i="7"/>
  <c r="BC55" i="7"/>
  <c r="D638" i="6"/>
  <c r="F638" i="6"/>
  <c r="BD64" i="7" s="1"/>
  <c r="BG64" i="7"/>
  <c r="BG66" i="7" s="1"/>
  <c r="D642" i="6"/>
  <c r="F642" i="6"/>
  <c r="BB64" i="7"/>
  <c r="BC64" i="7"/>
  <c r="BI54" i="7"/>
  <c r="BH55" i="7"/>
  <c r="G12" i="7"/>
  <c r="G20" i="7"/>
  <c r="G41" i="7" s="1"/>
  <c r="BG7" i="7"/>
  <c r="G10" i="7"/>
  <c r="G9" i="7"/>
  <c r="BG9" i="7"/>
  <c r="BG11" i="7"/>
  <c r="E40" i="7"/>
  <c r="E43" i="7" s="1"/>
  <c r="E41" i="7"/>
  <c r="C40" i="7"/>
  <c r="C43" i="7" s="1"/>
  <c r="C41" i="7"/>
  <c r="F40" i="7"/>
  <c r="F43" i="7" s="1"/>
  <c r="F41" i="7"/>
  <c r="B44" i="7"/>
  <c r="B42" i="7"/>
  <c r="BG18" i="7"/>
  <c r="BG19" i="7"/>
  <c r="BG20" i="7"/>
  <c r="BG17" i="7"/>
  <c r="BG15" i="7"/>
  <c r="BG13" i="7"/>
  <c r="BG16" i="7"/>
  <c r="BG10" i="7"/>
  <c r="BG12" i="7"/>
  <c r="BG8" i="7"/>
  <c r="BG14" i="7"/>
  <c r="D40" i="7"/>
  <c r="D43" i="7" s="1"/>
  <c r="D41" i="7"/>
  <c r="BE42" i="7"/>
  <c r="BE44" i="7"/>
  <c r="BG2" i="7"/>
  <c r="BH4" i="7"/>
  <c r="BD48" i="7"/>
  <c r="BF41" i="7"/>
  <c r="BF40" i="7"/>
  <c r="BF43" i="7" s="1"/>
  <c r="G14" i="7"/>
  <c r="F13" i="7"/>
  <c r="G13" i="7"/>
  <c r="F15" i="7"/>
  <c r="F14" i="7"/>
  <c r="E14" i="7"/>
  <c r="D14" i="7"/>
  <c r="H4" i="7"/>
  <c r="H13" i="7" s="1"/>
  <c r="G18" i="7"/>
  <c r="A24" i="7"/>
  <c r="B7" i="7"/>
  <c r="A11" i="7"/>
  <c r="A33" i="7"/>
  <c r="B16" i="7"/>
  <c r="F19" i="7"/>
  <c r="C17" i="7"/>
  <c r="G17" i="7"/>
  <c r="F17" i="7"/>
  <c r="E17" i="7"/>
  <c r="E12" i="7"/>
  <c r="F12" i="7"/>
  <c r="D12" i="7"/>
  <c r="C12" i="7"/>
  <c r="E15" i="7"/>
  <c r="C14" i="7"/>
  <c r="E19" i="7"/>
  <c r="C19" i="7"/>
  <c r="D19" i="7"/>
  <c r="D17" i="7"/>
  <c r="D15" i="7"/>
  <c r="C15" i="7"/>
  <c r="G15" i="7"/>
  <c r="G19" i="7"/>
  <c r="D13" i="7"/>
  <c r="C13" i="7"/>
  <c r="E13" i="7"/>
  <c r="BB55" i="7" l="1"/>
  <c r="BG55" i="7"/>
  <c r="BF64" i="7"/>
  <c r="BF65" i="7" s="1"/>
  <c r="BD55" i="7"/>
  <c r="BE55" i="7"/>
  <c r="G40" i="7"/>
  <c r="G43" i="7" s="1"/>
  <c r="BJ54" i="7"/>
  <c r="BI55" i="7"/>
  <c r="H15" i="7"/>
  <c r="C42" i="7"/>
  <c r="C44" i="7"/>
  <c r="D42" i="7"/>
  <c r="D44" i="7"/>
  <c r="B48" i="7"/>
  <c r="G42" i="7"/>
  <c r="G44" i="7"/>
  <c r="E44" i="7"/>
  <c r="E42" i="7"/>
  <c r="BH18" i="7"/>
  <c r="BH19" i="7"/>
  <c r="BH20" i="7"/>
  <c r="BH17" i="7"/>
  <c r="BH13" i="7"/>
  <c r="BH15" i="7"/>
  <c r="BH14" i="7"/>
  <c r="BH10" i="7"/>
  <c r="BH16" i="7"/>
  <c r="BH12" i="7"/>
  <c r="BH8" i="7"/>
  <c r="BH11" i="7"/>
  <c r="BH6" i="7"/>
  <c r="BH9" i="7"/>
  <c r="BH7" i="7"/>
  <c r="F42" i="7"/>
  <c r="F44" i="7"/>
  <c r="BG41" i="7"/>
  <c r="BG40" i="7"/>
  <c r="BG43" i="7" s="1"/>
  <c r="BE48" i="7"/>
  <c r="BF42" i="7"/>
  <c r="BF44" i="7"/>
  <c r="BI4" i="7"/>
  <c r="BH2" i="7"/>
  <c r="H17" i="7"/>
  <c r="H14" i="7"/>
  <c r="I4" i="7"/>
  <c r="I7" i="7" s="1"/>
  <c r="H9" i="7"/>
  <c r="H8" i="7"/>
  <c r="H10" i="7"/>
  <c r="H18" i="7"/>
  <c r="H20" i="7"/>
  <c r="H12" i="7"/>
  <c r="H19" i="7"/>
  <c r="C7" i="7"/>
  <c r="G7" i="7"/>
  <c r="F7" i="7"/>
  <c r="E7" i="7"/>
  <c r="H7" i="7"/>
  <c r="D7" i="7"/>
  <c r="G16" i="7"/>
  <c r="E16" i="7"/>
  <c r="F16" i="7"/>
  <c r="C16" i="7"/>
  <c r="D16" i="7"/>
  <c r="H16" i="7"/>
  <c r="A6" i="7"/>
  <c r="B11" i="7"/>
  <c r="A28" i="7"/>
  <c r="BK54" i="7" l="1"/>
  <c r="BJ55" i="7"/>
  <c r="I16" i="7"/>
  <c r="C48" i="7"/>
  <c r="H40" i="7"/>
  <c r="H43" i="7" s="1"/>
  <c r="H41" i="7"/>
  <c r="BI18" i="7"/>
  <c r="BI20" i="7"/>
  <c r="BI17" i="7"/>
  <c r="BI15" i="7"/>
  <c r="BI13" i="7"/>
  <c r="BI19" i="7"/>
  <c r="BI12" i="7"/>
  <c r="BI16" i="7"/>
  <c r="BI10" i="7"/>
  <c r="BI8" i="7"/>
  <c r="BI14" i="7"/>
  <c r="BI9" i="7"/>
  <c r="BI7" i="7"/>
  <c r="BI11" i="7"/>
  <c r="BI6" i="7"/>
  <c r="BG44" i="7"/>
  <c r="BG42" i="7"/>
  <c r="BI2" i="7"/>
  <c r="BJ4" i="7"/>
  <c r="BF48" i="7"/>
  <c r="BH40" i="7"/>
  <c r="BH43" i="7" s="1"/>
  <c r="BH41" i="7"/>
  <c r="J4" i="7"/>
  <c r="J11" i="7" s="1"/>
  <c r="I10" i="7"/>
  <c r="I8" i="7"/>
  <c r="I9" i="7"/>
  <c r="I20" i="7"/>
  <c r="I18" i="7"/>
  <c r="I12" i="7"/>
  <c r="I13" i="7"/>
  <c r="I15" i="7"/>
  <c r="I17" i="7"/>
  <c r="I19" i="7"/>
  <c r="I14" i="7"/>
  <c r="H11" i="7"/>
  <c r="F11" i="7"/>
  <c r="G11" i="7"/>
  <c r="C11" i="7"/>
  <c r="D11" i="7"/>
  <c r="E11" i="7"/>
  <c r="I11" i="7"/>
  <c r="A23" i="7"/>
  <c r="B6" i="7"/>
  <c r="BL54" i="7" l="1"/>
  <c r="BK55" i="7"/>
  <c r="I40" i="7"/>
  <c r="I43" i="7" s="1"/>
  <c r="I41" i="7"/>
  <c r="D48" i="7"/>
  <c r="BJ20" i="7"/>
  <c r="BJ18" i="7"/>
  <c r="BJ19" i="7"/>
  <c r="BJ17" i="7"/>
  <c r="BJ15" i="7"/>
  <c r="BJ13" i="7"/>
  <c r="BJ16" i="7"/>
  <c r="BJ10" i="7"/>
  <c r="BJ12" i="7"/>
  <c r="BJ8" i="7"/>
  <c r="BJ14" i="7"/>
  <c r="BJ9" i="7"/>
  <c r="BJ7" i="7"/>
  <c r="BJ11" i="7"/>
  <c r="BJ6" i="7"/>
  <c r="H42" i="7"/>
  <c r="H44" i="7"/>
  <c r="BH44" i="7"/>
  <c r="BH42" i="7"/>
  <c r="BG48" i="7"/>
  <c r="BI41" i="7"/>
  <c r="BI40" i="7"/>
  <c r="BI43" i="7" s="1"/>
  <c r="BK4" i="7"/>
  <c r="BJ2" i="7"/>
  <c r="K4" i="7"/>
  <c r="J9" i="7"/>
  <c r="J18" i="7"/>
  <c r="J10" i="7"/>
  <c r="J8" i="7"/>
  <c r="J20" i="7"/>
  <c r="J13" i="7"/>
  <c r="J12" i="7"/>
  <c r="J17" i="7"/>
  <c r="J14" i="7"/>
  <c r="J15" i="7"/>
  <c r="J19" i="7"/>
  <c r="J16" i="7"/>
  <c r="J7" i="7"/>
  <c r="I6" i="7"/>
  <c r="G6" i="7"/>
  <c r="J6" i="7"/>
  <c r="C6" i="7"/>
  <c r="D6" i="7"/>
  <c r="E6" i="7"/>
  <c r="H6" i="7"/>
  <c r="F6" i="7"/>
  <c r="BM54" i="7" l="1"/>
  <c r="BL55" i="7"/>
  <c r="E48" i="7"/>
  <c r="J41" i="7"/>
  <c r="J40" i="7"/>
  <c r="BK18" i="7"/>
  <c r="BK20" i="7"/>
  <c r="BK15" i="7"/>
  <c r="BK19" i="7"/>
  <c r="BK17" i="7"/>
  <c r="BK13" i="7"/>
  <c r="BK12" i="7"/>
  <c r="BK14" i="7"/>
  <c r="BK8" i="7"/>
  <c r="BK10" i="7"/>
  <c r="BK16" i="7"/>
  <c r="BK6" i="7"/>
  <c r="BK9" i="7"/>
  <c r="BK7" i="7"/>
  <c r="BK11" i="7"/>
  <c r="I44" i="7"/>
  <c r="I42" i="7"/>
  <c r="BJ41" i="7"/>
  <c r="BJ40" i="7"/>
  <c r="BJ43" i="7" s="1"/>
  <c r="BK2" i="7"/>
  <c r="BL4" i="7"/>
  <c r="BI44" i="7"/>
  <c r="BI42" i="7"/>
  <c r="BH48" i="7"/>
  <c r="L4" i="7"/>
  <c r="K20" i="7"/>
  <c r="K18" i="7"/>
  <c r="K10" i="7"/>
  <c r="K9" i="7"/>
  <c r="K8" i="7"/>
  <c r="K14" i="7"/>
  <c r="K12" i="7"/>
  <c r="K17" i="7"/>
  <c r="K19" i="7"/>
  <c r="K15" i="7"/>
  <c r="K13" i="7"/>
  <c r="K16" i="7"/>
  <c r="K7" i="7"/>
  <c r="K11" i="7"/>
  <c r="K6" i="7"/>
  <c r="BN54" i="7" l="1"/>
  <c r="BM55" i="7"/>
  <c r="K40" i="7"/>
  <c r="K43" i="7" s="1"/>
  <c r="K41" i="7"/>
  <c r="BL20" i="7"/>
  <c r="BL18" i="7"/>
  <c r="BL13" i="7"/>
  <c r="BL17" i="7"/>
  <c r="BL15" i="7"/>
  <c r="BL19" i="7"/>
  <c r="BL16" i="7"/>
  <c r="BL10" i="7"/>
  <c r="BL14" i="7"/>
  <c r="BL8" i="7"/>
  <c r="BL12" i="7"/>
  <c r="BL6" i="7"/>
  <c r="BL7" i="7"/>
  <c r="BL11" i="7"/>
  <c r="BL9" i="7"/>
  <c r="F48" i="7"/>
  <c r="J42" i="7"/>
  <c r="J43" i="7"/>
  <c r="J44" i="7" s="1"/>
  <c r="BI48" i="7"/>
  <c r="BK41" i="7"/>
  <c r="BK40" i="7"/>
  <c r="BK43" i="7" s="1"/>
  <c r="BJ44" i="7"/>
  <c r="BJ42" i="7"/>
  <c r="BM4" i="7"/>
  <c r="BL2" i="7"/>
  <c r="M4" i="7"/>
  <c r="L18" i="7"/>
  <c r="L9" i="7"/>
  <c r="L10" i="7"/>
  <c r="L20" i="7"/>
  <c r="L8" i="7"/>
  <c r="L12" i="7"/>
  <c r="L14" i="7"/>
  <c r="L19" i="7"/>
  <c r="L15" i="7"/>
  <c r="L13" i="7"/>
  <c r="L17" i="7"/>
  <c r="L16" i="7"/>
  <c r="L7" i="7"/>
  <c r="L11" i="7"/>
  <c r="L6" i="7"/>
  <c r="BN55" i="7" l="1"/>
  <c r="BO54" i="7"/>
  <c r="G48" i="7"/>
  <c r="BM18" i="7"/>
  <c r="BM20" i="7"/>
  <c r="BM19" i="7"/>
  <c r="BM17" i="7"/>
  <c r="BM13" i="7"/>
  <c r="BM15" i="7"/>
  <c r="BM14" i="7"/>
  <c r="BM8" i="7"/>
  <c r="BM16" i="7"/>
  <c r="BM12" i="7"/>
  <c r="BM10" i="7"/>
  <c r="BM11" i="7"/>
  <c r="BM7" i="7"/>
  <c r="BM9" i="7"/>
  <c r="BM6" i="7"/>
  <c r="K44" i="7"/>
  <c r="K42" i="7"/>
  <c r="L40" i="7"/>
  <c r="L43" i="7" s="1"/>
  <c r="L41" i="7"/>
  <c r="BL41" i="7"/>
  <c r="BL40" i="7"/>
  <c r="BL43" i="7" s="1"/>
  <c r="BM2" i="7"/>
  <c r="BK44" i="7"/>
  <c r="BK42" i="7"/>
  <c r="BN4" i="7"/>
  <c r="BJ48" i="7"/>
  <c r="N4" i="7"/>
  <c r="M9" i="7"/>
  <c r="M18" i="7"/>
  <c r="M10" i="7"/>
  <c r="M12" i="7"/>
  <c r="M20" i="7"/>
  <c r="M8" i="7"/>
  <c r="M15" i="7"/>
  <c r="M17" i="7"/>
  <c r="M19" i="7"/>
  <c r="M14" i="7"/>
  <c r="M13" i="7"/>
  <c r="M16" i="7"/>
  <c r="M7" i="7"/>
  <c r="M11" i="7"/>
  <c r="M6" i="7"/>
  <c r="BP54" i="7" l="1"/>
  <c r="BO55" i="7"/>
  <c r="L44" i="7"/>
  <c r="L42" i="7"/>
  <c r="M40" i="7"/>
  <c r="M43" i="7" s="1"/>
  <c r="M41" i="7"/>
  <c r="BN20" i="7"/>
  <c r="BN18" i="7"/>
  <c r="BN19" i="7"/>
  <c r="BN13" i="7"/>
  <c r="BN15" i="7"/>
  <c r="BN17" i="7"/>
  <c r="BN8" i="7"/>
  <c r="BN14" i="7"/>
  <c r="BN10" i="7"/>
  <c r="BN16" i="7"/>
  <c r="BN12" i="7"/>
  <c r="BN9" i="7"/>
  <c r="BN11" i="7"/>
  <c r="BN7" i="7"/>
  <c r="BN6" i="7"/>
  <c r="H48" i="7"/>
  <c r="BK48" i="7"/>
  <c r="BL44" i="7"/>
  <c r="BL42" i="7"/>
  <c r="BO4" i="7"/>
  <c r="BM41" i="7"/>
  <c r="BM40" i="7"/>
  <c r="BM43" i="7" s="1"/>
  <c r="BN2" i="7"/>
  <c r="O4" i="7"/>
  <c r="N18" i="7"/>
  <c r="N9" i="7"/>
  <c r="N10" i="7"/>
  <c r="N8" i="7"/>
  <c r="N13" i="7"/>
  <c r="N20" i="7"/>
  <c r="N15" i="7"/>
  <c r="N14" i="7"/>
  <c r="N17" i="7"/>
  <c r="N12" i="7"/>
  <c r="N19" i="7"/>
  <c r="N7" i="7"/>
  <c r="N16" i="7"/>
  <c r="N11" i="7"/>
  <c r="N6" i="7"/>
  <c r="BQ54" i="7" l="1"/>
  <c r="BP55" i="7"/>
  <c r="M42" i="7"/>
  <c r="M44" i="7"/>
  <c r="I48" i="7"/>
  <c r="BO18" i="7"/>
  <c r="BO20" i="7"/>
  <c r="BO19" i="7"/>
  <c r="BO13" i="7"/>
  <c r="BO17" i="7"/>
  <c r="BO15" i="7"/>
  <c r="BO8" i="7"/>
  <c r="BO16" i="7"/>
  <c r="BO14" i="7"/>
  <c r="BO12" i="7"/>
  <c r="BO10" i="7"/>
  <c r="BO9" i="7"/>
  <c r="BO7" i="7"/>
  <c r="BO11" i="7"/>
  <c r="BO6" i="7"/>
  <c r="N40" i="7"/>
  <c r="N43" i="7" s="1"/>
  <c r="N41" i="7"/>
  <c r="BM42" i="7"/>
  <c r="BM44" i="7"/>
  <c r="BP4" i="7"/>
  <c r="BO2" i="7"/>
  <c r="BN41" i="7"/>
  <c r="BN40" i="7"/>
  <c r="BN43" i="7" s="1"/>
  <c r="BL48" i="7"/>
  <c r="P4" i="7"/>
  <c r="O18" i="7"/>
  <c r="O8" i="7"/>
  <c r="O20" i="7"/>
  <c r="O10" i="7"/>
  <c r="O9" i="7"/>
  <c r="O12" i="7"/>
  <c r="O15" i="7"/>
  <c r="O19" i="7"/>
  <c r="O13" i="7"/>
  <c r="O17" i="7"/>
  <c r="O14" i="7"/>
  <c r="O7" i="7"/>
  <c r="O16" i="7"/>
  <c r="O11" i="7"/>
  <c r="O6" i="7"/>
  <c r="BR54" i="7" l="1"/>
  <c r="BQ55" i="7"/>
  <c r="O40" i="7"/>
  <c r="O43" i="7" s="1"/>
  <c r="O41" i="7"/>
  <c r="BP18" i="7"/>
  <c r="BP20" i="7"/>
  <c r="BP13" i="7"/>
  <c r="BP19" i="7"/>
  <c r="BP17" i="7"/>
  <c r="BP15" i="7"/>
  <c r="BP8" i="7"/>
  <c r="BP14" i="7"/>
  <c r="BP12" i="7"/>
  <c r="BP10" i="7"/>
  <c r="BP16" i="7"/>
  <c r="BP6" i="7"/>
  <c r="BP11" i="7"/>
  <c r="BP9" i="7"/>
  <c r="BP7" i="7"/>
  <c r="J48" i="7"/>
  <c r="N42" i="7"/>
  <c r="N44" i="7"/>
  <c r="BM48" i="7"/>
  <c r="BP2" i="7"/>
  <c r="BO41" i="7"/>
  <c r="BO40" i="7"/>
  <c r="BO43" i="7" s="1"/>
  <c r="BN42" i="7"/>
  <c r="BN44" i="7"/>
  <c r="BQ4" i="7"/>
  <c r="Q4" i="7"/>
  <c r="P10" i="7"/>
  <c r="P20" i="7"/>
  <c r="P9" i="7"/>
  <c r="P8" i="7"/>
  <c r="P18" i="7"/>
  <c r="P12" i="7"/>
  <c r="P17" i="7"/>
  <c r="P15" i="7"/>
  <c r="P19" i="7"/>
  <c r="P14" i="7"/>
  <c r="P13" i="7"/>
  <c r="P16" i="7"/>
  <c r="P7" i="7"/>
  <c r="P11" i="7"/>
  <c r="P6" i="7"/>
  <c r="BS54" i="7" l="1"/>
  <c r="P40" i="7"/>
  <c r="P43" i="7" s="1"/>
  <c r="P41" i="7"/>
  <c r="BQ18" i="7"/>
  <c r="BQ20" i="7"/>
  <c r="BQ13" i="7"/>
  <c r="BQ17" i="7"/>
  <c r="BQ15" i="7"/>
  <c r="BQ19" i="7"/>
  <c r="BQ12" i="7"/>
  <c r="BQ16" i="7"/>
  <c r="BQ10" i="7"/>
  <c r="BQ14" i="7"/>
  <c r="BQ8" i="7"/>
  <c r="BQ11" i="7"/>
  <c r="BQ9" i="7"/>
  <c r="BQ6" i="7"/>
  <c r="BQ7" i="7"/>
  <c r="K48" i="7"/>
  <c r="O42" i="7"/>
  <c r="O44" i="7"/>
  <c r="BR4" i="7"/>
  <c r="BO44" i="7"/>
  <c r="BO42" i="7"/>
  <c r="BP40" i="7"/>
  <c r="BP43" i="7" s="1"/>
  <c r="BP41" i="7"/>
  <c r="BQ2" i="7"/>
  <c r="BN48" i="7"/>
  <c r="R4" i="7"/>
  <c r="Q10" i="7"/>
  <c r="Q9" i="7"/>
  <c r="Q20" i="7"/>
  <c r="Q18" i="7"/>
  <c r="Q14" i="7"/>
  <c r="Q13" i="7"/>
  <c r="Q8" i="7"/>
  <c r="Q12" i="7"/>
  <c r="Q17" i="7"/>
  <c r="Q19" i="7"/>
  <c r="Q15" i="7"/>
  <c r="Q7" i="7"/>
  <c r="Q16" i="7"/>
  <c r="Q11" i="7"/>
  <c r="Q6" i="7"/>
  <c r="BT54" i="7" l="1"/>
  <c r="L48" i="7"/>
  <c r="Q40" i="7"/>
  <c r="Q43" i="7" s="1"/>
  <c r="Q41" i="7"/>
  <c r="P42" i="7"/>
  <c r="P44" i="7"/>
  <c r="BR20" i="7"/>
  <c r="BR18" i="7"/>
  <c r="BR19" i="7"/>
  <c r="BR17" i="7"/>
  <c r="BR13" i="7"/>
  <c r="BR15" i="7"/>
  <c r="BR10" i="7"/>
  <c r="BR14" i="7"/>
  <c r="BR8" i="7"/>
  <c r="BR16" i="7"/>
  <c r="BR12" i="7"/>
  <c r="BR9" i="7"/>
  <c r="BR6" i="7"/>
  <c r="BR11" i="7"/>
  <c r="BR7" i="7"/>
  <c r="BO48" i="7"/>
  <c r="BS4" i="7"/>
  <c r="BP44" i="7"/>
  <c r="BP42" i="7"/>
  <c r="BR2" i="7"/>
  <c r="BQ41" i="7"/>
  <c r="BQ40" i="7"/>
  <c r="BQ43" i="7" s="1"/>
  <c r="S4" i="7"/>
  <c r="R10" i="7"/>
  <c r="R9" i="7"/>
  <c r="R20" i="7"/>
  <c r="R18" i="7"/>
  <c r="R8" i="7"/>
  <c r="R13" i="7"/>
  <c r="R14" i="7"/>
  <c r="R17" i="7"/>
  <c r="R15" i="7"/>
  <c r="R12" i="7"/>
  <c r="R19" i="7"/>
  <c r="R16" i="7"/>
  <c r="R7" i="7"/>
  <c r="R11" i="7"/>
  <c r="R6" i="7"/>
  <c r="BU54" i="7" l="1"/>
  <c r="Q42" i="7"/>
  <c r="Q44" i="7"/>
  <c r="R40" i="7"/>
  <c r="R43" i="7" s="1"/>
  <c r="R41" i="7"/>
  <c r="BS18" i="7"/>
  <c r="BS20" i="7"/>
  <c r="BS15" i="7"/>
  <c r="BS19" i="7"/>
  <c r="BS17" i="7"/>
  <c r="BS13" i="7"/>
  <c r="BS16" i="7"/>
  <c r="BS12" i="7"/>
  <c r="BS10" i="7"/>
  <c r="BS8" i="7"/>
  <c r="BS14" i="7"/>
  <c r="BS7" i="7"/>
  <c r="BS9" i="7"/>
  <c r="BS6" i="7"/>
  <c r="BS11" i="7"/>
  <c r="M48" i="7"/>
  <c r="BR41" i="7"/>
  <c r="BR40" i="7"/>
  <c r="BR43" i="7" s="1"/>
  <c r="BQ44" i="7"/>
  <c r="BQ42" i="7"/>
  <c r="BS2" i="7"/>
  <c r="BT4" i="7"/>
  <c r="BP48" i="7"/>
  <c r="T4" i="7"/>
  <c r="S20" i="7"/>
  <c r="S18" i="7"/>
  <c r="S10" i="7"/>
  <c r="S9" i="7"/>
  <c r="S8" i="7"/>
  <c r="S15" i="7"/>
  <c r="S12" i="7"/>
  <c r="S14" i="7"/>
  <c r="S17" i="7"/>
  <c r="S19" i="7"/>
  <c r="S13" i="7"/>
  <c r="S16" i="7"/>
  <c r="S7" i="7"/>
  <c r="S11" i="7"/>
  <c r="S6" i="7"/>
  <c r="BV54" i="7" l="1"/>
  <c r="N48" i="7"/>
  <c r="R42" i="7"/>
  <c r="R44" i="7"/>
  <c r="BT20" i="7"/>
  <c r="BT18" i="7"/>
  <c r="BT15" i="7"/>
  <c r="BT17" i="7"/>
  <c r="BT13" i="7"/>
  <c r="BT19" i="7"/>
  <c r="BT12" i="7"/>
  <c r="BT14" i="7"/>
  <c r="BT16" i="7"/>
  <c r="BT8" i="7"/>
  <c r="BT10" i="7"/>
  <c r="BT6" i="7"/>
  <c r="BT9" i="7"/>
  <c r="BT7" i="7"/>
  <c r="BT11" i="7"/>
  <c r="S40" i="7"/>
  <c r="S43" i="7" s="1"/>
  <c r="S41" i="7"/>
  <c r="BQ48" i="7"/>
  <c r="BS41" i="7"/>
  <c r="BS40" i="7"/>
  <c r="BS43" i="7" s="1"/>
  <c r="BT2" i="7"/>
  <c r="BU4" i="7"/>
  <c r="BR44" i="7"/>
  <c r="BR42" i="7"/>
  <c r="U4" i="7"/>
  <c r="T10" i="7"/>
  <c r="T9" i="7"/>
  <c r="T18" i="7"/>
  <c r="T20" i="7"/>
  <c r="T8" i="7"/>
  <c r="T15" i="7"/>
  <c r="T13" i="7"/>
  <c r="T12" i="7"/>
  <c r="T19" i="7"/>
  <c r="T14" i="7"/>
  <c r="T17" i="7"/>
  <c r="T16" i="7"/>
  <c r="T7" i="7"/>
  <c r="T11" i="7"/>
  <c r="T6" i="7"/>
  <c r="BW54" i="7" l="1"/>
  <c r="S42" i="7"/>
  <c r="S44" i="7"/>
  <c r="BU20" i="7"/>
  <c r="BU18" i="7"/>
  <c r="BU17" i="7"/>
  <c r="BU15" i="7"/>
  <c r="BU19" i="7"/>
  <c r="BU13" i="7"/>
  <c r="BU16" i="7"/>
  <c r="BU10" i="7"/>
  <c r="BU8" i="7"/>
  <c r="BU12" i="7"/>
  <c r="BU14" i="7"/>
  <c r="BU9" i="7"/>
  <c r="BU11" i="7"/>
  <c r="BU6" i="7"/>
  <c r="BU7" i="7"/>
  <c r="T40" i="7"/>
  <c r="T43" i="7" s="1"/>
  <c r="T41" i="7"/>
  <c r="O48" i="7"/>
  <c r="BT41" i="7"/>
  <c r="BT40" i="7"/>
  <c r="BT43" i="7" s="1"/>
  <c r="BU2" i="7"/>
  <c r="BS44" i="7"/>
  <c r="BS42" i="7"/>
  <c r="BV4" i="7"/>
  <c r="V4" i="7"/>
  <c r="U10" i="7"/>
  <c r="U20" i="7"/>
  <c r="U9" i="7"/>
  <c r="U18" i="7"/>
  <c r="U8" i="7"/>
  <c r="U12" i="7"/>
  <c r="U14" i="7"/>
  <c r="U15" i="7"/>
  <c r="U13" i="7"/>
  <c r="U17" i="7"/>
  <c r="U19" i="7"/>
  <c r="U16" i="7"/>
  <c r="U7" i="7"/>
  <c r="U11" i="7"/>
  <c r="U6" i="7"/>
  <c r="BX54" i="7" l="1"/>
  <c r="P48" i="7"/>
  <c r="BV20" i="7"/>
  <c r="BV19" i="7"/>
  <c r="BV18" i="7"/>
  <c r="BV15" i="7"/>
  <c r="BV13" i="7"/>
  <c r="BV17" i="7"/>
  <c r="BV10" i="7"/>
  <c r="BV8" i="7"/>
  <c r="BV14" i="7"/>
  <c r="BV12" i="7"/>
  <c r="BV16" i="7"/>
  <c r="BV9" i="7"/>
  <c r="BV7" i="7"/>
  <c r="BV11" i="7"/>
  <c r="BV6" i="7"/>
  <c r="T42" i="7"/>
  <c r="T44" i="7"/>
  <c r="U40" i="7"/>
  <c r="U43" i="7" s="1"/>
  <c r="U41" i="7"/>
  <c r="BU41" i="7"/>
  <c r="BU40" i="7"/>
  <c r="BU43" i="7" s="1"/>
  <c r="BW4" i="7"/>
  <c r="BT44" i="7"/>
  <c r="BT42" i="7"/>
  <c r="BV2" i="7"/>
  <c r="W4" i="7"/>
  <c r="V18" i="7"/>
  <c r="V9" i="7"/>
  <c r="V10" i="7"/>
  <c r="V8" i="7"/>
  <c r="V20" i="7"/>
  <c r="V13" i="7"/>
  <c r="V14" i="7"/>
  <c r="V17" i="7"/>
  <c r="V12" i="7"/>
  <c r="V19" i="7"/>
  <c r="V15" i="7"/>
  <c r="V16" i="7"/>
  <c r="V7" i="7"/>
  <c r="V11" i="7"/>
  <c r="V6" i="7"/>
  <c r="BY54" i="7" l="1"/>
  <c r="V40" i="7"/>
  <c r="V43" i="7" s="1"/>
  <c r="V41" i="7"/>
  <c r="U42" i="7"/>
  <c r="U44" i="7"/>
  <c r="BW18" i="7"/>
  <c r="BW19" i="7"/>
  <c r="BW20" i="7"/>
  <c r="BW13" i="7"/>
  <c r="BW17" i="7"/>
  <c r="BW15" i="7"/>
  <c r="BW12" i="7"/>
  <c r="BW8" i="7"/>
  <c r="BW10" i="7"/>
  <c r="BW14" i="7"/>
  <c r="BW16" i="7"/>
  <c r="BW9" i="7"/>
  <c r="BW7" i="7"/>
  <c r="BW11" i="7"/>
  <c r="BW6" i="7"/>
  <c r="Q48" i="7"/>
  <c r="BV41" i="7"/>
  <c r="BV40" i="7"/>
  <c r="BV43" i="7" s="1"/>
  <c r="BW2" i="7"/>
  <c r="BU42" i="7"/>
  <c r="BU44" i="7"/>
  <c r="BX4" i="7"/>
  <c r="X4" i="7"/>
  <c r="W18" i="7"/>
  <c r="W9" i="7"/>
  <c r="W8" i="7"/>
  <c r="W10" i="7"/>
  <c r="W13" i="7"/>
  <c r="W12" i="7"/>
  <c r="W20" i="7"/>
  <c r="W19" i="7"/>
  <c r="W15" i="7"/>
  <c r="W14" i="7"/>
  <c r="W17" i="7"/>
  <c r="W7" i="7"/>
  <c r="W16" i="7"/>
  <c r="W11" i="7"/>
  <c r="W6" i="7"/>
  <c r="BZ54" i="7" l="1"/>
  <c r="W40" i="7"/>
  <c r="W43" i="7" s="1"/>
  <c r="W41" i="7"/>
  <c r="R48" i="7"/>
  <c r="V42" i="7"/>
  <c r="V44" i="7"/>
  <c r="BX18" i="7"/>
  <c r="BX19" i="7"/>
  <c r="BX20" i="7"/>
  <c r="BX13" i="7"/>
  <c r="BX15" i="7"/>
  <c r="BX17" i="7"/>
  <c r="BX8" i="7"/>
  <c r="BX14" i="7"/>
  <c r="BX12" i="7"/>
  <c r="BX10" i="7"/>
  <c r="BX16" i="7"/>
  <c r="BX7" i="7"/>
  <c r="BX11" i="7"/>
  <c r="BX6" i="7"/>
  <c r="BX9" i="7"/>
  <c r="BV42" i="7"/>
  <c r="BV44" i="7"/>
  <c r="BY4" i="7"/>
  <c r="BW41" i="7"/>
  <c r="BW40" i="7"/>
  <c r="BW43" i="7" s="1"/>
  <c r="BX2" i="7"/>
  <c r="Y4" i="7"/>
  <c r="X10" i="7"/>
  <c r="X8" i="7"/>
  <c r="X9" i="7"/>
  <c r="X18" i="7"/>
  <c r="X12" i="7"/>
  <c r="X20" i="7"/>
  <c r="X14" i="7"/>
  <c r="X13" i="7"/>
  <c r="X17" i="7"/>
  <c r="X19" i="7"/>
  <c r="X15" i="7"/>
  <c r="X16" i="7"/>
  <c r="X7" i="7"/>
  <c r="X11" i="7"/>
  <c r="X6" i="7"/>
  <c r="CA54" i="7" l="1"/>
  <c r="X40" i="7"/>
  <c r="X43" i="7" s="1"/>
  <c r="X41" i="7"/>
  <c r="BY18" i="7"/>
  <c r="BY20" i="7"/>
  <c r="BY13" i="7"/>
  <c r="BY17" i="7"/>
  <c r="BY19" i="7"/>
  <c r="BY15" i="7"/>
  <c r="BY12" i="7"/>
  <c r="BY14" i="7"/>
  <c r="BY16" i="7"/>
  <c r="BY10" i="7"/>
  <c r="BY8" i="7"/>
  <c r="BY11" i="7"/>
  <c r="BY9" i="7"/>
  <c r="BY7" i="7"/>
  <c r="BY6" i="7"/>
  <c r="W42" i="7"/>
  <c r="W44" i="7"/>
  <c r="BX40" i="7"/>
  <c r="BX43" i="7" s="1"/>
  <c r="BX41" i="7"/>
  <c r="BY2" i="7"/>
  <c r="BW44" i="7"/>
  <c r="BW42" i="7"/>
  <c r="BZ4" i="7"/>
  <c r="Z4" i="7"/>
  <c r="Y10" i="7"/>
  <c r="Y8" i="7"/>
  <c r="Y20" i="7"/>
  <c r="Y18" i="7"/>
  <c r="Y12" i="7"/>
  <c r="Y13" i="7"/>
  <c r="Y9" i="7"/>
  <c r="Y19" i="7"/>
  <c r="Y14" i="7"/>
  <c r="Y17" i="7"/>
  <c r="Y15" i="7"/>
  <c r="Y16" i="7"/>
  <c r="Y7" i="7"/>
  <c r="Y11" i="7"/>
  <c r="Y6" i="7"/>
  <c r="CB54" i="7" l="1"/>
  <c r="Y40" i="7"/>
  <c r="Y43" i="7" s="1"/>
  <c r="Y41" i="7"/>
  <c r="X42" i="7"/>
  <c r="X44" i="7"/>
  <c r="BZ20" i="7"/>
  <c r="BZ18" i="7"/>
  <c r="BZ19" i="7"/>
  <c r="BZ13" i="7"/>
  <c r="BZ17" i="7"/>
  <c r="BZ15" i="7"/>
  <c r="BZ12" i="7"/>
  <c r="BZ8" i="7"/>
  <c r="BZ16" i="7"/>
  <c r="BZ14" i="7"/>
  <c r="BZ10" i="7"/>
  <c r="BZ9" i="7"/>
  <c r="BZ11" i="7"/>
  <c r="BZ6" i="7"/>
  <c r="BZ7" i="7"/>
  <c r="BY41" i="7"/>
  <c r="BY40" i="7"/>
  <c r="BY43" i="7" s="1"/>
  <c r="BZ2" i="7"/>
  <c r="CA4" i="7"/>
  <c r="BX44" i="7"/>
  <c r="BX42" i="7"/>
  <c r="AA4" i="7"/>
  <c r="Z10" i="7"/>
  <c r="Z8" i="7"/>
  <c r="Z18" i="7"/>
  <c r="Z9" i="7"/>
  <c r="Z20" i="7"/>
  <c r="Z17" i="7"/>
  <c r="Z14" i="7"/>
  <c r="Z15" i="7"/>
  <c r="Z13" i="7"/>
  <c r="Z12" i="7"/>
  <c r="Z19" i="7"/>
  <c r="Z7" i="7"/>
  <c r="Z16" i="7"/>
  <c r="Z11" i="7"/>
  <c r="Z6" i="7"/>
  <c r="CC54" i="7" l="1"/>
  <c r="Z40" i="7"/>
  <c r="Z43" i="7" s="1"/>
  <c r="Z41" i="7"/>
  <c r="CA18" i="7"/>
  <c r="CA20" i="7"/>
  <c r="CA15" i="7"/>
  <c r="CA17" i="7"/>
  <c r="CA19" i="7"/>
  <c r="CA13" i="7"/>
  <c r="CA8" i="7"/>
  <c r="CA12" i="7"/>
  <c r="CA16" i="7"/>
  <c r="CA10" i="7"/>
  <c r="CA14" i="7"/>
  <c r="CA11" i="7"/>
  <c r="CA9" i="7"/>
  <c r="CA7" i="7"/>
  <c r="CA6" i="7"/>
  <c r="Y42" i="7"/>
  <c r="Y44" i="7"/>
  <c r="BZ41" i="7"/>
  <c r="BZ40" i="7"/>
  <c r="BZ43" i="7" s="1"/>
  <c r="CA2" i="7"/>
  <c r="CB4" i="7"/>
  <c r="BY44" i="7"/>
  <c r="BY42" i="7"/>
  <c r="AB4" i="7"/>
  <c r="AA20" i="7"/>
  <c r="AA18" i="7"/>
  <c r="AA10" i="7"/>
  <c r="AA9" i="7"/>
  <c r="AA8" i="7"/>
  <c r="AA15" i="7"/>
  <c r="AA19" i="7"/>
  <c r="AA14" i="7"/>
  <c r="AA12" i="7"/>
  <c r="AA17" i="7"/>
  <c r="AA13" i="7"/>
  <c r="AA16" i="7"/>
  <c r="AA7" i="7"/>
  <c r="AA11" i="7"/>
  <c r="AA6" i="7"/>
  <c r="CD54" i="7" l="1"/>
  <c r="AA40" i="7"/>
  <c r="AA43" i="7" s="1"/>
  <c r="AA41" i="7"/>
  <c r="CB20" i="7"/>
  <c r="CB18" i="7"/>
  <c r="CB13" i="7"/>
  <c r="CB17" i="7"/>
  <c r="CB15" i="7"/>
  <c r="CB19" i="7"/>
  <c r="CB12" i="7"/>
  <c r="CB8" i="7"/>
  <c r="CB16" i="7"/>
  <c r="CB14" i="7"/>
  <c r="CB10" i="7"/>
  <c r="CB6" i="7"/>
  <c r="CB11" i="7"/>
  <c r="CB9" i="7"/>
  <c r="CB7" i="7"/>
  <c r="Z44" i="7"/>
  <c r="Z42" i="7"/>
  <c r="CC4" i="7"/>
  <c r="BZ44" i="7"/>
  <c r="BZ42" i="7"/>
  <c r="CA41" i="7"/>
  <c r="CA40" i="7"/>
  <c r="CA43" i="7" s="1"/>
  <c r="CB2" i="7"/>
  <c r="AC4" i="7"/>
  <c r="AB18" i="7"/>
  <c r="AB10" i="7"/>
  <c r="AB9" i="7"/>
  <c r="AB8" i="7"/>
  <c r="AB20" i="7"/>
  <c r="AB14" i="7"/>
  <c r="AB19" i="7"/>
  <c r="AB12" i="7"/>
  <c r="AB15" i="7"/>
  <c r="AB13" i="7"/>
  <c r="AB17" i="7"/>
  <c r="AB16" i="7"/>
  <c r="AB7" i="7"/>
  <c r="AB11" i="7"/>
  <c r="AB6" i="7"/>
  <c r="CE54" i="7" l="1"/>
  <c r="CC20" i="7"/>
  <c r="CC18" i="7"/>
  <c r="CC15" i="7"/>
  <c r="CC13" i="7"/>
  <c r="CC19" i="7"/>
  <c r="CC17" i="7"/>
  <c r="CC16" i="7"/>
  <c r="CC8" i="7"/>
  <c r="CC10" i="7"/>
  <c r="CC12" i="7"/>
  <c r="CC14" i="7"/>
  <c r="CC6" i="7"/>
  <c r="CC9" i="7"/>
  <c r="CC11" i="7"/>
  <c r="CC7" i="7"/>
  <c r="AA44" i="7"/>
  <c r="AA42" i="7"/>
  <c r="AB40" i="7"/>
  <c r="AB43" i="7" s="1"/>
  <c r="AB41" i="7"/>
  <c r="CD4" i="7"/>
  <c r="CC2" i="7"/>
  <c r="CB41" i="7"/>
  <c r="CB40" i="7"/>
  <c r="CB43" i="7" s="1"/>
  <c r="CA44" i="7"/>
  <c r="CA42" i="7"/>
  <c r="AD4" i="7"/>
  <c r="AC10" i="7"/>
  <c r="AC8" i="7"/>
  <c r="AC18" i="7"/>
  <c r="AC9" i="7"/>
  <c r="AC12" i="7"/>
  <c r="AC20" i="7"/>
  <c r="AC14" i="7"/>
  <c r="AC19" i="7"/>
  <c r="AC15" i="7"/>
  <c r="AC13" i="7"/>
  <c r="AC17" i="7"/>
  <c r="AC7" i="7"/>
  <c r="AC16" i="7"/>
  <c r="AC11" i="7"/>
  <c r="AC6" i="7"/>
  <c r="CF54" i="7" l="1"/>
  <c r="CD20" i="7"/>
  <c r="CD18" i="7"/>
  <c r="CD19" i="7"/>
  <c r="CD17" i="7"/>
  <c r="CD15" i="7"/>
  <c r="CD13" i="7"/>
  <c r="CD12" i="7"/>
  <c r="CD16" i="7"/>
  <c r="CD14" i="7"/>
  <c r="CD8" i="7"/>
  <c r="CD10" i="7"/>
  <c r="CD6" i="7"/>
  <c r="CD9" i="7"/>
  <c r="CD7" i="7"/>
  <c r="CD11" i="7"/>
  <c r="AC40" i="7"/>
  <c r="AC43" i="7" s="1"/>
  <c r="AC41" i="7"/>
  <c r="AB44" i="7"/>
  <c r="AB42" i="7"/>
  <c r="CB44" i="7"/>
  <c r="CB42" i="7"/>
  <c r="CD2" i="7"/>
  <c r="CC41" i="7"/>
  <c r="CC40" i="7"/>
  <c r="CC43" i="7" s="1"/>
  <c r="CE4" i="7"/>
  <c r="AE4" i="7"/>
  <c r="AD18" i="7"/>
  <c r="AD9" i="7"/>
  <c r="AD10" i="7"/>
  <c r="AD8" i="7"/>
  <c r="AD20" i="7"/>
  <c r="AD15" i="7"/>
  <c r="AD17" i="7"/>
  <c r="AD14" i="7"/>
  <c r="AD13" i="7"/>
  <c r="AD12" i="7"/>
  <c r="AD19" i="7"/>
  <c r="AD7" i="7"/>
  <c r="AD16" i="7"/>
  <c r="AD11" i="7"/>
  <c r="AD6" i="7"/>
  <c r="CG54" i="7" l="1"/>
  <c r="CE20" i="7"/>
  <c r="CE18" i="7"/>
  <c r="CE19" i="7"/>
  <c r="CE13" i="7"/>
  <c r="CE17" i="7"/>
  <c r="CE15" i="7"/>
  <c r="CE10" i="7"/>
  <c r="CE8" i="7"/>
  <c r="CE16" i="7"/>
  <c r="CE12" i="7"/>
  <c r="CE14" i="7"/>
  <c r="CE9" i="7"/>
  <c r="CE7" i="7"/>
  <c r="CE11" i="7"/>
  <c r="CE6" i="7"/>
  <c r="AC42" i="7"/>
  <c r="AC44" i="7"/>
  <c r="AD40" i="7"/>
  <c r="AD43" i="7" s="1"/>
  <c r="AD41" i="7"/>
  <c r="CD41" i="7"/>
  <c r="CD40" i="7"/>
  <c r="CD43" i="7" s="1"/>
  <c r="CF4" i="7"/>
  <c r="CC42" i="7"/>
  <c r="CC44" i="7"/>
  <c r="CE2" i="7"/>
  <c r="AF4" i="7"/>
  <c r="AE18" i="7"/>
  <c r="AE20" i="7"/>
  <c r="AE9" i="7"/>
  <c r="AE12" i="7"/>
  <c r="AE10" i="7"/>
  <c r="AE8" i="7"/>
  <c r="AE13" i="7"/>
  <c r="AE19" i="7"/>
  <c r="AE14" i="7"/>
  <c r="AE17" i="7"/>
  <c r="AE15" i="7"/>
  <c r="AE7" i="7"/>
  <c r="AE16" i="7"/>
  <c r="AE11" i="7"/>
  <c r="AE6" i="7"/>
  <c r="CH54" i="7" l="1"/>
  <c r="AD42" i="7"/>
  <c r="AD44" i="7"/>
  <c r="AE40" i="7"/>
  <c r="AE43" i="7" s="1"/>
  <c r="AE41" i="7"/>
  <c r="CF18" i="7"/>
  <c r="CF19" i="7"/>
  <c r="CF20" i="7"/>
  <c r="CF17" i="7"/>
  <c r="CF13" i="7"/>
  <c r="CF15" i="7"/>
  <c r="CF8" i="7"/>
  <c r="CF10" i="7"/>
  <c r="CF14" i="7"/>
  <c r="CF12" i="7"/>
  <c r="CF16" i="7"/>
  <c r="CF7" i="7"/>
  <c r="CF6" i="7"/>
  <c r="CF11" i="7"/>
  <c r="CF9" i="7"/>
  <c r="CG4" i="7"/>
  <c r="CD42" i="7"/>
  <c r="CD44" i="7"/>
  <c r="CE41" i="7"/>
  <c r="CE40" i="7"/>
  <c r="CE43" i="7" s="1"/>
  <c r="CF2" i="7"/>
  <c r="AG4" i="7"/>
  <c r="AF8" i="7"/>
  <c r="AF9" i="7"/>
  <c r="AF10" i="7"/>
  <c r="AF18" i="7"/>
  <c r="AF19" i="7"/>
  <c r="AF13" i="7"/>
  <c r="AF20" i="7"/>
  <c r="AF12" i="7"/>
  <c r="AF14" i="7"/>
  <c r="AF17" i="7"/>
  <c r="AF15" i="7"/>
  <c r="AF16" i="7"/>
  <c r="AF7" i="7"/>
  <c r="AF11" i="7"/>
  <c r="AF6" i="7"/>
  <c r="CI54" i="7" l="1"/>
  <c r="CG15" i="7"/>
  <c r="CG20" i="7"/>
  <c r="CG18" i="7"/>
  <c r="CG13" i="7"/>
  <c r="CG19" i="7"/>
  <c r="CG17" i="7"/>
  <c r="CG8" i="7"/>
  <c r="CG14" i="7"/>
  <c r="CG12" i="7"/>
  <c r="CG16" i="7"/>
  <c r="CG10" i="7"/>
  <c r="CG7" i="7"/>
  <c r="CG11" i="7"/>
  <c r="CG9" i="7"/>
  <c r="CG6" i="7"/>
  <c r="AE42" i="7"/>
  <c r="AE44" i="7"/>
  <c r="AF40" i="7"/>
  <c r="AF43" i="7" s="1"/>
  <c r="AF41" i="7"/>
  <c r="CH4" i="7"/>
  <c r="CG2" i="7"/>
  <c r="CE44" i="7"/>
  <c r="CE42" i="7"/>
  <c r="CF40" i="7"/>
  <c r="CF43" i="7" s="1"/>
  <c r="CF41" i="7"/>
  <c r="AH4" i="7"/>
  <c r="AG20" i="7"/>
  <c r="AG10" i="7"/>
  <c r="AG8" i="7"/>
  <c r="AG18" i="7"/>
  <c r="AG9" i="7"/>
  <c r="AG12" i="7"/>
  <c r="AG13" i="7"/>
  <c r="AG14" i="7"/>
  <c r="AG17" i="7"/>
  <c r="AG19" i="7"/>
  <c r="AG15" i="7"/>
  <c r="AG16" i="7"/>
  <c r="AG7" i="7"/>
  <c r="AG11" i="7"/>
  <c r="AG6" i="7"/>
  <c r="CJ54" i="7" l="1"/>
  <c r="AG40" i="7"/>
  <c r="AG43" i="7" s="1"/>
  <c r="AG41" i="7"/>
  <c r="AF42" i="7"/>
  <c r="AF44" i="7"/>
  <c r="CH20" i="7"/>
  <c r="CH18" i="7"/>
  <c r="CH19" i="7"/>
  <c r="CH15" i="7"/>
  <c r="CH13" i="7"/>
  <c r="CH17" i="7"/>
  <c r="CH12" i="7"/>
  <c r="CH8" i="7"/>
  <c r="CH14" i="7"/>
  <c r="CH10" i="7"/>
  <c r="CH16" i="7"/>
  <c r="CH7" i="7"/>
  <c r="CH6" i="7"/>
  <c r="CH9" i="7"/>
  <c r="CH11" i="7"/>
  <c r="CH2" i="7"/>
  <c r="CI4" i="7"/>
  <c r="CF44" i="7"/>
  <c r="CF42" i="7"/>
  <c r="CG41" i="7"/>
  <c r="CG40" i="7"/>
  <c r="CG43" i="7" s="1"/>
  <c r="AI4" i="7"/>
  <c r="AH20" i="7"/>
  <c r="AH18" i="7"/>
  <c r="AH10" i="7"/>
  <c r="AH8" i="7"/>
  <c r="AH9" i="7"/>
  <c r="AH12" i="7"/>
  <c r="AH19" i="7"/>
  <c r="AH15" i="7"/>
  <c r="AH14" i="7"/>
  <c r="AH17" i="7"/>
  <c r="AH13" i="7"/>
  <c r="AH16" i="7"/>
  <c r="AH7" i="7"/>
  <c r="AH11" i="7"/>
  <c r="AH6" i="7"/>
  <c r="CK54" i="7" l="1"/>
  <c r="CI18" i="7"/>
  <c r="CI20" i="7"/>
  <c r="CI13" i="7"/>
  <c r="CI17" i="7"/>
  <c r="CI15" i="7"/>
  <c r="CI19" i="7"/>
  <c r="CI16" i="7"/>
  <c r="CI12" i="7"/>
  <c r="CI10" i="7"/>
  <c r="CI8" i="7"/>
  <c r="CI14" i="7"/>
  <c r="CI11" i="7"/>
  <c r="CI9" i="7"/>
  <c r="CI6" i="7"/>
  <c r="CI7" i="7"/>
  <c r="AH40" i="7"/>
  <c r="AH43" i="7" s="1"/>
  <c r="AH41" i="7"/>
  <c r="AG42" i="7"/>
  <c r="AG44" i="7"/>
  <c r="CJ4" i="7"/>
  <c r="CI2" i="7"/>
  <c r="CG44" i="7"/>
  <c r="CG42" i="7"/>
  <c r="CH41" i="7"/>
  <c r="CH40" i="7"/>
  <c r="CH43" i="7" s="1"/>
  <c r="AJ4" i="7"/>
  <c r="AI10" i="7"/>
  <c r="AI18" i="7"/>
  <c r="AI9" i="7"/>
  <c r="AI20" i="7"/>
  <c r="AI8" i="7"/>
  <c r="AI19" i="7"/>
  <c r="AI15" i="7"/>
  <c r="AI12" i="7"/>
  <c r="AI13" i="7"/>
  <c r="AI14" i="7"/>
  <c r="AI17" i="7"/>
  <c r="AI7" i="7"/>
  <c r="AI16" i="7"/>
  <c r="AI11" i="7"/>
  <c r="AI6" i="7"/>
  <c r="CL54" i="7" l="1"/>
  <c r="AH42" i="7"/>
  <c r="AH44" i="7"/>
  <c r="AI40" i="7"/>
  <c r="AI43" i="7" s="1"/>
  <c r="AI41" i="7"/>
  <c r="CJ20" i="7"/>
  <c r="CJ18" i="7"/>
  <c r="CJ13" i="7"/>
  <c r="CJ17" i="7"/>
  <c r="CJ15" i="7"/>
  <c r="CJ19" i="7"/>
  <c r="CJ12" i="7"/>
  <c r="CJ8" i="7"/>
  <c r="CJ10" i="7"/>
  <c r="CJ16" i="7"/>
  <c r="CJ14" i="7"/>
  <c r="CJ11" i="7"/>
  <c r="CJ6" i="7"/>
  <c r="CJ9" i="7"/>
  <c r="CJ7" i="7"/>
  <c r="CI41" i="7"/>
  <c r="CI40" i="7"/>
  <c r="CI43" i="7" s="1"/>
  <c r="CJ2" i="7"/>
  <c r="CH44" i="7"/>
  <c r="CH42" i="7"/>
  <c r="CK4" i="7"/>
  <c r="AK4" i="7"/>
  <c r="AJ10" i="7"/>
  <c r="AJ18" i="7"/>
  <c r="AJ14" i="7"/>
  <c r="AJ8" i="7"/>
  <c r="AJ13" i="7"/>
  <c r="AJ20" i="7"/>
  <c r="AJ9" i="7"/>
  <c r="AJ17" i="7"/>
  <c r="AJ12" i="7"/>
  <c r="AJ19" i="7"/>
  <c r="AJ15" i="7"/>
  <c r="AJ16" i="7"/>
  <c r="AJ7" i="7"/>
  <c r="AJ11" i="7"/>
  <c r="AJ6" i="7"/>
  <c r="CM54" i="7" l="1"/>
  <c r="AJ40" i="7"/>
  <c r="AJ43" i="7" s="1"/>
  <c r="AJ41" i="7"/>
  <c r="CK20" i="7"/>
  <c r="CK18" i="7"/>
  <c r="CK15" i="7"/>
  <c r="CK17" i="7"/>
  <c r="CK13" i="7"/>
  <c r="CK19" i="7"/>
  <c r="CK12" i="7"/>
  <c r="CK10" i="7"/>
  <c r="CK16" i="7"/>
  <c r="CK14" i="7"/>
  <c r="CK8" i="7"/>
  <c r="CK11" i="7"/>
  <c r="CK9" i="7"/>
  <c r="CK6" i="7"/>
  <c r="CK7" i="7"/>
  <c r="AI42" i="7"/>
  <c r="AI44" i="7"/>
  <c r="CL4" i="7"/>
  <c r="CI44" i="7"/>
  <c r="CI42" i="7"/>
  <c r="CJ41" i="7"/>
  <c r="CJ40" i="7"/>
  <c r="CJ43" i="7" s="1"/>
  <c r="CK2" i="7"/>
  <c r="AL4" i="7"/>
  <c r="AK10" i="7"/>
  <c r="AK18" i="7"/>
  <c r="AK8" i="7"/>
  <c r="AK12" i="7"/>
  <c r="AK9" i="7"/>
  <c r="AK20" i="7"/>
  <c r="AK15" i="7"/>
  <c r="AK17" i="7"/>
  <c r="AK13" i="7"/>
  <c r="AK14" i="7"/>
  <c r="AK19" i="7"/>
  <c r="AK7" i="7"/>
  <c r="AK16" i="7"/>
  <c r="AK11" i="7"/>
  <c r="AK6" i="7"/>
  <c r="CN54" i="7" l="1"/>
  <c r="AK40" i="7"/>
  <c r="AK43" i="7" s="1"/>
  <c r="AK41" i="7"/>
  <c r="CL20" i="7"/>
  <c r="CL19" i="7"/>
  <c r="CL18" i="7"/>
  <c r="CL17" i="7"/>
  <c r="CL13" i="7"/>
  <c r="CL15" i="7"/>
  <c r="CL16" i="7"/>
  <c r="CL12" i="7"/>
  <c r="CL10" i="7"/>
  <c r="CL8" i="7"/>
  <c r="CL14" i="7"/>
  <c r="CL6" i="7"/>
  <c r="CL9" i="7"/>
  <c r="CL11" i="7"/>
  <c r="CL7" i="7"/>
  <c r="AJ44" i="7"/>
  <c r="AJ42" i="7"/>
  <c r="CM4" i="7"/>
  <c r="CJ44" i="7"/>
  <c r="CJ42" i="7"/>
  <c r="CL2" i="7"/>
  <c r="CK41" i="7"/>
  <c r="CK40" i="7"/>
  <c r="CK43" i="7" s="1"/>
  <c r="AM4" i="7"/>
  <c r="AL18" i="7"/>
  <c r="AL10" i="7"/>
  <c r="AL9" i="7"/>
  <c r="AL20" i="7"/>
  <c r="AL15" i="7"/>
  <c r="AL8" i="7"/>
  <c r="AL13" i="7"/>
  <c r="AL19" i="7"/>
  <c r="AL12" i="7"/>
  <c r="AL14" i="7"/>
  <c r="AL17" i="7"/>
  <c r="AL16" i="7"/>
  <c r="AL7" i="7"/>
  <c r="AL11" i="7"/>
  <c r="AL6" i="7"/>
  <c r="CO54" i="7" l="1"/>
  <c r="CM19" i="7"/>
  <c r="CM20" i="7"/>
  <c r="CM18" i="7"/>
  <c r="CM15" i="7"/>
  <c r="CM17" i="7"/>
  <c r="CM13" i="7"/>
  <c r="CM10" i="7"/>
  <c r="CM14" i="7"/>
  <c r="CM12" i="7"/>
  <c r="CM8" i="7"/>
  <c r="CM16" i="7"/>
  <c r="CM11" i="7"/>
  <c r="CM6" i="7"/>
  <c r="CM9" i="7"/>
  <c r="CM7" i="7"/>
  <c r="AL40" i="7"/>
  <c r="AL43" i="7" s="1"/>
  <c r="AL41" i="7"/>
  <c r="AK42" i="7"/>
  <c r="AK44" i="7"/>
  <c r="CM2" i="7"/>
  <c r="CL41" i="7"/>
  <c r="CL40" i="7"/>
  <c r="CL43" i="7" s="1"/>
  <c r="CK42" i="7"/>
  <c r="CK44" i="7"/>
  <c r="CN4" i="7"/>
  <c r="AN4" i="7"/>
  <c r="AM18" i="7"/>
  <c r="AM9" i="7"/>
  <c r="AM8" i="7"/>
  <c r="AM10" i="7"/>
  <c r="AM13" i="7"/>
  <c r="AM20" i="7"/>
  <c r="AM12" i="7"/>
  <c r="AM14" i="7"/>
  <c r="AM19" i="7"/>
  <c r="AM15" i="7"/>
  <c r="AM17" i="7"/>
  <c r="AM7" i="7"/>
  <c r="AM16" i="7"/>
  <c r="AM11" i="7"/>
  <c r="AM6" i="7"/>
  <c r="CP54" i="7" l="1"/>
  <c r="CN18" i="7"/>
  <c r="CN20" i="7"/>
  <c r="CN19" i="7"/>
  <c r="CN13" i="7"/>
  <c r="CN15" i="7"/>
  <c r="CN17" i="7"/>
  <c r="CN10" i="7"/>
  <c r="CN8" i="7"/>
  <c r="CN14" i="7"/>
  <c r="CN16" i="7"/>
  <c r="CN12" i="7"/>
  <c r="CN7" i="7"/>
  <c r="CN9" i="7"/>
  <c r="CN11" i="7"/>
  <c r="CN6" i="7"/>
  <c r="AM40" i="7"/>
  <c r="AM43" i="7" s="1"/>
  <c r="AM41" i="7"/>
  <c r="AL44" i="7"/>
  <c r="AL42" i="7"/>
  <c r="CN2" i="7"/>
  <c r="CO4" i="7"/>
  <c r="CM41" i="7"/>
  <c r="CM40" i="7"/>
  <c r="CM43" i="7" s="1"/>
  <c r="CL42" i="7"/>
  <c r="CL44" i="7"/>
  <c r="AO4" i="7"/>
  <c r="AN8" i="7"/>
  <c r="AN9" i="7"/>
  <c r="AN10" i="7"/>
  <c r="AN18" i="7"/>
  <c r="AN20" i="7"/>
  <c r="AN13" i="7"/>
  <c r="AN12" i="7"/>
  <c r="AN19" i="7"/>
  <c r="AN17" i="7"/>
  <c r="AN15" i="7"/>
  <c r="AN14" i="7"/>
  <c r="AN7" i="7"/>
  <c r="AN16" i="7"/>
  <c r="AN11" i="7"/>
  <c r="AN6" i="7"/>
  <c r="CQ54" i="7" l="1"/>
  <c r="AN40" i="7"/>
  <c r="AN43" i="7" s="1"/>
  <c r="AN41" i="7"/>
  <c r="CO18" i="7"/>
  <c r="CO20" i="7"/>
  <c r="CO13" i="7"/>
  <c r="CO19" i="7"/>
  <c r="CO17" i="7"/>
  <c r="CO15" i="7"/>
  <c r="CO8" i="7"/>
  <c r="CO10" i="7"/>
  <c r="CO16" i="7"/>
  <c r="CO12" i="7"/>
  <c r="CO14" i="7"/>
  <c r="CO11" i="7"/>
  <c r="CO9" i="7"/>
  <c r="CO6" i="7"/>
  <c r="CO7" i="7"/>
  <c r="AM42" i="7"/>
  <c r="AM44" i="7"/>
  <c r="CP4" i="7"/>
  <c r="CN40" i="7"/>
  <c r="CN43" i="7" s="1"/>
  <c r="CN41" i="7"/>
  <c r="CM44" i="7"/>
  <c r="CM42" i="7"/>
  <c r="CO2" i="7"/>
  <c r="AP4" i="7"/>
  <c r="AO9" i="7"/>
  <c r="AO18" i="7"/>
  <c r="AO12" i="7"/>
  <c r="AO10" i="7"/>
  <c r="AO8" i="7"/>
  <c r="AO20" i="7"/>
  <c r="AO13" i="7"/>
  <c r="AO14" i="7"/>
  <c r="AO19" i="7"/>
  <c r="AO15" i="7"/>
  <c r="AO17" i="7"/>
  <c r="AO7" i="7"/>
  <c r="AO16" i="7"/>
  <c r="AO11" i="7"/>
  <c r="AO6" i="7"/>
  <c r="CR54" i="7" l="1"/>
  <c r="CP20" i="7"/>
  <c r="CP18" i="7"/>
  <c r="CP19" i="7"/>
  <c r="CP13" i="7"/>
  <c r="CP15" i="7"/>
  <c r="CP17" i="7"/>
  <c r="CP14" i="7"/>
  <c r="CP12" i="7"/>
  <c r="CP8" i="7"/>
  <c r="CP16" i="7"/>
  <c r="CP10" i="7"/>
  <c r="CP7" i="7"/>
  <c r="CP9" i="7"/>
  <c r="CP11" i="7"/>
  <c r="CP6" i="7"/>
  <c r="AO41" i="7"/>
  <c r="AO40" i="7"/>
  <c r="AO43" i="7" s="1"/>
  <c r="AN42" i="7"/>
  <c r="AN44" i="7"/>
  <c r="CQ4" i="7"/>
  <c r="CP2" i="7"/>
  <c r="CN44" i="7"/>
  <c r="CN42" i="7"/>
  <c r="CO41" i="7"/>
  <c r="CO40" i="7"/>
  <c r="CO43" i="7" s="1"/>
  <c r="AQ4" i="7"/>
  <c r="AP9" i="7"/>
  <c r="AP18" i="7"/>
  <c r="AP8" i="7"/>
  <c r="AP10" i="7"/>
  <c r="AP20" i="7"/>
  <c r="AP14" i="7"/>
  <c r="AP15" i="7"/>
  <c r="AP13" i="7"/>
  <c r="AP17" i="7"/>
  <c r="AP12" i="7"/>
  <c r="AP19" i="7"/>
  <c r="AP16" i="7"/>
  <c r="AP7" i="7"/>
  <c r="AP11" i="7"/>
  <c r="AP6" i="7"/>
  <c r="CS54" i="7" l="1"/>
  <c r="AP40" i="7"/>
  <c r="AP43" i="7" s="1"/>
  <c r="AP41" i="7"/>
  <c r="CQ18" i="7"/>
  <c r="CQ20" i="7"/>
  <c r="CQ15" i="7"/>
  <c r="CQ13" i="7"/>
  <c r="CQ19" i="7"/>
  <c r="CQ17" i="7"/>
  <c r="CQ14" i="7"/>
  <c r="CQ12" i="7"/>
  <c r="CQ8" i="7"/>
  <c r="CQ16" i="7"/>
  <c r="CQ10" i="7"/>
  <c r="CQ11" i="7"/>
  <c r="CQ7" i="7"/>
  <c r="CQ6" i="7"/>
  <c r="CQ9" i="7"/>
  <c r="AO42" i="7"/>
  <c r="AO44" i="7"/>
  <c r="CR4" i="7"/>
  <c r="CQ2" i="7"/>
  <c r="CO44" i="7"/>
  <c r="CO42" i="7"/>
  <c r="CP41" i="7"/>
  <c r="CP40" i="7"/>
  <c r="CP43" i="7" s="1"/>
  <c r="AR4" i="7"/>
  <c r="AQ10" i="7"/>
  <c r="AQ18" i="7"/>
  <c r="AQ20" i="7"/>
  <c r="AQ9" i="7"/>
  <c r="AQ8" i="7"/>
  <c r="AQ17" i="7"/>
  <c r="AQ19" i="7"/>
  <c r="AQ13" i="7"/>
  <c r="AQ14" i="7"/>
  <c r="AQ12" i="7"/>
  <c r="AQ15" i="7"/>
  <c r="AQ16" i="7"/>
  <c r="AQ7" i="7"/>
  <c r="AQ11" i="7"/>
  <c r="AQ6" i="7"/>
  <c r="CT54" i="7" l="1"/>
  <c r="AQ41" i="7"/>
  <c r="AQ40" i="7"/>
  <c r="AQ43" i="7" s="1"/>
  <c r="CR20" i="7"/>
  <c r="CR18" i="7"/>
  <c r="CR13" i="7"/>
  <c r="CR17" i="7"/>
  <c r="CR15" i="7"/>
  <c r="CR19" i="7"/>
  <c r="CR14" i="7"/>
  <c r="CR12" i="7"/>
  <c r="CR16" i="7"/>
  <c r="CR8" i="7"/>
  <c r="CR10" i="7"/>
  <c r="CR9" i="7"/>
  <c r="CR11" i="7"/>
  <c r="CR7" i="7"/>
  <c r="CR6" i="7"/>
  <c r="AP44" i="7"/>
  <c r="AP42" i="7"/>
  <c r="CS4" i="7"/>
  <c r="CR2" i="7"/>
  <c r="CP44" i="7"/>
  <c r="CP42" i="7"/>
  <c r="CQ41" i="7"/>
  <c r="CQ40" i="7"/>
  <c r="CQ43" i="7" s="1"/>
  <c r="AS4" i="7"/>
  <c r="AR10" i="7"/>
  <c r="AR18" i="7"/>
  <c r="AR9" i="7"/>
  <c r="AR20" i="7"/>
  <c r="AR8" i="7"/>
  <c r="AR13" i="7"/>
  <c r="AR15" i="7"/>
  <c r="AR17" i="7"/>
  <c r="AR12" i="7"/>
  <c r="AR19" i="7"/>
  <c r="AR14" i="7"/>
  <c r="AR7" i="7"/>
  <c r="AR16" i="7"/>
  <c r="AR11" i="7"/>
  <c r="AR6" i="7"/>
  <c r="CU54" i="7" l="1"/>
  <c r="CS20" i="7"/>
  <c r="CS18" i="7"/>
  <c r="CS13" i="7"/>
  <c r="CS15" i="7"/>
  <c r="CS19" i="7"/>
  <c r="CS17" i="7"/>
  <c r="CS12" i="7"/>
  <c r="CS14" i="7"/>
  <c r="CS10" i="7"/>
  <c r="CS16" i="7"/>
  <c r="CS8" i="7"/>
  <c r="CS9" i="7"/>
  <c r="CS11" i="7"/>
  <c r="CS6" i="7"/>
  <c r="CS7" i="7"/>
  <c r="AR40" i="7"/>
  <c r="AR43" i="7" s="1"/>
  <c r="AR41" i="7"/>
  <c r="AQ44" i="7"/>
  <c r="AQ42" i="7"/>
  <c r="CS2" i="7"/>
  <c r="CT4" i="7"/>
  <c r="CQ44" i="7"/>
  <c r="CQ42" i="7"/>
  <c r="CR41" i="7"/>
  <c r="CR40" i="7"/>
  <c r="CR43" i="7" s="1"/>
  <c r="AT4" i="7"/>
  <c r="AS18" i="7"/>
  <c r="AS10" i="7"/>
  <c r="AS12" i="7"/>
  <c r="AS9" i="7"/>
  <c r="AS20" i="7"/>
  <c r="AS8" i="7"/>
  <c r="AS19" i="7"/>
  <c r="AS17" i="7"/>
  <c r="AS15" i="7"/>
  <c r="AS13" i="7"/>
  <c r="AS14" i="7"/>
  <c r="AS7" i="7"/>
  <c r="AS16" i="7"/>
  <c r="AS11" i="7"/>
  <c r="AS6" i="7"/>
  <c r="CV54" i="7" l="1"/>
  <c r="AS40" i="7"/>
  <c r="AS43" i="7" s="1"/>
  <c r="AS41" i="7"/>
  <c r="CT20" i="7"/>
  <c r="CT18" i="7"/>
  <c r="CT19" i="7"/>
  <c r="CT17" i="7"/>
  <c r="CT15" i="7"/>
  <c r="CT13" i="7"/>
  <c r="CT12" i="7"/>
  <c r="CT16" i="7"/>
  <c r="CT10" i="7"/>
  <c r="CT8" i="7"/>
  <c r="CT14" i="7"/>
  <c r="CT6" i="7"/>
  <c r="CT11" i="7"/>
  <c r="CT9" i="7"/>
  <c r="CT7" i="7"/>
  <c r="AR42" i="7"/>
  <c r="AR44" i="7"/>
  <c r="CT2" i="7"/>
  <c r="CU4" i="7"/>
  <c r="CS41" i="7"/>
  <c r="CS40" i="7"/>
  <c r="CS43" i="7" s="1"/>
  <c r="CR44" i="7"/>
  <c r="CR42" i="7"/>
  <c r="AU4" i="7"/>
  <c r="AT18" i="7"/>
  <c r="AT20" i="7"/>
  <c r="AT10" i="7"/>
  <c r="AT8" i="7"/>
  <c r="AT9" i="7"/>
  <c r="AT14" i="7"/>
  <c r="AT13" i="7"/>
  <c r="AT17" i="7"/>
  <c r="AT15" i="7"/>
  <c r="AT12" i="7"/>
  <c r="AT19" i="7"/>
  <c r="AT16" i="7"/>
  <c r="AT7" i="7"/>
  <c r="AT11" i="7"/>
  <c r="AT6" i="7"/>
  <c r="CW54" i="7" l="1"/>
  <c r="CU20" i="7"/>
  <c r="CU19" i="7"/>
  <c r="CU18" i="7"/>
  <c r="CU13" i="7"/>
  <c r="CU17" i="7"/>
  <c r="CU15" i="7"/>
  <c r="CU16" i="7"/>
  <c r="CU10" i="7"/>
  <c r="CU12" i="7"/>
  <c r="CU8" i="7"/>
  <c r="CU14" i="7"/>
  <c r="CU6" i="7"/>
  <c r="CU9" i="7"/>
  <c r="CU7" i="7"/>
  <c r="CU11" i="7"/>
  <c r="AT40" i="7"/>
  <c r="AT43" i="7" s="1"/>
  <c r="AT41" i="7"/>
  <c r="AS42" i="7"/>
  <c r="AS44" i="7"/>
  <c r="CS42" i="7"/>
  <c r="CS44" i="7"/>
  <c r="CV4" i="7"/>
  <c r="CT41" i="7"/>
  <c r="CT40" i="7"/>
  <c r="CT43" i="7" s="1"/>
  <c r="CU2" i="7"/>
  <c r="AV4" i="7"/>
  <c r="AU18" i="7"/>
  <c r="AU9" i="7"/>
  <c r="AU10" i="7"/>
  <c r="AU20" i="7"/>
  <c r="AU13" i="7"/>
  <c r="AU12" i="7"/>
  <c r="AU19" i="7"/>
  <c r="AU8" i="7"/>
  <c r="AU17" i="7"/>
  <c r="AU14" i="7"/>
  <c r="AU15" i="7"/>
  <c r="AU16" i="7"/>
  <c r="AU7" i="7"/>
  <c r="AU11" i="7"/>
  <c r="AU6" i="7"/>
  <c r="CX54" i="7" l="1"/>
  <c r="CV18" i="7"/>
  <c r="CV20" i="7"/>
  <c r="CV13" i="7"/>
  <c r="CV19" i="7"/>
  <c r="CV15" i="7"/>
  <c r="CV17" i="7"/>
  <c r="CV12" i="7"/>
  <c r="CV10" i="7"/>
  <c r="CV16" i="7"/>
  <c r="CV8" i="7"/>
  <c r="CV14" i="7"/>
  <c r="CV7" i="7"/>
  <c r="CV9" i="7"/>
  <c r="CV11" i="7"/>
  <c r="CV6" i="7"/>
  <c r="AU40" i="7"/>
  <c r="AU43" i="7" s="1"/>
  <c r="AU41" i="7"/>
  <c r="AT42" i="7"/>
  <c r="AT44" i="7"/>
  <c r="CW4" i="7"/>
  <c r="CT42" i="7"/>
  <c r="CT44" i="7"/>
  <c r="CU41" i="7"/>
  <c r="CU40" i="7"/>
  <c r="CU43" i="7" s="1"/>
  <c r="CV2" i="7"/>
  <c r="AW4" i="7"/>
  <c r="AV9" i="7"/>
  <c r="AV18" i="7"/>
  <c r="AV8" i="7"/>
  <c r="AV12" i="7"/>
  <c r="AV10" i="7"/>
  <c r="AV20" i="7"/>
  <c r="AV17" i="7"/>
  <c r="AV15" i="7"/>
  <c r="AV14" i="7"/>
  <c r="AV13" i="7"/>
  <c r="AV19" i="7"/>
  <c r="AV7" i="7"/>
  <c r="AV16" i="7"/>
  <c r="AV11" i="7"/>
  <c r="AV6" i="7"/>
  <c r="CY54" i="7" l="1"/>
  <c r="CW20" i="7"/>
  <c r="CW18" i="7"/>
  <c r="CW19" i="7"/>
  <c r="CW13" i="7"/>
  <c r="CW15" i="7"/>
  <c r="CW17" i="7"/>
  <c r="CW14" i="7"/>
  <c r="CW12" i="7"/>
  <c r="CW8" i="7"/>
  <c r="CW10" i="7"/>
  <c r="CW16" i="7"/>
  <c r="CW11" i="7"/>
  <c r="CW6" i="7"/>
  <c r="CW9" i="7"/>
  <c r="CW7" i="7"/>
  <c r="AV40" i="7"/>
  <c r="AV43" i="7" s="1"/>
  <c r="AV41" i="7"/>
  <c r="AU42" i="7"/>
  <c r="AU44" i="7"/>
  <c r="CW2" i="7"/>
  <c r="CU44" i="7"/>
  <c r="CU42" i="7"/>
  <c r="CV40" i="7"/>
  <c r="CV43" i="7" s="1"/>
  <c r="CV41" i="7"/>
  <c r="AX4" i="7"/>
  <c r="AW18" i="7"/>
  <c r="AW12" i="7"/>
  <c r="AW9" i="7"/>
  <c r="AW10" i="7"/>
  <c r="AW8" i="7"/>
  <c r="AW13" i="7"/>
  <c r="AW20" i="7"/>
  <c r="AW15" i="7"/>
  <c r="AW14" i="7"/>
  <c r="AW19" i="7"/>
  <c r="AW17" i="7"/>
  <c r="AW7" i="7"/>
  <c r="AW16" i="7"/>
  <c r="AW11" i="7"/>
  <c r="AW6" i="7"/>
  <c r="CZ54" i="7" l="1"/>
  <c r="AW40" i="7"/>
  <c r="AW43" i="7" s="1"/>
  <c r="AW41" i="7"/>
  <c r="AV42" i="7"/>
  <c r="AV44" i="7"/>
  <c r="CV44" i="7"/>
  <c r="CV42" i="7"/>
  <c r="CW41" i="7"/>
  <c r="CW40" i="7"/>
  <c r="CW43" i="7" s="1"/>
  <c r="AX20" i="7"/>
  <c r="AX9" i="7"/>
  <c r="AX10" i="7"/>
  <c r="AX8" i="7"/>
  <c r="AX18" i="7"/>
  <c r="AX17" i="7"/>
  <c r="AX14" i="7"/>
  <c r="AX15" i="7"/>
  <c r="AX12" i="7"/>
  <c r="AX19" i="7"/>
  <c r="AX13" i="7"/>
  <c r="AX7" i="7"/>
  <c r="AX16" i="7"/>
  <c r="AX11" i="7"/>
  <c r="AX6" i="7"/>
  <c r="DA54" i="7" l="1"/>
  <c r="AX40" i="7"/>
  <c r="AX43" i="7" s="1"/>
  <c r="AX41" i="7"/>
  <c r="AW42" i="7"/>
  <c r="AW44" i="7"/>
  <c r="CW44" i="7"/>
  <c r="CW42" i="7"/>
  <c r="DB54" i="7" l="1"/>
  <c r="AX42" i="7"/>
  <c r="AX44" i="7"/>
  <c r="DC54" i="7" l="1"/>
  <c r="B29" i="1"/>
  <c r="F27" i="1"/>
  <c r="F28" i="1"/>
  <c r="B28" i="1"/>
  <c r="F24" i="1"/>
  <c r="F25" i="1"/>
  <c r="F26" i="1"/>
  <c r="B25" i="1"/>
  <c r="B26" i="1"/>
  <c r="B27" i="1"/>
  <c r="A14" i="6"/>
  <c r="A19" i="6" s="1"/>
  <c r="A24" i="6" s="1"/>
  <c r="A29" i="6" s="1"/>
  <c r="A34" i="6" s="1"/>
  <c r="A39" i="6" s="1"/>
  <c r="A44" i="6" s="1"/>
  <c r="A49" i="6" s="1"/>
  <c r="A54" i="6" s="1"/>
  <c r="A59" i="6" s="1"/>
  <c r="A64" i="6" s="1"/>
  <c r="A69" i="6" s="1"/>
  <c r="A74" i="6" s="1"/>
  <c r="A79" i="6" s="1"/>
  <c r="A84" i="6" s="1"/>
  <c r="A89" i="6" s="1"/>
  <c r="A94" i="6" s="1"/>
  <c r="A99" i="6" s="1"/>
  <c r="A104" i="6" s="1"/>
  <c r="A109" i="6" s="1"/>
  <c r="A114" i="6" s="1"/>
  <c r="A119" i="6" s="1"/>
  <c r="A124" i="6" s="1"/>
  <c r="A129" i="6" s="1"/>
  <c r="A134" i="6" s="1"/>
  <c r="A139" i="6" s="1"/>
  <c r="A144" i="6" s="1"/>
  <c r="A149" i="6" s="1"/>
  <c r="A154" i="6" s="1"/>
  <c r="A159" i="6" s="1"/>
  <c r="A164" i="6" s="1"/>
  <c r="A169" i="6" s="1"/>
  <c r="A174" i="6" s="1"/>
  <c r="A179" i="6" s="1"/>
  <c r="A184" i="6" s="1"/>
  <c r="A189" i="6" s="1"/>
  <c r="A194" i="6" s="1"/>
  <c r="A199" i="6" s="1"/>
  <c r="A204" i="6" s="1"/>
  <c r="A209" i="6" s="1"/>
  <c r="A214" i="6" s="1"/>
  <c r="A219" i="6" s="1"/>
  <c r="A224" i="6" s="1"/>
  <c r="A229" i="6" s="1"/>
  <c r="A234" i="6" s="1"/>
  <c r="A239" i="6" s="1"/>
  <c r="A244" i="6" s="1"/>
  <c r="A249" i="6" s="1"/>
  <c r="A254" i="6" s="1"/>
  <c r="A259" i="6" s="1"/>
  <c r="A264" i="6" s="1"/>
  <c r="A269" i="6" s="1"/>
  <c r="A274" i="6" s="1"/>
  <c r="A279" i="6" s="1"/>
  <c r="A284" i="6" s="1"/>
  <c r="A289" i="6" s="1"/>
  <c r="A294" i="6" s="1"/>
  <c r="A299" i="6" s="1"/>
  <c r="A304" i="6" s="1"/>
  <c r="A309" i="6" s="1"/>
  <c r="A314" i="6" s="1"/>
  <c r="A319" i="6" s="1"/>
  <c r="A324" i="6" s="1"/>
  <c r="A329" i="6" s="1"/>
  <c r="A334" i="6" s="1"/>
  <c r="A339" i="6" s="1"/>
  <c r="A344" i="6" s="1"/>
  <c r="A349" i="6" s="1"/>
  <c r="A354" i="6" s="1"/>
  <c r="A359" i="6" s="1"/>
  <c r="A364" i="6" s="1"/>
  <c r="A369" i="6" s="1"/>
  <c r="A374" i="6" s="1"/>
  <c r="A379" i="6" s="1"/>
  <c r="A384" i="6" s="1"/>
  <c r="A389" i="6" s="1"/>
  <c r="A394" i="6" s="1"/>
  <c r="A399" i="6" s="1"/>
  <c r="A404" i="6" s="1"/>
  <c r="A409" i="6" s="1"/>
  <c r="A414" i="6" s="1"/>
  <c r="A419" i="6" s="1"/>
  <c r="A424" i="6" s="1"/>
  <c r="A429" i="6" s="1"/>
  <c r="A434" i="6" s="1"/>
  <c r="A439" i="6" s="1"/>
  <c r="A444" i="6" s="1"/>
  <c r="A449" i="6" s="1"/>
  <c r="A454" i="6" s="1"/>
  <c r="A459" i="6" s="1"/>
  <c r="A464" i="6" s="1"/>
  <c r="A469" i="6" s="1"/>
  <c r="A474" i="6" s="1"/>
  <c r="A479" i="6" s="1"/>
  <c r="A484" i="6" s="1"/>
  <c r="A489" i="6" s="1"/>
  <c r="A494" i="6" s="1"/>
  <c r="A499" i="6" s="1"/>
  <c r="A504" i="6" s="1"/>
  <c r="A509" i="6" s="1"/>
  <c r="A514" i="6" s="1"/>
  <c r="A519" i="6" s="1"/>
  <c r="A524" i="6" s="1"/>
  <c r="A529" i="6" s="1"/>
  <c r="A534" i="6" s="1"/>
  <c r="A539" i="6" s="1"/>
  <c r="A544" i="6" s="1"/>
  <c r="A549" i="6" s="1"/>
  <c r="A554" i="6" s="1"/>
  <c r="A559" i="6" s="1"/>
  <c r="A564" i="6" s="1"/>
  <c r="A569" i="6" s="1"/>
  <c r="A574" i="6" s="1"/>
  <c r="A579" i="6" s="1"/>
  <c r="A584" i="6" s="1"/>
  <c r="A589" i="6" s="1"/>
  <c r="A594" i="6" s="1"/>
  <c r="A599" i="6" s="1"/>
  <c r="A604" i="6" s="1"/>
  <c r="A609" i="6" s="1"/>
  <c r="A15" i="6"/>
  <c r="A20" i="6" s="1"/>
  <c r="A25" i="6" s="1"/>
  <c r="A30" i="6" s="1"/>
  <c r="A35" i="6" s="1"/>
  <c r="A40" i="6" s="1"/>
  <c r="A45" i="6" s="1"/>
  <c r="A50" i="6" s="1"/>
  <c r="A55" i="6" s="1"/>
  <c r="A60" i="6" s="1"/>
  <c r="A65" i="6" s="1"/>
  <c r="A70" i="6" s="1"/>
  <c r="A75" i="6" s="1"/>
  <c r="A80" i="6" s="1"/>
  <c r="A85" i="6" s="1"/>
  <c r="A90" i="6" s="1"/>
  <c r="A95" i="6" s="1"/>
  <c r="A100" i="6" s="1"/>
  <c r="A105" i="6" s="1"/>
  <c r="A110" i="6" s="1"/>
  <c r="A115" i="6" s="1"/>
  <c r="A120" i="6" s="1"/>
  <c r="A125" i="6" s="1"/>
  <c r="A130" i="6" s="1"/>
  <c r="A135" i="6" s="1"/>
  <c r="A140" i="6" s="1"/>
  <c r="A145" i="6" s="1"/>
  <c r="A150" i="6" s="1"/>
  <c r="A155" i="6" s="1"/>
  <c r="A160" i="6" s="1"/>
  <c r="A165" i="6" s="1"/>
  <c r="A170" i="6" s="1"/>
  <c r="A175" i="6" s="1"/>
  <c r="A180" i="6" s="1"/>
  <c r="A185" i="6" s="1"/>
  <c r="A190" i="6" s="1"/>
  <c r="A195" i="6" s="1"/>
  <c r="A200" i="6" s="1"/>
  <c r="A205" i="6" s="1"/>
  <c r="A210" i="6" s="1"/>
  <c r="A215" i="6" s="1"/>
  <c r="A220" i="6" s="1"/>
  <c r="A225" i="6" s="1"/>
  <c r="A230" i="6" s="1"/>
  <c r="A235" i="6" s="1"/>
  <c r="A240" i="6" s="1"/>
  <c r="A245" i="6" s="1"/>
  <c r="A250" i="6" s="1"/>
  <c r="A255" i="6" s="1"/>
  <c r="A260" i="6" s="1"/>
  <c r="A265" i="6" s="1"/>
  <c r="A270" i="6" s="1"/>
  <c r="A275" i="6" s="1"/>
  <c r="A280" i="6" s="1"/>
  <c r="A285" i="6" s="1"/>
  <c r="A290" i="6" s="1"/>
  <c r="A295" i="6" s="1"/>
  <c r="A300" i="6" s="1"/>
  <c r="A305" i="6" s="1"/>
  <c r="A310" i="6" s="1"/>
  <c r="A315" i="6" s="1"/>
  <c r="A320" i="6" s="1"/>
  <c r="A325" i="6" s="1"/>
  <c r="A330" i="6" s="1"/>
  <c r="A335" i="6" s="1"/>
  <c r="A340" i="6" s="1"/>
  <c r="A345" i="6" s="1"/>
  <c r="A350" i="6" s="1"/>
  <c r="A355" i="6" s="1"/>
  <c r="A360" i="6" s="1"/>
  <c r="A365" i="6" s="1"/>
  <c r="A370" i="6" s="1"/>
  <c r="A375" i="6" s="1"/>
  <c r="A380" i="6" s="1"/>
  <c r="A385" i="6" s="1"/>
  <c r="A390" i="6" s="1"/>
  <c r="A395" i="6" s="1"/>
  <c r="A400" i="6" s="1"/>
  <c r="A405" i="6" s="1"/>
  <c r="A410" i="6" s="1"/>
  <c r="A415" i="6" s="1"/>
  <c r="A420" i="6" s="1"/>
  <c r="A425" i="6" s="1"/>
  <c r="A430" i="6" s="1"/>
  <c r="A435" i="6" s="1"/>
  <c r="A440" i="6" s="1"/>
  <c r="A445" i="6" s="1"/>
  <c r="A450" i="6" s="1"/>
  <c r="A455" i="6" s="1"/>
  <c r="A460" i="6" s="1"/>
  <c r="A465" i="6" s="1"/>
  <c r="A470" i="6" s="1"/>
  <c r="A475" i="6" s="1"/>
  <c r="A480" i="6" s="1"/>
  <c r="A485" i="6" s="1"/>
  <c r="A490" i="6" s="1"/>
  <c r="A495" i="6" s="1"/>
  <c r="A500" i="6" s="1"/>
  <c r="A505" i="6" s="1"/>
  <c r="A510" i="6" s="1"/>
  <c r="A515" i="6" s="1"/>
  <c r="A520" i="6" s="1"/>
  <c r="A525" i="6" s="1"/>
  <c r="A530" i="6" s="1"/>
  <c r="A535" i="6" s="1"/>
  <c r="A540" i="6" s="1"/>
  <c r="A545" i="6" s="1"/>
  <c r="A550" i="6" s="1"/>
  <c r="A555" i="6" s="1"/>
  <c r="A560" i="6" s="1"/>
  <c r="A565" i="6" s="1"/>
  <c r="A570" i="6" s="1"/>
  <c r="A575" i="6" s="1"/>
  <c r="A580" i="6" s="1"/>
  <c r="A585" i="6" s="1"/>
  <c r="A590" i="6" s="1"/>
  <c r="A595" i="6" s="1"/>
  <c r="A600" i="6" s="1"/>
  <c r="A605" i="6" s="1"/>
  <c r="A610" i="6" s="1"/>
  <c r="A16" i="6"/>
  <c r="A21" i="6" s="1"/>
  <c r="A26" i="6" s="1"/>
  <c r="A31" i="6" s="1"/>
  <c r="A36" i="6" s="1"/>
  <c r="A41" i="6" s="1"/>
  <c r="A46" i="6" s="1"/>
  <c r="A51" i="6" s="1"/>
  <c r="A56" i="6" s="1"/>
  <c r="A61" i="6" s="1"/>
  <c r="A66" i="6" s="1"/>
  <c r="A71" i="6" s="1"/>
  <c r="A76" i="6" s="1"/>
  <c r="A81" i="6" s="1"/>
  <c r="A86" i="6" s="1"/>
  <c r="A91" i="6" s="1"/>
  <c r="A96" i="6" s="1"/>
  <c r="A101" i="6" s="1"/>
  <c r="A106" i="6" s="1"/>
  <c r="A111" i="6" s="1"/>
  <c r="A116" i="6" s="1"/>
  <c r="A121" i="6" s="1"/>
  <c r="A126" i="6" s="1"/>
  <c r="A131" i="6" s="1"/>
  <c r="A136" i="6" s="1"/>
  <c r="A141" i="6" s="1"/>
  <c r="A146" i="6" s="1"/>
  <c r="A151" i="6" s="1"/>
  <c r="A156" i="6" s="1"/>
  <c r="A161" i="6" s="1"/>
  <c r="A166" i="6" s="1"/>
  <c r="A171" i="6" s="1"/>
  <c r="A176" i="6" s="1"/>
  <c r="A181" i="6" s="1"/>
  <c r="A186" i="6" s="1"/>
  <c r="A191" i="6" s="1"/>
  <c r="A196" i="6" s="1"/>
  <c r="A201" i="6" s="1"/>
  <c r="A206" i="6" s="1"/>
  <c r="A211" i="6" s="1"/>
  <c r="A216" i="6" s="1"/>
  <c r="A221" i="6" s="1"/>
  <c r="A226" i="6" s="1"/>
  <c r="A231" i="6" s="1"/>
  <c r="A236" i="6" s="1"/>
  <c r="A241" i="6" s="1"/>
  <c r="A246" i="6" s="1"/>
  <c r="A251" i="6" s="1"/>
  <c r="A256" i="6" s="1"/>
  <c r="A261" i="6" s="1"/>
  <c r="A266" i="6" s="1"/>
  <c r="A271" i="6" s="1"/>
  <c r="A276" i="6" s="1"/>
  <c r="A281" i="6" s="1"/>
  <c r="A286" i="6" s="1"/>
  <c r="A291" i="6" s="1"/>
  <c r="A296" i="6" s="1"/>
  <c r="A301" i="6" s="1"/>
  <c r="A306" i="6" s="1"/>
  <c r="A311" i="6" s="1"/>
  <c r="A316" i="6" s="1"/>
  <c r="A321" i="6" s="1"/>
  <c r="A326" i="6" s="1"/>
  <c r="A331" i="6" s="1"/>
  <c r="A336" i="6" s="1"/>
  <c r="A341" i="6" s="1"/>
  <c r="A346" i="6" s="1"/>
  <c r="A351" i="6" s="1"/>
  <c r="A356" i="6" s="1"/>
  <c r="A361" i="6" s="1"/>
  <c r="A366" i="6" s="1"/>
  <c r="A371" i="6" s="1"/>
  <c r="A376" i="6" s="1"/>
  <c r="A381" i="6" s="1"/>
  <c r="A386" i="6" s="1"/>
  <c r="A391" i="6" s="1"/>
  <c r="A396" i="6" s="1"/>
  <c r="A401" i="6" s="1"/>
  <c r="A406" i="6" s="1"/>
  <c r="A411" i="6" s="1"/>
  <c r="A416" i="6" s="1"/>
  <c r="A421" i="6" s="1"/>
  <c r="A426" i="6" s="1"/>
  <c r="A431" i="6" s="1"/>
  <c r="A436" i="6" s="1"/>
  <c r="A441" i="6" s="1"/>
  <c r="A446" i="6" s="1"/>
  <c r="A451" i="6" s="1"/>
  <c r="A456" i="6" s="1"/>
  <c r="A461" i="6" s="1"/>
  <c r="A466" i="6" s="1"/>
  <c r="A471" i="6" s="1"/>
  <c r="A476" i="6" s="1"/>
  <c r="A481" i="6" s="1"/>
  <c r="A486" i="6" s="1"/>
  <c r="A491" i="6" s="1"/>
  <c r="A496" i="6" s="1"/>
  <c r="A501" i="6" s="1"/>
  <c r="A506" i="6" s="1"/>
  <c r="A511" i="6" s="1"/>
  <c r="A516" i="6" s="1"/>
  <c r="A521" i="6" s="1"/>
  <c r="A526" i="6" s="1"/>
  <c r="A531" i="6" s="1"/>
  <c r="A536" i="6" s="1"/>
  <c r="A541" i="6" s="1"/>
  <c r="A546" i="6" s="1"/>
  <c r="A551" i="6" s="1"/>
  <c r="A556" i="6" s="1"/>
  <c r="A561" i="6" s="1"/>
  <c r="A566" i="6" s="1"/>
  <c r="A571" i="6" s="1"/>
  <c r="A576" i="6" s="1"/>
  <c r="A581" i="6" s="1"/>
  <c r="A586" i="6" s="1"/>
  <c r="A591" i="6" s="1"/>
  <c r="A596" i="6" s="1"/>
  <c r="A601" i="6" s="1"/>
  <c r="A606" i="6" s="1"/>
  <c r="A611" i="6" s="1"/>
  <c r="A17" i="6"/>
  <c r="A22" i="6" s="1"/>
  <c r="A27" i="6" s="1"/>
  <c r="A32" i="6" s="1"/>
  <c r="A37" i="6" s="1"/>
  <c r="A42" i="6" s="1"/>
  <c r="A47" i="6" s="1"/>
  <c r="A52" i="6" s="1"/>
  <c r="A57" i="6" s="1"/>
  <c r="A62" i="6" s="1"/>
  <c r="A67" i="6" s="1"/>
  <c r="A72" i="6" s="1"/>
  <c r="A77" i="6" s="1"/>
  <c r="A82" i="6" s="1"/>
  <c r="A87" i="6" s="1"/>
  <c r="A92" i="6" s="1"/>
  <c r="A97" i="6" s="1"/>
  <c r="A102" i="6" s="1"/>
  <c r="A107" i="6" s="1"/>
  <c r="A112" i="6" s="1"/>
  <c r="A117" i="6" s="1"/>
  <c r="A122" i="6" s="1"/>
  <c r="A127" i="6" s="1"/>
  <c r="A132" i="6" s="1"/>
  <c r="A137" i="6" s="1"/>
  <c r="A142" i="6" s="1"/>
  <c r="A147" i="6" s="1"/>
  <c r="A152" i="6" s="1"/>
  <c r="A157" i="6" s="1"/>
  <c r="A162" i="6" s="1"/>
  <c r="A167" i="6" s="1"/>
  <c r="A172" i="6" s="1"/>
  <c r="A177" i="6" s="1"/>
  <c r="A182" i="6" s="1"/>
  <c r="A187" i="6" s="1"/>
  <c r="A192" i="6" s="1"/>
  <c r="A197" i="6" s="1"/>
  <c r="A202" i="6" s="1"/>
  <c r="A207" i="6" s="1"/>
  <c r="A212" i="6" s="1"/>
  <c r="A217" i="6" s="1"/>
  <c r="A222" i="6" s="1"/>
  <c r="A227" i="6" s="1"/>
  <c r="A232" i="6" s="1"/>
  <c r="A237" i="6" s="1"/>
  <c r="A242" i="6" s="1"/>
  <c r="A247" i="6" s="1"/>
  <c r="A252" i="6" s="1"/>
  <c r="A257" i="6" s="1"/>
  <c r="A262" i="6" s="1"/>
  <c r="A267" i="6" s="1"/>
  <c r="A272" i="6" s="1"/>
  <c r="A277" i="6" s="1"/>
  <c r="A282" i="6" s="1"/>
  <c r="A287" i="6" s="1"/>
  <c r="A292" i="6" s="1"/>
  <c r="A297" i="6" s="1"/>
  <c r="A302" i="6" s="1"/>
  <c r="A307" i="6" s="1"/>
  <c r="A312" i="6" s="1"/>
  <c r="A317" i="6" s="1"/>
  <c r="A322" i="6" s="1"/>
  <c r="A327" i="6" s="1"/>
  <c r="A332" i="6" s="1"/>
  <c r="A337" i="6" s="1"/>
  <c r="A342" i="6" s="1"/>
  <c r="A347" i="6" s="1"/>
  <c r="A352" i="6" s="1"/>
  <c r="A357" i="6" s="1"/>
  <c r="A362" i="6" s="1"/>
  <c r="A367" i="6" s="1"/>
  <c r="A372" i="6" s="1"/>
  <c r="A377" i="6" s="1"/>
  <c r="A382" i="6" s="1"/>
  <c r="A387" i="6" s="1"/>
  <c r="A392" i="6" s="1"/>
  <c r="A397" i="6" s="1"/>
  <c r="A402" i="6" s="1"/>
  <c r="A407" i="6" s="1"/>
  <c r="A412" i="6" s="1"/>
  <c r="A417" i="6" s="1"/>
  <c r="A422" i="6" s="1"/>
  <c r="A427" i="6" s="1"/>
  <c r="A432" i="6" s="1"/>
  <c r="A437" i="6" s="1"/>
  <c r="A442" i="6" s="1"/>
  <c r="A447" i="6" s="1"/>
  <c r="A452" i="6" s="1"/>
  <c r="A457" i="6" s="1"/>
  <c r="A462" i="6" s="1"/>
  <c r="A467" i="6" s="1"/>
  <c r="A472" i="6" s="1"/>
  <c r="A477" i="6" s="1"/>
  <c r="A482" i="6" s="1"/>
  <c r="A487" i="6" s="1"/>
  <c r="A492" i="6" s="1"/>
  <c r="A497" i="6" s="1"/>
  <c r="A502" i="6" s="1"/>
  <c r="A507" i="6" s="1"/>
  <c r="A512" i="6" s="1"/>
  <c r="A517" i="6" s="1"/>
  <c r="A522" i="6" s="1"/>
  <c r="A527" i="6" s="1"/>
  <c r="A532" i="6" s="1"/>
  <c r="A537" i="6" s="1"/>
  <c r="A542" i="6" s="1"/>
  <c r="A547" i="6" s="1"/>
  <c r="A552" i="6" s="1"/>
  <c r="A557" i="6" s="1"/>
  <c r="A562" i="6" s="1"/>
  <c r="A567" i="6" s="1"/>
  <c r="A572" i="6" s="1"/>
  <c r="A577" i="6" s="1"/>
  <c r="A582" i="6" s="1"/>
  <c r="A587" i="6" s="1"/>
  <c r="A592" i="6" s="1"/>
  <c r="A597" i="6" s="1"/>
  <c r="A602" i="6" s="1"/>
  <c r="A607" i="6" s="1"/>
  <c r="A612" i="6" s="1"/>
  <c r="A13" i="6"/>
  <c r="DD54" i="7" l="1"/>
  <c r="A18" i="6"/>
  <c r="A23" i="6" s="1"/>
  <c r="A28" i="6" s="1"/>
  <c r="A33" i="6" s="1"/>
  <c r="A38" i="6" s="1"/>
  <c r="A43" i="6" s="1"/>
  <c r="A48" i="6" s="1"/>
  <c r="A53" i="6" s="1"/>
  <c r="A58" i="6" s="1"/>
  <c r="A63" i="6" s="1"/>
  <c r="A68" i="6" s="1"/>
  <c r="A73" i="6" s="1"/>
  <c r="A78" i="6" s="1"/>
  <c r="A83" i="6" s="1"/>
  <c r="A88" i="6" s="1"/>
  <c r="A93" i="6" s="1"/>
  <c r="A98" i="6" s="1"/>
  <c r="A103" i="6" s="1"/>
  <c r="A108" i="6" s="1"/>
  <c r="A113" i="6" s="1"/>
  <c r="A118" i="6" s="1"/>
  <c r="A123" i="6" s="1"/>
  <c r="A128" i="6" s="1"/>
  <c r="A133" i="6" s="1"/>
  <c r="A138" i="6" s="1"/>
  <c r="A143" i="6" s="1"/>
  <c r="A148" i="6" s="1"/>
  <c r="A153" i="6" s="1"/>
  <c r="A158" i="6" s="1"/>
  <c r="A163" i="6" s="1"/>
  <c r="A168" i="6" s="1"/>
  <c r="A173" i="6" s="1"/>
  <c r="A178" i="6" s="1"/>
  <c r="A183" i="6" s="1"/>
  <c r="A188" i="6" s="1"/>
  <c r="A193" i="6" s="1"/>
  <c r="A198" i="6" s="1"/>
  <c r="A203" i="6" s="1"/>
  <c r="A208" i="6" s="1"/>
  <c r="A213" i="6" s="1"/>
  <c r="A218" i="6" s="1"/>
  <c r="A223" i="6" s="1"/>
  <c r="A228" i="6" s="1"/>
  <c r="A233" i="6" s="1"/>
  <c r="A238" i="6" s="1"/>
  <c r="A243" i="6" s="1"/>
  <c r="A248" i="6" s="1"/>
  <c r="A253" i="6" s="1"/>
  <c r="A258" i="6" s="1"/>
  <c r="A263" i="6" s="1"/>
  <c r="A268" i="6" s="1"/>
  <c r="A273" i="6" s="1"/>
  <c r="A278" i="6" s="1"/>
  <c r="A283" i="6" s="1"/>
  <c r="A288" i="6" s="1"/>
  <c r="A293" i="6" s="1"/>
  <c r="A298" i="6" s="1"/>
  <c r="A303" i="6" s="1"/>
  <c r="A308" i="6" s="1"/>
  <c r="A313" i="6" s="1"/>
  <c r="A318" i="6" s="1"/>
  <c r="A323" i="6" s="1"/>
  <c r="A328" i="6" s="1"/>
  <c r="A333" i="6" s="1"/>
  <c r="A338" i="6" s="1"/>
  <c r="A343" i="6" s="1"/>
  <c r="A348" i="6" s="1"/>
  <c r="A353" i="6" s="1"/>
  <c r="A358" i="6" s="1"/>
  <c r="A363" i="6" s="1"/>
  <c r="A368" i="6" s="1"/>
  <c r="A373" i="6" s="1"/>
  <c r="A378" i="6" s="1"/>
  <c r="A383" i="6" s="1"/>
  <c r="A388" i="6" s="1"/>
  <c r="A393" i="6" s="1"/>
  <c r="A398" i="6" s="1"/>
  <c r="A403" i="6" s="1"/>
  <c r="A408" i="6" s="1"/>
  <c r="A413" i="6" s="1"/>
  <c r="A418" i="6" s="1"/>
  <c r="A423" i="6" s="1"/>
  <c r="A428" i="6" s="1"/>
  <c r="A433" i="6" s="1"/>
  <c r="A438" i="6" s="1"/>
  <c r="A443" i="6" s="1"/>
  <c r="A448" i="6" s="1"/>
  <c r="A453" i="6" s="1"/>
  <c r="A458" i="6" s="1"/>
  <c r="A463" i="6" s="1"/>
  <c r="A468" i="6" s="1"/>
  <c r="A473" i="6" s="1"/>
  <c r="A478" i="6" s="1"/>
  <c r="A483" i="6" s="1"/>
  <c r="A488" i="6" s="1"/>
  <c r="A493" i="6" s="1"/>
  <c r="A498" i="6" s="1"/>
  <c r="A503" i="6" s="1"/>
  <c r="A508" i="6" s="1"/>
  <c r="A513" i="6" s="1"/>
  <c r="A518" i="6" s="1"/>
  <c r="A523" i="6" s="1"/>
  <c r="A528" i="6" s="1"/>
  <c r="A533" i="6" s="1"/>
  <c r="A538" i="6" s="1"/>
  <c r="A543" i="6" s="1"/>
  <c r="A548" i="6" s="1"/>
  <c r="A553" i="6" s="1"/>
  <c r="A558" i="6" s="1"/>
  <c r="A563" i="6" s="1"/>
  <c r="A568" i="6" s="1"/>
  <c r="A573" i="6" s="1"/>
  <c r="A578" i="6" s="1"/>
  <c r="A583" i="6" s="1"/>
  <c r="A588" i="6" s="1"/>
  <c r="A593" i="6" s="1"/>
  <c r="A598" i="6" s="1"/>
  <c r="A603" i="6" s="1"/>
  <c r="A608" i="6" s="1"/>
  <c r="BM24" i="7"/>
  <c r="BU24" i="7"/>
  <c r="CC24" i="7"/>
  <c r="CK24" i="7"/>
  <c r="CS24" i="7"/>
  <c r="BF25" i="7"/>
  <c r="BN25" i="7"/>
  <c r="BV25" i="7"/>
  <c r="CD25" i="7"/>
  <c r="CL25" i="7"/>
  <c r="CT25" i="7"/>
  <c r="BG26" i="7"/>
  <c r="BO26" i="7"/>
  <c r="BW26" i="7"/>
  <c r="CE26" i="7"/>
  <c r="CM26" i="7"/>
  <c r="CU26" i="7"/>
  <c r="BH27" i="7"/>
  <c r="BP27" i="7"/>
  <c r="BX27" i="7"/>
  <c r="CF27" i="7"/>
  <c r="CN27" i="7"/>
  <c r="CV27" i="7"/>
  <c r="BI28" i="7"/>
  <c r="BQ28" i="7"/>
  <c r="BY28" i="7"/>
  <c r="CG28" i="7"/>
  <c r="CO28" i="7"/>
  <c r="CW28" i="7"/>
  <c r="BJ29" i="7"/>
  <c r="BR29" i="7"/>
  <c r="BZ29" i="7"/>
  <c r="CH29" i="7"/>
  <c r="CP29" i="7"/>
  <c r="BC30" i="7"/>
  <c r="BK30" i="7"/>
  <c r="BS30" i="7"/>
  <c r="CA30" i="7"/>
  <c r="CI30" i="7"/>
  <c r="CQ30" i="7"/>
  <c r="BD31" i="7"/>
  <c r="BL31" i="7"/>
  <c r="BT31" i="7"/>
  <c r="CB31" i="7"/>
  <c r="CJ31" i="7"/>
  <c r="CR31" i="7"/>
  <c r="BB29" i="7"/>
  <c r="BD24" i="7"/>
  <c r="BM25" i="7"/>
  <c r="BV26" i="7"/>
  <c r="CM27" i="7"/>
  <c r="CV28" i="7"/>
  <c r="BE23" i="7"/>
  <c r="BM23" i="7"/>
  <c r="BU23" i="7"/>
  <c r="CC23" i="7"/>
  <c r="CK23" i="7"/>
  <c r="CS23" i="7"/>
  <c r="BF24" i="7"/>
  <c r="BN24" i="7"/>
  <c r="BV24" i="7"/>
  <c r="CD24" i="7"/>
  <c r="CL24" i="7"/>
  <c r="CT24" i="7"/>
  <c r="BG25" i="7"/>
  <c r="BO25" i="7"/>
  <c r="BW25" i="7"/>
  <c r="CE25" i="7"/>
  <c r="CM25" i="7"/>
  <c r="CU25" i="7"/>
  <c r="BH26" i="7"/>
  <c r="BP26" i="7"/>
  <c r="BX26" i="7"/>
  <c r="CF26" i="7"/>
  <c r="CN26" i="7"/>
  <c r="CV26" i="7"/>
  <c r="BI27" i="7"/>
  <c r="BQ27" i="7"/>
  <c r="BY27" i="7"/>
  <c r="CG27" i="7"/>
  <c r="CO27" i="7"/>
  <c r="CW27" i="7"/>
  <c r="BJ28" i="7"/>
  <c r="BR28" i="7"/>
  <c r="BZ28" i="7"/>
  <c r="CH28" i="7"/>
  <c r="CP28" i="7"/>
  <c r="BC29" i="7"/>
  <c r="BK29" i="7"/>
  <c r="BS29" i="7"/>
  <c r="CA29" i="7"/>
  <c r="CI29" i="7"/>
  <c r="CQ29" i="7"/>
  <c r="BD30" i="7"/>
  <c r="BL30" i="7"/>
  <c r="BT30" i="7"/>
  <c r="CB30" i="7"/>
  <c r="CJ30" i="7"/>
  <c r="CR30" i="7"/>
  <c r="BE31" i="7"/>
  <c r="BM31" i="7"/>
  <c r="BU31" i="7"/>
  <c r="CC31" i="7"/>
  <c r="CK31" i="7"/>
  <c r="CS31" i="7"/>
  <c r="BB30" i="7"/>
  <c r="CA23" i="7"/>
  <c r="CB24" i="7"/>
  <c r="CK25" i="7"/>
  <c r="CL26" i="7"/>
  <c r="CE27" i="7"/>
  <c r="CN28" i="7"/>
  <c r="BF23" i="7"/>
  <c r="BN23" i="7"/>
  <c r="BV23" i="7"/>
  <c r="CD23" i="7"/>
  <c r="CL23" i="7"/>
  <c r="CT23" i="7"/>
  <c r="BG24" i="7"/>
  <c r="BO24" i="7"/>
  <c r="BW24" i="7"/>
  <c r="CE24" i="7"/>
  <c r="CM24" i="7"/>
  <c r="CU24" i="7"/>
  <c r="BH25" i="7"/>
  <c r="BP25" i="7"/>
  <c r="BX25" i="7"/>
  <c r="CF25" i="7"/>
  <c r="CN25" i="7"/>
  <c r="CV25" i="7"/>
  <c r="BI26" i="7"/>
  <c r="BQ26" i="7"/>
  <c r="BY26" i="7"/>
  <c r="CG26" i="7"/>
  <c r="CO26" i="7"/>
  <c r="CW26" i="7"/>
  <c r="BJ27" i="7"/>
  <c r="BR27" i="7"/>
  <c r="BZ27" i="7"/>
  <c r="CH27" i="7"/>
  <c r="CP27" i="7"/>
  <c r="BC28" i="7"/>
  <c r="BK28" i="7"/>
  <c r="BS28" i="7"/>
  <c r="CA28" i="7"/>
  <c r="CI28" i="7"/>
  <c r="CQ28" i="7"/>
  <c r="BD29" i="7"/>
  <c r="BL29" i="7"/>
  <c r="BT29" i="7"/>
  <c r="CB29" i="7"/>
  <c r="CJ29" i="7"/>
  <c r="CR29" i="7"/>
  <c r="BE30" i="7"/>
  <c r="BM30" i="7"/>
  <c r="BU30" i="7"/>
  <c r="CC30" i="7"/>
  <c r="CK30" i="7"/>
  <c r="CS30" i="7"/>
  <c r="BF31" i="7"/>
  <c r="BN31" i="7"/>
  <c r="BV31" i="7"/>
  <c r="CD31" i="7"/>
  <c r="CL31" i="7"/>
  <c r="CT31" i="7"/>
  <c r="BB31" i="7"/>
  <c r="BC23" i="7"/>
  <c r="CQ23" i="7"/>
  <c r="CJ24" i="7"/>
  <c r="CC25" i="7"/>
  <c r="CT26" i="7"/>
  <c r="BH28" i="7"/>
  <c r="BI29" i="7"/>
  <c r="BG23" i="7"/>
  <c r="BO23" i="7"/>
  <c r="BW23" i="7"/>
  <c r="CE23" i="7"/>
  <c r="CM23" i="7"/>
  <c r="CU23" i="7"/>
  <c r="BH24" i="7"/>
  <c r="BP24" i="7"/>
  <c r="BX24" i="7"/>
  <c r="CF24" i="7"/>
  <c r="CN24" i="7"/>
  <c r="CV24" i="7"/>
  <c r="BI25" i="7"/>
  <c r="BQ25" i="7"/>
  <c r="BY25" i="7"/>
  <c r="CG25" i="7"/>
  <c r="CO25" i="7"/>
  <c r="CW25" i="7"/>
  <c r="BJ26" i="7"/>
  <c r="BR26" i="7"/>
  <c r="BZ26" i="7"/>
  <c r="CH26" i="7"/>
  <c r="CP26" i="7"/>
  <c r="BC27" i="7"/>
  <c r="BK27" i="7"/>
  <c r="BS27" i="7"/>
  <c r="CA27" i="7"/>
  <c r="CI27" i="7"/>
  <c r="CQ27" i="7"/>
  <c r="BD28" i="7"/>
  <c r="BL28" i="7"/>
  <c r="BT28" i="7"/>
  <c r="CB28" i="7"/>
  <c r="CJ28" i="7"/>
  <c r="CR28" i="7"/>
  <c r="BE29" i="7"/>
  <c r="BM29" i="7"/>
  <c r="BU29" i="7"/>
  <c r="CC29" i="7"/>
  <c r="CK29" i="7"/>
  <c r="CS29" i="7"/>
  <c r="BF30" i="7"/>
  <c r="BN30" i="7"/>
  <c r="BV30" i="7"/>
  <c r="CD30" i="7"/>
  <c r="CL30" i="7"/>
  <c r="CT30" i="7"/>
  <c r="BG31" i="7"/>
  <c r="BO31" i="7"/>
  <c r="BW31" i="7"/>
  <c r="CE31" i="7"/>
  <c r="CM31" i="7"/>
  <c r="CU31" i="7"/>
  <c r="BB24" i="7"/>
  <c r="BF26" i="7"/>
  <c r="CU27" i="7"/>
  <c r="BH23" i="7"/>
  <c r="BP23" i="7"/>
  <c r="BX23" i="7"/>
  <c r="CF23" i="7"/>
  <c r="CN23" i="7"/>
  <c r="CV23" i="7"/>
  <c r="BI24" i="7"/>
  <c r="BQ24" i="7"/>
  <c r="BY24" i="7"/>
  <c r="CG24" i="7"/>
  <c r="CO24" i="7"/>
  <c r="CW24" i="7"/>
  <c r="BJ25" i="7"/>
  <c r="BR25" i="7"/>
  <c r="BZ25" i="7"/>
  <c r="CH25" i="7"/>
  <c r="CP25" i="7"/>
  <c r="BC26" i="7"/>
  <c r="BK26" i="7"/>
  <c r="BS26" i="7"/>
  <c r="CA26" i="7"/>
  <c r="CI26" i="7"/>
  <c r="CQ26" i="7"/>
  <c r="BD27" i="7"/>
  <c r="BL27" i="7"/>
  <c r="BT27" i="7"/>
  <c r="CB27" i="7"/>
  <c r="CJ27" i="7"/>
  <c r="CR27" i="7"/>
  <c r="BE28" i="7"/>
  <c r="BM28" i="7"/>
  <c r="BU28" i="7"/>
  <c r="CC28" i="7"/>
  <c r="CK28" i="7"/>
  <c r="CS28" i="7"/>
  <c r="BF29" i="7"/>
  <c r="BN29" i="7"/>
  <c r="BV29" i="7"/>
  <c r="CD29" i="7"/>
  <c r="CL29" i="7"/>
  <c r="CT29" i="7"/>
  <c r="BG30" i="7"/>
  <c r="BO30" i="7"/>
  <c r="BW30" i="7"/>
  <c r="CE30" i="7"/>
  <c r="CM30" i="7"/>
  <c r="CU30" i="7"/>
  <c r="BH31" i="7"/>
  <c r="BP31" i="7"/>
  <c r="BX31" i="7"/>
  <c r="CF31" i="7"/>
  <c r="CN31" i="7"/>
  <c r="CV31" i="7"/>
  <c r="BB25" i="7"/>
  <c r="CI23" i="7"/>
  <c r="CR24" i="7"/>
  <c r="CS25" i="7"/>
  <c r="BG27" i="7"/>
  <c r="BX28" i="7"/>
  <c r="BI23" i="7"/>
  <c r="BQ23" i="7"/>
  <c r="BY23" i="7"/>
  <c r="CG23" i="7"/>
  <c r="CO23" i="7"/>
  <c r="CW23" i="7"/>
  <c r="BJ24" i="7"/>
  <c r="BR24" i="7"/>
  <c r="BZ24" i="7"/>
  <c r="CH24" i="7"/>
  <c r="CP24" i="7"/>
  <c r="BC25" i="7"/>
  <c r="BK25" i="7"/>
  <c r="BS25" i="7"/>
  <c r="CA25" i="7"/>
  <c r="CI25" i="7"/>
  <c r="CQ25" i="7"/>
  <c r="BD26" i="7"/>
  <c r="BL26" i="7"/>
  <c r="BT26" i="7"/>
  <c r="CB26" i="7"/>
  <c r="CJ26" i="7"/>
  <c r="CR26" i="7"/>
  <c r="BE27" i="7"/>
  <c r="BM27" i="7"/>
  <c r="BU27" i="7"/>
  <c r="CC27" i="7"/>
  <c r="CK27" i="7"/>
  <c r="CS27" i="7"/>
  <c r="BF28" i="7"/>
  <c r="BN28" i="7"/>
  <c r="BV28" i="7"/>
  <c r="CD28" i="7"/>
  <c r="CL28" i="7"/>
  <c r="CT28" i="7"/>
  <c r="BG29" i="7"/>
  <c r="BO29" i="7"/>
  <c r="BW29" i="7"/>
  <c r="CE29" i="7"/>
  <c r="CM29" i="7"/>
  <c r="CU29" i="7"/>
  <c r="BH30" i="7"/>
  <c r="BP30" i="7"/>
  <c r="BX30" i="7"/>
  <c r="CF30" i="7"/>
  <c r="CN30" i="7"/>
  <c r="CV30" i="7"/>
  <c r="BI31" i="7"/>
  <c r="BQ31" i="7"/>
  <c r="BY31" i="7"/>
  <c r="CG31" i="7"/>
  <c r="CO31" i="7"/>
  <c r="CW31" i="7"/>
  <c r="BB26" i="7"/>
  <c r="BS23" i="7"/>
  <c r="BT24" i="7"/>
  <c r="BU25" i="7"/>
  <c r="CD26" i="7"/>
  <c r="BW27" i="7"/>
  <c r="CF28" i="7"/>
  <c r="BJ23" i="7"/>
  <c r="BR23" i="7"/>
  <c r="BZ23" i="7"/>
  <c r="CH23" i="7"/>
  <c r="CP23" i="7"/>
  <c r="BC24" i="7"/>
  <c r="BK24" i="7"/>
  <c r="BS24" i="7"/>
  <c r="CA24" i="7"/>
  <c r="CI24" i="7"/>
  <c r="CQ24" i="7"/>
  <c r="BD25" i="7"/>
  <c r="BL25" i="7"/>
  <c r="BT25" i="7"/>
  <c r="CB25" i="7"/>
  <c r="CJ25" i="7"/>
  <c r="CR25" i="7"/>
  <c r="BE26" i="7"/>
  <c r="BM26" i="7"/>
  <c r="BU26" i="7"/>
  <c r="CC26" i="7"/>
  <c r="CK26" i="7"/>
  <c r="CS26" i="7"/>
  <c r="BF27" i="7"/>
  <c r="BN27" i="7"/>
  <c r="BV27" i="7"/>
  <c r="CD27" i="7"/>
  <c r="CL27" i="7"/>
  <c r="CT27" i="7"/>
  <c r="BG28" i="7"/>
  <c r="BO28" i="7"/>
  <c r="BW28" i="7"/>
  <c r="CE28" i="7"/>
  <c r="CM28" i="7"/>
  <c r="CU28" i="7"/>
  <c r="BH29" i="7"/>
  <c r="BP29" i="7"/>
  <c r="BX29" i="7"/>
  <c r="CF29" i="7"/>
  <c r="CN29" i="7"/>
  <c r="CV29" i="7"/>
  <c r="BI30" i="7"/>
  <c r="BQ30" i="7"/>
  <c r="BY30" i="7"/>
  <c r="CG30" i="7"/>
  <c r="CO30" i="7"/>
  <c r="CW30" i="7"/>
  <c r="BJ31" i="7"/>
  <c r="BR31" i="7"/>
  <c r="BZ31" i="7"/>
  <c r="CH31" i="7"/>
  <c r="CP31" i="7"/>
  <c r="BB27" i="7"/>
  <c r="BB23" i="7"/>
  <c r="BK23" i="7"/>
  <c r="BL24" i="7"/>
  <c r="BE25" i="7"/>
  <c r="BN26" i="7"/>
  <c r="BO27" i="7"/>
  <c r="BP28" i="7"/>
  <c r="BZ30" i="7"/>
  <c r="CQ31" i="7"/>
  <c r="BR30" i="7"/>
  <c r="BQ29" i="7"/>
  <c r="CH30" i="7"/>
  <c r="BS31" i="7"/>
  <c r="BY29" i="7"/>
  <c r="CP30" i="7"/>
  <c r="CW29" i="7"/>
  <c r="CI31" i="7"/>
  <c r="CG29" i="7"/>
  <c r="BC31" i="7"/>
  <c r="BB28" i="7"/>
  <c r="CO29" i="7"/>
  <c r="BK31" i="7"/>
  <c r="BJ30" i="7"/>
  <c r="CA31" i="7"/>
  <c r="O35" i="7"/>
  <c r="X35" i="7"/>
  <c r="AE35" i="7"/>
  <c r="F37" i="7"/>
  <c r="AK35" i="7"/>
  <c r="N29" i="7"/>
  <c r="AJ37" i="7"/>
  <c r="T35" i="7"/>
  <c r="S37" i="7"/>
  <c r="AX35" i="7"/>
  <c r="AW35" i="7"/>
  <c r="AG35" i="7"/>
  <c r="AW37" i="7"/>
  <c r="X37" i="7"/>
  <c r="M37" i="7"/>
  <c r="Z37" i="7"/>
  <c r="H35" i="7"/>
  <c r="J37" i="7"/>
  <c r="I37" i="7"/>
  <c r="AF35" i="7"/>
  <c r="W35" i="7"/>
  <c r="AT35" i="7"/>
  <c r="AS37" i="7"/>
  <c r="AC35" i="7"/>
  <c r="AT29" i="7"/>
  <c r="AB37" i="7"/>
  <c r="L35" i="7"/>
  <c r="K37" i="7"/>
  <c r="AP35" i="7"/>
  <c r="AO35" i="7"/>
  <c r="AH35" i="7"/>
  <c r="Y35" i="7"/>
  <c r="AN35" i="7"/>
  <c r="AB29" i="7"/>
  <c r="J35" i="7"/>
  <c r="G37" i="7"/>
  <c r="K35" i="7"/>
  <c r="H37" i="7"/>
  <c r="AM35" i="7"/>
  <c r="B35" i="7"/>
  <c r="AL35" i="7"/>
  <c r="C35" i="7"/>
  <c r="AK37" i="7"/>
  <c r="U35" i="7"/>
  <c r="W29" i="7"/>
  <c r="T37" i="7"/>
  <c r="AM37" i="7"/>
  <c r="C37" i="7"/>
  <c r="AX37" i="7"/>
  <c r="Q35" i="7"/>
  <c r="AD37" i="7"/>
  <c r="AR35" i="7"/>
  <c r="AG37" i="7"/>
  <c r="AS35" i="7"/>
  <c r="AA37" i="7"/>
  <c r="B37" i="7"/>
  <c r="P35" i="7"/>
  <c r="AT37" i="7"/>
  <c r="AD35" i="7"/>
  <c r="D35" i="7"/>
  <c r="AC37" i="7"/>
  <c r="M35" i="7"/>
  <c r="AF29" i="7"/>
  <c r="L37" i="7"/>
  <c r="AQ35" i="7"/>
  <c r="AP37" i="7"/>
  <c r="Z35" i="7"/>
  <c r="J29" i="7"/>
  <c r="AQ37" i="7"/>
  <c r="I35" i="7"/>
  <c r="AB35" i="7"/>
  <c r="P37" i="7"/>
  <c r="AV35" i="7"/>
  <c r="AL37" i="7"/>
  <c r="V35" i="7"/>
  <c r="E35" i="7"/>
  <c r="U37" i="7"/>
  <c r="S29" i="7"/>
  <c r="W37" i="7"/>
  <c r="D37" i="7"/>
  <c r="AI35" i="7"/>
  <c r="AH37" i="7"/>
  <c r="R35" i="7"/>
  <c r="AO37" i="7"/>
  <c r="F35" i="7"/>
  <c r="AA35" i="7"/>
  <c r="AK29" i="7"/>
  <c r="AN37" i="7"/>
  <c r="AV37" i="7"/>
  <c r="AE37" i="7"/>
  <c r="V37" i="7"/>
  <c r="AU37" i="7"/>
  <c r="G35" i="7"/>
  <c r="E37" i="7"/>
  <c r="E29" i="7"/>
  <c r="AJ35" i="7"/>
  <c r="AI37" i="7"/>
  <c r="S35" i="7"/>
  <c r="R37" i="7"/>
  <c r="O37" i="7"/>
  <c r="Y37" i="7"/>
  <c r="AF37" i="7"/>
  <c r="AU35" i="7"/>
  <c r="N35" i="7"/>
  <c r="N37" i="7"/>
  <c r="AR37" i="7"/>
  <c r="Q37" i="7"/>
  <c r="I30" i="7"/>
  <c r="AW29" i="7"/>
  <c r="Q29" i="7"/>
  <c r="Z29" i="7"/>
  <c r="K29" i="7"/>
  <c r="AC30" i="7"/>
  <c r="AU30" i="7"/>
  <c r="AR30" i="7"/>
  <c r="AG30" i="7"/>
  <c r="R30" i="7"/>
  <c r="R29" i="7"/>
  <c r="AI25" i="7"/>
  <c r="E25" i="7"/>
  <c r="V25" i="7"/>
  <c r="AM25" i="7"/>
  <c r="Y25" i="7"/>
  <c r="I25" i="7"/>
  <c r="AA34" i="7"/>
  <c r="AR34" i="7"/>
  <c r="N34" i="7"/>
  <c r="AE34" i="7"/>
  <c r="AV34" i="7"/>
  <c r="Q34" i="7"/>
  <c r="D31" i="7"/>
  <c r="U31" i="7"/>
  <c r="AL31" i="7"/>
  <c r="H31" i="7"/>
  <c r="J31" i="7"/>
  <c r="Y31" i="7"/>
  <c r="AQ27" i="7"/>
  <c r="M27" i="7"/>
  <c r="AD27" i="7"/>
  <c r="AU27" i="7"/>
  <c r="AO27" i="7"/>
  <c r="Z27" i="7"/>
  <c r="Y36" i="7"/>
  <c r="AV36" i="7"/>
  <c r="C36" i="7"/>
  <c r="L36" i="7"/>
  <c r="M36" i="7"/>
  <c r="N36" i="7"/>
  <c r="AQ32" i="7"/>
  <c r="M32" i="7"/>
  <c r="AD32" i="7"/>
  <c r="AU32" i="7"/>
  <c r="AW32" i="7"/>
  <c r="AG32" i="7"/>
  <c r="AI26" i="7"/>
  <c r="E26" i="7"/>
  <c r="V26" i="7"/>
  <c r="AM26" i="7"/>
  <c r="AG26" i="7"/>
  <c r="B26" i="7"/>
  <c r="AX36" i="7"/>
  <c r="W26" i="7"/>
  <c r="T29" i="7"/>
  <c r="N25" i="7"/>
  <c r="AD31" i="7"/>
  <c r="AM27" i="7"/>
  <c r="E36" i="7"/>
  <c r="J32" i="7"/>
  <c r="AW26" i="7"/>
  <c r="D30" i="7"/>
  <c r="H29" i="7"/>
  <c r="AV29" i="7"/>
  <c r="AN29" i="7"/>
  <c r="AT30" i="7"/>
  <c r="V30" i="7"/>
  <c r="AW30" i="7"/>
  <c r="AE30" i="7"/>
  <c r="B30" i="7"/>
  <c r="B29" i="7"/>
  <c r="AQ25" i="7"/>
  <c r="M25" i="7"/>
  <c r="AD25" i="7"/>
  <c r="AU25" i="7"/>
  <c r="R25" i="7"/>
  <c r="AO25" i="7"/>
  <c r="AI34" i="7"/>
  <c r="E34" i="7"/>
  <c r="V34" i="7"/>
  <c r="AM34" i="7"/>
  <c r="AG34" i="7"/>
  <c r="AW34" i="7"/>
  <c r="L31" i="7"/>
  <c r="AC31" i="7"/>
  <c r="AT31" i="7"/>
  <c r="P31" i="7"/>
  <c r="AP31" i="7"/>
  <c r="Z31" i="7"/>
  <c r="D27" i="7"/>
  <c r="U27" i="7"/>
  <c r="AL27" i="7"/>
  <c r="H27" i="7"/>
  <c r="J27" i="7"/>
  <c r="B27" i="7"/>
  <c r="AG36" i="7"/>
  <c r="J36" i="7"/>
  <c r="K36" i="7"/>
  <c r="T36" i="7"/>
  <c r="U36" i="7"/>
  <c r="V36" i="7"/>
  <c r="D32" i="7"/>
  <c r="U32" i="7"/>
  <c r="AL32" i="7"/>
  <c r="H32" i="7"/>
  <c r="R32" i="7"/>
  <c r="AP32" i="7"/>
  <c r="AQ26" i="7"/>
  <c r="M26" i="7"/>
  <c r="AD26" i="7"/>
  <c r="AU26" i="7"/>
  <c r="AH26" i="7"/>
  <c r="Z26" i="7"/>
  <c r="P32" i="7"/>
  <c r="AX32" i="7"/>
  <c r="AH32" i="7"/>
  <c r="D26" i="7"/>
  <c r="U26" i="7"/>
  <c r="AL26" i="7"/>
  <c r="I26" i="7"/>
  <c r="R26" i="7"/>
  <c r="AX27" i="7"/>
  <c r="AA32" i="7"/>
  <c r="S26" i="7"/>
  <c r="S30" i="7"/>
  <c r="AA25" i="7"/>
  <c r="AJ34" i="7"/>
  <c r="AQ31" i="7"/>
  <c r="E27" i="7"/>
  <c r="AE36" i="7"/>
  <c r="V32" i="7"/>
  <c r="AE26" i="7"/>
  <c r="Y29" i="7"/>
  <c r="X29" i="7"/>
  <c r="AS29" i="7"/>
  <c r="AM29" i="7"/>
  <c r="AE29" i="7"/>
  <c r="AI30" i="7"/>
  <c r="AJ30" i="7"/>
  <c r="H30" i="7"/>
  <c r="AS30" i="7"/>
  <c r="AF30" i="7"/>
  <c r="AX29" i="7"/>
  <c r="D25" i="7"/>
  <c r="U25" i="7"/>
  <c r="AL25" i="7"/>
  <c r="H25" i="7"/>
  <c r="Z25" i="7"/>
  <c r="Q25" i="7"/>
  <c r="AQ34" i="7"/>
  <c r="M34" i="7"/>
  <c r="AD34" i="7"/>
  <c r="AU34" i="7"/>
  <c r="AH34" i="7"/>
  <c r="B34" i="7"/>
  <c r="C31" i="7"/>
  <c r="T31" i="7"/>
  <c r="AK31" i="7"/>
  <c r="G31" i="7"/>
  <c r="X31" i="7"/>
  <c r="B31" i="7"/>
  <c r="AH31" i="7"/>
  <c r="L27" i="7"/>
  <c r="AC27" i="7"/>
  <c r="AT27" i="7"/>
  <c r="P27" i="7"/>
  <c r="AP27" i="7"/>
  <c r="AG27" i="7"/>
  <c r="AO36" i="7"/>
  <c r="R36" i="7"/>
  <c r="S36" i="7"/>
  <c r="AB36" i="7"/>
  <c r="AC36" i="7"/>
  <c r="AD36" i="7"/>
  <c r="L32" i="7"/>
  <c r="AC32" i="7"/>
  <c r="AT32" i="7"/>
  <c r="H26" i="7"/>
  <c r="I36" i="7"/>
  <c r="AO32" i="7"/>
  <c r="M30" i="7"/>
  <c r="AR25" i="7"/>
  <c r="F34" i="7"/>
  <c r="AU31" i="7"/>
  <c r="I27" i="7"/>
  <c r="F36" i="7"/>
  <c r="AO29" i="7"/>
  <c r="AG29" i="7"/>
  <c r="O29" i="7"/>
  <c r="AJ29" i="7"/>
  <c r="AD29" i="7"/>
  <c r="V29" i="7"/>
  <c r="AL30" i="7"/>
  <c r="K30" i="7"/>
  <c r="AH30" i="7"/>
  <c r="T30" i="7"/>
  <c r="W30" i="7"/>
  <c r="X30" i="7"/>
  <c r="Q30" i="7"/>
  <c r="L25" i="7"/>
  <c r="AC25" i="7"/>
  <c r="AT25" i="7"/>
  <c r="P25" i="7"/>
  <c r="AX25" i="7"/>
  <c r="J25" i="7"/>
  <c r="D34" i="7"/>
  <c r="U34" i="7"/>
  <c r="AL34" i="7"/>
  <c r="H34" i="7"/>
  <c r="I34" i="7"/>
  <c r="Z34" i="7"/>
  <c r="K31" i="7"/>
  <c r="AB31" i="7"/>
  <c r="AS31" i="7"/>
  <c r="O31" i="7"/>
  <c r="AF31" i="7"/>
  <c r="Q31" i="7"/>
  <c r="C27" i="7"/>
  <c r="T27" i="7"/>
  <c r="AK27" i="7"/>
  <c r="G27" i="7"/>
  <c r="X27" i="7"/>
  <c r="Q27" i="7"/>
  <c r="AH27" i="7"/>
  <c r="AW36" i="7"/>
  <c r="Z36" i="7"/>
  <c r="AA36" i="7"/>
  <c r="AJ36" i="7"/>
  <c r="AK36" i="7"/>
  <c r="AL36" i="7"/>
  <c r="C32" i="7"/>
  <c r="T32" i="7"/>
  <c r="AK32" i="7"/>
  <c r="G32" i="7"/>
  <c r="X32" i="7"/>
  <c r="Y32" i="7"/>
  <c r="I32" i="7"/>
  <c r="L26" i="7"/>
  <c r="AC26" i="7"/>
  <c r="AT26" i="7"/>
  <c r="P26" i="7"/>
  <c r="AO26" i="7"/>
  <c r="AX26" i="7"/>
  <c r="AI31" i="7"/>
  <c r="AR27" i="7"/>
  <c r="P36" i="7"/>
  <c r="X36" i="7"/>
  <c r="AE32" i="7"/>
  <c r="F26" i="7"/>
  <c r="AH29" i="7"/>
  <c r="C30" i="7"/>
  <c r="AE25" i="7"/>
  <c r="AN34" i="7"/>
  <c r="AG31" i="7"/>
  <c r="AN36" i="7"/>
  <c r="E32" i="7"/>
  <c r="AA26" i="7"/>
  <c r="P29" i="7"/>
  <c r="F29" i="7"/>
  <c r="AA29" i="7"/>
  <c r="U29" i="7"/>
  <c r="M29" i="7"/>
  <c r="AA30" i="7"/>
  <c r="P30" i="7"/>
  <c r="Z30" i="7"/>
  <c r="AV30" i="7"/>
  <c r="N30" i="7"/>
  <c r="O30" i="7"/>
  <c r="C25" i="7"/>
  <c r="T25" i="7"/>
  <c r="AK25" i="7"/>
  <c r="G25" i="7"/>
  <c r="X25" i="7"/>
  <c r="AG25" i="7"/>
  <c r="AP25" i="7"/>
  <c r="L34" i="7"/>
  <c r="AC34" i="7"/>
  <c r="AT34" i="7"/>
  <c r="P34" i="7"/>
  <c r="AO34" i="7"/>
  <c r="R34" i="7"/>
  <c r="S31" i="7"/>
  <c r="AJ31" i="7"/>
  <c r="F31" i="7"/>
  <c r="W31" i="7"/>
  <c r="AN31" i="7"/>
  <c r="AW31" i="7"/>
  <c r="K27" i="7"/>
  <c r="AB27" i="7"/>
  <c r="AS27" i="7"/>
  <c r="O27" i="7"/>
  <c r="AF27" i="7"/>
  <c r="AW27" i="7"/>
  <c r="W36" i="7"/>
  <c r="AH36" i="7"/>
  <c r="AI36" i="7"/>
  <c r="AR36" i="7"/>
  <c r="AS36" i="7"/>
  <c r="AT36" i="7"/>
  <c r="K32" i="7"/>
  <c r="AB32" i="7"/>
  <c r="AS32" i="7"/>
  <c r="O32" i="7"/>
  <c r="AF32" i="7"/>
  <c r="B32" i="7"/>
  <c r="C26" i="7"/>
  <c r="T26" i="7"/>
  <c r="AK26" i="7"/>
  <c r="G26" i="7"/>
  <c r="X26" i="7"/>
  <c r="J26" i="7"/>
  <c r="Y26" i="7"/>
  <c r="J34" i="7"/>
  <c r="N27" i="7"/>
  <c r="O36" i="7"/>
  <c r="N32" i="7"/>
  <c r="Q26" i="7"/>
  <c r="AL29" i="7"/>
  <c r="Y30" i="7"/>
  <c r="AW25" i="7"/>
  <c r="AP34" i="7"/>
  <c r="AI27" i="7"/>
  <c r="Q36" i="7"/>
  <c r="AI32" i="7"/>
  <c r="AR26" i="7"/>
  <c r="G29" i="7"/>
  <c r="AQ29" i="7"/>
  <c r="AU29" i="7"/>
  <c r="L29" i="7"/>
  <c r="D29" i="7"/>
  <c r="AP30" i="7"/>
  <c r="U30" i="7"/>
  <c r="AM30" i="7"/>
  <c r="G30" i="7"/>
  <c r="E30" i="7"/>
  <c r="F30" i="7"/>
  <c r="K25" i="7"/>
  <c r="AB25" i="7"/>
  <c r="AS25" i="7"/>
  <c r="O25" i="7"/>
  <c r="AF25" i="7"/>
  <c r="AH25" i="7"/>
  <c r="C34" i="7"/>
  <c r="T34" i="7"/>
  <c r="AK34" i="7"/>
  <c r="G34" i="7"/>
  <c r="X34" i="7"/>
  <c r="Y34" i="7"/>
  <c r="AX34" i="7"/>
  <c r="AA31" i="7"/>
  <c r="AR31" i="7"/>
  <c r="N31" i="7"/>
  <c r="AE31" i="7"/>
  <c r="AV31" i="7"/>
  <c r="R31" i="7"/>
  <c r="S27" i="7"/>
  <c r="AJ27" i="7"/>
  <c r="F27" i="7"/>
  <c r="W27" i="7"/>
  <c r="AN27" i="7"/>
  <c r="R27" i="7"/>
  <c r="H36" i="7"/>
  <c r="AP36" i="7"/>
  <c r="AQ36" i="7"/>
  <c r="AU36" i="7"/>
  <c r="G36" i="7"/>
  <c r="AM36" i="7"/>
  <c r="S32" i="7"/>
  <c r="AJ32" i="7"/>
  <c r="F32" i="7"/>
  <c r="W32" i="7"/>
  <c r="AN32" i="7"/>
  <c r="Z32" i="7"/>
  <c r="K26" i="7"/>
  <c r="AB26" i="7"/>
  <c r="AS26" i="7"/>
  <c r="O26" i="7"/>
  <c r="AF26" i="7"/>
  <c r="AP26" i="7"/>
  <c r="AB34" i="7"/>
  <c r="V31" i="7"/>
  <c r="AM31" i="7"/>
  <c r="AX31" i="7"/>
  <c r="AE27" i="7"/>
  <c r="AF36" i="7"/>
  <c r="AR32" i="7"/>
  <c r="AJ26" i="7"/>
  <c r="AN30" i="7"/>
  <c r="I29" i="7"/>
  <c r="S34" i="7"/>
  <c r="M31" i="7"/>
  <c r="V27" i="7"/>
  <c r="D36" i="7"/>
  <c r="AM32" i="7"/>
  <c r="AV26" i="7"/>
  <c r="AR29" i="7"/>
  <c r="AP29" i="7"/>
  <c r="AC29" i="7"/>
  <c r="C29" i="7"/>
  <c r="J30" i="7"/>
  <c r="AD30" i="7"/>
  <c r="AX30" i="7"/>
  <c r="AB30" i="7"/>
  <c r="AK30" i="7"/>
  <c r="AO30" i="7"/>
  <c r="AQ30" i="7"/>
  <c r="S25" i="7"/>
  <c r="AJ25" i="7"/>
  <c r="F25" i="7"/>
  <c r="W25" i="7"/>
  <c r="AN25" i="7"/>
  <c r="B25" i="7"/>
  <c r="K34" i="7"/>
  <c r="AS34" i="7"/>
  <c r="O34" i="7"/>
  <c r="AF34" i="7"/>
  <c r="E31" i="7"/>
  <c r="I31" i="7"/>
  <c r="AA27" i="7"/>
  <c r="AV27" i="7"/>
  <c r="B36" i="7"/>
  <c r="AV32" i="7"/>
  <c r="AN26" i="7"/>
  <c r="AI29" i="7"/>
  <c r="L30" i="7"/>
  <c r="AV25" i="7"/>
  <c r="W34" i="7"/>
  <c r="AO31" i="7"/>
  <c r="Y27" i="7"/>
  <c r="Q32" i="7"/>
  <c r="N26" i="7"/>
  <c r="AR24" i="7"/>
  <c r="R24" i="7"/>
  <c r="D24" i="7"/>
  <c r="T24" i="7"/>
  <c r="AT24" i="7"/>
  <c r="AH24" i="7"/>
  <c r="L33" i="7"/>
  <c r="AC33" i="7"/>
  <c r="AT33" i="7"/>
  <c r="P33" i="7"/>
  <c r="AG33" i="7"/>
  <c r="AP33" i="7"/>
  <c r="Q33" i="7"/>
  <c r="J24" i="7"/>
  <c r="AL33" i="7"/>
  <c r="AA24" i="7"/>
  <c r="G24" i="7"/>
  <c r="I24" i="7"/>
  <c r="M24" i="7"/>
  <c r="AC24" i="7"/>
  <c r="Q24" i="7"/>
  <c r="C24" i="7"/>
  <c r="C33" i="7"/>
  <c r="T33" i="7"/>
  <c r="AK33" i="7"/>
  <c r="G33" i="7"/>
  <c r="X33" i="7"/>
  <c r="AH33" i="7"/>
  <c r="AK24" i="7"/>
  <c r="R33" i="7"/>
  <c r="AJ24" i="7"/>
  <c r="P24" i="7"/>
  <c r="E24" i="7"/>
  <c r="V24" i="7"/>
  <c r="AL24" i="7"/>
  <c r="AP24" i="7"/>
  <c r="K33" i="7"/>
  <c r="AB33" i="7"/>
  <c r="AS33" i="7"/>
  <c r="O33" i="7"/>
  <c r="AF33" i="7"/>
  <c r="B33" i="7"/>
  <c r="U24" i="7"/>
  <c r="AS24" i="7"/>
  <c r="AO24" i="7"/>
  <c r="N24" i="7"/>
  <c r="AE24" i="7"/>
  <c r="AU24" i="7"/>
  <c r="AD24" i="7"/>
  <c r="S33" i="7"/>
  <c r="AJ33" i="7"/>
  <c r="F33" i="7"/>
  <c r="W33" i="7"/>
  <c r="AN33" i="7"/>
  <c r="AW33" i="7"/>
  <c r="K24" i="7"/>
  <c r="J33" i="7"/>
  <c r="H24" i="7"/>
  <c r="AQ24" i="7"/>
  <c r="W24" i="7"/>
  <c r="AN24" i="7"/>
  <c r="B24" i="7"/>
  <c r="AM24" i="7"/>
  <c r="AA33" i="7"/>
  <c r="AR33" i="7"/>
  <c r="N33" i="7"/>
  <c r="AE33" i="7"/>
  <c r="AV33" i="7"/>
  <c r="AX33" i="7"/>
  <c r="Y33" i="7"/>
  <c r="X24" i="7"/>
  <c r="U33" i="7"/>
  <c r="AW24" i="7"/>
  <c r="F24" i="7"/>
  <c r="AF24" i="7"/>
  <c r="Y24" i="7"/>
  <c r="S24" i="7"/>
  <c r="AV24" i="7"/>
  <c r="AI33" i="7"/>
  <c r="E33" i="7"/>
  <c r="V33" i="7"/>
  <c r="AM33" i="7"/>
  <c r="I33" i="7"/>
  <c r="D33" i="7"/>
  <c r="Z24" i="7"/>
  <c r="O24" i="7"/>
  <c r="AX24" i="7"/>
  <c r="AG24" i="7"/>
  <c r="AB24" i="7"/>
  <c r="L24" i="7"/>
  <c r="AQ33" i="7"/>
  <c r="M33" i="7"/>
  <c r="AD33" i="7"/>
  <c r="AU33" i="7"/>
  <c r="Z33" i="7"/>
  <c r="AO33" i="7"/>
  <c r="AI24" i="7"/>
  <c r="H33" i="7"/>
  <c r="AI28" i="7"/>
  <c r="E28" i="7"/>
  <c r="V28" i="7"/>
  <c r="AM28" i="7"/>
  <c r="Q28" i="7"/>
  <c r="AG28" i="7"/>
  <c r="AK28" i="7"/>
  <c r="B28" i="7"/>
  <c r="S28" i="7"/>
  <c r="I28" i="7"/>
  <c r="AE28" i="7"/>
  <c r="AQ28" i="7"/>
  <c r="M28" i="7"/>
  <c r="AD28" i="7"/>
  <c r="AU28" i="7"/>
  <c r="AW28" i="7"/>
  <c r="AP28" i="7"/>
  <c r="G28" i="7"/>
  <c r="Y28" i="7"/>
  <c r="F28" i="7"/>
  <c r="AA28" i="7"/>
  <c r="J28" i="7"/>
  <c r="D28" i="7"/>
  <c r="U28" i="7"/>
  <c r="AL28" i="7"/>
  <c r="H28" i="7"/>
  <c r="R28" i="7"/>
  <c r="AH28" i="7"/>
  <c r="O28" i="7"/>
  <c r="AN28" i="7"/>
  <c r="AV28" i="7"/>
  <c r="L28" i="7"/>
  <c r="AC28" i="7"/>
  <c r="AT28" i="7"/>
  <c r="P28" i="7"/>
  <c r="AX28" i="7"/>
  <c r="AO28" i="7"/>
  <c r="X28" i="7"/>
  <c r="AF28" i="7"/>
  <c r="AJ28" i="7"/>
  <c r="AR28" i="7"/>
  <c r="C28" i="7"/>
  <c r="T28" i="7"/>
  <c r="K28" i="7"/>
  <c r="AB28" i="7"/>
  <c r="AS28" i="7"/>
  <c r="Z28" i="7"/>
  <c r="W28" i="7"/>
  <c r="N28" i="7"/>
  <c r="C23" i="7"/>
  <c r="T23" i="7"/>
  <c r="AK23" i="7"/>
  <c r="G23" i="7"/>
  <c r="X23" i="7"/>
  <c r="AP23" i="7"/>
  <c r="AH23" i="7"/>
  <c r="AU23" i="7"/>
  <c r="H23" i="7"/>
  <c r="J23" i="7"/>
  <c r="K23" i="7"/>
  <c r="AB23" i="7"/>
  <c r="AS23" i="7"/>
  <c r="O23" i="7"/>
  <c r="AF23" i="7"/>
  <c r="Q23" i="7"/>
  <c r="AX23" i="7"/>
  <c r="M23" i="7"/>
  <c r="Y23" i="7"/>
  <c r="AG23" i="7"/>
  <c r="S23" i="7"/>
  <c r="AJ23" i="7"/>
  <c r="F23" i="7"/>
  <c r="W23" i="7"/>
  <c r="AN23" i="7"/>
  <c r="AW23" i="7"/>
  <c r="R23" i="7"/>
  <c r="AD23" i="7"/>
  <c r="AL23" i="7"/>
  <c r="AT23" i="7"/>
  <c r="AA23" i="7"/>
  <c r="AR23" i="7"/>
  <c r="N23" i="7"/>
  <c r="AE23" i="7"/>
  <c r="AV23" i="7"/>
  <c r="I23" i="7"/>
  <c r="B23" i="7"/>
  <c r="P23" i="7"/>
  <c r="AI23" i="7"/>
  <c r="E23" i="7"/>
  <c r="V23" i="7"/>
  <c r="AM23" i="7"/>
  <c r="AQ23" i="7"/>
  <c r="AO23" i="7"/>
  <c r="Z23" i="7"/>
  <c r="L23" i="7"/>
  <c r="D23" i="7"/>
  <c r="U23" i="7"/>
  <c r="AC23" i="7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3" i="1"/>
  <c r="DE54" i="7" l="1"/>
  <c r="AR45" i="7"/>
  <c r="AU45" i="7"/>
  <c r="E45" i="7"/>
  <c r="U45" i="7"/>
  <c r="W45" i="7"/>
  <c r="Q45" i="7"/>
  <c r="AW45" i="7"/>
  <c r="L45" i="7"/>
  <c r="Y45" i="7"/>
  <c r="AK45" i="7"/>
  <c r="V45" i="7"/>
  <c r="D45" i="7"/>
  <c r="BP56" i="7" s="1"/>
  <c r="AI45" i="7"/>
  <c r="AA45" i="7"/>
  <c r="F45" i="7"/>
  <c r="AF45" i="7"/>
  <c r="AH45" i="7"/>
  <c r="P45" i="7"/>
  <c r="AT45" i="7"/>
  <c r="AJ45" i="7"/>
  <c r="O45" i="7"/>
  <c r="AP45" i="7"/>
  <c r="Z45" i="7"/>
  <c r="B45" i="7"/>
  <c r="BN56" i="7" s="1"/>
  <c r="AL45" i="7"/>
  <c r="S45" i="7"/>
  <c r="AS45" i="7"/>
  <c r="X45" i="7"/>
  <c r="AO45" i="7"/>
  <c r="I45" i="7"/>
  <c r="AD45" i="7"/>
  <c r="AG45" i="7"/>
  <c r="AB45" i="7"/>
  <c r="CN56" i="7" s="1"/>
  <c r="G45" i="7"/>
  <c r="K45" i="7"/>
  <c r="AQ45" i="7"/>
  <c r="R45" i="7"/>
  <c r="CD56" i="7" s="1"/>
  <c r="AM45" i="7"/>
  <c r="AE45" i="7"/>
  <c r="M45" i="7"/>
  <c r="J45" i="7"/>
  <c r="T45" i="7"/>
  <c r="BK45" i="7"/>
  <c r="AV45" i="7"/>
  <c r="AC45" i="7"/>
  <c r="N45" i="7"/>
  <c r="AN45" i="7"/>
  <c r="AX45" i="7"/>
  <c r="H45" i="7"/>
  <c r="C45" i="7"/>
  <c r="BO56" i="7" s="1"/>
  <c r="BB45" i="7"/>
  <c r="BQ57" i="7" s="1"/>
  <c r="CW45" i="7"/>
  <c r="BX45" i="7"/>
  <c r="CM45" i="7"/>
  <c r="CD45" i="7"/>
  <c r="BM45" i="7"/>
  <c r="BE24" i="7"/>
  <c r="BE45" i="7" s="1"/>
  <c r="CO45" i="7"/>
  <c r="BP45" i="7"/>
  <c r="CE45" i="7"/>
  <c r="BV45" i="7"/>
  <c r="CA45" i="7"/>
  <c r="CR23" i="7"/>
  <c r="CR45" i="7" s="1"/>
  <c r="CG45" i="7"/>
  <c r="CI45" i="7"/>
  <c r="BH45" i="7"/>
  <c r="BW45" i="7"/>
  <c r="CQ45" i="7"/>
  <c r="BN45" i="7"/>
  <c r="CJ23" i="7"/>
  <c r="CJ45" i="7" s="1"/>
  <c r="CP45" i="7"/>
  <c r="BY45" i="7"/>
  <c r="BO45" i="7"/>
  <c r="BC45" i="7"/>
  <c r="BR57" i="7" s="1"/>
  <c r="BF45" i="7"/>
  <c r="CB23" i="7"/>
  <c r="CB45" i="7" s="1"/>
  <c r="CH45" i="7"/>
  <c r="BQ45" i="7"/>
  <c r="BG45" i="7"/>
  <c r="CS45" i="7"/>
  <c r="BT23" i="7"/>
  <c r="BT45" i="7" s="1"/>
  <c r="BZ45" i="7"/>
  <c r="BS45" i="7"/>
  <c r="CH57" i="7" s="1"/>
  <c r="BI45" i="7"/>
  <c r="CV45" i="7"/>
  <c r="CK45" i="7"/>
  <c r="BL23" i="7"/>
  <c r="BL45" i="7" s="1"/>
  <c r="BR45" i="7"/>
  <c r="CN45" i="7"/>
  <c r="CT45" i="7"/>
  <c r="CC45" i="7"/>
  <c r="BD23" i="7"/>
  <c r="BD45" i="7" s="1"/>
  <c r="BS57" i="7" s="1"/>
  <c r="BJ45" i="7"/>
  <c r="CF45" i="7"/>
  <c r="CU45" i="7"/>
  <c r="CL45" i="7"/>
  <c r="BU45" i="7"/>
  <c r="CJ56" i="7" l="1"/>
  <c r="CE56" i="7"/>
  <c r="CZ56" i="7"/>
  <c r="BZ56" i="7"/>
  <c r="DA57" i="7"/>
  <c r="H49" i="7"/>
  <c r="BT56" i="7"/>
  <c r="CR57" i="7"/>
  <c r="BU57" i="7"/>
  <c r="CN57" i="7"/>
  <c r="CN58" i="7" s="1"/>
  <c r="CE57" i="7"/>
  <c r="CE58" i="7" s="1"/>
  <c r="DC57" i="7"/>
  <c r="CD57" i="7"/>
  <c r="CD58" i="7" s="1"/>
  <c r="CI57" i="7"/>
  <c r="CY57" i="7"/>
  <c r="BY57" i="7"/>
  <c r="BX57" i="7"/>
  <c r="CQ57" i="7"/>
  <c r="CL57" i="7"/>
  <c r="CJ57" i="7"/>
  <c r="CJ58" i="7" s="1"/>
  <c r="CX57" i="7"/>
  <c r="CV57" i="7"/>
  <c r="CZ57" i="7"/>
  <c r="CZ58" i="7" s="1"/>
  <c r="CF57" i="7"/>
  <c r="CP57" i="7"/>
  <c r="CT57" i="7"/>
  <c r="BZ57" i="7"/>
  <c r="BW57" i="7"/>
  <c r="DD57" i="7"/>
  <c r="CO57" i="7"/>
  <c r="BT57" i="7"/>
  <c r="CG57" i="7"/>
  <c r="CB57" i="7"/>
  <c r="CU57" i="7"/>
  <c r="CA57" i="7"/>
  <c r="BV57" i="7"/>
  <c r="CS57" i="7"/>
  <c r="DB57" i="7"/>
  <c r="CW57" i="7"/>
  <c r="CC57" i="7"/>
  <c r="CK57" i="7"/>
  <c r="CM57" i="7"/>
  <c r="CL56" i="7"/>
  <c r="CL58" i="7" s="1"/>
  <c r="CG56" i="7"/>
  <c r="CX56" i="7"/>
  <c r="CY56" i="7"/>
  <c r="BV56" i="7"/>
  <c r="BU56" i="7"/>
  <c r="BU58" i="7" s="1"/>
  <c r="CM56" i="7"/>
  <c r="CO56" i="7"/>
  <c r="DC56" i="7"/>
  <c r="CT56" i="7"/>
  <c r="DD56" i="7"/>
  <c r="CS56" i="7"/>
  <c r="CR56" i="7"/>
  <c r="BY56" i="7"/>
  <c r="BX56" i="7"/>
  <c r="CQ56" i="7"/>
  <c r="CP56" i="7"/>
  <c r="BR56" i="7"/>
  <c r="BR58" i="7" s="1"/>
  <c r="DA56" i="7"/>
  <c r="DA58" i="7" s="1"/>
  <c r="CA56" i="7"/>
  <c r="CI56" i="7"/>
  <c r="CV56" i="7"/>
  <c r="BW56" i="7"/>
  <c r="CH56" i="7"/>
  <c r="CH58" i="7" s="1"/>
  <c r="BQ56" i="7"/>
  <c r="BQ58" i="7" s="1"/>
  <c r="DB56" i="7"/>
  <c r="CC56" i="7"/>
  <c r="CF56" i="7"/>
  <c r="BS56" i="7"/>
  <c r="BS58" i="7" s="1"/>
  <c r="CB56" i="7"/>
  <c r="CW56" i="7"/>
  <c r="BD57" i="7"/>
  <c r="BC57" i="7"/>
  <c r="BF57" i="7"/>
  <c r="BE57" i="7"/>
  <c r="BB57" i="7"/>
  <c r="BH57" i="7"/>
  <c r="BG57" i="7"/>
  <c r="BI57" i="7"/>
  <c r="BJ57" i="7"/>
  <c r="BK57" i="7"/>
  <c r="BL57" i="7"/>
  <c r="BN57" i="7"/>
  <c r="BM57" i="7"/>
  <c r="BP57" i="7"/>
  <c r="BO57" i="7"/>
  <c r="M49" i="7"/>
  <c r="CU56" i="7"/>
  <c r="I49" i="7"/>
  <c r="CK56" i="7"/>
  <c r="R49" i="7"/>
  <c r="BF56" i="7"/>
  <c r="BH56" i="7"/>
  <c r="BD56" i="7"/>
  <c r="BI56" i="7"/>
  <c r="BK56" i="7"/>
  <c r="BE56" i="7"/>
  <c r="BC56" i="7"/>
  <c r="BG56" i="7"/>
  <c r="BB56" i="7"/>
  <c r="BJ56" i="7"/>
  <c r="BL56" i="7"/>
  <c r="BM56" i="7"/>
  <c r="DF54" i="7"/>
  <c r="DE56" i="7"/>
  <c r="DE57" i="7"/>
  <c r="G49" i="7"/>
  <c r="D49" i="7"/>
  <c r="Q49" i="7"/>
  <c r="P49" i="7"/>
  <c r="B49" i="7"/>
  <c r="C49" i="7"/>
  <c r="BC65" i="7"/>
  <c r="BD65" i="7"/>
  <c r="BB65" i="7"/>
  <c r="BE65" i="7"/>
  <c r="E49" i="7"/>
  <c r="K49" i="7"/>
  <c r="N49" i="7"/>
  <c r="L49" i="7"/>
  <c r="BQ49" i="7"/>
  <c r="BP49" i="7"/>
  <c r="BE49" i="7"/>
  <c r="BL49" i="7"/>
  <c r="BJ49" i="7"/>
  <c r="BB49" i="7"/>
  <c r="F49" i="7"/>
  <c r="J49" i="7"/>
  <c r="O49" i="7"/>
  <c r="BG49" i="7"/>
  <c r="BK49" i="7"/>
  <c r="BN49" i="7"/>
  <c r="BC49" i="7"/>
  <c r="BF49" i="7"/>
  <c r="BI49" i="7"/>
  <c r="BH49" i="7"/>
  <c r="BD49" i="7"/>
  <c r="BM49" i="7"/>
  <c r="BO49" i="7"/>
  <c r="BT58" i="7" l="1"/>
  <c r="BZ58" i="7"/>
  <c r="BM65" i="7"/>
  <c r="CY58" i="7"/>
  <c r="CR58" i="7"/>
  <c r="BI65" i="7"/>
  <c r="BW58" i="7"/>
  <c r="DC58" i="7"/>
  <c r="CV58" i="7"/>
  <c r="BY58" i="7"/>
  <c r="CI58" i="7"/>
  <c r="CO58" i="7"/>
  <c r="CT58" i="7"/>
  <c r="CQ58" i="7"/>
  <c r="CG58" i="7"/>
  <c r="CM58" i="7"/>
  <c r="BU65" i="7"/>
  <c r="DD58" i="7"/>
  <c r="BV58" i="7"/>
  <c r="BO66" i="7"/>
  <c r="BQ66" i="7"/>
  <c r="CP58" i="7"/>
  <c r="BX58" i="7"/>
  <c r="CX58" i="7"/>
  <c r="BK66" i="7"/>
  <c r="DB58" i="7"/>
  <c r="CS58" i="7"/>
  <c r="BH66" i="7"/>
  <c r="BS66" i="7"/>
  <c r="BL66" i="7"/>
  <c r="BJ66" i="7"/>
  <c r="BR66" i="7"/>
  <c r="CF58" i="7"/>
  <c r="BN66" i="7"/>
  <c r="CC58" i="7"/>
  <c r="CA58" i="7"/>
  <c r="BU66" i="7"/>
  <c r="BI66" i="7"/>
  <c r="CK58" i="7"/>
  <c r="BM66" i="7"/>
  <c r="BM67" i="7" s="1"/>
  <c r="CB58" i="7"/>
  <c r="BT66" i="7"/>
  <c r="CW58" i="7"/>
  <c r="CU58" i="7"/>
  <c r="BP66" i="7"/>
  <c r="BR65" i="7"/>
  <c r="BO65" i="7"/>
  <c r="BT65" i="7"/>
  <c r="BK65" i="7"/>
  <c r="BN65" i="7"/>
  <c r="BQ65" i="7"/>
  <c r="BS65" i="7"/>
  <c r="BP65" i="7"/>
  <c r="BG65" i="7"/>
  <c r="BL65" i="7"/>
  <c r="BJ65" i="7"/>
  <c r="BH65" i="7"/>
  <c r="CZ59" i="7"/>
  <c r="DE58" i="7"/>
  <c r="DG54" i="7"/>
  <c r="DF56" i="7"/>
  <c r="DF57" i="7"/>
  <c r="BB66" i="7"/>
  <c r="BE66" i="7"/>
  <c r="BF66" i="7"/>
  <c r="BC66" i="7"/>
  <c r="BD66" i="7"/>
  <c r="BL67" i="7" l="1"/>
  <c r="BI67" i="7"/>
  <c r="BN67" i="7"/>
  <c r="BO67" i="7"/>
  <c r="BQ67" i="7"/>
  <c r="BU67" i="7"/>
  <c r="BT67" i="7"/>
  <c r="BJ67" i="7"/>
  <c r="BR67" i="7"/>
  <c r="BK67" i="7"/>
  <c r="BS67" i="7"/>
  <c r="BH67" i="7"/>
  <c r="BP67" i="7"/>
  <c r="DF58" i="7"/>
  <c r="DH54" i="7"/>
  <c r="DG57" i="7"/>
  <c r="DG56" i="7"/>
  <c r="BS68" i="7" l="1"/>
  <c r="DG58" i="7"/>
  <c r="DI54" i="7"/>
  <c r="DH57" i="7"/>
  <c r="DH56" i="7"/>
  <c r="DH58" i="7" l="1"/>
  <c r="DI57" i="7"/>
  <c r="DI56" i="7"/>
  <c r="DI58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Goodwin</author>
  </authors>
  <commentList>
    <comment ref="AC3" authorId="0" shapeId="0" xr:uid="{AAE80253-41AE-44EB-86E5-FE77710E2DC2}">
      <text>
        <r>
          <rPr>
            <b/>
            <sz val="9"/>
            <color indexed="81"/>
            <rFont val="Tahoma"/>
            <family val="2"/>
          </rPr>
          <t>Andrew Goodwin:</t>
        </r>
        <r>
          <rPr>
            <sz val="9"/>
            <color indexed="81"/>
            <rFont val="Tahoma"/>
            <family val="2"/>
          </rPr>
          <t xml:space="preserve">
V:\Teams\Data Team\Collaboration\Macro Team\UKEO\Jul2024\Charts\BoE MAPS survey.xlsx
'BoE balance sheet'</t>
        </r>
      </text>
    </comment>
    <comment ref="AC4" authorId="0" shapeId="0" xr:uid="{510DD94E-96A2-4043-9E51-DD1CFBD27382}">
      <text>
        <r>
          <rPr>
            <b/>
            <sz val="9"/>
            <color indexed="81"/>
            <rFont val="Tahoma"/>
            <family val="2"/>
          </rPr>
          <t>Andrew Goodwin:</t>
        </r>
        <r>
          <rPr>
            <sz val="9"/>
            <color indexed="81"/>
            <rFont val="Tahoma"/>
            <family val="2"/>
          </rPr>
          <t xml:space="preserve">
Andrew Goodwin:
V:\Teams\Data Team\Collaboration\Macro Team\UKEO\Jul2024\Charts\BoE MAPS survey.xlsx
'BoE balance sheet'</t>
        </r>
      </text>
    </comment>
  </commentList>
</comments>
</file>

<file path=xl/sharedStrings.xml><?xml version="1.0" encoding="utf-8"?>
<sst xmlns="http://schemas.openxmlformats.org/spreadsheetml/2006/main" count="4312" uniqueCount="1723">
  <si>
    <t>Section 2: Current economic conditions</t>
  </si>
  <si>
    <t>Date</t>
  </si>
  <si>
    <t>Fuels and lubricants</t>
  </si>
  <si>
    <t>Other goods</t>
  </si>
  <si>
    <t>Services</t>
  </si>
  <si>
    <t>D7BT@UK</t>
  </si>
  <si>
    <t>KAJ4@UK</t>
  </si>
  <si>
    <t>201001 !M</t>
  </si>
  <si>
    <t>201001</t>
  </si>
  <si>
    <t>.DTLM</t>
  </si>
  <si>
    <t>.LSOURCE</t>
  </si>
  <si>
    <t>.TN</t>
  </si>
  <si>
    <t>.T1</t>
  </si>
  <si>
    <t>.DESC</t>
  </si>
  <si>
    <t>Office for National Statistics</t>
  </si>
  <si>
    <t>Jan-1988</t>
  </si>
  <si>
    <t>UK: Consumer Price Index: All Items (NSA, 2015=100)</t>
  </si>
  <si>
    <t>Mar-2001</t>
  </si>
  <si>
    <t>Great Britain: AWE, Regular Pay: Private Sector [3Mo Mvg Avg vs Yr Ago] (SA, %)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</si>
  <si>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</si>
  <si>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</si>
  <si>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</si>
  <si>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</si>
  <si>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</si>
  <si>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</si>
  <si>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</si>
  <si>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</si>
  <si>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</si>
  <si>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</si>
  <si>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</si>
  <si>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</si>
  <si>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</si>
  <si>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</si>
  <si>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</si>
  <si>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</si>
  <si>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</si>
  <si>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</si>
  <si>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</si>
  <si>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</si>
  <si>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</si>
  <si>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</si>
  <si>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</si>
  <si>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</si>
  <si>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</si>
  <si>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</si>
  <si>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</si>
  <si>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</si>
  <si>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</si>
  <si>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</si>
  <si>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</si>
  <si>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</si>
  <si>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</si>
  <si>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</si>
  <si>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</si>
  <si>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</si>
  <si>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</si>
  <si>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</si>
  <si>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</si>
  <si>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</si>
  <si>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</si>
  <si>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</si>
  <si>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</si>
  <si>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</si>
  <si>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</si>
  <si>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</si>
  <si>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</si>
  <si>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</si>
  <si>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</si>
  <si>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</si>
  <si>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</si>
  <si>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</si>
  <si>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</si>
  <si>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</si>
  <si>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</si>
  <si>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</si>
  <si>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</si>
  <si>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</si>
  <si>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</si>
  <si>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</si>
  <si>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</si>
  <si>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</si>
  <si>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</si>
  <si>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</si>
  <si>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</si>
  <si>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</si>
  <si>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</si>
  <si>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</si>
  <si>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</si>
  <si>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</si>
  <si>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</si>
  <si>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</si>
  <si>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</si>
  <si>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</si>
  <si>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</si>
  <si>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</si>
  <si>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</si>
  <si>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</si>
  <si>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</si>
  <si>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</si>
  <si>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</si>
  <si>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</si>
  <si>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</si>
  <si>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</si>
  <si>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</si>
  <si>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</si>
  <si>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</si>
  <si>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</si>
  <si>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</si>
  <si>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</si>
  <si>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</si>
  <si>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</si>
  <si>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</si>
  <si>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</si>
  <si>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</si>
  <si>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</si>
  <si>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</si>
  <si>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</si>
  <si>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</si>
  <si>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</si>
  <si>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</si>
  <si>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</si>
  <si>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</si>
  <si>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</si>
  <si>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</si>
  <si>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</si>
  <si>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</si>
  <si>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</si>
  <si>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</si>
  <si>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</si>
  <si>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</si>
  <si>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</si>
  <si>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</si>
  <si>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</si>
  <si>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</si>
  <si>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</si>
  <si>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</si>
  <si>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</si>
  <si>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</si>
  <si>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</si>
  <si>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</si>
  <si>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</si>
  <si>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</si>
  <si>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</si>
  <si>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</si>
  <si>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</si>
  <si>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</si>
  <si>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</si>
  <si>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</si>
  <si>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</si>
  <si>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</si>
  <si>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</si>
  <si>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</si>
  <si>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</si>
  <si>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</si>
  <si>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</si>
  <si>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</si>
  <si>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</si>
  <si>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</si>
  <si>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</si>
  <si>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</si>
  <si>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</si>
  <si>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</si>
  <si>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</si>
  <si>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</si>
  <si>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</si>
  <si>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</si>
  <si>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</si>
  <si>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</si>
  <si>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</si>
  <si>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</si>
  <si>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</si>
  <si>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</si>
  <si>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</si>
  <si>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</si>
  <si>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</si>
  <si>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</si>
  <si>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</si>
  <si>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</si>
  <si>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</si>
  <si>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</si>
  <si>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</si>
  <si>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</si>
  <si>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</si>
  <si>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</si>
  <si>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D7F5@UK</t>
  </si>
  <si>
    <t>UK: Consumer Price Index: All Services (NSA, 2015=100)</t>
  </si>
  <si>
    <t>Outturn</t>
  </si>
  <si>
    <t>BoE forecast</t>
  </si>
  <si>
    <t>T112G2@INTDAILY</t>
  </si>
  <si>
    <t>T112GA@INTDAILY</t>
  </si>
  <si>
    <t>20220101 !D</t>
  </si>
  <si>
    <t>20220103</t>
  </si>
  <si>
    <t>London Stock Exchange Group</t>
  </si>
  <si>
    <t>26-Jan-1994</t>
  </si>
  <si>
    <t>UK: 2-Yr Government Bond Yield (%)</t>
  </si>
  <si>
    <t>UK: 10-Yr Government Bond Yield (%)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</si>
  <si>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</si>
  <si>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</si>
  <si>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</si>
  <si>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</si>
  <si>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</si>
  <si>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</si>
  <si>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</si>
  <si>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</si>
  <si>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</si>
  <si>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</si>
  <si>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</si>
  <si>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</si>
  <si>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</si>
  <si>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</si>
  <si>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</si>
  <si>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</si>
  <si>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</si>
  <si>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</si>
  <si>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</si>
  <si>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20220131</t>
  </si>
  <si>
    <t>20220201</t>
  </si>
  <si>
    <t>20220202</t>
  </si>
  <si>
    <t>20220203</t>
  </si>
  <si>
    <t>20220204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</si>
  <si>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</si>
  <si>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</si>
  <si>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</si>
  <si>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</si>
  <si>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</si>
  <si>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</si>
  <si>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</si>
  <si>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</si>
  <si>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</si>
  <si>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</si>
  <si>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</si>
  <si>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</si>
  <si>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</si>
  <si>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</si>
  <si>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</si>
  <si>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</si>
  <si>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</si>
  <si>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</si>
  <si>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</si>
  <si>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</si>
  <si>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</si>
  <si>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</si>
  <si>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</si>
  <si>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</si>
  <si>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</si>
  <si>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</si>
  <si>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</si>
  <si>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</si>
  <si>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</si>
  <si>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</si>
  <si>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</si>
  <si>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</si>
  <si>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</si>
  <si>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</si>
  <si>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</si>
  <si>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</si>
  <si>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</si>
  <si>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</si>
  <si>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</si>
  <si>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</si>
  <si>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20220404</t>
  </si>
  <si>
    <t>20220405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</si>
  <si>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</si>
  <si>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</si>
  <si>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</si>
  <si>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</si>
  <si>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</si>
  <si>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</si>
  <si>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</si>
  <si>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</si>
  <si>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</si>
  <si>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</si>
  <si>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</si>
  <si>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</si>
  <si>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</si>
  <si>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</si>
  <si>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</si>
  <si>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</si>
  <si>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</si>
  <si>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</si>
  <si>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20220502</t>
  </si>
  <si>
    <t>20220503</t>
  </si>
  <si>
    <t>20220504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</si>
  <si>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</si>
  <si>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</si>
  <si>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</si>
  <si>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</si>
  <si>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</si>
  <si>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</si>
  <si>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</si>
  <si>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</si>
  <si>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</si>
  <si>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</si>
  <si>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</si>
  <si>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</si>
  <si>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</si>
  <si>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</si>
  <si>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</si>
  <si>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</si>
  <si>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</si>
  <si>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</si>
  <si>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</si>
  <si>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</si>
  <si>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</si>
  <si>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20220603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</si>
  <si>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</si>
  <si>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</si>
  <si>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</si>
  <si>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</si>
  <si>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</si>
  <si>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</si>
  <si>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</si>
  <si>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</si>
  <si>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</si>
  <si>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</si>
  <si>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</si>
  <si>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</si>
  <si>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</si>
  <si>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</si>
  <si>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</si>
  <si>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</si>
  <si>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</si>
  <si>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</si>
  <si>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</si>
  <si>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</si>
  <si>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</si>
  <si>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</si>
  <si>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</si>
  <si>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</si>
  <si>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</si>
  <si>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</si>
  <si>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</si>
  <si>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</si>
  <si>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</si>
  <si>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</si>
  <si>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</si>
  <si>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</si>
  <si>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</si>
  <si>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</si>
  <si>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</si>
  <si>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</si>
  <si>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</si>
  <si>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</si>
  <si>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</si>
  <si>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</si>
  <si>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</si>
  <si>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</si>
  <si>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</si>
  <si>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</si>
  <si>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</si>
  <si>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</si>
  <si>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</si>
  <si>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</si>
  <si>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</si>
  <si>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</si>
  <si>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</si>
  <si>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</si>
  <si>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</si>
  <si>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</si>
  <si>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</si>
  <si>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</si>
  <si>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</si>
  <si>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</si>
  <si>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</si>
  <si>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</si>
  <si>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</si>
  <si>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</si>
  <si>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</si>
  <si>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</si>
  <si>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</si>
  <si>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</si>
  <si>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</si>
  <si>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</si>
  <si>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</si>
  <si>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</si>
  <si>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20220912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</si>
  <si>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</si>
  <si>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</si>
  <si>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</si>
  <si>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</si>
  <si>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</si>
  <si>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</si>
  <si>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</si>
  <si>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</si>
  <si>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</si>
  <si>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</si>
  <si>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</si>
  <si>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</si>
  <si>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</si>
  <si>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</si>
  <si>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20221003</t>
  </si>
  <si>
    <t>20221004</t>
  </si>
  <si>
    <t>20221005</t>
  </si>
  <si>
    <t>20221006</t>
  </si>
  <si>
    <t>20221007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</si>
  <si>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</si>
  <si>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</si>
  <si>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</si>
  <si>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</si>
  <si>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</si>
  <si>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</si>
  <si>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</si>
  <si>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</si>
  <si>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</si>
  <si>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</si>
  <si>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</si>
  <si>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</si>
  <si>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</si>
  <si>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</si>
  <si>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</si>
  <si>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</si>
  <si>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</si>
  <si>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</si>
  <si>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</si>
  <si>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</si>
  <si>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</si>
  <si>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</si>
  <si>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</si>
  <si>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</si>
  <si>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</si>
  <si>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</si>
  <si>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</si>
  <si>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</si>
  <si>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</si>
  <si>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</si>
  <si>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</si>
  <si>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</si>
  <si>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</si>
  <si>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</si>
  <si>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</si>
  <si>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</si>
  <si>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</si>
  <si>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</si>
  <si>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</si>
  <si>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</si>
  <si>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</si>
  <si>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</si>
  <si>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</si>
  <si>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</si>
  <si>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</si>
  <si>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</si>
  <si>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</si>
  <si>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</si>
  <si>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</si>
  <si>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</si>
  <si>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</si>
  <si>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</si>
  <si>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</si>
  <si>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</si>
  <si>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</si>
  <si>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</si>
  <si>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</si>
  <si>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</si>
  <si>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</si>
  <si>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</si>
  <si>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20230102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</si>
  <si>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</si>
  <si>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</si>
  <si>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</si>
  <si>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</si>
  <si>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</si>
  <si>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</si>
  <si>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</si>
  <si>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</si>
  <si>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</si>
  <si>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</si>
  <si>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</si>
  <si>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</si>
  <si>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</si>
  <si>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</si>
  <si>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</si>
  <si>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</si>
  <si>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</si>
  <si>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</si>
  <si>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</si>
  <si>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</si>
  <si>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</si>
  <si>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</si>
  <si>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</si>
  <si>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</si>
  <si>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</si>
  <si>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</si>
  <si>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</si>
  <si>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</si>
  <si>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</si>
  <si>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</si>
  <si>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</si>
  <si>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</si>
  <si>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</si>
  <si>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</si>
  <si>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</si>
  <si>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</si>
  <si>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</si>
  <si>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</si>
  <si>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</si>
  <si>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</si>
  <si>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</si>
  <si>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</si>
  <si>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</si>
  <si>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</si>
  <si>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</si>
  <si>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</si>
  <si>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</si>
  <si>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</si>
  <si>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</si>
  <si>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</si>
  <si>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</si>
  <si>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</si>
  <si>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</si>
  <si>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</si>
  <si>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</si>
  <si>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</si>
  <si>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</si>
  <si>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</si>
  <si>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</si>
  <si>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</si>
  <si>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</si>
  <si>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</si>
  <si>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</si>
  <si>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</si>
  <si>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</si>
  <si>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</si>
  <si>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</si>
  <si>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</si>
  <si>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</si>
  <si>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</si>
  <si>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</si>
  <si>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</si>
  <si>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</si>
  <si>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</si>
  <si>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</si>
  <si>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</si>
  <si>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</si>
  <si>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</si>
  <si>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</si>
  <si>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</si>
  <si>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</si>
  <si>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</si>
  <si>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</si>
  <si>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</si>
  <si>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</si>
  <si>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</si>
  <si>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20230503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</si>
  <si>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</si>
  <si>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</si>
  <si>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</si>
  <si>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</si>
  <si>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</si>
  <si>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</si>
  <si>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</si>
  <si>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</si>
  <si>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</si>
  <si>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</si>
  <si>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</si>
  <si>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</si>
  <si>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</si>
  <si>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</si>
  <si>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</si>
  <si>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</si>
  <si>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</si>
  <si>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</si>
  <si>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</si>
  <si>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</si>
  <si>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</si>
  <si>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</si>
  <si>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</si>
  <si>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</si>
  <si>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</si>
  <si>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</si>
  <si>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</si>
  <si>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</si>
  <si>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</si>
  <si>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</si>
  <si>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</si>
  <si>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</si>
  <si>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</si>
  <si>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</si>
  <si>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</si>
  <si>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</si>
  <si>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</si>
  <si>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</si>
  <si>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</si>
  <si>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</si>
  <si>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</si>
  <si>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</si>
  <si>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</si>
  <si>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</si>
  <si>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</si>
  <si>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</si>
  <si>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</si>
  <si>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</si>
  <si>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</si>
  <si>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</si>
  <si>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</si>
  <si>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</si>
  <si>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</si>
  <si>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</si>
  <si>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</si>
  <si>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</si>
  <si>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</si>
  <si>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</si>
  <si>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</si>
  <si>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</si>
  <si>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</si>
  <si>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</si>
  <si>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</si>
  <si>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</si>
  <si>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</si>
  <si>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</si>
  <si>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</si>
  <si>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</si>
  <si>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</si>
  <si>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</si>
  <si>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</si>
  <si>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</si>
  <si>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</si>
  <si>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</si>
  <si>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</si>
  <si>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</si>
  <si>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</si>
  <si>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</si>
  <si>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</si>
  <si>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</si>
  <si>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</si>
  <si>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</si>
  <si>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</si>
  <si>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</si>
  <si>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</si>
  <si>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</si>
  <si>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</si>
  <si>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</si>
  <si>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</si>
  <si>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</si>
  <si>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</si>
  <si>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</si>
  <si>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</si>
  <si>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</si>
  <si>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</si>
  <si>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</si>
  <si>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</si>
  <si>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</si>
  <si>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</si>
  <si>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</si>
  <si>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</si>
  <si>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</si>
  <si>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</si>
  <si>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</si>
  <si>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</si>
  <si>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</si>
  <si>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</si>
  <si>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</si>
  <si>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</si>
  <si>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</si>
  <si>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</si>
  <si>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</si>
  <si>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</si>
  <si>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</si>
  <si>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</si>
  <si>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</si>
  <si>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</si>
  <si>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</si>
  <si>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</si>
  <si>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</si>
  <si>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</si>
  <si>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</si>
  <si>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</si>
  <si>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</si>
  <si>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</si>
  <si>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</si>
  <si>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</si>
  <si>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</si>
  <si>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</si>
  <si>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</si>
  <si>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</si>
  <si>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</si>
  <si>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</si>
  <si>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</si>
  <si>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</si>
  <si>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</si>
  <si>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</si>
  <si>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</si>
  <si>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</si>
  <si>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</si>
  <si>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</si>
  <si>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</si>
  <si>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</si>
  <si>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</si>
  <si>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</si>
  <si>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</si>
  <si>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</si>
  <si>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</si>
  <si>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</si>
  <si>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</si>
  <si>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</si>
  <si>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</si>
  <si>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</si>
  <si>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</si>
  <si>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</si>
  <si>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202311</t>
  </si>
  <si>
    <t>202312</t>
  </si>
  <si>
    <t>202401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</si>
  <si>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</si>
  <si>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</si>
  <si>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</si>
  <si>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</si>
  <si>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</si>
  <si>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</si>
  <si>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</si>
  <si>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</si>
  <si>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</si>
  <si>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</si>
  <si>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</si>
  <si>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</si>
  <si>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</si>
  <si>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</si>
  <si>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</si>
  <si>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</si>
  <si>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</si>
  <si>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20240101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</si>
  <si>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</si>
  <si>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</si>
  <si>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</si>
  <si>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</si>
  <si>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</si>
  <si>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</si>
  <si>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</si>
  <si>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</si>
  <si>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</si>
  <si>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</si>
  <si>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</si>
  <si>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</si>
  <si>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</si>
  <si>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</si>
  <si>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</si>
  <si>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</si>
  <si>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</si>
  <si>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</si>
  <si>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</si>
  <si>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</si>
  <si>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</si>
  <si>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</si>
  <si>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</si>
  <si>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</si>
  <si>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</si>
  <si>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</si>
  <si>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</si>
  <si>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</si>
  <si>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</si>
  <si>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</si>
  <si>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</si>
  <si>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</si>
  <si>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</si>
  <si>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</si>
  <si>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</si>
  <si>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</si>
  <si>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</si>
  <si>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</si>
  <si>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</si>
  <si>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</si>
  <si>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</si>
  <si>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</si>
  <si>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</si>
  <si>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</si>
  <si>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</si>
  <si>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</si>
  <si>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</si>
  <si>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</si>
  <si>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</si>
  <si>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</si>
  <si>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</si>
  <si>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Contributions</t>
  </si>
  <si>
    <t>Inflation rates</t>
  </si>
  <si>
    <t>Food</t>
  </si>
  <si>
    <t>CPI</t>
  </si>
  <si>
    <t>Services inflation</t>
  </si>
  <si>
    <t>Private sector pay growth</t>
  </si>
  <si>
    <t>202402</t>
  </si>
  <si>
    <t>202403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</si>
  <si>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</si>
  <si>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</si>
  <si>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</si>
  <si>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</si>
  <si>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</si>
  <si>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</si>
  <si>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</si>
  <si>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</si>
  <si>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</si>
  <si>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</si>
  <si>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</si>
  <si>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</si>
  <si>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</si>
  <si>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</si>
  <si>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</si>
  <si>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</si>
  <si>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</si>
  <si>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</si>
  <si>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</si>
  <si>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</si>
  <si>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</si>
  <si>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</si>
  <si>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</si>
  <si>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</si>
  <si>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</si>
  <si>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</si>
  <si>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</si>
  <si>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</si>
  <si>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</si>
  <si>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</si>
  <si>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</si>
  <si>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</si>
  <si>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R112RD@INTDAILY</t>
  </si>
  <si>
    <t>R112LOS@INTDAILY</t>
  </si>
  <si>
    <t>R11201F@INTDAILY</t>
  </si>
  <si>
    <t>R11202F@INTDAILY</t>
  </si>
  <si>
    <t>R11203F@INTDAILY</t>
  </si>
  <si>
    <t>R11204F@INTDAILY</t>
  </si>
  <si>
    <t>R11205F@INTDAILY</t>
  </si>
  <si>
    <t>R11206F@INTDAILY</t>
  </si>
  <si>
    <t>R11207F@INTDAILY</t>
  </si>
  <si>
    <t>R11208F@INTDAILY</t>
  </si>
  <si>
    <t>R11209F@INTDAILY</t>
  </si>
  <si>
    <t>R11210F@INTDAILY</t>
  </si>
  <si>
    <t>R11211F@INTDAILY</t>
  </si>
  <si>
    <t>R11212F@INTDAILY</t>
  </si>
  <si>
    <t>R11213F@INTDAILY</t>
  </si>
  <si>
    <t>R11214F@INTDAILY</t>
  </si>
  <si>
    <t>R11215F@INTDAILY</t>
  </si>
  <si>
    <t>R11216F@INTDAILY</t>
  </si>
  <si>
    <t>R11217F@INTDAILY</t>
  </si>
  <si>
    <t>R11218F@INTDAILY</t>
  </si>
  <si>
    <t>R11219F@INTDAILY</t>
  </si>
  <si>
    <t>R11220F@INTDAILY</t>
  </si>
  <si>
    <t>R11221F@INTDAILY</t>
  </si>
  <si>
    <t>R11222F@INTDAILY</t>
  </si>
  <si>
    <t>R11223F@INTDAILY</t>
  </si>
  <si>
    <t>R11224F@INTDAILY</t>
  </si>
  <si>
    <t>R11225F@INTDAILY</t>
  </si>
  <si>
    <t>R11226F@INTDAILY</t>
  </si>
  <si>
    <t>R11227F@INTDAILY</t>
  </si>
  <si>
    <t>R11228F@INTDAILY</t>
  </si>
  <si>
    <t>R11229F@INTDAILY</t>
  </si>
  <si>
    <t>R11230F@INTDAILY</t>
  </si>
  <si>
    <t>R11231F@INTDAILY</t>
  </si>
  <si>
    <t>R11232F@INTDAILY</t>
  </si>
  <si>
    <t>R11233F@INTDAILY</t>
  </si>
  <si>
    <t>R11234F@INTDAILY</t>
  </si>
  <si>
    <t>R11235F@INTDAILY</t>
  </si>
  <si>
    <t>R11236F@INTDAILY</t>
  </si>
  <si>
    <t>R11237F@INTDAILY</t>
  </si>
  <si>
    <t>R11238F@INTDAILY</t>
  </si>
  <si>
    <t>R11239F@INTDAILY</t>
  </si>
  <si>
    <t>R11240F@INTDAILY</t>
  </si>
  <si>
    <t>R11241F@INTDAILY</t>
  </si>
  <si>
    <t>R11242F@INTDAILY</t>
  </si>
  <si>
    <t>R11243F@INTDAILY</t>
  </si>
  <si>
    <t>R11244F@INTDAILY</t>
  </si>
  <si>
    <t>R11245F@INTDAILY</t>
  </si>
  <si>
    <t>R11246F@INTDAILY</t>
  </si>
  <si>
    <t>R11247F@INTDAILY</t>
  </si>
  <si>
    <t>R11248F@INTDAILY</t>
  </si>
  <si>
    <t>R11249F@INTDAILY</t>
  </si>
  <si>
    <t>R11250F@INTDAILY</t>
  </si>
  <si>
    <t>R11251F@INTDAILY</t>
  </si>
  <si>
    <t>R11252F@INTDAILY</t>
  </si>
  <si>
    <t>R11253F@INTDAILY</t>
  </si>
  <si>
    <t>R11254F@INTDAILY</t>
  </si>
  <si>
    <t>R11255F@INTDAILY</t>
  </si>
  <si>
    <t>R11256F@INTDAILY</t>
  </si>
  <si>
    <t>R11257F@INTDAILY</t>
  </si>
  <si>
    <t>R11258F@INTDAILY</t>
  </si>
  <si>
    <t>R11259F@INTDAILY</t>
  </si>
  <si>
    <t>R11260F@INTDAILY</t>
  </si>
  <si>
    <t>R112I5B@INTDAILY</t>
  </si>
  <si>
    <t>R112I6A@INTDAILY</t>
  </si>
  <si>
    <t>Bank of England</t>
  </si>
  <si>
    <t>01-Jan-1953</t>
  </si>
  <si>
    <t>United Kingdom: Official Bank Rate (%)</t>
  </si>
  <si>
    <t>02-Jan-1997</t>
  </si>
  <si>
    <t>UK:Lending Rate: Sterling Overnight Interbank Average [SONIA]  (% pa)</t>
  </si>
  <si>
    <t>02-Jan-2009</t>
  </si>
  <si>
    <t>UK: Overnight Index Swap: Forward Yields, 1-Month (% p.a.)</t>
  </si>
  <si>
    <t>20240426</t>
  </si>
  <si>
    <t>UK: Overnight Index Swap: Forward Yields, 2-Month (% p.a.)</t>
  </si>
  <si>
    <t>UK: Overnight Index Swap: Forward Yields, 3-Month (% p.a.)</t>
  </si>
  <si>
    <t>UK: Overnight Index Swap: Forward Yields, 4-Month (% p.a.)</t>
  </si>
  <si>
    <t>UK: Overnight Index Swap: Forward Yields, 5-Month (% p.a.)</t>
  </si>
  <si>
    <t>UK: Overnight Index Swap: Forward Yields, 6-Month (% p.a.)</t>
  </si>
  <si>
    <t>UK: Overnight Index Swap: Forward Yields, 7-Month (% p.a.)</t>
  </si>
  <si>
    <t>UK: Overnight Index Swap: Forward Yields, 8-Month (% p.a.)</t>
  </si>
  <si>
    <t>UK: Overnight Index Swap: Forward Yields, 9-Month (% p.a.)</t>
  </si>
  <si>
    <t>UK: Overnight Index Swap: Forward Yields, 10-Month (% p.a.)</t>
  </si>
  <si>
    <t>UK: Overnight Index Swap: Forward Yields, 11-Month (% p.a.)</t>
  </si>
  <si>
    <t>UK: Overnight Index Swap: Forward Yields, 12-Month (% p.a.)</t>
  </si>
  <si>
    <t>UK: Overnight Index Swap: Forward Yields, 13-Month (% p.a.)</t>
  </si>
  <si>
    <t>UK: Overnight Index Swap: Forward Yields, 14-Month (% p.a.)</t>
  </si>
  <si>
    <t>UK: Overnight Index Swap: Forward Yields, 15-Month (% p.a.)</t>
  </si>
  <si>
    <t>UK: Overnight Index Swap: Forward Yields, 16-Month (% p.a.)</t>
  </si>
  <si>
    <t>UK: Overnight Index Swap: Forward Yields, 17-Month (% p.a.)</t>
  </si>
  <si>
    <t>UK: Overnight Index Swap: Forward Yields, 18-Month (% p.a.)</t>
  </si>
  <si>
    <t>UK: Overnight Index Swap: Forward Yields, 19-Month (% p.a.)</t>
  </si>
  <si>
    <t>UK: Overnight Index Swap: Forward Yields, 20-Month (% p.a.)</t>
  </si>
  <si>
    <t>UK: Overnight Index Swap: Forward Yields, 21-Month (% p.a.)</t>
  </si>
  <si>
    <t>UK: Overnight Index Swap: Forward Yields, 22-Month (% p.a.)</t>
  </si>
  <si>
    <t>UK: Overnight Index Swap: Forward Yields, 23-Month (% p.a.)</t>
  </si>
  <si>
    <t>UK: Overnight Index Swap: Forward Yields, 24-Month (% p.a.)</t>
  </si>
  <si>
    <t>UK: Overnight Index Swap: Forward Yields, 25-Month (% p.a.)</t>
  </si>
  <si>
    <t>UK: Overnight Index Swap: Forward Yields, 26-Month (% p.a.)</t>
  </si>
  <si>
    <t>UK: Overnight Index Swap: Forward Yields, 27-Month (% p.a.)</t>
  </si>
  <si>
    <t>UK: Overnight Index Swap: Forward Yields, 28-Month (% p.a.)</t>
  </si>
  <si>
    <t>UK: Overnight Index Swap: Forward Yields, 29-Month (% p.a.)</t>
  </si>
  <si>
    <t>UK: Overnight Index Swap: Forward Yields, 30-Month (% p.a.)</t>
  </si>
  <si>
    <t>UK: Overnight Index Swap: Forward Yields, 31-Month (% p.a.)</t>
  </si>
  <si>
    <t>UK: Overnight Index Swap: Forward Yields, 32-Month (% p.a.)</t>
  </si>
  <si>
    <t>UK: Overnight Index Swap: Forward Yields, 33-Month (% p.a.)</t>
  </si>
  <si>
    <t>UK: Overnight Index Swap: Forward Yields, 34-Month (% p.a.)</t>
  </si>
  <si>
    <t>UK: Overnight Index Swap: Forward Yields, 35-Month (% p.a.)</t>
  </si>
  <si>
    <t>UK: Overnight Index Swap: Forward Yields, 36-Month (% p.a.)</t>
  </si>
  <si>
    <t>UK: Overnight Index Swap: Forward Yields, 37-Month (% p.a.)</t>
  </si>
  <si>
    <t>UK: Overnight Index Swap: Forward Yields, 38-Month (% p.a.)</t>
  </si>
  <si>
    <t>UK: Overnight Index Swap: Forward Yields, 39-Month (% p.a.)</t>
  </si>
  <si>
    <t>UK: Overnight Index Swap: Forward Yields, 40-Month (% p.a.)</t>
  </si>
  <si>
    <t>UK: Overnight Index Swap: Forward Yields, 41-Month (% p.a.)</t>
  </si>
  <si>
    <t>UK: Overnight Index Swap: Forward Yields, 42-Month (% p.a.)</t>
  </si>
  <si>
    <t>UK: Overnight Index Swap: Forward Yields, 43-Month (% p.a.)</t>
  </si>
  <si>
    <t>UK: Overnight Index Swap: Forward Yields, 44-Month (% p.a.)</t>
  </si>
  <si>
    <t>UK: Overnight Index Swap: Forward Yields, 45-Month (% p.a.)</t>
  </si>
  <si>
    <t>UK: Overnight Index Swap: Forward Yields, 46-Month (% p.a.)</t>
  </si>
  <si>
    <t>UK: Overnight Index Swap: Forward Yields, 47-Month (% p.a.)</t>
  </si>
  <si>
    <t>UK: Overnight Index Swap: Forward Yields, 48-Month (% p.a.)</t>
  </si>
  <si>
    <t>UK: Overnight Index Swap: Forward Yields, 49-Month (% p.a.)</t>
  </si>
  <si>
    <t>UK: Overnight Index Swap: Forward Yields, 50-Month (% p.a.)</t>
  </si>
  <si>
    <t>UK: Overnight Index Swap: Forward Yields, 51-Month (% p.a.)</t>
  </si>
  <si>
    <t>UK: Overnight Index Swap: Forward Yields, 52-Month (% p.a.)</t>
  </si>
  <si>
    <t>UK: Overnight Index Swap: Forward Yields, 53-Month (% p.a.)</t>
  </si>
  <si>
    <t>UK: Overnight Index Swap: Forward Yields, 54-Month (% p.a.)</t>
  </si>
  <si>
    <t>UK: Overnight Index Swap: Forward Yields, 55-Month (% p.a.)</t>
  </si>
  <si>
    <t>UK: Overnight Index Swap: Forward Yields, 56-Month (% p.a.)</t>
  </si>
  <si>
    <t>UK: Overnight Index Swap: Forward Yields, 57-Month (% p.a.)</t>
  </si>
  <si>
    <t>UK: Overnight Index Swap: Forward Yields, 58-Month (% p.a.)</t>
  </si>
  <si>
    <t>UK: Overnight Index Swap: Forward Yields, 59-Month (% p.a.)</t>
  </si>
  <si>
    <t>UK: Overnight Index Swap: Forward Yields, 60-Month (% p.a.)</t>
  </si>
  <si>
    <t>01-Dec-2021</t>
  </si>
  <si>
    <t>UK: Overnight Index Swap: Forward Yields, 5.5-Year (% p.a.)</t>
  </si>
  <si>
    <t>UK: Overnight Index Swap: Forward Yields, 6-Year (% p.a.)</t>
  </si>
  <si>
    <t>Bank Rate</t>
  </si>
  <si>
    <t>Overnight</t>
  </si>
  <si>
    <t>5.5yrs</t>
  </si>
  <si>
    <t>6yrs</t>
  </si>
  <si>
    <t>Column #</t>
  </si>
  <si>
    <t>Months</t>
  </si>
  <si>
    <t>Days</t>
  </si>
  <si>
    <t>Dates</t>
  </si>
  <si>
    <t>Market expectations</t>
  </si>
  <si>
    <t>Average</t>
  </si>
  <si>
    <t>Month</t>
  </si>
  <si>
    <t>Year</t>
  </si>
  <si>
    <t>YYYYMM</t>
  </si>
  <si>
    <t>Quarter</t>
  </si>
  <si>
    <t>YYYYQQ</t>
  </si>
  <si>
    <t>Quarterly series</t>
  </si>
  <si>
    <t>Difference</t>
  </si>
  <si>
    <t>Next 3 years</t>
  </si>
  <si>
    <t>Comparison - quarterly</t>
  </si>
  <si>
    <t>Comparison - monthly</t>
  </si>
  <si>
    <t>UNPD@UK</t>
  </si>
  <si>
    <t>UNPCD@UK</t>
  </si>
  <si>
    <t>UKVCP@UK</t>
  </si>
  <si>
    <t>20231</t>
  </si>
  <si>
    <t>UK: BoE CPI Projections Based on Expected Interest Rate: Mode (Y/Y % Chg)</t>
  </si>
  <si>
    <t>UK: BoE Conditioning Path for Market Interest Rates  (%)</t>
  </si>
  <si>
    <t>20232</t>
  </si>
  <si>
    <t>20233</t>
  </si>
  <si>
    <t>20234</t>
  </si>
  <si>
    <t>20241</t>
  </si>
  <si>
    <t>20242</t>
  </si>
  <si>
    <t>20243</t>
  </si>
  <si>
    <t>20244</t>
  </si>
  <si>
    <t>20251</t>
  </si>
  <si>
    <t>20252</t>
  </si>
  <si>
    <t>20253</t>
  </si>
  <si>
    <t>20254</t>
  </si>
  <si>
    <t>20261</t>
  </si>
  <si>
    <t>20262</t>
  </si>
  <si>
    <t>20263</t>
  </si>
  <si>
    <t>20264</t>
  </si>
  <si>
    <t>20271</t>
  </si>
  <si>
    <t>20272</t>
  </si>
  <si>
    <t>Inflation forecasts</t>
  </si>
  <si>
    <t>20151 !Q</t>
  </si>
  <si>
    <t>20151</t>
  </si>
  <si>
    <t>Q1-1988 &lt;- Jan-1988</t>
  </si>
  <si>
    <t>20152</t>
  </si>
  <si>
    <t>20153</t>
  </si>
  <si>
    <t>20154</t>
  </si>
  <si>
    <t>20161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</si>
  <si>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</si>
  <si>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</si>
  <si>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</si>
  <si>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</si>
  <si>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</si>
  <si>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</si>
  <si>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</si>
  <si>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</si>
  <si>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</si>
  <si>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20183</t>
  </si>
  <si>
    <t>20184</t>
  </si>
  <si>
    <t>20191</t>
  </si>
  <si>
    <t>20192</t>
  </si>
  <si>
    <t>20193</t>
  </si>
  <si>
    <t>20194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</si>
  <si>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</si>
  <si>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</si>
  <si>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</si>
  <si>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</si>
  <si>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</si>
  <si>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</si>
  <si>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</si>
  <si>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</si>
  <si>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20221</t>
  </si>
  <si>
    <t>20222</t>
  </si>
  <si>
    <t>20223</t>
  </si>
  <si>
    <t>20224</t>
  </si>
  <si>
    <t>CPI inflation</t>
  </si>
  <si>
    <t>Location</t>
  </si>
  <si>
    <t>Indicator</t>
  </si>
  <si>
    <t>Scenario</t>
  </si>
  <si>
    <t>Units</t>
  </si>
  <si>
    <t>Scale</t>
  </si>
  <si>
    <t>Measurement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</si>
  <si>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</si>
  <si>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</si>
  <si>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</si>
  <si>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</si>
  <si>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</si>
  <si>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</si>
  <si>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</si>
  <si>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</si>
  <si>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</si>
  <si>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</si>
  <si>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</si>
  <si>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</si>
  <si>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</si>
  <si>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</si>
  <si>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</si>
  <si>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</si>
  <si>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</si>
  <si>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</si>
  <si>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</si>
  <si>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</si>
  <si>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</si>
  <si>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</si>
  <si>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</si>
  <si>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</si>
  <si>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</si>
  <si>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</si>
  <si>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</si>
  <si>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</si>
  <si>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</si>
  <si>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</si>
  <si>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</si>
  <si>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</si>
  <si>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</si>
  <si>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</si>
  <si>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</si>
  <si>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</si>
  <si>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</si>
  <si>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</si>
  <si>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</si>
  <si>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</si>
  <si>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</si>
  <si>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</si>
  <si>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</si>
  <si>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</si>
  <si>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</si>
  <si>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</si>
  <si>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</si>
  <si>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</si>
  <si>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</si>
  <si>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</si>
  <si>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</si>
  <si>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</si>
  <si>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</si>
  <si>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</si>
  <si>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</si>
  <si>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</si>
  <si>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</si>
  <si>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</si>
  <si>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</si>
  <si>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</si>
  <si>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</si>
  <si>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</si>
  <si>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</si>
  <si>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</si>
  <si>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</si>
  <si>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</si>
  <si>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</si>
  <si>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</si>
  <si>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</si>
  <si>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</si>
  <si>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</si>
  <si>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</si>
  <si>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</si>
  <si>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</si>
  <si>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</si>
  <si>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</si>
  <si>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</si>
  <si>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</si>
  <si>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</si>
  <si>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</si>
  <si>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</si>
  <si>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</si>
  <si>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</si>
  <si>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</si>
  <si>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</si>
  <si>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</si>
  <si>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</si>
  <si>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</si>
  <si>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</si>
  <si>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</si>
  <si>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</si>
  <si>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</si>
  <si>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</si>
  <si>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</si>
  <si>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</si>
  <si>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</si>
  <si>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</si>
  <si>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</si>
  <si>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</si>
  <si>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</si>
  <si>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</si>
  <si>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</si>
  <si>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</si>
  <si>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</si>
  <si>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</si>
  <si>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</si>
  <si>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</si>
  <si>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</si>
  <si>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</si>
  <si>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</si>
  <si>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</si>
  <si>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</si>
  <si>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</si>
  <si>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</si>
  <si>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</si>
  <si>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</si>
  <si>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</si>
  <si>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</si>
  <si>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</si>
  <si>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</si>
  <si>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</si>
  <si>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</si>
  <si>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</si>
  <si>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</si>
  <si>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</si>
  <si>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</si>
  <si>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</si>
  <si>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</si>
  <si>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</si>
  <si>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</si>
  <si>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</si>
  <si>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</si>
  <si>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</si>
  <si>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</si>
  <si>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</si>
  <si>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</si>
  <si>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</si>
  <si>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</si>
  <si>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</si>
  <si>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</si>
  <si>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</si>
  <si>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</si>
  <si>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</si>
  <si>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</si>
  <si>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</si>
  <si>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</si>
  <si>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</si>
  <si>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</si>
  <si>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</si>
  <si>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</si>
  <si>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</si>
  <si>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</si>
  <si>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</si>
  <si>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</si>
  <si>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</si>
  <si>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</si>
  <si>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</si>
  <si>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</si>
  <si>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</si>
  <si>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</si>
  <si>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</si>
  <si>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</si>
  <si>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</si>
  <si>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</si>
  <si>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</si>
  <si>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</si>
  <si>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</si>
  <si>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</si>
  <si>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</si>
  <si>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</si>
  <si>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</si>
  <si>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</si>
  <si>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</si>
  <si>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</si>
  <si>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</si>
  <si>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</si>
  <si>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</si>
  <si>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</si>
  <si>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</si>
  <si>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</si>
  <si>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</si>
  <si>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</si>
  <si>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</si>
  <si>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</si>
  <si>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</si>
  <si>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</si>
  <si>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</si>
  <si>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</si>
  <si>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</si>
  <si>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</si>
  <si>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</si>
  <si>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</si>
  <si>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</si>
  <si>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</si>
  <si>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</si>
  <si>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</si>
  <si>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</si>
  <si>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</si>
  <si>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</si>
  <si>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</si>
  <si>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</si>
  <si>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</si>
  <si>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</si>
  <si>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</si>
  <si>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</si>
  <si>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</si>
  <si>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</si>
  <si>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</si>
  <si>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</si>
  <si>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</si>
  <si>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</si>
  <si>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</si>
  <si>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</si>
  <si>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</si>
  <si>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</si>
  <si>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</si>
  <si>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</si>
  <si>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</si>
  <si>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</si>
  <si>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</si>
  <si>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</si>
  <si>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</si>
  <si>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</si>
  <si>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</si>
  <si>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</si>
  <si>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</si>
  <si>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</si>
  <si>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</si>
  <si>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</si>
  <si>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</si>
  <si>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</si>
  <si>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</si>
  <si>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</si>
  <si>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</si>
  <si>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</si>
  <si>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</si>
  <si>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</si>
  <si>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</si>
  <si>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</si>
  <si>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</si>
  <si>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</si>
  <si>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</si>
  <si>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</si>
  <si>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</si>
  <si>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</si>
  <si>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</si>
  <si>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</si>
  <si>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</si>
  <si>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</si>
  <si>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</si>
  <si>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</si>
  <si>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</si>
  <si>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</si>
  <si>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</si>
  <si>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</si>
  <si>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</si>
  <si>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</si>
  <si>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</si>
  <si>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</si>
  <si>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</si>
  <si>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</si>
  <si>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</si>
  <si>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</si>
  <si>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</si>
  <si>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</si>
  <si>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</si>
  <si>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</si>
  <si>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</si>
  <si>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</si>
  <si>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</si>
  <si>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</si>
  <si>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</si>
  <si>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</si>
  <si>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</si>
  <si>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</si>
  <si>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</si>
  <si>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</si>
  <si>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</si>
  <si>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</si>
  <si>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</si>
  <si>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</si>
  <si>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</si>
  <si>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</si>
  <si>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</si>
  <si>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</si>
  <si>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</si>
  <si>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</si>
  <si>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</si>
  <si>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</si>
  <si>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</si>
  <si>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</si>
  <si>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</si>
  <si>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</si>
  <si>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</si>
  <si>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</si>
  <si>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</si>
  <si>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</si>
  <si>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</si>
  <si>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</si>
  <si>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</si>
  <si>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</si>
  <si>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</si>
  <si>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</si>
  <si>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</si>
  <si>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</si>
  <si>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</si>
  <si>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</si>
  <si>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</si>
  <si>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</si>
  <si>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</si>
  <si>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</si>
  <si>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</si>
  <si>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</si>
  <si>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</si>
  <si>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</si>
  <si>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</si>
  <si>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</si>
  <si>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</si>
  <si>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</si>
  <si>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</si>
  <si>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</si>
  <si>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</si>
  <si>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</si>
  <si>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</si>
  <si>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</si>
  <si>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Consumer price index</t>
  </si>
  <si>
    <t>Index</t>
  </si>
  <si>
    <t>NA</t>
  </si>
  <si>
    <t>Level</t>
  </si>
  <si>
    <t>Office for National Statistics\Haver Analytics</t>
  </si>
  <si>
    <t xml:space="preserve">UK: Consumer Price Index: All Items (NSA, 2015=100) </t>
  </si>
  <si>
    <t>GBR</t>
  </si>
  <si>
    <t>Interest rate, central bank policy, end of period</t>
  </si>
  <si>
    <t>%</t>
  </si>
  <si>
    <t>Bank of England \Haver Analytics</t>
  </si>
  <si>
    <t>agg(R112RD@INTDAILY,EOP)</t>
  </si>
  <si>
    <t>United Kingdom: Official Bank Rate (%) ,EOP</t>
  </si>
  <si>
    <t>RCBEOP</t>
  </si>
  <si>
    <t>2% LINE</t>
  </si>
  <si>
    <t>20240429</t>
  </si>
  <si>
    <t>20240430</t>
  </si>
  <si>
    <t>20240501</t>
  </si>
  <si>
    <t>20240502</t>
  </si>
  <si>
    <t>202404</t>
  </si>
  <si>
    <t>20240503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</si>
  <si>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</si>
  <si>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</si>
  <si>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</si>
  <si>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</si>
  <si>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</si>
  <si>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</si>
  <si>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</si>
  <si>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</si>
  <si>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</si>
  <si>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</si>
  <si>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</si>
  <si>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</si>
  <si>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</si>
  <si>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</si>
  <si>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</si>
  <si>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</si>
  <si>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</si>
  <si>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</si>
  <si>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</si>
  <si>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</si>
  <si>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</si>
  <si>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</si>
  <si>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</si>
  <si>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</si>
  <si>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</si>
  <si>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Q3-2027</t>
  </si>
  <si>
    <t>20273</t>
  </si>
  <si>
    <t>Chart 2.16 - Contributions to CPI inflation</t>
  </si>
  <si>
    <t xml:space="preserve">Electricity and gas </t>
  </si>
  <si>
    <t>20240610</t>
  </si>
  <si>
    <t>202405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</si>
  <si>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</si>
  <si>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</si>
  <si>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</si>
  <si>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</si>
  <si>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</si>
  <si>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</si>
  <si>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</si>
  <si>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</si>
  <si>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</si>
  <si>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</si>
  <si>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</si>
  <si>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</si>
  <si>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</si>
  <si>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</si>
  <si>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</si>
  <si>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</si>
  <si>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</si>
  <si>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</si>
  <si>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</si>
  <si>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</si>
  <si>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</si>
  <si>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</si>
  <si>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</si>
  <si>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</si>
  <si>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</si>
  <si>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August MPR</t>
  </si>
  <si>
    <t>2015=100</t>
  </si>
  <si>
    <t>Desktop</t>
  </si>
  <si>
    <t>Jun-2024</t>
  </si>
  <si>
    <t>202406</t>
  </si>
  <si>
    <t>20240716</t>
  </si>
  <si>
    <t>20240717</t>
  </si>
  <si>
    <t>20240718</t>
  </si>
  <si>
    <t>X112EN@INTDAILY</t>
  </si>
  <si>
    <t>20240719</t>
  </si>
  <si>
    <t>02-Jan-1990</t>
  </si>
  <si>
    <t>UK: Effective Exchange Rate Index: Narrow (Jan-05=100)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</si>
  <si>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</si>
  <si>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</si>
  <si>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</si>
  <si>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</si>
  <si>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</si>
  <si>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</si>
  <si>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</si>
  <si>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</si>
  <si>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</si>
  <si>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Aug-01-2024 12:09</t>
  </si>
  <si>
    <t>Q3-2024</t>
  </si>
  <si>
    <t>UK: BoE CPI Projections Based on Constant 5.00% Interest Rate: Mode (Y/Y % Chg)</t>
  </si>
  <si>
    <t>Aug-01-2024 12:39</t>
  </si>
  <si>
    <t>Q4-2027</t>
  </si>
  <si>
    <t>20274</t>
  </si>
  <si>
    <t>Total CPI</t>
  </si>
  <si>
    <t>July 2024
(Bank staff projections)</t>
  </si>
  <si>
    <t>August 2024
(Bank staff projections)</t>
  </si>
  <si>
    <t>September 2024
(Bank staff projections)</t>
  </si>
  <si>
    <t>October 2024
(Bank staff projections)</t>
  </si>
  <si>
    <t>November 2024
(Bank staff projections)</t>
  </si>
  <si>
    <t>December 2024
(Bank staff projections)</t>
  </si>
  <si>
    <t>2025 Q1
(Bank staff projection)</t>
  </si>
  <si>
    <t>n.a.</t>
  </si>
  <si>
    <t xml:space="preserve">Chart 2.21 - Measures of annual pay growth </t>
  </si>
  <si>
    <t>Quarterly frequency</t>
  </si>
  <si>
    <t>Monthly frequency</t>
  </si>
  <si>
    <t>AWE private sector regular pay</t>
  </si>
  <si>
    <t>Indicator-based model</t>
  </si>
  <si>
    <t xml:space="preserve">AWE private sector regular pay </t>
  </si>
  <si>
    <t>KPMG/REC survey (advanced 12 months)</t>
  </si>
  <si>
    <t>HMRC RTI private sector median</t>
  </si>
  <si>
    <t>Indeed Wage Tracker</t>
  </si>
  <si>
    <t>No permissions</t>
  </si>
  <si>
    <t>2024 Q2 
(Bank Staff Projection)</t>
  </si>
  <si>
    <t>2024 Q3
(Bank Staff Projection)</t>
  </si>
  <si>
    <t>UK310724_BLANK2</t>
  </si>
  <si>
    <t>HMT consensus (Jul)</t>
  </si>
  <si>
    <t>BoE market expectations (Aug)</t>
  </si>
  <si>
    <t>OE (Aug)</t>
  </si>
  <si>
    <t>15 working days to  22 July 2024</t>
  </si>
  <si>
    <t>November MPR</t>
  </si>
  <si>
    <t>15 working days to 28 October 2024</t>
  </si>
  <si>
    <t>Aug-14-2024 07:02</t>
  </si>
  <si>
    <t>Jul-2024</t>
  </si>
  <si>
    <t>Aug-13-2024 07:03</t>
  </si>
  <si>
    <t>202407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</si>
  <si>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</si>
  <si>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</si>
  <si>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</si>
  <si>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</si>
  <si>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</si>
  <si>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</si>
  <si>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</si>
  <si>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</si>
  <si>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Q2-2024 &lt;- Jul-2024</t>
  </si>
  <si>
    <t>Sep-06-2024 13:57</t>
  </si>
  <si>
    <t>06-Sep-2024</t>
  </si>
  <si>
    <t>Sep-09-2024 09:30</t>
  </si>
  <si>
    <t>05-Sep-2024</t>
  </si>
  <si>
    <t>Sep-06-2024 11:11</t>
  </si>
  <si>
    <t>Sep-06-2024 21:03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</si>
  <si>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</si>
  <si>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</si>
  <si>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</si>
  <si>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</si>
  <si>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</si>
  <si>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</si>
  <si>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</si>
  <si>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</si>
  <si>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</si>
  <si>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</si>
  <si>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</si>
  <si>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</si>
  <si>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</si>
  <si>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</si>
  <si>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</si>
  <si>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</si>
  <si>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</si>
  <si>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</si>
  <si>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UNVDPR1@UK</t>
  </si>
  <si>
    <t>UNVDPE1@UK</t>
  </si>
  <si>
    <t>UNVDWR@UK</t>
  </si>
  <si>
    <t>UNVDWE@UK</t>
  </si>
  <si>
    <t>UNVDPR3@UK</t>
  </si>
  <si>
    <t>UNVDPE3@UK</t>
  </si>
  <si>
    <t>UNVDWR3@UK</t>
  </si>
  <si>
    <t>UNVDWE3@UK</t>
  </si>
  <si>
    <t>Sep-05-2024 09:34</t>
  </si>
  <si>
    <t>Aug-2024</t>
  </si>
  <si>
    <t>Jan-2017</t>
  </si>
  <si>
    <t>UK: BoE DMP: Realized Price Growth Over the Past Year: Single Month (%)</t>
  </si>
  <si>
    <t>UK: BoE DMP: Expected Price Growth Over the Next Year: Single Month (%)</t>
  </si>
  <si>
    <t>Aug-2017</t>
  </si>
  <si>
    <t>UK: BoE DMP: Realized Wage Growth Over the Past Year:  Single Month (%)</t>
  </si>
  <si>
    <t>202408</t>
  </si>
  <si>
    <t>UK: BoE DMP: Expected Wage Growth Over the Next Year: Single Month (%)</t>
  </si>
  <si>
    <t>UK: BoE DMP: Realized Price Growth Over the Past Year: 3 Month Average (%)</t>
  </si>
  <si>
    <t>UK: BoE DMP: Expected Price Growth Over the Next Year: 3 Month Average (%)</t>
  </si>
  <si>
    <t>UK: BoE DMP: Realized Wage Growth Over the Past Year: 3 Month Average (%)</t>
  </si>
  <si>
    <t>UK: BoE DMP: Expected Wage Growth Over the Past Year: 3 Month Average (%)</t>
  </si>
  <si>
    <t>BoE DMP</t>
  </si>
  <si>
    <t>Prices - past year</t>
  </si>
  <si>
    <t>Prices - next year</t>
  </si>
  <si>
    <t>Wages - past year</t>
  </si>
  <si>
    <t>Wages - next year</t>
  </si>
  <si>
    <t>Table: Maturity Profile of the stock of gilts held in the APF</t>
  </si>
  <si>
    <t xml:space="preserve">Gilt </t>
  </si>
  <si>
    <t>Maturity Date</t>
  </si>
  <si>
    <t>Total Purchase Nominal (£bn)</t>
  </si>
  <si>
    <t>Total Purchase Proceeds
(£bn)</t>
  </si>
  <si>
    <t>Remaining Stock of APF 
Gilt Holdings (£bn)</t>
  </si>
  <si>
    <t>Current stock of holdings</t>
  </si>
  <si>
    <t>2¾% Treasury Gilt 2024</t>
  </si>
  <si>
    <t>0¼% Treasury Gilt 2025</t>
  </si>
  <si>
    <t>5% Treasury Stock 2025</t>
  </si>
  <si>
    <t>0 ⅝% Treasury Gilt 2025</t>
  </si>
  <si>
    <t>2% Treasury Gilt 2025</t>
  </si>
  <si>
    <t>0 1/8% Treasury Gilt 2026</t>
  </si>
  <si>
    <t>1½% Treasury Gilt 2026</t>
  </si>
  <si>
    <t>0 3/8% Treasury Gilt 2026</t>
  </si>
  <si>
    <t>1¼% Treasury Gilt 2027</t>
  </si>
  <si>
    <t>4¼% Treasury Gilt 2027</t>
  </si>
  <si>
    <t>0 1/8% Treasury Gilt 2028</t>
  </si>
  <si>
    <t>1 5/8% Treasury Gilt 2028</t>
  </si>
  <si>
    <t>6% Treasury Stock 2028</t>
  </si>
  <si>
    <t>0½% Treasury Gilt 2029</t>
  </si>
  <si>
    <t>0 7/8% Treasury Gilt 2029</t>
  </si>
  <si>
    <t>0 3/8% Treasury Gilt 2030</t>
  </si>
  <si>
    <t>4¾% Treasury Gilt 2030</t>
  </si>
  <si>
    <t>0¼% Treasury Gilt 2031</t>
  </si>
  <si>
    <t>4¼% Treasury Stock 2032</t>
  </si>
  <si>
    <t>0 7/8% Green Gilt 2033</t>
  </si>
  <si>
    <t>4½% Treasury Gilt 2034</t>
  </si>
  <si>
    <t>0 5/8% Treasury Gilt 2035</t>
  </si>
  <si>
    <t>4¼% Treasury Stock 2036</t>
  </si>
  <si>
    <t>1¾% Treasury Gilt 2037</t>
  </si>
  <si>
    <t>4¾% Treasury Stock 2038</t>
  </si>
  <si>
    <t>4¼% Treasury Gilt 2039</t>
  </si>
  <si>
    <t>4¼% Treasury Gilt 2040</t>
  </si>
  <si>
    <t>1¼ % Treasury Gilt 2041</t>
  </si>
  <si>
    <t>4½% Treasury Gilt 2042</t>
  </si>
  <si>
    <t>3¼% Treasury Gilt 2044</t>
  </si>
  <si>
    <t>3½% Treasury Gilt 2045</t>
  </si>
  <si>
    <t>0 7/8% Treasury Gilt 2046</t>
  </si>
  <si>
    <t>4¼% Treasury Gilt 2046</t>
  </si>
  <si>
    <t>1½% Treasury Gilt 2047</t>
  </si>
  <si>
    <t>1¾% Treasury Gilt 2049</t>
  </si>
  <si>
    <t>4¼% Treasury Gilt 2049</t>
  </si>
  <si>
    <t>0 5/8% Treasury Gilt 2050</t>
  </si>
  <si>
    <t>1¼% Treasury Gilt 2051</t>
  </si>
  <si>
    <t>3¾% Treasury Gilt 2052</t>
  </si>
  <si>
    <t>1½% Green Gilt 2053</t>
  </si>
  <si>
    <t>1 5/8% Treasury Gilt 2054</t>
  </si>
  <si>
    <t>4¼% Treasury Gilt 2055</t>
  </si>
  <si>
    <t>1¾% Treasury Gilt 2057</t>
  </si>
  <si>
    <t>4% Treasury Gilt 2060</t>
  </si>
  <si>
    <t>0½% Treasury Gilt 2061</t>
  </si>
  <si>
    <t>2½% Treasury Gilt 2065</t>
  </si>
  <si>
    <t>3½% Treasury Gilt 2068</t>
  </si>
  <si>
    <t>1 5/8% Treasury Gilt 2071</t>
  </si>
  <si>
    <t>2024/2025</t>
  </si>
  <si>
    <t>2025/2026</t>
  </si>
  <si>
    <t>2026/2027</t>
  </si>
  <si>
    <t>2027/2028</t>
  </si>
  <si>
    <t>2028/2029</t>
  </si>
  <si>
    <t>2029/2030</t>
  </si>
  <si>
    <t>Gilt Sales</t>
  </si>
  <si>
    <t/>
  </si>
  <si>
    <t>Operation date</t>
  </si>
  <si>
    <t>Settlement date</t>
  </si>
  <si>
    <t>ISIN</t>
  </si>
  <si>
    <t xml:space="preserve">Bond
</t>
  </si>
  <si>
    <t>Total offers received (proceeds £mn)</t>
  </si>
  <si>
    <t>Total allocation (proceeds £mn)</t>
  </si>
  <si>
    <t>Total allocation (nominal £mn)</t>
  </si>
  <si>
    <t>Weighted Average Accepted Yield (%)</t>
  </si>
  <si>
    <t>Weighted Average Accepted Price</t>
  </si>
  <si>
    <t>Highest accepted price</t>
  </si>
  <si>
    <t>Allocated at highest price (%)</t>
  </si>
  <si>
    <t>Lowest accepted price</t>
  </si>
  <si>
    <t xml:space="preserve">Tail
</t>
  </si>
  <si>
    <t>GB00BL68HJ26</t>
  </si>
  <si>
    <t>UKT_0.125_300126</t>
  </si>
  <si>
    <t>GB00BYZW3G56</t>
  </si>
  <si>
    <t>UKT_1.5_220726</t>
  </si>
  <si>
    <t>GB00BNNGP668</t>
  </si>
  <si>
    <t>UKT_0.375_221026</t>
  </si>
  <si>
    <t>GB00BDRHNP05</t>
  </si>
  <si>
    <t>UKT_1.25_220727</t>
  </si>
  <si>
    <t>GB00B16NNR78</t>
  </si>
  <si>
    <t>UKT_4.25_071227</t>
  </si>
  <si>
    <t>GB00BMBL1G81</t>
  </si>
  <si>
    <t>UKT_0.125_310128</t>
  </si>
  <si>
    <t>GB00BFX0ZL78</t>
  </si>
  <si>
    <t>UKT_1.625_221028</t>
  </si>
  <si>
    <t>GB0002404191</t>
  </si>
  <si>
    <t>UKT_6_071228</t>
  </si>
  <si>
    <t>GB00BJMHB534</t>
  </si>
  <si>
    <t>UKT_0.875_221029</t>
  </si>
  <si>
    <t>GB00BL68HH02</t>
  </si>
  <si>
    <t>UKT_0.375_221030</t>
  </si>
  <si>
    <t>GB00B24FF097</t>
  </si>
  <si>
    <t>UKT_4.75_071230</t>
  </si>
  <si>
    <t>GB00BMGR2809</t>
  </si>
  <si>
    <t>UKT_0.25_310731</t>
  </si>
  <si>
    <t>GB0004893086</t>
  </si>
  <si>
    <t>UKT_4.25_070632</t>
  </si>
  <si>
    <t>GB00B52WS153</t>
  </si>
  <si>
    <t>UKT_4.5_070934</t>
  </si>
  <si>
    <t>GB00BMGR2916</t>
  </si>
  <si>
    <t>UKT_0.625_310735</t>
  </si>
  <si>
    <t>GB0032452392</t>
  </si>
  <si>
    <t>UKT_4.25_070336</t>
  </si>
  <si>
    <t>GB00BZB26Y51</t>
  </si>
  <si>
    <t>UKT_1.75_070937</t>
  </si>
  <si>
    <t>GB00B00NY175</t>
  </si>
  <si>
    <t>UKT_4.75_071238</t>
  </si>
  <si>
    <t>GB00BLPK7334</t>
  </si>
  <si>
    <t>UKT_1.125_310139</t>
  </si>
  <si>
    <t>GB00B3KJDS62</t>
  </si>
  <si>
    <t>UKT_4.25_070939</t>
  </si>
  <si>
    <t>GB00B6460505</t>
  </si>
  <si>
    <t>UKT_4.25_071240</t>
  </si>
  <si>
    <t>GB00BJQWYH73</t>
  </si>
  <si>
    <t>UKT_1.25_221041</t>
  </si>
  <si>
    <t>GB00BLPK7227</t>
  </si>
  <si>
    <t>UKT_0.5_310129</t>
  </si>
  <si>
    <t>GB00BM8Z2S21</t>
  </si>
  <si>
    <t>UKT_0.875_310733</t>
  </si>
  <si>
    <t>GB00B1VWPJ53</t>
  </si>
  <si>
    <t>UKT_4.5_071242</t>
  </si>
  <si>
    <t>GB00B84Z9V04</t>
  </si>
  <si>
    <t>UKT_3.25_220144</t>
  </si>
  <si>
    <t>GB00BN65R313</t>
  </si>
  <si>
    <t>UKT_3.5_220145</t>
  </si>
  <si>
    <t>GB00BNNGP775</t>
  </si>
  <si>
    <t>UKT_0.875_310146</t>
  </si>
  <si>
    <t>GB00B128DP45</t>
  </si>
  <si>
    <t>UKT_4.25_071246</t>
  </si>
  <si>
    <t>GB00BDCHBW80</t>
  </si>
  <si>
    <t>UKT_1.5_220747</t>
  </si>
  <si>
    <t>GB00BFWFPP71</t>
  </si>
  <si>
    <t>UKT_1.75_220149</t>
  </si>
  <si>
    <t>GB00B39R3707</t>
  </si>
  <si>
    <t>UKT_4.25_071249</t>
  </si>
  <si>
    <t>GB00BMBL1F74</t>
  </si>
  <si>
    <t>UKT_0.625_221050</t>
  </si>
  <si>
    <t>GB00BLH38158</t>
  </si>
  <si>
    <t>UKT_1.25_310751</t>
  </si>
  <si>
    <t>GB00B6RNH572</t>
  </si>
  <si>
    <t>UKT_3.75_220752</t>
  </si>
  <si>
    <t>GB00BM8Z2V59</t>
  </si>
  <si>
    <t>UKT_1.5_310753</t>
  </si>
  <si>
    <t>GB00BJLR0J16</t>
  </si>
  <si>
    <t>UKT_1.625_221054</t>
  </si>
  <si>
    <t>GB00B06YGN05</t>
  </si>
  <si>
    <t>UKT_4.25_071255</t>
  </si>
  <si>
    <t>GB00BD0XH204</t>
  </si>
  <si>
    <t>UKT_1.75_220757</t>
  </si>
  <si>
    <t>GB00B54QLM75</t>
  </si>
  <si>
    <t>UKT_4_220160</t>
  </si>
  <si>
    <t>GB00BMBL1D50</t>
  </si>
  <si>
    <t>UKT_0.5_221061</t>
  </si>
  <si>
    <t>GB00BYYMZX75</t>
  </si>
  <si>
    <t>UKT_2.5_220765</t>
  </si>
  <si>
    <t>GB00BBJNQY21</t>
  </si>
  <si>
    <t>UKT_3.5_220768</t>
  </si>
  <si>
    <t>GB00BFMCN652</t>
  </si>
  <si>
    <t>UKT_1.625_221071</t>
  </si>
  <si>
    <t>APF run down</t>
  </si>
  <si>
    <t>Redemptions</t>
  </si>
  <si>
    <t>Gilt sales</t>
  </si>
  <si>
    <t>Total run down</t>
  </si>
  <si>
    <t>2022/
2023</t>
  </si>
  <si>
    <t>2023/
2024</t>
  </si>
  <si>
    <t>2024/
2025</t>
  </si>
  <si>
    <t>2025/
2026</t>
  </si>
  <si>
    <t>2026/
2027</t>
  </si>
  <si>
    <t>2027/
2028</t>
  </si>
  <si>
    <t>Gilt sales implied by BoE MaPS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</si>
</sst>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mmm\ yyyy"/>
    <numFmt numFmtId="165" formatCode="0.0"/>
    <numFmt numFmtId="166" formatCode="0.0000"/>
    <numFmt numFmtId="167" formatCode="0.0000000"/>
    <numFmt numFmtId="168" formatCode="###0.0;\-###0.0;0.0;@"/>
    <numFmt numFmtId="169" formatCode="0.00000"/>
    <numFmt numFmtId="170" formatCode="0.000"/>
    <numFmt numFmtId="171" formatCode="\ dd\-mmm\-yyyy"/>
    <numFmt numFmtId="172" formatCode="_(* #,##0.00_);_(* \(#,##0.00\);_(* &quot;-&quot;??_);_(@_)"/>
    <numFmt numFmtId="173" formatCode="[$-10409]0.000"/>
    <numFmt numFmtId="174" formatCode="[$-10409]0.00"/>
    <numFmt numFmtId="175" formatCode="[$-10409]dd/mm/yyyy"/>
    <numFmt numFmtId="176" formatCode="[$-10409]0.0"/>
    <numFmt numFmtId="177" formatCode="[$-10409]0.0;\(0.0\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indexed="10"/>
      <name val="Times New Roman"/>
      <family val="1"/>
    </font>
    <font>
      <sz val="11"/>
      <color indexed="12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indexed="1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name val="Calibri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4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4A80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1" fillId="0" borderId="0"/>
    <xf numFmtId="0" fontId="2" fillId="0" borderId="0"/>
    <xf numFmtId="0" fontId="9" fillId="0" borderId="0"/>
    <xf numFmtId="0" fontId="10" fillId="0" borderId="0"/>
    <xf numFmtId="0" fontId="11" fillId="0" borderId="0"/>
    <xf numFmtId="0" fontId="2" fillId="0" borderId="0"/>
    <xf numFmtId="0" fontId="2" fillId="0" borderId="0"/>
    <xf numFmtId="0" fontId="19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6">
    <xf numFmtId="0" fontId="0" fillId="0" borderId="0" xfId="0"/>
    <xf numFmtId="164" fontId="5" fillId="0" borderId="0" xfId="2" applyNumberFormat="1" applyFont="1" applyAlignment="1">
      <alignment horizontal="center"/>
    </xf>
    <xf numFmtId="0" fontId="0" fillId="0" borderId="0" xfId="0" applyFill="1"/>
    <xf numFmtId="0" fontId="0" fillId="0" borderId="0" xfId="0" quotePrefix="1"/>
    <xf numFmtId="165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2" fontId="0" fillId="0" borderId="0" xfId="0" applyNumberFormat="1"/>
    <xf numFmtId="0" fontId="8" fillId="0" borderId="0" xfId="0" applyFont="1"/>
    <xf numFmtId="166" fontId="0" fillId="0" borderId="0" xfId="0" applyNumberFormat="1"/>
    <xf numFmtId="167" fontId="0" fillId="0" borderId="0" xfId="0" applyNumberFormat="1"/>
    <xf numFmtId="14" fontId="8" fillId="0" borderId="0" xfId="0" applyNumberFormat="1" applyFont="1"/>
    <xf numFmtId="14" fontId="0" fillId="2" borderId="0" xfId="0" applyNumberFormat="1" applyFill="1"/>
    <xf numFmtId="0" fontId="0" fillId="0" borderId="0" xfId="0" applyNumberFormat="1"/>
    <xf numFmtId="1" fontId="0" fillId="0" borderId="0" xfId="0" applyNumberFormat="1"/>
    <xf numFmtId="0" fontId="12" fillId="3" borderId="2" xfId="5" applyFont="1" applyFill="1" applyBorder="1" applyAlignment="1">
      <alignment horizontal="left" wrapText="1"/>
    </xf>
    <xf numFmtId="168" fontId="0" fillId="0" borderId="0" xfId="0" applyNumberFormat="1"/>
    <xf numFmtId="168" fontId="13" fillId="0" borderId="0" xfId="0" applyNumberFormat="1" applyFont="1"/>
    <xf numFmtId="15" fontId="3" fillId="0" borderId="0" xfId="6" applyNumberFormat="1" applyFont="1" applyAlignment="1">
      <alignment horizontal="left" vertical="center"/>
    </xf>
    <xf numFmtId="0" fontId="4" fillId="0" borderId="0" xfId="0" applyFont="1"/>
    <xf numFmtId="15" fontId="5" fillId="0" borderId="0" xfId="6" applyNumberFormat="1" applyFont="1" applyAlignment="1">
      <alignment horizontal="center" vertical="center"/>
    </xf>
    <xf numFmtId="15" fontId="6" fillId="0" borderId="0" xfId="6" applyNumberFormat="1" applyFont="1" applyAlignment="1">
      <alignment horizontal="left" vertical="center"/>
    </xf>
    <xf numFmtId="15" fontId="7" fillId="0" borderId="1" xfId="6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9" fontId="4" fillId="0" borderId="0" xfId="0" applyNumberFormat="1" applyFont="1"/>
    <xf numFmtId="16" fontId="7" fillId="0" borderId="1" xfId="6" applyNumberFormat="1" applyFont="1" applyBorder="1" applyAlignment="1">
      <alignment horizontal="center" vertical="center" wrapText="1"/>
    </xf>
    <xf numFmtId="2" fontId="14" fillId="0" borderId="0" xfId="0" applyNumberFormat="1" applyFont="1"/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2" fontId="4" fillId="0" borderId="0" xfId="1" applyNumberFormat="1" applyFont="1"/>
    <xf numFmtId="0" fontId="4" fillId="0" borderId="0" xfId="1" applyFont="1"/>
    <xf numFmtId="0" fontId="15" fillId="0" borderId="0" xfId="1" applyFont="1"/>
    <xf numFmtId="0" fontId="4" fillId="0" borderId="0" xfId="1" applyFont="1" applyAlignment="1">
      <alignment horizontal="center"/>
    </xf>
    <xf numFmtId="0" fontId="16" fillId="0" borderId="0" xfId="1" applyFont="1"/>
    <xf numFmtId="15" fontId="7" fillId="0" borderId="1" xfId="7" applyNumberFormat="1" applyFont="1" applyBorder="1" applyAlignment="1">
      <alignment horizontal="center" vertical="center" wrapText="1"/>
    </xf>
    <xf numFmtId="2" fontId="7" fillId="0" borderId="1" xfId="7" applyNumberFormat="1" applyFont="1" applyBorder="1" applyAlignment="1">
      <alignment horizontal="center" vertical="center" wrapText="1"/>
    </xf>
    <xf numFmtId="2" fontId="7" fillId="0" borderId="0" xfId="7" applyNumberFormat="1" applyFont="1" applyAlignment="1">
      <alignment horizontal="center" vertical="center" wrapText="1"/>
    </xf>
    <xf numFmtId="164" fontId="5" fillId="0" borderId="0" xfId="1" applyNumberFormat="1" applyFont="1" applyAlignment="1">
      <alignment horizontal="center"/>
    </xf>
    <xf numFmtId="165" fontId="5" fillId="0" borderId="0" xfId="1" applyNumberFormat="1" applyFont="1" applyAlignment="1">
      <alignment horizontal="center"/>
    </xf>
    <xf numFmtId="165" fontId="4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 wrapText="1"/>
    </xf>
    <xf numFmtId="170" fontId="0" fillId="0" borderId="0" xfId="0" applyNumberFormat="1"/>
    <xf numFmtId="17" fontId="0" fillId="0" borderId="0" xfId="0" applyNumberFormat="1"/>
    <xf numFmtId="0" fontId="0" fillId="4" borderId="3" xfId="0" applyFill="1" applyBorder="1" applyAlignment="1">
      <alignment horizontal="center"/>
    </xf>
    <xf numFmtId="0" fontId="0" fillId="4" borderId="3" xfId="0" applyFill="1" applyBorder="1" applyAlignment="1">
      <alignment horizontal="center" wrapText="1"/>
    </xf>
    <xf numFmtId="0" fontId="18" fillId="0" borderId="3" xfId="0" applyFont="1" applyBorder="1" applyAlignment="1">
      <alignment vertical="top"/>
    </xf>
    <xf numFmtId="171" fontId="0" fillId="0" borderId="3" xfId="0" applyNumberFormat="1" applyBorder="1" applyAlignment="1">
      <alignment vertical="top"/>
    </xf>
    <xf numFmtId="165" fontId="0" fillId="0" borderId="3" xfId="0" applyNumberFormat="1" applyBorder="1" applyAlignment="1">
      <alignment vertical="top"/>
    </xf>
    <xf numFmtId="165" fontId="0" fillId="0" borderId="3" xfId="0" applyNumberFormat="1" applyBorder="1"/>
    <xf numFmtId="2" fontId="0" fillId="0" borderId="3" xfId="0" applyNumberFormat="1" applyBorder="1"/>
    <xf numFmtId="0" fontId="0" fillId="0" borderId="3" xfId="0" applyBorder="1" applyAlignment="1">
      <alignment vertical="top"/>
    </xf>
    <xf numFmtId="2" fontId="0" fillId="0" borderId="3" xfId="0" applyNumberFormat="1" applyBorder="1" applyAlignment="1">
      <alignment vertical="top"/>
    </xf>
    <xf numFmtId="0" fontId="0" fillId="0" borderId="0" xfId="0" applyAlignment="1">
      <alignment vertical="top"/>
    </xf>
    <xf numFmtId="171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172" fontId="0" fillId="0" borderId="0" xfId="0" applyNumberFormat="1"/>
    <xf numFmtId="0" fontId="18" fillId="0" borderId="0" xfId="0" applyFont="1"/>
    <xf numFmtId="0" fontId="20" fillId="0" borderId="0" xfId="8" applyFont="1" applyAlignment="1">
      <alignment horizontal="center" vertical="top" wrapText="1" readingOrder="1"/>
    </xf>
    <xf numFmtId="0" fontId="21" fillId="0" borderId="0" xfId="8" applyFont="1" applyAlignment="1">
      <alignment horizontal="center" vertical="top" wrapText="1" readingOrder="1"/>
    </xf>
    <xf numFmtId="173" fontId="21" fillId="0" borderId="0" xfId="8" applyNumberFormat="1" applyFont="1" applyAlignment="1">
      <alignment horizontal="center" vertical="top" wrapText="1" readingOrder="1"/>
    </xf>
    <xf numFmtId="174" fontId="21" fillId="0" borderId="0" xfId="8" applyNumberFormat="1" applyFont="1" applyAlignment="1">
      <alignment horizontal="center" vertical="top" wrapText="1" readingOrder="1"/>
    </xf>
    <xf numFmtId="0" fontId="17" fillId="0" borderId="0" xfId="8" applyFont="1"/>
    <xf numFmtId="175" fontId="22" fillId="0" borderId="0" xfId="8" applyNumberFormat="1" applyFont="1" applyAlignment="1">
      <alignment horizontal="center" vertical="top" wrapText="1" readingOrder="1"/>
    </xf>
    <xf numFmtId="0" fontId="22" fillId="0" borderId="0" xfId="8" applyFont="1" applyAlignment="1">
      <alignment horizontal="center" vertical="top" wrapText="1" readingOrder="1"/>
    </xf>
    <xf numFmtId="176" fontId="22" fillId="0" borderId="0" xfId="8" applyNumberFormat="1" applyFont="1" applyAlignment="1">
      <alignment horizontal="center" vertical="top" wrapText="1" readingOrder="1"/>
    </xf>
    <xf numFmtId="177" fontId="22" fillId="0" borderId="0" xfId="8" applyNumberFormat="1" applyFont="1" applyAlignment="1">
      <alignment horizontal="center" vertical="top" wrapText="1" readingOrder="1"/>
    </xf>
    <xf numFmtId="173" fontId="22" fillId="0" borderId="0" xfId="8" applyNumberFormat="1" applyFont="1" applyAlignment="1">
      <alignment horizontal="center" vertical="top" wrapText="1" readingOrder="1"/>
    </xf>
    <xf numFmtId="174" fontId="22" fillId="0" borderId="0" xfId="8" applyNumberFormat="1" applyFont="1" applyAlignment="1">
      <alignment horizontal="center" vertical="top" wrapText="1" readingOrder="1"/>
    </xf>
    <xf numFmtId="175" fontId="22" fillId="0" borderId="0" xfId="9" applyNumberFormat="1" applyFont="1" applyAlignment="1">
      <alignment horizontal="center" vertical="top" wrapText="1" readingOrder="1"/>
    </xf>
    <xf numFmtId="0" fontId="22" fillId="0" borderId="0" xfId="9" applyFont="1" applyAlignment="1">
      <alignment horizontal="center" vertical="top" wrapText="1" readingOrder="1"/>
    </xf>
    <xf numFmtId="176" fontId="22" fillId="0" borderId="0" xfId="9" applyNumberFormat="1" applyFont="1" applyAlignment="1">
      <alignment horizontal="center" vertical="top" wrapText="1" readingOrder="1"/>
    </xf>
    <xf numFmtId="177" fontId="22" fillId="0" borderId="0" xfId="9" applyNumberFormat="1" applyFont="1" applyAlignment="1">
      <alignment horizontal="center" vertical="top" wrapText="1" readingOrder="1"/>
    </xf>
    <xf numFmtId="173" fontId="22" fillId="0" borderId="0" xfId="9" applyNumberFormat="1" applyFont="1" applyAlignment="1">
      <alignment horizontal="center" vertical="top" wrapText="1" readingOrder="1"/>
    </xf>
    <xf numFmtId="174" fontId="22" fillId="0" borderId="0" xfId="9" applyNumberFormat="1" applyFont="1" applyAlignment="1">
      <alignment horizontal="center" vertical="top" wrapText="1" readingOrder="1"/>
    </xf>
    <xf numFmtId="175" fontId="22" fillId="0" borderId="0" xfId="10" applyNumberFormat="1" applyFont="1" applyAlignment="1">
      <alignment horizontal="center" vertical="top" wrapText="1" readingOrder="1"/>
    </xf>
    <xf numFmtId="0" fontId="22" fillId="0" borderId="0" xfId="10" applyFont="1" applyAlignment="1">
      <alignment horizontal="center" vertical="top" wrapText="1" readingOrder="1"/>
    </xf>
    <xf numFmtId="176" fontId="22" fillId="0" borderId="0" xfId="10" applyNumberFormat="1" applyFont="1" applyAlignment="1">
      <alignment horizontal="center" vertical="top" wrapText="1" readingOrder="1"/>
    </xf>
    <xf numFmtId="177" fontId="22" fillId="0" borderId="0" xfId="10" applyNumberFormat="1" applyFont="1" applyAlignment="1">
      <alignment horizontal="center" vertical="top" wrapText="1" readingOrder="1"/>
    </xf>
    <xf numFmtId="173" fontId="22" fillId="0" borderId="0" xfId="10" applyNumberFormat="1" applyFont="1" applyAlignment="1">
      <alignment horizontal="center" vertical="top" wrapText="1" readingOrder="1"/>
    </xf>
    <xf numFmtId="174" fontId="22" fillId="0" borderId="0" xfId="10" applyNumberFormat="1" applyFont="1" applyAlignment="1">
      <alignment horizontal="center" vertical="top" wrapText="1" readingOrder="1"/>
    </xf>
    <xf numFmtId="175" fontId="22" fillId="0" borderId="0" xfId="11" applyNumberFormat="1" applyFont="1" applyAlignment="1">
      <alignment horizontal="center" vertical="top" wrapText="1" readingOrder="1"/>
    </xf>
    <xf numFmtId="177" fontId="22" fillId="0" borderId="0" xfId="11" applyNumberFormat="1" applyFont="1" applyAlignment="1">
      <alignment horizontal="center" vertical="top" wrapText="1" readingOrder="1"/>
    </xf>
    <xf numFmtId="176" fontId="22" fillId="0" borderId="0" xfId="11" applyNumberFormat="1" applyFont="1" applyAlignment="1">
      <alignment horizontal="center" vertical="top" wrapText="1" readingOrder="1"/>
    </xf>
    <xf numFmtId="173" fontId="22" fillId="0" borderId="0" xfId="11" applyNumberFormat="1" applyFont="1" applyAlignment="1">
      <alignment horizontal="center" vertical="top" wrapText="1" readingOrder="1"/>
    </xf>
    <xf numFmtId="174" fontId="22" fillId="0" borderId="0" xfId="11" applyNumberFormat="1" applyFont="1" applyAlignment="1">
      <alignment horizontal="center" vertical="top" wrapText="1" readingOrder="1"/>
    </xf>
    <xf numFmtId="175" fontId="22" fillId="0" borderId="0" xfId="12" applyNumberFormat="1" applyFont="1" applyAlignment="1">
      <alignment horizontal="center" vertical="top" wrapText="1" readingOrder="1"/>
    </xf>
    <xf numFmtId="0" fontId="22" fillId="0" borderId="0" xfId="12" applyFont="1" applyAlignment="1">
      <alignment horizontal="center" vertical="top" wrapText="1" readingOrder="1"/>
    </xf>
    <xf numFmtId="176" fontId="22" fillId="0" borderId="0" xfId="12" applyNumberFormat="1" applyFont="1" applyAlignment="1">
      <alignment horizontal="center" vertical="top" wrapText="1" readingOrder="1"/>
    </xf>
    <xf numFmtId="177" fontId="22" fillId="0" borderId="0" xfId="12" applyNumberFormat="1" applyFont="1" applyAlignment="1">
      <alignment horizontal="center" vertical="top" wrapText="1" readingOrder="1"/>
    </xf>
    <xf numFmtId="173" fontId="22" fillId="0" borderId="0" xfId="12" applyNumberFormat="1" applyFont="1" applyAlignment="1">
      <alignment horizontal="center" vertical="top" wrapText="1" readingOrder="1"/>
    </xf>
    <xf numFmtId="174" fontId="22" fillId="0" borderId="0" xfId="12" applyNumberFormat="1" applyFont="1" applyAlignment="1">
      <alignment horizontal="center" vertical="top" wrapText="1" readingOrder="1"/>
    </xf>
    <xf numFmtId="175" fontId="22" fillId="0" borderId="0" xfId="13" applyNumberFormat="1" applyFont="1" applyAlignment="1">
      <alignment horizontal="center" vertical="top" wrapText="1" readingOrder="1"/>
    </xf>
    <xf numFmtId="177" fontId="22" fillId="0" borderId="0" xfId="13" applyNumberFormat="1" applyFont="1" applyAlignment="1">
      <alignment horizontal="center" vertical="top" wrapText="1" readingOrder="1"/>
    </xf>
    <xf numFmtId="176" fontId="22" fillId="0" borderId="0" xfId="13" applyNumberFormat="1" applyFont="1" applyAlignment="1">
      <alignment horizontal="center" vertical="top" wrapText="1" readingOrder="1"/>
    </xf>
    <xf numFmtId="173" fontId="22" fillId="0" borderId="0" xfId="13" applyNumberFormat="1" applyFont="1" applyAlignment="1">
      <alignment horizontal="center" vertical="top" wrapText="1" readingOrder="1"/>
    </xf>
    <xf numFmtId="174" fontId="22" fillId="0" borderId="0" xfId="13" applyNumberFormat="1" applyFont="1" applyAlignment="1">
      <alignment horizontal="center" vertical="top" wrapText="1" readingOrder="1"/>
    </xf>
    <xf numFmtId="175" fontId="22" fillId="0" borderId="0" xfId="14" applyNumberFormat="1" applyFont="1" applyAlignment="1">
      <alignment horizontal="center" vertical="top" wrapText="1" readingOrder="1"/>
    </xf>
    <xf numFmtId="177" fontId="22" fillId="0" borderId="0" xfId="14" applyNumberFormat="1" applyFont="1" applyAlignment="1">
      <alignment horizontal="center" vertical="top" wrapText="1" readingOrder="1"/>
    </xf>
    <xf numFmtId="176" fontId="22" fillId="0" borderId="0" xfId="14" applyNumberFormat="1" applyFont="1" applyAlignment="1">
      <alignment horizontal="center" vertical="top" wrapText="1" readingOrder="1"/>
    </xf>
    <xf numFmtId="173" fontId="22" fillId="0" borderId="0" xfId="14" applyNumberFormat="1" applyFont="1" applyAlignment="1">
      <alignment horizontal="center" vertical="top" wrapText="1" readingOrder="1"/>
    </xf>
    <xf numFmtId="174" fontId="22" fillId="0" borderId="0" xfId="14" applyNumberFormat="1" applyFont="1" applyAlignment="1">
      <alignment horizontal="center" vertical="top" wrapText="1" readingOrder="1"/>
    </xf>
    <xf numFmtId="174" fontId="17" fillId="0" borderId="0" xfId="8" applyNumberFormat="1" applyFont="1"/>
    <xf numFmtId="16" fontId="7" fillId="0" borderId="1" xfId="6" applyNumberFormat="1" applyFont="1" applyBorder="1" applyAlignment="1">
      <alignment horizontal="center" vertical="center" wrapText="1"/>
    </xf>
    <xf numFmtId="2" fontId="7" fillId="0" borderId="1" xfId="7" applyNumberFormat="1" applyFont="1" applyBorder="1" applyAlignment="1">
      <alignment horizontal="center" vertical="center" wrapText="1"/>
    </xf>
    <xf numFmtId="0" fontId="8" fillId="0" borderId="1" xfId="0" applyFont="1" applyBorder="1"/>
  </cellXfs>
  <cellStyles count="15">
    <cellStyle name="Normal" xfId="0" builtinId="0"/>
    <cellStyle name="Normal 2" xfId="5" xr:uid="{D9B3FF26-FD06-4C90-96AA-59956B2BB5B6}"/>
    <cellStyle name="Normal 2 4" xfId="9" xr:uid="{D09B721C-6308-44DE-97AD-2746661E3366}"/>
    <cellStyle name="Normal 25" xfId="10" xr:uid="{DDB6F244-19BC-4F5B-A7E6-FFB3A741D849}"/>
    <cellStyle name="Normal 26" xfId="11" xr:uid="{06C2253C-3EFB-4D1B-AE90-99541FAE3A1D}"/>
    <cellStyle name="Normal 27" xfId="12" xr:uid="{4C7286ED-A9F9-41A0-82EE-B3C0154AFF89}"/>
    <cellStyle name="Normal 28" xfId="13" xr:uid="{884EF3BA-5875-430A-B513-A0B771FB4EC2}"/>
    <cellStyle name="Normal 3" xfId="4" xr:uid="{0118705C-69CC-48D5-AE36-56CF2605F615}"/>
    <cellStyle name="Normal 30" xfId="14" xr:uid="{91C3FFC0-B5E4-4073-939A-E10DBDA028BF}"/>
    <cellStyle name="Normal 4" xfId="8" xr:uid="{5883A11E-0FFD-42DA-8B5B-99256B3F5631}"/>
    <cellStyle name="Normal 4 2 2" xfId="1" xr:uid="{DD98B68A-A53C-4410-8481-3F7EF100D17F}"/>
    <cellStyle name="Normal 5" xfId="3" xr:uid="{76074B6A-6A1A-4755-944D-4ACAAABE69B4}"/>
    <cellStyle name="Normal_Chart 2.3 - Nominal consumer spending 2" xfId="2" xr:uid="{574EF1AD-AC1E-4116-B07D-7FB5272AE35D}"/>
    <cellStyle name="Normal_Section 1 Data for the web  " xfId="7" xr:uid="{04554C72-E1AA-4BB1-A01D-DF2E3C835FD6}"/>
    <cellStyle name="Normal_Sheet1 2" xfId="6" xr:uid="{9FADF57C-0A59-4207-ADEC-0372AD409A99}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6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9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4.xml"/><Relationship Id="rId34" Type="http://schemas.openxmlformats.org/officeDocument/2006/relationships/externalLink" Target="externalLinks/externalLink17.xml"/><Relationship Id="rId42" Type="http://schemas.openxmlformats.org/officeDocument/2006/relationships/theme" Target="theme/theme1.xml"/><Relationship Id="rId7" Type="http://schemas.openxmlformats.org/officeDocument/2006/relationships/chartsheet" Target="chartsheets/sheet7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9.xml"/><Relationship Id="rId29" Type="http://schemas.openxmlformats.org/officeDocument/2006/relationships/externalLink" Target="externalLinks/externalLink1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worksheet" Target="worksheets/sheet4.xml"/><Relationship Id="rId24" Type="http://schemas.openxmlformats.org/officeDocument/2006/relationships/externalLink" Target="externalLinks/externalLink7.xml"/><Relationship Id="rId32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20.xml"/><Relationship Id="rId40" Type="http://schemas.openxmlformats.org/officeDocument/2006/relationships/externalLink" Target="externalLinks/externalLink23.xml"/><Relationship Id="rId45" Type="http://schemas.openxmlformats.org/officeDocument/2006/relationships/calcChain" Target="calcChain.xml"/><Relationship Id="rId5" Type="http://schemas.openxmlformats.org/officeDocument/2006/relationships/chartsheet" Target="chartsheets/sheet5.xml"/><Relationship Id="rId15" Type="http://schemas.openxmlformats.org/officeDocument/2006/relationships/worksheet" Target="worksheets/sheet8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externalLink" Target="externalLinks/externalLink19.xml"/><Relationship Id="rId10" Type="http://schemas.openxmlformats.org/officeDocument/2006/relationships/worksheet" Target="worksheets/sheet3.xml"/><Relationship Id="rId19" Type="http://schemas.openxmlformats.org/officeDocument/2006/relationships/externalLink" Target="externalLinks/externalLink2.xml"/><Relationship Id="rId31" Type="http://schemas.openxmlformats.org/officeDocument/2006/relationships/externalLink" Target="externalLinks/externalLink14.xml"/><Relationship Id="rId44" Type="http://schemas.openxmlformats.org/officeDocument/2006/relationships/sharedStrings" Target="sharedStrings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2.xml"/><Relationship Id="rId14" Type="http://schemas.openxmlformats.org/officeDocument/2006/relationships/worksheet" Target="worksheets/sheet7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18.xml"/><Relationship Id="rId43" Type="http://schemas.openxmlformats.org/officeDocument/2006/relationships/styles" Target="styles.xml"/><Relationship Id="rId8" Type="http://schemas.openxmlformats.org/officeDocument/2006/relationships/worksheet" Target="worksheets/sheet1.xml"/><Relationship Id="rId3" Type="http://schemas.openxmlformats.org/officeDocument/2006/relationships/chartsheet" Target="chartsheets/sheet3.xml"/><Relationship Id="rId12" Type="http://schemas.openxmlformats.org/officeDocument/2006/relationships/worksheet" Target="worksheets/sheet5.xml"/><Relationship Id="rId17" Type="http://schemas.openxmlformats.org/officeDocument/2006/relationships/worksheet" Target="worksheets/sheet10.xml"/><Relationship Id="rId25" Type="http://schemas.openxmlformats.org/officeDocument/2006/relationships/externalLink" Target="externalLinks/externalLink8.xml"/><Relationship Id="rId33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21.xml"/><Relationship Id="rId20" Type="http://schemas.openxmlformats.org/officeDocument/2006/relationships/externalLink" Target="externalLinks/externalLink3.xml"/><Relationship Id="rId41" Type="http://schemas.openxmlformats.org/officeDocument/2006/relationships/externalLink" Target="externalLinks/externalLink24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7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9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1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3.xml"/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5.xml"/><Relationship Id="rId1" Type="http://schemas.openxmlformats.org/officeDocument/2006/relationships/themeOverride" Target="../theme/themeOverrid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152690659430275E-2"/>
          <c:y val="0.14725688325786473"/>
          <c:w val="0.38651992229784837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Outturn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Data'!$A$3:$A$38</c:f>
              <c:numCache>
                <c:formatCode>m/d/yyyy</c:formatCode>
                <c:ptCount val="36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</c:numCache>
            </c:numRef>
          </c:cat>
          <c:val>
            <c:numRef>
              <c:f>'Chart Data'!$B$3:$B$38</c:f>
              <c:numCache>
                <c:formatCode>0.0</c:formatCode>
                <c:ptCount val="36"/>
                <c:pt idx="0">
                  <c:v>3.2685512367491176</c:v>
                </c:pt>
                <c:pt idx="1">
                  <c:v>3.4391534391534417</c:v>
                </c:pt>
                <c:pt idx="2">
                  <c:v>3.9612676056338003</c:v>
                </c:pt>
                <c:pt idx="3">
                  <c:v>4.7244094488189115</c:v>
                </c:pt>
                <c:pt idx="4">
                  <c:v>4.8865619546247796</c:v>
                </c:pt>
                <c:pt idx="5">
                  <c:v>5.2173913043478182</c:v>
                </c:pt>
                <c:pt idx="6">
                  <c:v>5.7241977450130266</c:v>
                </c:pt>
                <c:pt idx="7">
                  <c:v>5.9585492227979264</c:v>
                </c:pt>
                <c:pt idx="8">
                  <c:v>6.1312607944732367</c:v>
                </c:pt>
                <c:pt idx="9">
                  <c:v>6.2660944206008651</c:v>
                </c:pt>
                <c:pt idx="10">
                  <c:v>6.3464837049742817</c:v>
                </c:pt>
                <c:pt idx="11">
                  <c:v>6.8376068376068355</c:v>
                </c:pt>
                <c:pt idx="12">
                  <c:v>5.9024807527801482</c:v>
                </c:pt>
                <c:pt idx="13">
                  <c:v>6.6496163682864484</c:v>
                </c:pt>
                <c:pt idx="14">
                  <c:v>6.6892464013547981</c:v>
                </c:pt>
                <c:pt idx="15">
                  <c:v>6.9340016708437702</c:v>
                </c:pt>
                <c:pt idx="16">
                  <c:v>7.3211314475873479</c:v>
                </c:pt>
                <c:pt idx="17">
                  <c:v>7.1900826446280819</c:v>
                </c:pt>
                <c:pt idx="18">
                  <c:v>7.4651353568498724</c:v>
                </c:pt>
                <c:pt idx="19">
                  <c:v>6.764466177669104</c:v>
                </c:pt>
                <c:pt idx="20">
                  <c:v>6.9161920260374377</c:v>
                </c:pt>
                <c:pt idx="21">
                  <c:v>6.5428109854604344</c:v>
                </c:pt>
                <c:pt idx="22">
                  <c:v>6.209677419354831</c:v>
                </c:pt>
                <c:pt idx="23">
                  <c:v>6.4000000000000057</c:v>
                </c:pt>
                <c:pt idx="24">
                  <c:v>6.5428109854604344</c:v>
                </c:pt>
                <c:pt idx="25">
                  <c:v>6.0751398880895202</c:v>
                </c:pt>
                <c:pt idx="26">
                  <c:v>5.9523809523809534</c:v>
                </c:pt>
                <c:pt idx="27">
                  <c:v>5.859375</c:v>
                </c:pt>
                <c:pt idx="28">
                  <c:v>5.7364341085271331</c:v>
                </c:pt>
                <c:pt idx="29">
                  <c:v>5.7054741711642265</c:v>
                </c:pt>
                <c:pt idx="30">
                  <c:v>5.1908396946565016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BoE forecast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12"/>
            <c:spPr>
              <a:solidFill>
                <a:srgbClr val="002060"/>
              </a:solidFill>
              <a:ln w="3175">
                <a:solidFill>
                  <a:srgbClr val="495057"/>
                </a:solidFill>
              </a:ln>
            </c:spPr>
          </c:marker>
          <c:cat>
            <c:numRef>
              <c:f>'Chart Data'!$A$3:$A$38</c:f>
              <c:numCache>
                <c:formatCode>m/d/yyyy</c:formatCode>
                <c:ptCount val="36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</c:numCache>
            </c:numRef>
          </c:cat>
          <c:val>
            <c:numRef>
              <c:f>'Chart Data'!$C$3:$C$38</c:f>
              <c:numCache>
                <c:formatCode>General</c:formatCode>
                <c:ptCount val="36"/>
                <c:pt idx="30" formatCode="0.0">
                  <c:v>5.5629999999999997</c:v>
                </c:pt>
                <c:pt idx="31" formatCode="0.0">
                  <c:v>5.84</c:v>
                </c:pt>
                <c:pt idx="32" formatCode="0.0">
                  <c:v>5.52</c:v>
                </c:pt>
                <c:pt idx="33" formatCode="0.0">
                  <c:v>5.5019999999999998</c:v>
                </c:pt>
                <c:pt idx="34" formatCode="0.0">
                  <c:v>5.3949999999999996</c:v>
                </c:pt>
                <c:pt idx="35" formatCode="0.0">
                  <c:v>5.2859999999999996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3"/>
        <c:noMultiLvlLbl val="0"/>
      </c:catAx>
      <c:valAx>
        <c:axId val="263608576"/>
        <c:scaling>
          <c:orientation val="minMax"/>
          <c:max val="9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6040606788558209"/>
          <c:y val="0.5543449643052043"/>
          <c:w val="0.23392297996648725"/>
          <c:h val="0.1239935107121510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600746573344998"/>
          <c:y val="0.14725693941722631"/>
          <c:w val="0.76870341207349091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Data'!$F$2</c:f>
              <c:strCache>
                <c:ptCount val="1"/>
                <c:pt idx="0">
                  <c:v>Outturn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Data'!$E$3:$E$38</c:f>
              <c:numCache>
                <c:formatCode>m/d/yyyy</c:formatCode>
                <c:ptCount val="36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</c:numCache>
            </c:numRef>
          </c:cat>
          <c:val>
            <c:numRef>
              <c:f>'Chart Data'!$F$3:$F$38</c:f>
              <c:numCache>
                <c:formatCode>0.0</c:formatCode>
                <c:ptCount val="36"/>
                <c:pt idx="0">
                  <c:v>4.2</c:v>
                </c:pt>
                <c:pt idx="1">
                  <c:v>4.5999999999999996</c:v>
                </c:pt>
                <c:pt idx="2">
                  <c:v>4.9000000000000004</c:v>
                </c:pt>
                <c:pt idx="3">
                  <c:v>4.8</c:v>
                </c:pt>
                <c:pt idx="4">
                  <c:v>5.0999999999999996</c:v>
                </c:pt>
                <c:pt idx="5">
                  <c:v>5.4</c:v>
                </c:pt>
                <c:pt idx="6">
                  <c:v>6</c:v>
                </c:pt>
                <c:pt idx="7">
                  <c:v>6.2</c:v>
                </c:pt>
                <c:pt idx="8">
                  <c:v>6.6</c:v>
                </c:pt>
                <c:pt idx="9">
                  <c:v>6.9</c:v>
                </c:pt>
                <c:pt idx="10">
                  <c:v>7.3</c:v>
                </c:pt>
                <c:pt idx="11">
                  <c:v>7.3</c:v>
                </c:pt>
                <c:pt idx="12">
                  <c:v>7.1</c:v>
                </c:pt>
                <c:pt idx="13">
                  <c:v>7.1</c:v>
                </c:pt>
                <c:pt idx="14">
                  <c:v>7.2</c:v>
                </c:pt>
                <c:pt idx="15">
                  <c:v>7.7</c:v>
                </c:pt>
                <c:pt idx="16">
                  <c:v>7.9</c:v>
                </c:pt>
                <c:pt idx="17">
                  <c:v>8.1</c:v>
                </c:pt>
                <c:pt idx="18">
                  <c:v>8.1</c:v>
                </c:pt>
                <c:pt idx="19">
                  <c:v>8.1</c:v>
                </c:pt>
                <c:pt idx="20">
                  <c:v>7.9</c:v>
                </c:pt>
                <c:pt idx="21">
                  <c:v>7.2</c:v>
                </c:pt>
                <c:pt idx="22">
                  <c:v>6.6</c:v>
                </c:pt>
                <c:pt idx="23">
                  <c:v>6.2</c:v>
                </c:pt>
                <c:pt idx="24">
                  <c:v>6.1</c:v>
                </c:pt>
                <c:pt idx="25">
                  <c:v>6</c:v>
                </c:pt>
                <c:pt idx="26">
                  <c:v>5.9</c:v>
                </c:pt>
                <c:pt idx="27">
                  <c:v>5.9</c:v>
                </c:pt>
                <c:pt idx="28">
                  <c:v>5.6</c:v>
                </c:pt>
                <c:pt idx="29">
                  <c:v>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95-4F6C-A27C-31C26FB49E55}"/>
            </c:ext>
          </c:extLst>
        </c:ser>
        <c:ser>
          <c:idx val="1"/>
          <c:order val="1"/>
          <c:tx>
            <c:strRef>
              <c:f>'Chart Data'!$G$2</c:f>
              <c:strCache>
                <c:ptCount val="1"/>
                <c:pt idx="0">
                  <c:v>BoE forecast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2"/>
            <c:spPr>
              <a:solidFill>
                <a:srgbClr val="002060"/>
              </a:solidFill>
              <a:ln w="3175">
                <a:solidFill>
                  <a:srgbClr val="495057"/>
                </a:solidFill>
              </a:ln>
            </c:spPr>
          </c:marker>
          <c:cat>
            <c:numRef>
              <c:f>'Chart Data'!$E$3:$E$38</c:f>
              <c:numCache>
                <c:formatCode>m/d/yyyy</c:formatCode>
                <c:ptCount val="36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</c:numCache>
            </c:numRef>
          </c:cat>
          <c:val>
            <c:numRef>
              <c:f>'Chart Data'!$G$3:$G$38</c:f>
              <c:numCache>
                <c:formatCode>General</c:formatCode>
                <c:ptCount val="36"/>
                <c:pt idx="29" formatCode="0.0">
                  <c:v>5.141</c:v>
                </c:pt>
                <c:pt idx="32" formatCode="0.0">
                  <c:v>4.83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95-4F6C-A27C-31C26FB49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3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7343370914460363E-2"/>
          <c:y val="0.14737073170368728"/>
          <c:w val="0.87699289835036232"/>
          <c:h val="0.71373839098557845"/>
        </c:manualLayout>
      </c:layout>
      <c:lineChart>
        <c:grouping val="standard"/>
        <c:varyColors val="0"/>
        <c:ser>
          <c:idx val="0"/>
          <c:order val="0"/>
          <c:tx>
            <c:strRef>
              <c:f>'Market expectations'!$BA$64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expectations'!$BB$62:$BU$62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expectations'!$BB$64:$BU$64</c:f>
              <c:numCache>
                <c:formatCode>0.00</c:formatCode>
                <c:ptCount val="20"/>
                <c:pt idx="0">
                  <c:v>3.85</c:v>
                </c:pt>
                <c:pt idx="1">
                  <c:v>4.4461538461538463</c:v>
                </c:pt>
                <c:pt idx="2">
                  <c:v>5.1615384615384619</c:v>
                </c:pt>
                <c:pt idx="3">
                  <c:v>5.25</c:v>
                </c:pt>
                <c:pt idx="4">
                  <c:v>5.25</c:v>
                </c:pt>
                <c:pt idx="5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'Market expectations'!$BA$65</c:f>
              <c:strCache>
                <c:ptCount val="1"/>
                <c:pt idx="0">
                  <c:v>August MPR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'Market expectations'!$BB$62:$BU$62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expectations'!$BB$65:$BU$65</c:f>
              <c:numCache>
                <c:formatCode>0.00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5.25</c:v>
                </c:pt>
                <c:pt idx="5">
                  <c:v>#N/A</c:v>
                </c:pt>
                <c:pt idx="6">
                  <c:v>5.1132151422222227</c:v>
                </c:pt>
                <c:pt idx="7">
                  <c:v>4.8863449888888892</c:v>
                </c:pt>
                <c:pt idx="8">
                  <c:v>4.6336645066666673</c:v>
                </c:pt>
                <c:pt idx="9">
                  <c:v>4.4108280800000008</c:v>
                </c:pt>
                <c:pt idx="10">
                  <c:v>4.2411693577777774</c:v>
                </c:pt>
                <c:pt idx="11">
                  <c:v>4.1022736577777765</c:v>
                </c:pt>
                <c:pt idx="12">
                  <c:v>3.9779006044444443</c:v>
                </c:pt>
                <c:pt idx="13">
                  <c:v>3.8620146155555553</c:v>
                </c:pt>
                <c:pt idx="14">
                  <c:v>3.7592501911111107</c:v>
                </c:pt>
                <c:pt idx="15">
                  <c:v>3.6729731622222226</c:v>
                </c:pt>
                <c:pt idx="16">
                  <c:v>3.6023441244444441</c:v>
                </c:pt>
                <c:pt idx="17">
                  <c:v>3.5459346422222224</c:v>
                </c:pt>
                <c:pt idx="18">
                  <c:v>3.5023152022222224</c:v>
                </c:pt>
                <c:pt idx="19">
                  <c:v>3.4700283955555555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'Market expectations'!$BA$66</c:f>
              <c:strCache>
                <c:ptCount val="1"/>
                <c:pt idx="0">
                  <c:v>November MPR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'Market expectations'!$BB$62:$BU$62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expectations'!$BB$66:$BU$66</c:f>
              <c:numCache>
                <c:formatCode>0.00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5.25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3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6156734115625293"/>
          <c:y val="0.13760431463563635"/>
          <c:w val="0.29560646319978673"/>
          <c:h val="0.1884468308813735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7343370914460363E-2"/>
          <c:y val="0.14737073170368728"/>
          <c:w val="0.87699289835036232"/>
          <c:h val="0.71373839098557845"/>
        </c:manualLayout>
      </c:layout>
      <c:lineChart>
        <c:grouping val="standard"/>
        <c:varyColors val="0"/>
        <c:ser>
          <c:idx val="0"/>
          <c:order val="0"/>
          <c:tx>
            <c:strRef>
              <c:f>'Market expectations'!$BA$55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expectations'!$BB$52:$DI$52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expectations'!$BB$55:$DI$55</c:f>
              <c:numCache>
                <c:formatCode>0.00</c:formatCode>
                <c:ptCount val="60"/>
                <c:pt idx="0">
                  <c:v>3.5</c:v>
                </c:pt>
                <c:pt idx="1">
                  <c:v>3.9750000000000001</c:v>
                </c:pt>
                <c:pt idx="2">
                  <c:v>4.0760869565217392</c:v>
                </c:pt>
                <c:pt idx="3">
                  <c:v>4.25</c:v>
                </c:pt>
                <c:pt idx="4">
                  <c:v>4.4130434782608692</c:v>
                </c:pt>
                <c:pt idx="5">
                  <c:v>4.6590909090909092</c:v>
                </c:pt>
                <c:pt idx="6">
                  <c:v>5</c:v>
                </c:pt>
                <c:pt idx="7">
                  <c:v>5.2282608695652177</c:v>
                </c:pt>
                <c:pt idx="8">
                  <c:v>5.25</c:v>
                </c:pt>
                <c:pt idx="9">
                  <c:v>5.25</c:v>
                </c:pt>
                <c:pt idx="10">
                  <c:v>5.25</c:v>
                </c:pt>
                <c:pt idx="11">
                  <c:v>5.25</c:v>
                </c:pt>
                <c:pt idx="12">
                  <c:v>5.25</c:v>
                </c:pt>
                <c:pt idx="13">
                  <c:v>5.25</c:v>
                </c:pt>
                <c:pt idx="14">
                  <c:v>5.25</c:v>
                </c:pt>
                <c:pt idx="15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DF-427D-A73A-EF235A1B793F}"/>
            </c:ext>
          </c:extLst>
        </c:ser>
        <c:ser>
          <c:idx val="1"/>
          <c:order val="1"/>
          <c:tx>
            <c:strRef>
              <c:f>'Market expectations'!$BA$56</c:f>
              <c:strCache>
                <c:ptCount val="1"/>
                <c:pt idx="0">
                  <c:v>August MPR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'Market expectations'!$BB$52:$DI$52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expectations'!$BB$56:$DI$56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5.2000000000000011</c:v>
                </c:pt>
                <c:pt idx="19">
                  <c:v>5.1041256133333333</c:v>
                </c:pt>
                <c:pt idx="20">
                  <c:v>5.035519813333333</c:v>
                </c:pt>
                <c:pt idx="21">
                  <c:v>4.966102993333334</c:v>
                </c:pt>
                <c:pt idx="22">
                  <c:v>4.8887191999999997</c:v>
                </c:pt>
                <c:pt idx="23">
                  <c:v>4.8042127733333331</c:v>
                </c:pt>
                <c:pt idx="24">
                  <c:v>4.7174628600000004</c:v>
                </c:pt>
                <c:pt idx="25">
                  <c:v>4.6322333066666674</c:v>
                </c:pt>
                <c:pt idx="26">
                  <c:v>4.5512973533333341</c:v>
                </c:pt>
                <c:pt idx="27">
                  <c:v>4.4765760400000003</c:v>
                </c:pt>
                <c:pt idx="28">
                  <c:v>4.4086221933333327</c:v>
                </c:pt>
                <c:pt idx="29">
                  <c:v>4.3472860066666668</c:v>
                </c:pt>
                <c:pt idx="30">
                  <c:v>4.2917538866666662</c:v>
                </c:pt>
                <c:pt idx="31">
                  <c:v>4.240146713333333</c:v>
                </c:pt>
                <c:pt idx="32">
                  <c:v>4.1916074733333328</c:v>
                </c:pt>
                <c:pt idx="33">
                  <c:v>4.1456403866666669</c:v>
                </c:pt>
                <c:pt idx="34">
                  <c:v>4.1017479333333329</c:v>
                </c:pt>
                <c:pt idx="35">
                  <c:v>4.0594326533333325</c:v>
                </c:pt>
                <c:pt idx="36">
                  <c:v>4.0181985866666663</c:v>
                </c:pt>
                <c:pt idx="37">
                  <c:v>3.9776455533333337</c:v>
                </c:pt>
                <c:pt idx="38">
                  <c:v>3.9378576733333333</c:v>
                </c:pt>
                <c:pt idx="39">
                  <c:v>3.8990718333333336</c:v>
                </c:pt>
                <c:pt idx="40">
                  <c:v>3.8615235733333324</c:v>
                </c:pt>
                <c:pt idx="41">
                  <c:v>3.8254484399999997</c:v>
                </c:pt>
                <c:pt idx="42">
                  <c:v>3.7910833266666666</c:v>
                </c:pt>
                <c:pt idx="43">
                  <c:v>3.7586178533333334</c:v>
                </c:pt>
                <c:pt idx="44">
                  <c:v>3.7280493933333334</c:v>
                </c:pt>
                <c:pt idx="45">
                  <c:v>3.6993257866666673</c:v>
                </c:pt>
                <c:pt idx="46">
                  <c:v>3.6723937000000006</c:v>
                </c:pt>
                <c:pt idx="47">
                  <c:v>3.6471999999999998</c:v>
                </c:pt>
                <c:pt idx="48">
                  <c:v>3.6236923533333325</c:v>
                </c:pt>
                <c:pt idx="49">
                  <c:v>3.6018175533333334</c:v>
                </c:pt>
                <c:pt idx="50">
                  <c:v>3.5815224666666663</c:v>
                </c:pt>
                <c:pt idx="51">
                  <c:v>3.5627546466666664</c:v>
                </c:pt>
                <c:pt idx="52">
                  <c:v>3.5454609599999998</c:v>
                </c:pt>
                <c:pt idx="53">
                  <c:v>3.5295883200000002</c:v>
                </c:pt>
                <c:pt idx="54">
                  <c:v>3.5150841933333328</c:v>
                </c:pt>
                <c:pt idx="55">
                  <c:v>3.5018952400000005</c:v>
                </c:pt>
                <c:pt idx="56">
                  <c:v>3.4899661733333338</c:v>
                </c:pt>
                <c:pt idx="57">
                  <c:v>3.4792412866666664</c:v>
                </c:pt>
                <c:pt idx="58">
                  <c:v>3.4696644066666669</c:v>
                </c:pt>
                <c:pt idx="59">
                  <c:v>3.4611794933333333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DF-427D-A73A-EF235A1B793F}"/>
            </c:ext>
          </c:extLst>
        </c:ser>
        <c:ser>
          <c:idx val="2"/>
          <c:order val="2"/>
          <c:tx>
            <c:strRef>
              <c:f>'Market expectations'!$BA$57</c:f>
              <c:strCache>
                <c:ptCount val="1"/>
                <c:pt idx="0">
                  <c:v>November MPR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'Market expectations'!$BB$52:$DI$52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expectations'!$BB$57:$DI$57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DF-427D-A73A-EF235A1B7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3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6156734115625293"/>
          <c:y val="0.13760431463563635"/>
          <c:w val="0.29560646319978673"/>
          <c:h val="0.1884468308813735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7343370914460363E-2"/>
          <c:y val="0.14737073170368728"/>
          <c:w val="0.87699289835036232"/>
          <c:h val="0.71373839098557845"/>
        </c:manualLayout>
      </c:layout>
      <c:lineChart>
        <c:grouping val="standard"/>
        <c:varyColors val="0"/>
        <c:ser>
          <c:idx val="1"/>
          <c:order val="1"/>
          <c:tx>
            <c:strRef>
              <c:f>'Chart Data'!$K$2</c:f>
              <c:strCache>
                <c:ptCount val="1"/>
                <c:pt idx="0">
                  <c:v>BoE market expectations (Aug)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Data'!$I$3:$I$22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Data'!$K$3:$K$22</c:f>
              <c:numCache>
                <c:formatCode>0.0</c:formatCode>
                <c:ptCount val="20"/>
                <c:pt idx="6">
                  <c:v>2.2999999999999998</c:v>
                </c:pt>
                <c:pt idx="7">
                  <c:v>2.7</c:v>
                </c:pt>
                <c:pt idx="8">
                  <c:v>2.7</c:v>
                </c:pt>
                <c:pt idx="9">
                  <c:v>2.6</c:v>
                </c:pt>
                <c:pt idx="10">
                  <c:v>2.4</c:v>
                </c:pt>
                <c:pt idx="11">
                  <c:v>2.2000000000000002</c:v>
                </c:pt>
                <c:pt idx="12">
                  <c:v>2</c:v>
                </c:pt>
                <c:pt idx="13">
                  <c:v>1.7</c:v>
                </c:pt>
                <c:pt idx="14">
                  <c:v>1.7</c:v>
                </c:pt>
                <c:pt idx="15">
                  <c:v>1.6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Data'!$L$2</c:f>
              <c:strCache>
                <c:ptCount val="1"/>
                <c:pt idx="0">
                  <c:v>OE (Aug)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Data'!$I$3:$I$22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Data'!$L$3:$L$22</c:f>
              <c:numCache>
                <c:formatCode>0.0</c:formatCode>
                <c:ptCount val="20"/>
                <c:pt idx="4">
                  <c:v>3.5491136610421803</c:v>
                </c:pt>
                <c:pt idx="5">
                  <c:v>2.110833644243737</c:v>
                </c:pt>
                <c:pt idx="6">
                  <c:v>2.1209284627092817</c:v>
                </c:pt>
                <c:pt idx="7">
                  <c:v>2.5595093307629879</c:v>
                </c:pt>
                <c:pt idx="8">
                  <c:v>2.5444802055241578</c:v>
                </c:pt>
                <c:pt idx="9">
                  <c:v>2.3549445466860774</c:v>
                </c:pt>
                <c:pt idx="10">
                  <c:v>2.6438497349592138</c:v>
                </c:pt>
                <c:pt idx="11">
                  <c:v>2.4348994121663026</c:v>
                </c:pt>
                <c:pt idx="12">
                  <c:v>2.3920573433152237</c:v>
                </c:pt>
                <c:pt idx="13">
                  <c:v>2.306310909953635</c:v>
                </c:pt>
                <c:pt idx="14">
                  <c:v>2.2260201866488138</c:v>
                </c:pt>
                <c:pt idx="15">
                  <c:v>2.0986743354546533</c:v>
                </c:pt>
                <c:pt idx="16">
                  <c:v>2.1633594140409551</c:v>
                </c:pt>
                <c:pt idx="17">
                  <c:v>2.1882445450867705</c:v>
                </c:pt>
                <c:pt idx="18">
                  <c:v>2.2367092185686888</c:v>
                </c:pt>
                <c:pt idx="19">
                  <c:v>2.2573022158326239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Data'!$M$2</c:f>
              <c:strCache>
                <c:ptCount val="1"/>
                <c:pt idx="0">
                  <c:v>HMT consensus (Jul)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12"/>
            <c:spPr>
              <a:solidFill>
                <a:srgbClr val="D1A21E"/>
              </a:solidFill>
              <a:ln w="6350">
                <a:solidFill>
                  <a:srgbClr val="495057"/>
                </a:solidFill>
              </a:ln>
            </c:spPr>
          </c:marker>
          <c:cat>
            <c:numRef>
              <c:f>'Chart Data'!$I$3:$I$22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Data'!$M$3:$M$22</c:f>
              <c:numCache>
                <c:formatCode>0.0</c:formatCode>
                <c:ptCount val="20"/>
                <c:pt idx="7">
                  <c:v>2.4</c:v>
                </c:pt>
                <c:pt idx="11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tx>
            <c:strRef>
              <c:f>'Chart Data'!$N$2</c:f>
              <c:strCache>
                <c:ptCount val="1"/>
                <c:pt idx="0">
                  <c:v>2% LINE</c:v>
                </c:pt>
              </c:strCache>
            </c:strRef>
          </c:tx>
          <c:spPr>
            <a:ln w="25400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f>'Chart Data'!$I$3:$I$22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Data'!$N$3:$N$22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'Chart Data'!$J$2</c15:sqref>
                        </c15:formulaRef>
                      </c:ext>
                    </c:extLst>
                    <c:strCache>
                      <c:ptCount val="1"/>
                      <c:pt idx="0">
                        <c:v>CPI inflation</c:v>
                      </c:pt>
                    </c:strCache>
                  </c:strRef>
                </c:tx>
                <c:spPr>
                  <a:ln w="38100">
                    <a:solidFill>
                      <a:srgbClr val="BD1B21"/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'Chart Data'!$I$3:$I$22</c15:sqref>
                        </c15:formulaRef>
                      </c:ext>
                    </c:extLst>
                    <c:numCache>
                      <c:formatCode>m/d/yyyy</c:formatCode>
                      <c:ptCount val="20"/>
                      <c:pt idx="0">
                        <c:v>44927</c:v>
                      </c:pt>
                      <c:pt idx="1">
                        <c:v>45017</c:v>
                      </c:pt>
                      <c:pt idx="2">
                        <c:v>45108</c:v>
                      </c:pt>
                      <c:pt idx="3">
                        <c:v>45200</c:v>
                      </c:pt>
                      <c:pt idx="4">
                        <c:v>45292</c:v>
                      </c:pt>
                      <c:pt idx="5">
                        <c:v>45383</c:v>
                      </c:pt>
                      <c:pt idx="6">
                        <c:v>45474</c:v>
                      </c:pt>
                      <c:pt idx="7">
                        <c:v>45566</c:v>
                      </c:pt>
                      <c:pt idx="8">
                        <c:v>45658</c:v>
                      </c:pt>
                      <c:pt idx="9">
                        <c:v>45748</c:v>
                      </c:pt>
                      <c:pt idx="10">
                        <c:v>45839</c:v>
                      </c:pt>
                      <c:pt idx="11">
                        <c:v>45931</c:v>
                      </c:pt>
                      <c:pt idx="12">
                        <c:v>46023</c:v>
                      </c:pt>
                      <c:pt idx="13">
                        <c:v>46113</c:v>
                      </c:pt>
                      <c:pt idx="14">
                        <c:v>46204</c:v>
                      </c:pt>
                      <c:pt idx="15">
                        <c:v>46296</c:v>
                      </c:pt>
                      <c:pt idx="16">
                        <c:v>46388</c:v>
                      </c:pt>
                      <c:pt idx="17">
                        <c:v>46478</c:v>
                      </c:pt>
                      <c:pt idx="18">
                        <c:v>46569</c:v>
                      </c:pt>
                      <c:pt idx="19">
                        <c:v>46661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'Chart Data'!$J$3:$J$22</c15:sqref>
                        </c15:formulaRef>
                      </c:ext>
                    </c:extLst>
                    <c:numCache>
                      <c:formatCode>0.0</c:formatCode>
                      <c:ptCount val="20"/>
                      <c:pt idx="0">
                        <c:v>10.178263369752759</c:v>
                      </c:pt>
                      <c:pt idx="1">
                        <c:v>8.4390512961941777</c:v>
                      </c:pt>
                      <c:pt idx="2">
                        <c:v>6.7135896047644916</c:v>
                      </c:pt>
                      <c:pt idx="3">
                        <c:v>4.1568008418837232</c:v>
                      </c:pt>
                      <c:pt idx="4">
                        <c:v>3.5490605427974886</c:v>
                      </c:pt>
                      <c:pt idx="5">
                        <c:v>2.1108850457782102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850-417B-95DA-4ED900504230}"/>
                  </c:ext>
                </c:extLst>
              </c15:ser>
            </c15:filteredLineSeries>
          </c:ext>
        </c:extLst>
      </c:lineChart>
      <c:dateAx>
        <c:axId val="263607040"/>
        <c:scaling>
          <c:orientation val="minMax"/>
          <c:min val="45292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ax val="4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3"/>
        <c:delete val="1"/>
      </c:legendEntry>
      <c:layout>
        <c:manualLayout>
          <c:xMode val="edge"/>
          <c:yMode val="edge"/>
          <c:x val="0.20623750391486573"/>
          <c:y val="0.11492390379874558"/>
          <c:w val="0.5594018798009085"/>
          <c:h val="0.1888352552401943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630032728079363E-2"/>
          <c:y val="0.14714391023940784"/>
          <c:w val="0.89480561845868434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Data'!$Q$2</c:f>
              <c:strCache>
                <c:ptCount val="1"/>
                <c:pt idx="0">
                  <c:v>Prices - past year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Data'!$P$3:$P$71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Data'!$Q$3:$Q$71</c:f>
              <c:numCache>
                <c:formatCode>0.0</c:formatCode>
                <c:ptCount val="69"/>
                <c:pt idx="0">
                  <c:v>2.79</c:v>
                </c:pt>
                <c:pt idx="1">
                  <c:v>2.23</c:v>
                </c:pt>
                <c:pt idx="2">
                  <c:v>2.39</c:v>
                </c:pt>
                <c:pt idx="3">
                  <c:v>2.88</c:v>
                </c:pt>
                <c:pt idx="4">
                  <c:v>1.82</c:v>
                </c:pt>
                <c:pt idx="5">
                  <c:v>2.69</c:v>
                </c:pt>
                <c:pt idx="6">
                  <c:v>2.2599999999999998</c:v>
                </c:pt>
                <c:pt idx="7">
                  <c:v>1.94</c:v>
                </c:pt>
                <c:pt idx="8">
                  <c:v>2.27</c:v>
                </c:pt>
                <c:pt idx="9">
                  <c:v>1.99</c:v>
                </c:pt>
                <c:pt idx="10">
                  <c:v>1.89</c:v>
                </c:pt>
                <c:pt idx="11">
                  <c:v>1.99</c:v>
                </c:pt>
                <c:pt idx="12">
                  <c:v>2.0699999999999998</c:v>
                </c:pt>
                <c:pt idx="13">
                  <c:v>1.79</c:v>
                </c:pt>
                <c:pt idx="14">
                  <c:v>1.82</c:v>
                </c:pt>
                <c:pt idx="15">
                  <c:v>1.86</c:v>
                </c:pt>
                <c:pt idx="16">
                  <c:v>1.76</c:v>
                </c:pt>
                <c:pt idx="17">
                  <c:v>1.19</c:v>
                </c:pt>
                <c:pt idx="18">
                  <c:v>1.34</c:v>
                </c:pt>
                <c:pt idx="19">
                  <c:v>1.08</c:v>
                </c:pt>
                <c:pt idx="20">
                  <c:v>1.44</c:v>
                </c:pt>
                <c:pt idx="21">
                  <c:v>2.21</c:v>
                </c:pt>
                <c:pt idx="22">
                  <c:v>1.69</c:v>
                </c:pt>
                <c:pt idx="23">
                  <c:v>0.85</c:v>
                </c:pt>
                <c:pt idx="24">
                  <c:v>1.83</c:v>
                </c:pt>
                <c:pt idx="25">
                  <c:v>2.0699999999999998</c:v>
                </c:pt>
                <c:pt idx="26">
                  <c:v>1.65</c:v>
                </c:pt>
                <c:pt idx="27">
                  <c:v>2.78</c:v>
                </c:pt>
                <c:pt idx="28">
                  <c:v>2.84</c:v>
                </c:pt>
                <c:pt idx="29">
                  <c:v>3.13</c:v>
                </c:pt>
                <c:pt idx="30">
                  <c:v>3.76</c:v>
                </c:pt>
                <c:pt idx="31">
                  <c:v>3.45</c:v>
                </c:pt>
                <c:pt idx="32">
                  <c:v>4.54</c:v>
                </c:pt>
                <c:pt idx="33">
                  <c:v>5.42</c:v>
                </c:pt>
                <c:pt idx="34">
                  <c:v>4.82</c:v>
                </c:pt>
                <c:pt idx="35">
                  <c:v>5.48</c:v>
                </c:pt>
                <c:pt idx="36">
                  <c:v>5.41</c:v>
                </c:pt>
                <c:pt idx="37">
                  <c:v>5.26</c:v>
                </c:pt>
                <c:pt idx="38">
                  <c:v>6.84</c:v>
                </c:pt>
                <c:pt idx="39">
                  <c:v>6.5</c:v>
                </c:pt>
                <c:pt idx="40">
                  <c:v>7.28</c:v>
                </c:pt>
                <c:pt idx="41">
                  <c:v>7.44</c:v>
                </c:pt>
                <c:pt idx="42">
                  <c:v>7.96</c:v>
                </c:pt>
                <c:pt idx="43">
                  <c:v>7.63</c:v>
                </c:pt>
                <c:pt idx="44">
                  <c:v>7.41</c:v>
                </c:pt>
                <c:pt idx="45">
                  <c:v>7.76</c:v>
                </c:pt>
                <c:pt idx="46">
                  <c:v>7.2</c:v>
                </c:pt>
                <c:pt idx="47">
                  <c:v>8.5399999999999991</c:v>
                </c:pt>
                <c:pt idx="48">
                  <c:v>7.85</c:v>
                </c:pt>
                <c:pt idx="49">
                  <c:v>7.78</c:v>
                </c:pt>
                <c:pt idx="50">
                  <c:v>7.81</c:v>
                </c:pt>
                <c:pt idx="51">
                  <c:v>7.44</c:v>
                </c:pt>
                <c:pt idx="52">
                  <c:v>7.55</c:v>
                </c:pt>
                <c:pt idx="53">
                  <c:v>6.92</c:v>
                </c:pt>
                <c:pt idx="54">
                  <c:v>7.84</c:v>
                </c:pt>
                <c:pt idx="55">
                  <c:v>7.49</c:v>
                </c:pt>
                <c:pt idx="56">
                  <c:v>6.92</c:v>
                </c:pt>
                <c:pt idx="57">
                  <c:v>6.81</c:v>
                </c:pt>
                <c:pt idx="58">
                  <c:v>5.96</c:v>
                </c:pt>
                <c:pt idx="59">
                  <c:v>4.92</c:v>
                </c:pt>
                <c:pt idx="60">
                  <c:v>5.81</c:v>
                </c:pt>
                <c:pt idx="61">
                  <c:v>5.4</c:v>
                </c:pt>
                <c:pt idx="62">
                  <c:v>4.84</c:v>
                </c:pt>
                <c:pt idx="63">
                  <c:v>5.33</c:v>
                </c:pt>
                <c:pt idx="64">
                  <c:v>4.59</c:v>
                </c:pt>
                <c:pt idx="65">
                  <c:v>3.84</c:v>
                </c:pt>
                <c:pt idx="66">
                  <c:v>4.3499999999999996</c:v>
                </c:pt>
                <c:pt idx="67">
                  <c:v>3.87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Data'!$R$2</c:f>
              <c:strCache>
                <c:ptCount val="1"/>
                <c:pt idx="0">
                  <c:v>Prices - next year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Data'!$P$3:$P$71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Data'!$R$3:$R$71</c:f>
              <c:numCache>
                <c:formatCode>0.0</c:formatCode>
                <c:ptCount val="69"/>
                <c:pt idx="0">
                  <c:v>2.532</c:v>
                </c:pt>
                <c:pt idx="1">
                  <c:v>2.5609999999999999</c:v>
                </c:pt>
                <c:pt idx="2">
                  <c:v>2.0680000000000001</c:v>
                </c:pt>
                <c:pt idx="3">
                  <c:v>2.7149999999999999</c:v>
                </c:pt>
                <c:pt idx="4">
                  <c:v>2.3319999999999999</c:v>
                </c:pt>
                <c:pt idx="5">
                  <c:v>2.1539999999999999</c:v>
                </c:pt>
                <c:pt idx="6">
                  <c:v>2.0979999999999999</c:v>
                </c:pt>
                <c:pt idx="7">
                  <c:v>2.2890000000000001</c:v>
                </c:pt>
                <c:pt idx="8">
                  <c:v>2.355</c:v>
                </c:pt>
                <c:pt idx="9">
                  <c:v>2.2160000000000002</c:v>
                </c:pt>
                <c:pt idx="10">
                  <c:v>2.181</c:v>
                </c:pt>
                <c:pt idx="11">
                  <c:v>2.371</c:v>
                </c:pt>
                <c:pt idx="12">
                  <c:v>2.121</c:v>
                </c:pt>
                <c:pt idx="13">
                  <c:v>2.1259999999999999</c:v>
                </c:pt>
                <c:pt idx="14">
                  <c:v>1.615</c:v>
                </c:pt>
                <c:pt idx="15">
                  <c:v>1.2070000000000001</c:v>
                </c:pt>
                <c:pt idx="16">
                  <c:v>1.387</c:v>
                </c:pt>
                <c:pt idx="17">
                  <c:v>1.45</c:v>
                </c:pt>
                <c:pt idx="18">
                  <c:v>1.663</c:v>
                </c:pt>
                <c:pt idx="19">
                  <c:v>2.181</c:v>
                </c:pt>
                <c:pt idx="20">
                  <c:v>1.887</c:v>
                </c:pt>
                <c:pt idx="21">
                  <c:v>2.3639999999999999</c:v>
                </c:pt>
                <c:pt idx="22">
                  <c:v>2.0920000000000001</c:v>
                </c:pt>
                <c:pt idx="23">
                  <c:v>2.6960000000000002</c:v>
                </c:pt>
                <c:pt idx="24">
                  <c:v>2.5089999999999999</c:v>
                </c:pt>
                <c:pt idx="25">
                  <c:v>2.7189999999999999</c:v>
                </c:pt>
                <c:pt idx="26">
                  <c:v>2.9780000000000002</c:v>
                </c:pt>
                <c:pt idx="27">
                  <c:v>3.137</c:v>
                </c:pt>
                <c:pt idx="28">
                  <c:v>3.4489999999999998</c:v>
                </c:pt>
                <c:pt idx="29">
                  <c:v>3.2549999999999999</c:v>
                </c:pt>
                <c:pt idx="30">
                  <c:v>2.9220000000000002</c:v>
                </c:pt>
                <c:pt idx="31">
                  <c:v>3.2229999999999999</c:v>
                </c:pt>
                <c:pt idx="32">
                  <c:v>4.1059999999999999</c:v>
                </c:pt>
                <c:pt idx="33">
                  <c:v>4.7069999999999999</c:v>
                </c:pt>
                <c:pt idx="34">
                  <c:v>4.444</c:v>
                </c:pt>
                <c:pt idx="35">
                  <c:v>5.0990000000000002</c:v>
                </c:pt>
                <c:pt idx="36">
                  <c:v>4.5270000000000001</c:v>
                </c:pt>
                <c:pt idx="37">
                  <c:v>4.8920000000000003</c:v>
                </c:pt>
                <c:pt idx="38">
                  <c:v>5.87</c:v>
                </c:pt>
                <c:pt idx="39">
                  <c:v>5.9980000000000002</c:v>
                </c:pt>
                <c:pt idx="40">
                  <c:v>5.883</c:v>
                </c:pt>
                <c:pt idx="41">
                  <c:v>6.2919999999999998</c:v>
                </c:pt>
                <c:pt idx="42">
                  <c:v>6.6680000000000001</c:v>
                </c:pt>
                <c:pt idx="43">
                  <c:v>6.4340000000000002</c:v>
                </c:pt>
                <c:pt idx="44">
                  <c:v>6.6379999999999999</c:v>
                </c:pt>
                <c:pt idx="45">
                  <c:v>6.2210000000000001</c:v>
                </c:pt>
                <c:pt idx="46">
                  <c:v>5.7469999999999999</c:v>
                </c:pt>
                <c:pt idx="47">
                  <c:v>5.7830000000000004</c:v>
                </c:pt>
                <c:pt idx="48">
                  <c:v>5.8</c:v>
                </c:pt>
                <c:pt idx="49">
                  <c:v>5.3879999999999999</c:v>
                </c:pt>
                <c:pt idx="50">
                  <c:v>5.3109999999999999</c:v>
                </c:pt>
                <c:pt idx="51">
                  <c:v>5.9560000000000004</c:v>
                </c:pt>
                <c:pt idx="52">
                  <c:v>5.1420000000000003</c:v>
                </c:pt>
                <c:pt idx="53">
                  <c:v>4.867</c:v>
                </c:pt>
                <c:pt idx="54">
                  <c:v>5.5880000000000001</c:v>
                </c:pt>
                <c:pt idx="55">
                  <c:v>4.4950000000000001</c:v>
                </c:pt>
                <c:pt idx="56">
                  <c:v>4.3840000000000003</c:v>
                </c:pt>
                <c:pt idx="57">
                  <c:v>4.6980000000000004</c:v>
                </c:pt>
                <c:pt idx="58">
                  <c:v>4.2569999999999997</c:v>
                </c:pt>
                <c:pt idx="59">
                  <c:v>4.1900000000000004</c:v>
                </c:pt>
                <c:pt idx="60">
                  <c:v>4.5469999999999997</c:v>
                </c:pt>
                <c:pt idx="61">
                  <c:v>4.1059999999999999</c:v>
                </c:pt>
                <c:pt idx="62">
                  <c:v>3.6840000000000002</c:v>
                </c:pt>
                <c:pt idx="63">
                  <c:v>4.2279999999999998</c:v>
                </c:pt>
                <c:pt idx="64">
                  <c:v>3.8210000000000002</c:v>
                </c:pt>
                <c:pt idx="65">
                  <c:v>3.5760000000000001</c:v>
                </c:pt>
                <c:pt idx="66">
                  <c:v>3.7109999999999999</c:v>
                </c:pt>
                <c:pt idx="67">
                  <c:v>3.3660000000000001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Data'!$S$2</c:f>
              <c:strCache>
                <c:ptCount val="1"/>
                <c:pt idx="0">
                  <c:v>Wages - past year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Data'!$P$3:$P$71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Data'!$S$3:$S$71</c:f>
              <c:numCache>
                <c:formatCode>0.0</c:formatCode>
                <c:ptCount val="6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5.5</c:v>
                </c:pt>
                <c:pt idx="41">
                  <c:v>5.7</c:v>
                </c:pt>
                <c:pt idx="42">
                  <c:v>5.5</c:v>
                </c:pt>
                <c:pt idx="43">
                  <c:v>6.4</c:v>
                </c:pt>
                <c:pt idx="44">
                  <c:v>6.5</c:v>
                </c:pt>
                <c:pt idx="45">
                  <c:v>6.1</c:v>
                </c:pt>
                <c:pt idx="46">
                  <c:v>6.1</c:v>
                </c:pt>
                <c:pt idx="47">
                  <c:v>6.6</c:v>
                </c:pt>
                <c:pt idx="48">
                  <c:v>6.3</c:v>
                </c:pt>
                <c:pt idx="49">
                  <c:v>6.6</c:v>
                </c:pt>
                <c:pt idx="50">
                  <c:v>6.5</c:v>
                </c:pt>
                <c:pt idx="51">
                  <c:v>6.6</c:v>
                </c:pt>
                <c:pt idx="52">
                  <c:v>6.8</c:v>
                </c:pt>
                <c:pt idx="53">
                  <c:v>7.1</c:v>
                </c:pt>
                <c:pt idx="54">
                  <c:v>6.7</c:v>
                </c:pt>
                <c:pt idx="55">
                  <c:v>6.9</c:v>
                </c:pt>
                <c:pt idx="56">
                  <c:v>7.1</c:v>
                </c:pt>
                <c:pt idx="57">
                  <c:v>6.8</c:v>
                </c:pt>
                <c:pt idx="58">
                  <c:v>7</c:v>
                </c:pt>
                <c:pt idx="59">
                  <c:v>7</c:v>
                </c:pt>
                <c:pt idx="60">
                  <c:v>6.5</c:v>
                </c:pt>
                <c:pt idx="61">
                  <c:v>6.5</c:v>
                </c:pt>
                <c:pt idx="62">
                  <c:v>6.1</c:v>
                </c:pt>
                <c:pt idx="63">
                  <c:v>5.9</c:v>
                </c:pt>
                <c:pt idx="64">
                  <c:v>6.1</c:v>
                </c:pt>
                <c:pt idx="65">
                  <c:v>5.9</c:v>
                </c:pt>
                <c:pt idx="66">
                  <c:v>5.7</c:v>
                </c:pt>
                <c:pt idx="67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Data'!$T$2</c:f>
              <c:strCache>
                <c:ptCount val="1"/>
                <c:pt idx="0">
                  <c:v>Wages - next year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'Chart Data'!$P$3:$P$71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Data'!$T$3:$T$71</c:f>
              <c:numCache>
                <c:formatCode>0.0</c:formatCode>
                <c:ptCount val="6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4.8</c:v>
                </c:pt>
                <c:pt idx="41">
                  <c:v>5.0999999999999996</c:v>
                </c:pt>
                <c:pt idx="42">
                  <c:v>5.2</c:v>
                </c:pt>
                <c:pt idx="43">
                  <c:v>5.5</c:v>
                </c:pt>
                <c:pt idx="44">
                  <c:v>5.9</c:v>
                </c:pt>
                <c:pt idx="45">
                  <c:v>5.8</c:v>
                </c:pt>
                <c:pt idx="46">
                  <c:v>5.8</c:v>
                </c:pt>
                <c:pt idx="47">
                  <c:v>6.3</c:v>
                </c:pt>
                <c:pt idx="48">
                  <c:v>5.7</c:v>
                </c:pt>
                <c:pt idx="49">
                  <c:v>5.8</c:v>
                </c:pt>
                <c:pt idx="50">
                  <c:v>5.6</c:v>
                </c:pt>
                <c:pt idx="51">
                  <c:v>5.4</c:v>
                </c:pt>
                <c:pt idx="52">
                  <c:v>5.2</c:v>
                </c:pt>
                <c:pt idx="53">
                  <c:v>5.3</c:v>
                </c:pt>
                <c:pt idx="54">
                  <c:v>5</c:v>
                </c:pt>
                <c:pt idx="55">
                  <c:v>5</c:v>
                </c:pt>
                <c:pt idx="56">
                  <c:v>5.2</c:v>
                </c:pt>
                <c:pt idx="57">
                  <c:v>5.0999999999999996</c:v>
                </c:pt>
                <c:pt idx="58">
                  <c:v>5.0999999999999996</c:v>
                </c:pt>
                <c:pt idx="59">
                  <c:v>5.4</c:v>
                </c:pt>
                <c:pt idx="60">
                  <c:v>5.0999999999999996</c:v>
                </c:pt>
                <c:pt idx="61">
                  <c:v>4.9000000000000004</c:v>
                </c:pt>
                <c:pt idx="62">
                  <c:v>4.7</c:v>
                </c:pt>
                <c:pt idx="63">
                  <c:v>4.5999999999999996</c:v>
                </c:pt>
                <c:pt idx="64">
                  <c:v>4.0999999999999996</c:v>
                </c:pt>
                <c:pt idx="65">
                  <c:v>4</c:v>
                </c:pt>
                <c:pt idx="66">
                  <c:v>4.0999999999999996</c:v>
                </c:pt>
                <c:pt idx="67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1737067426486376"/>
          <c:y val="7.8330705474282863E-2"/>
          <c:w val="0.61503403886325969"/>
          <c:h val="0.1092853545856326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630032728079363E-2"/>
          <c:y val="0.14714391023940784"/>
          <c:w val="0.89480561845868434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Data'!$W$2</c:f>
              <c:strCache>
                <c:ptCount val="1"/>
                <c:pt idx="0">
                  <c:v>Prices - past year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Data'!$V$3:$V$71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Data'!$W$3:$W$71</c:f>
              <c:numCache>
                <c:formatCode>0.0</c:formatCode>
                <c:ptCount val="69"/>
                <c:pt idx="0">
                  <c:v>2.528</c:v>
                </c:pt>
                <c:pt idx="1">
                  <c:v>2.4119999999999999</c:v>
                </c:pt>
                <c:pt idx="2">
                  <c:v>2.4700000000000002</c:v>
                </c:pt>
                <c:pt idx="3">
                  <c:v>2.4990000000000001</c:v>
                </c:pt>
                <c:pt idx="4">
                  <c:v>2.3620000000000001</c:v>
                </c:pt>
                <c:pt idx="5">
                  <c:v>2.4620000000000002</c:v>
                </c:pt>
                <c:pt idx="6">
                  <c:v>2.2559999999999998</c:v>
                </c:pt>
                <c:pt idx="7">
                  <c:v>2.2959999999999998</c:v>
                </c:pt>
                <c:pt idx="8">
                  <c:v>2.1560000000000001</c:v>
                </c:pt>
                <c:pt idx="9">
                  <c:v>2.0670000000000002</c:v>
                </c:pt>
                <c:pt idx="10">
                  <c:v>2.0510000000000002</c:v>
                </c:pt>
                <c:pt idx="11">
                  <c:v>1.958</c:v>
                </c:pt>
                <c:pt idx="12">
                  <c:v>1.982</c:v>
                </c:pt>
                <c:pt idx="13">
                  <c:v>1.9490000000000001</c:v>
                </c:pt>
                <c:pt idx="14">
                  <c:v>1.893</c:v>
                </c:pt>
                <c:pt idx="15">
                  <c:v>1.8240000000000001</c:v>
                </c:pt>
                <c:pt idx="16">
                  <c:v>1.8129999999999999</c:v>
                </c:pt>
                <c:pt idx="17">
                  <c:v>1.6</c:v>
                </c:pt>
                <c:pt idx="18">
                  <c:v>1.427</c:v>
                </c:pt>
                <c:pt idx="19">
                  <c:v>1.2</c:v>
                </c:pt>
                <c:pt idx="20">
                  <c:v>1.286</c:v>
                </c:pt>
                <c:pt idx="21">
                  <c:v>1.5760000000000001</c:v>
                </c:pt>
                <c:pt idx="22">
                  <c:v>1.78</c:v>
                </c:pt>
                <c:pt idx="23">
                  <c:v>1.5820000000000001</c:v>
                </c:pt>
                <c:pt idx="24">
                  <c:v>1.456</c:v>
                </c:pt>
                <c:pt idx="25">
                  <c:v>1.585</c:v>
                </c:pt>
                <c:pt idx="26">
                  <c:v>1.8520000000000001</c:v>
                </c:pt>
                <c:pt idx="27">
                  <c:v>2.1680000000000001</c:v>
                </c:pt>
                <c:pt idx="28">
                  <c:v>2.4249999999999998</c:v>
                </c:pt>
                <c:pt idx="29">
                  <c:v>2.9169999999999998</c:v>
                </c:pt>
                <c:pt idx="30">
                  <c:v>3.2440000000000002</c:v>
                </c:pt>
                <c:pt idx="31">
                  <c:v>3.4460000000000002</c:v>
                </c:pt>
                <c:pt idx="32">
                  <c:v>3.9159999999999999</c:v>
                </c:pt>
                <c:pt idx="33">
                  <c:v>4.4690000000000003</c:v>
                </c:pt>
                <c:pt idx="34">
                  <c:v>4.9249999999999998</c:v>
                </c:pt>
                <c:pt idx="35">
                  <c:v>5.24</c:v>
                </c:pt>
                <c:pt idx="36">
                  <c:v>5.2350000000000003</c:v>
                </c:pt>
                <c:pt idx="37">
                  <c:v>5.383</c:v>
                </c:pt>
                <c:pt idx="38">
                  <c:v>5.8339999999999996</c:v>
                </c:pt>
                <c:pt idx="39">
                  <c:v>6.2</c:v>
                </c:pt>
                <c:pt idx="40">
                  <c:v>6.8739999999999997</c:v>
                </c:pt>
                <c:pt idx="41">
                  <c:v>7.0759999999999996</c:v>
                </c:pt>
                <c:pt idx="42">
                  <c:v>7.56</c:v>
                </c:pt>
                <c:pt idx="43">
                  <c:v>7.6760000000000002</c:v>
                </c:pt>
                <c:pt idx="44">
                  <c:v>7.665</c:v>
                </c:pt>
                <c:pt idx="45">
                  <c:v>7.5990000000000002</c:v>
                </c:pt>
                <c:pt idx="46">
                  <c:v>7.4560000000000004</c:v>
                </c:pt>
                <c:pt idx="47">
                  <c:v>7.8319999999999999</c:v>
                </c:pt>
                <c:pt idx="48">
                  <c:v>7.8639999999999999</c:v>
                </c:pt>
                <c:pt idx="49">
                  <c:v>8.0589999999999993</c:v>
                </c:pt>
                <c:pt idx="50">
                  <c:v>7.8150000000000004</c:v>
                </c:pt>
                <c:pt idx="51">
                  <c:v>7.6769999999999996</c:v>
                </c:pt>
                <c:pt idx="52">
                  <c:v>7.5979999999999999</c:v>
                </c:pt>
                <c:pt idx="53">
                  <c:v>7.3010000000000002</c:v>
                </c:pt>
                <c:pt idx="54">
                  <c:v>7.4340000000000002</c:v>
                </c:pt>
                <c:pt idx="55">
                  <c:v>7.4139999999999997</c:v>
                </c:pt>
                <c:pt idx="56">
                  <c:v>7.415</c:v>
                </c:pt>
                <c:pt idx="57">
                  <c:v>7.0730000000000004</c:v>
                </c:pt>
                <c:pt idx="58">
                  <c:v>6.5640000000000001</c:v>
                </c:pt>
                <c:pt idx="59">
                  <c:v>5.8970000000000002</c:v>
                </c:pt>
                <c:pt idx="60">
                  <c:v>5.5640000000000001</c:v>
                </c:pt>
                <c:pt idx="61">
                  <c:v>5.3780000000000001</c:v>
                </c:pt>
                <c:pt idx="62">
                  <c:v>5.35</c:v>
                </c:pt>
                <c:pt idx="63">
                  <c:v>5.1879999999999997</c:v>
                </c:pt>
                <c:pt idx="64">
                  <c:v>4.923</c:v>
                </c:pt>
                <c:pt idx="65">
                  <c:v>4.5869999999999997</c:v>
                </c:pt>
                <c:pt idx="66">
                  <c:v>4.26</c:v>
                </c:pt>
                <c:pt idx="67">
                  <c:v>4.0199999999999996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F3-40A4-9680-92B919D32CFC}"/>
            </c:ext>
          </c:extLst>
        </c:ser>
        <c:ser>
          <c:idx val="1"/>
          <c:order val="1"/>
          <c:tx>
            <c:strRef>
              <c:f>'Chart Data'!$X$2</c:f>
              <c:strCache>
                <c:ptCount val="1"/>
                <c:pt idx="0">
                  <c:v>Prices - next year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Data'!$V$3:$V$71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Data'!$X$3:$X$71</c:f>
              <c:numCache>
                <c:formatCode>0.0</c:formatCode>
                <c:ptCount val="69"/>
                <c:pt idx="0">
                  <c:v>2.4649999999999999</c:v>
                </c:pt>
                <c:pt idx="1">
                  <c:v>2.423</c:v>
                </c:pt>
                <c:pt idx="2">
                  <c:v>2.387</c:v>
                </c:pt>
                <c:pt idx="3">
                  <c:v>2.448</c:v>
                </c:pt>
                <c:pt idx="4">
                  <c:v>2.3719999999999999</c:v>
                </c:pt>
                <c:pt idx="5">
                  <c:v>2.4</c:v>
                </c:pt>
                <c:pt idx="6">
                  <c:v>2.1949999999999998</c:v>
                </c:pt>
                <c:pt idx="7">
                  <c:v>2.1800000000000002</c:v>
                </c:pt>
                <c:pt idx="8">
                  <c:v>2.2469999999999999</c:v>
                </c:pt>
                <c:pt idx="9">
                  <c:v>2.2869999999999999</c:v>
                </c:pt>
                <c:pt idx="10">
                  <c:v>2.2509999999999999</c:v>
                </c:pt>
                <c:pt idx="11">
                  <c:v>2.2559999999999998</c:v>
                </c:pt>
                <c:pt idx="12">
                  <c:v>2.2240000000000002</c:v>
                </c:pt>
                <c:pt idx="13">
                  <c:v>2.206</c:v>
                </c:pt>
                <c:pt idx="14">
                  <c:v>1.954</c:v>
                </c:pt>
                <c:pt idx="15">
                  <c:v>1.649</c:v>
                </c:pt>
                <c:pt idx="16">
                  <c:v>1.403</c:v>
                </c:pt>
                <c:pt idx="17">
                  <c:v>1.3480000000000001</c:v>
                </c:pt>
                <c:pt idx="18">
                  <c:v>1.5</c:v>
                </c:pt>
                <c:pt idx="19">
                  <c:v>1.764</c:v>
                </c:pt>
                <c:pt idx="20">
                  <c:v>1.91</c:v>
                </c:pt>
                <c:pt idx="21">
                  <c:v>2.1440000000000001</c:v>
                </c:pt>
                <c:pt idx="22">
                  <c:v>2.1150000000000002</c:v>
                </c:pt>
                <c:pt idx="23">
                  <c:v>2.3839999999999999</c:v>
                </c:pt>
                <c:pt idx="24">
                  <c:v>2.4329999999999998</c:v>
                </c:pt>
                <c:pt idx="25">
                  <c:v>2.6419999999999999</c:v>
                </c:pt>
                <c:pt idx="26">
                  <c:v>2.7349999999999999</c:v>
                </c:pt>
                <c:pt idx="27">
                  <c:v>2.9449999999999998</c:v>
                </c:pt>
                <c:pt idx="28">
                  <c:v>3.1880000000000002</c:v>
                </c:pt>
                <c:pt idx="29">
                  <c:v>3.28</c:v>
                </c:pt>
                <c:pt idx="30">
                  <c:v>3.2090000000000001</c:v>
                </c:pt>
                <c:pt idx="31">
                  <c:v>3.133</c:v>
                </c:pt>
                <c:pt idx="32">
                  <c:v>3.4169999999999998</c:v>
                </c:pt>
                <c:pt idx="33">
                  <c:v>4.0119999999999996</c:v>
                </c:pt>
                <c:pt idx="34">
                  <c:v>4.4189999999999996</c:v>
                </c:pt>
                <c:pt idx="35">
                  <c:v>4.75</c:v>
                </c:pt>
                <c:pt idx="36">
                  <c:v>4.6900000000000004</c:v>
                </c:pt>
                <c:pt idx="37">
                  <c:v>4.8390000000000004</c:v>
                </c:pt>
                <c:pt idx="38">
                  <c:v>5.0960000000000001</c:v>
                </c:pt>
                <c:pt idx="39">
                  <c:v>5.5869999999999997</c:v>
                </c:pt>
                <c:pt idx="40">
                  <c:v>5.9169999999999998</c:v>
                </c:pt>
                <c:pt idx="41">
                  <c:v>6.0579999999999998</c:v>
                </c:pt>
                <c:pt idx="42">
                  <c:v>6.2809999999999997</c:v>
                </c:pt>
                <c:pt idx="43">
                  <c:v>6.4649999999999999</c:v>
                </c:pt>
                <c:pt idx="44">
                  <c:v>6.58</c:v>
                </c:pt>
                <c:pt idx="45">
                  <c:v>6.431</c:v>
                </c:pt>
                <c:pt idx="46">
                  <c:v>6.202</c:v>
                </c:pt>
                <c:pt idx="47">
                  <c:v>5.9169999999999998</c:v>
                </c:pt>
                <c:pt idx="48">
                  <c:v>5.7770000000000001</c:v>
                </c:pt>
                <c:pt idx="49">
                  <c:v>5.657</c:v>
                </c:pt>
                <c:pt idx="50">
                  <c:v>5.4989999999999997</c:v>
                </c:pt>
                <c:pt idx="51">
                  <c:v>5.5519999999999996</c:v>
                </c:pt>
                <c:pt idx="52">
                  <c:v>5.47</c:v>
                </c:pt>
                <c:pt idx="53">
                  <c:v>5.3220000000000001</c:v>
                </c:pt>
                <c:pt idx="54">
                  <c:v>5.1989999999999998</c:v>
                </c:pt>
                <c:pt idx="55">
                  <c:v>4.9829999999999997</c:v>
                </c:pt>
                <c:pt idx="56">
                  <c:v>4.8220000000000001</c:v>
                </c:pt>
                <c:pt idx="57">
                  <c:v>4.5259999999999998</c:v>
                </c:pt>
                <c:pt idx="58">
                  <c:v>4.4459999999999997</c:v>
                </c:pt>
                <c:pt idx="59">
                  <c:v>4.3819999999999997</c:v>
                </c:pt>
                <c:pt idx="60">
                  <c:v>4.3310000000000004</c:v>
                </c:pt>
                <c:pt idx="61">
                  <c:v>4.2809999999999997</c:v>
                </c:pt>
                <c:pt idx="62">
                  <c:v>4.1120000000000001</c:v>
                </c:pt>
                <c:pt idx="63">
                  <c:v>4.0060000000000002</c:v>
                </c:pt>
                <c:pt idx="64">
                  <c:v>3.9140000000000001</c:v>
                </c:pt>
                <c:pt idx="65">
                  <c:v>3.875</c:v>
                </c:pt>
                <c:pt idx="66">
                  <c:v>3.7029999999999998</c:v>
                </c:pt>
                <c:pt idx="67">
                  <c:v>3.5510000000000002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F3-40A4-9680-92B919D32CFC}"/>
            </c:ext>
          </c:extLst>
        </c:ser>
        <c:ser>
          <c:idx val="2"/>
          <c:order val="2"/>
          <c:tx>
            <c:strRef>
              <c:f>'Chart Data'!$Y$2</c:f>
              <c:strCache>
                <c:ptCount val="1"/>
                <c:pt idx="0">
                  <c:v>Wages - past year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Data'!$V$3:$V$71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Data'!$Y$3:$Y$71</c:f>
              <c:numCache>
                <c:formatCode>0.0</c:formatCode>
                <c:ptCount val="6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5.4509999999999996</c:v>
                </c:pt>
                <c:pt idx="41">
                  <c:v>5.5659999999999998</c:v>
                </c:pt>
                <c:pt idx="42">
                  <c:v>5.53</c:v>
                </c:pt>
                <c:pt idx="43">
                  <c:v>5.835</c:v>
                </c:pt>
                <c:pt idx="44">
                  <c:v>6.1</c:v>
                </c:pt>
                <c:pt idx="45">
                  <c:v>6.3010000000000002</c:v>
                </c:pt>
                <c:pt idx="46">
                  <c:v>6.2140000000000004</c:v>
                </c:pt>
                <c:pt idx="47">
                  <c:v>6.258</c:v>
                </c:pt>
                <c:pt idx="48">
                  <c:v>6.3369999999999997</c:v>
                </c:pt>
                <c:pt idx="49">
                  <c:v>6.51</c:v>
                </c:pt>
                <c:pt idx="50">
                  <c:v>6.4640000000000004</c:v>
                </c:pt>
                <c:pt idx="51">
                  <c:v>6.5570000000000004</c:v>
                </c:pt>
                <c:pt idx="52">
                  <c:v>6.6029999999999998</c:v>
                </c:pt>
                <c:pt idx="53">
                  <c:v>6.8280000000000003</c:v>
                </c:pt>
                <c:pt idx="54">
                  <c:v>6.8529999999999998</c:v>
                </c:pt>
                <c:pt idx="55">
                  <c:v>6.9</c:v>
                </c:pt>
                <c:pt idx="56">
                  <c:v>6.8730000000000002</c:v>
                </c:pt>
                <c:pt idx="57">
                  <c:v>6.9210000000000003</c:v>
                </c:pt>
                <c:pt idx="58">
                  <c:v>6.9550000000000001</c:v>
                </c:pt>
                <c:pt idx="59">
                  <c:v>6.9349999999999996</c:v>
                </c:pt>
                <c:pt idx="60">
                  <c:v>6.8520000000000003</c:v>
                </c:pt>
                <c:pt idx="61">
                  <c:v>6.6879999999999997</c:v>
                </c:pt>
                <c:pt idx="62">
                  <c:v>6.3739999999999997</c:v>
                </c:pt>
                <c:pt idx="63">
                  <c:v>6.1740000000000004</c:v>
                </c:pt>
                <c:pt idx="64">
                  <c:v>6.0279999999999996</c:v>
                </c:pt>
                <c:pt idx="65">
                  <c:v>5.9790000000000001</c:v>
                </c:pt>
                <c:pt idx="66">
                  <c:v>5.8819999999999997</c:v>
                </c:pt>
                <c:pt idx="67">
                  <c:v>5.7709999999999999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F3-40A4-9680-92B919D32CFC}"/>
            </c:ext>
          </c:extLst>
        </c:ser>
        <c:ser>
          <c:idx val="3"/>
          <c:order val="3"/>
          <c:tx>
            <c:strRef>
              <c:f>'Chart Data'!$Z$2</c:f>
              <c:strCache>
                <c:ptCount val="1"/>
                <c:pt idx="0">
                  <c:v>Wages - next year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'Chart Data'!$V$3:$V$71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Data'!$Z$3:$Z$71</c:f>
              <c:numCache>
                <c:formatCode>0.0</c:formatCode>
                <c:ptCount val="6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4.774</c:v>
                </c:pt>
                <c:pt idx="41">
                  <c:v>4.9329999999999998</c:v>
                </c:pt>
                <c:pt idx="42">
                  <c:v>5.0129999999999999</c:v>
                </c:pt>
                <c:pt idx="43">
                  <c:v>5.2450000000000001</c:v>
                </c:pt>
                <c:pt idx="44">
                  <c:v>5.5030000000000001</c:v>
                </c:pt>
                <c:pt idx="45">
                  <c:v>5.7249999999999996</c:v>
                </c:pt>
                <c:pt idx="46">
                  <c:v>5.8280000000000003</c:v>
                </c:pt>
                <c:pt idx="47">
                  <c:v>5.9740000000000002</c:v>
                </c:pt>
                <c:pt idx="48">
                  <c:v>5.9329999999999998</c:v>
                </c:pt>
                <c:pt idx="49">
                  <c:v>5.923</c:v>
                </c:pt>
                <c:pt idx="50">
                  <c:v>5.6779999999999999</c:v>
                </c:pt>
                <c:pt idx="51">
                  <c:v>5.5650000000000004</c:v>
                </c:pt>
                <c:pt idx="52">
                  <c:v>5.3840000000000003</c:v>
                </c:pt>
                <c:pt idx="53">
                  <c:v>5.306</c:v>
                </c:pt>
                <c:pt idx="54">
                  <c:v>5.1829999999999998</c:v>
                </c:pt>
                <c:pt idx="55">
                  <c:v>5.1109999999999998</c:v>
                </c:pt>
                <c:pt idx="56">
                  <c:v>5.0750000000000002</c:v>
                </c:pt>
                <c:pt idx="57">
                  <c:v>5.1029999999999998</c:v>
                </c:pt>
                <c:pt idx="58">
                  <c:v>5.1420000000000003</c:v>
                </c:pt>
                <c:pt idx="59">
                  <c:v>5.2110000000000003</c:v>
                </c:pt>
                <c:pt idx="60">
                  <c:v>5.2270000000000003</c:v>
                </c:pt>
                <c:pt idx="61">
                  <c:v>5.1689999999999996</c:v>
                </c:pt>
                <c:pt idx="62">
                  <c:v>4.9260000000000002</c:v>
                </c:pt>
                <c:pt idx="63">
                  <c:v>4.7519999999999998</c:v>
                </c:pt>
                <c:pt idx="64">
                  <c:v>4.4779999999999998</c:v>
                </c:pt>
                <c:pt idx="65">
                  <c:v>4.2389999999999999</c:v>
                </c:pt>
                <c:pt idx="66">
                  <c:v>4.0640000000000001</c:v>
                </c:pt>
                <c:pt idx="67">
                  <c:v>4.0679999999999996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F3-40A4-9680-92B919D32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8.3291123324005595E-2"/>
          <c:y val="0.14815433950393567"/>
          <c:w val="0.37549866133970417"/>
          <c:h val="0.2130772430080895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6926407491278243E-2"/>
          <c:y val="0.14714391023940784"/>
          <c:w val="0.92307359250872179"/>
          <c:h val="0.6674525726049148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Data'!$AC$2</c:f>
              <c:strCache>
                <c:ptCount val="1"/>
                <c:pt idx="0">
                  <c:v>Redemptions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>
                  <a:lumMod val="100000"/>
                </a:srgbClr>
              </a:solidFill>
              <a:prstDash val="solid"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Data'!$AB$3:$AB$8</c:f>
              <c:strCache>
                <c:ptCount val="6"/>
                <c:pt idx="0">
                  <c:v>2022/
2023</c:v>
                </c:pt>
                <c:pt idx="1">
                  <c:v>2023/
2024</c:v>
                </c:pt>
                <c:pt idx="2">
                  <c:v>2024/
2025</c:v>
                </c:pt>
                <c:pt idx="3">
                  <c:v>2025/
2026</c:v>
                </c:pt>
                <c:pt idx="4">
                  <c:v>2026/
2027</c:v>
                </c:pt>
                <c:pt idx="5">
                  <c:v>2027/
2028</c:v>
                </c:pt>
              </c:strCache>
            </c:strRef>
          </c:cat>
          <c:val>
            <c:numRef>
              <c:f>'Chart Data'!$AC$3:$AC$8</c:f>
              <c:numCache>
                <c:formatCode>0.0</c:formatCode>
                <c:ptCount val="6"/>
                <c:pt idx="0">
                  <c:v>37</c:v>
                </c:pt>
                <c:pt idx="1">
                  <c:v>50</c:v>
                </c:pt>
                <c:pt idx="2">
                  <c:v>87.187539232999995</c:v>
                </c:pt>
                <c:pt idx="3">
                  <c:v>49.127840932827311</c:v>
                </c:pt>
                <c:pt idx="4">
                  <c:v>30.505273803655086</c:v>
                </c:pt>
                <c:pt idx="5">
                  <c:v>29.223226360099716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'Chart Data'!$AD$2</c:f>
              <c:strCache>
                <c:ptCount val="1"/>
                <c:pt idx="0">
                  <c:v>Gilt sales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495057">
                  <a:lumMod val="100000"/>
                </a:srgbClr>
              </a:solidFill>
              <a:prstDash val="solid"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Data'!$AB$3:$AB$8</c:f>
              <c:strCache>
                <c:ptCount val="6"/>
                <c:pt idx="0">
                  <c:v>2022/
2023</c:v>
                </c:pt>
                <c:pt idx="1">
                  <c:v>2023/
2024</c:v>
                </c:pt>
                <c:pt idx="2">
                  <c:v>2024/
2025</c:v>
                </c:pt>
                <c:pt idx="3">
                  <c:v>2025/
2026</c:v>
                </c:pt>
                <c:pt idx="4">
                  <c:v>2026/
2027</c:v>
                </c:pt>
                <c:pt idx="5">
                  <c:v>2027/
2028</c:v>
                </c:pt>
              </c:strCache>
            </c:strRef>
          </c:cat>
          <c:val>
            <c:numRef>
              <c:f>'Chart Data'!$AD$3:$AD$8</c:f>
              <c:numCache>
                <c:formatCode>0.0</c:formatCode>
                <c:ptCount val="6"/>
                <c:pt idx="0">
                  <c:v>43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ser>
          <c:idx val="2"/>
          <c:order val="2"/>
          <c:tx>
            <c:strRef>
              <c:f>'Chart Data'!$AE$2</c:f>
              <c:strCache>
                <c:ptCount val="1"/>
                <c:pt idx="0">
                  <c:v>Gilt sales implied by BoE MaPS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>
                  <a:lumMod val="100000"/>
                </a:srgbClr>
              </a:solidFill>
              <a:prstDash val="solid"/>
            </a:ln>
          </c:spPr>
          <c:invertIfNegative val="0"/>
          <c:dLbls>
            <c:dLbl>
              <c:idx val="5"/>
              <c:layout>
                <c:manualLayout>
                  <c:x val="6.3276836158191976E-2"/>
                  <c:y val="-6.91489733052288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DF-4CA7-B755-112DA36EC95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solidFill>
                      <a:srgbClr val="495057"/>
                    </a:solidFill>
                    <a:latin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Data'!$AB$3:$AB$8</c:f>
              <c:strCache>
                <c:ptCount val="6"/>
                <c:pt idx="0">
                  <c:v>2022/
2023</c:v>
                </c:pt>
                <c:pt idx="1">
                  <c:v>2023/
2024</c:v>
                </c:pt>
                <c:pt idx="2">
                  <c:v>2024/
2025</c:v>
                </c:pt>
                <c:pt idx="3">
                  <c:v>2025/
2026</c:v>
                </c:pt>
                <c:pt idx="4">
                  <c:v>2026/
2027</c:v>
                </c:pt>
                <c:pt idx="5">
                  <c:v>2027/
2028</c:v>
                </c:pt>
              </c:strCache>
            </c:strRef>
          </c:cat>
          <c:val>
            <c:numRef>
              <c:f>'Chart Data'!$AE$3:$AE$8</c:f>
              <c:numCache>
                <c:formatCode>0.0</c:formatCode>
                <c:ptCount val="6"/>
                <c:pt idx="2">
                  <c:v>12.812460767000005</c:v>
                </c:pt>
                <c:pt idx="3">
                  <c:v>25.872159067172689</c:v>
                </c:pt>
                <c:pt idx="4">
                  <c:v>19.494726196344914</c:v>
                </c:pt>
                <c:pt idx="5">
                  <c:v>1.7767736399002843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3"/>
          <c:order val="3"/>
          <c:tx>
            <c:strRef>
              <c:f>'Chart Data'!$AF$2</c:f>
              <c:strCache>
                <c:ptCount val="1"/>
                <c:pt idx="0">
                  <c:v>Total run down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2"/>
            <c:spPr>
              <a:solidFill>
                <a:sysClr val="window" lastClr="FFFFFF"/>
              </a:solidFill>
              <a:ln w="6350">
                <a:solidFill>
                  <a:srgbClr val="495057">
                    <a:lumMod val="100000"/>
                  </a:srgbClr>
                </a:solidFill>
              </a:ln>
            </c:spPr>
          </c:marker>
          <c:cat>
            <c:strRef>
              <c:f>'Chart Data'!$AB$3:$AB$8</c:f>
              <c:strCache>
                <c:ptCount val="6"/>
                <c:pt idx="0">
                  <c:v>2022/
2023</c:v>
                </c:pt>
                <c:pt idx="1">
                  <c:v>2023/
2024</c:v>
                </c:pt>
                <c:pt idx="2">
                  <c:v>2024/
2025</c:v>
                </c:pt>
                <c:pt idx="3">
                  <c:v>2025/
2026</c:v>
                </c:pt>
                <c:pt idx="4">
                  <c:v>2026/
2027</c:v>
                </c:pt>
                <c:pt idx="5">
                  <c:v>2027/
2028</c:v>
                </c:pt>
              </c:strCache>
            </c:strRef>
          </c:cat>
          <c:val>
            <c:numRef>
              <c:f>'Chart Data'!$AF$3:$AF$8</c:f>
              <c:numCache>
                <c:formatCode>0.0</c:formatCode>
                <c:ptCount val="6"/>
                <c:pt idx="0">
                  <c:v>80</c:v>
                </c:pt>
                <c:pt idx="1">
                  <c:v>100</c:v>
                </c:pt>
                <c:pt idx="2">
                  <c:v>100</c:v>
                </c:pt>
                <c:pt idx="3">
                  <c:v>75</c:v>
                </c:pt>
                <c:pt idx="4">
                  <c:v>50</c:v>
                </c:pt>
                <c:pt idx="5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0"/>
        <c:lblAlgn val="ctr"/>
        <c:lblOffset val="100"/>
        <c:noMultiLvlLbl val="0"/>
      </c:catAx>
      <c:valAx>
        <c:axId val="2759360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52063458547793795"/>
          <c:y val="0.10403944359226623"/>
          <c:w val="0.47785890271373782"/>
          <c:h val="0.21446063954525929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7A8AEB-9026-4071-8CA8-FF486C7FB4B1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73A614-DFB2-4D10-A1F5-9FFC6E4904F9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3B4D10-6FDD-419E-9FFB-41294AC41827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522AB06-1F2A-4518-B21F-562A49D8AC13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5B28DB3-8AA3-4A99-BB5A-B5DE7156131C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BB53473-9F91-4A51-9B3D-15BCBC634224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31FBE5C-4213-4D12-BEE0-74313D13F304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3AF1D8-9BC5-A961-EBAE-33A34642DD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0.49153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59B08933-CD9C-DA8D-6C60-F939A9F7A04B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0.00546</cdr:x>
      <cdr:y>0.00837</cdr:y>
    </cdr:from>
    <cdr:to>
      <cdr:x>0.96123</cdr:x>
      <cdr:y>0.09204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6EAE33F-6FFA-3F40-D319-32A880501DF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Services inflation &amp; private sector regular pay growth</a:t>
          </a:r>
        </a:p>
      </cdr:txBody>
    </cdr:sp>
  </cdr:relSizeAnchor>
  <cdr:relSizeAnchor xmlns:cdr="http://schemas.openxmlformats.org/drawingml/2006/chartDrawing">
    <cdr:from>
      <cdr:x>0.00546</cdr:x>
      <cdr:y>0.93704</cdr:y>
    </cdr:from>
    <cdr:to>
      <cdr:x>0.96123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2CDA029-752F-A72E-84D3-B926B60BF9F2}"/>
            </a:ext>
          </a:extLst>
        </cdr:cNvPr>
        <cdr:cNvSpPr/>
      </cdr:nvSpPr>
      <cdr:spPr>
        <a:xfrm xmlns:a="http://schemas.openxmlformats.org/drawingml/2006/main">
          <a:off x="50800" y="568888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Haver Analytics, Bank of England Monetary Policy Report, August 2024</a:t>
          </a:r>
        </a:p>
      </cdr:txBody>
    </cdr:sp>
  </cdr:relSizeAnchor>
  <cdr:relSizeAnchor xmlns:cdr="http://schemas.openxmlformats.org/drawingml/2006/chartDrawing">
    <cdr:from>
      <cdr:x>0.00678</cdr:x>
      <cdr:y>0.07546</cdr:y>
    </cdr:from>
    <cdr:to>
      <cdr:x>0.12542</cdr:x>
      <cdr:y>0.1264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F127075-7A8B-C6F7-9199-C7DB31A0410F}"/>
            </a:ext>
          </a:extLst>
        </cdr:cNvPr>
        <cdr:cNvSpPr txBox="1"/>
      </cdr:nvSpPr>
      <cdr:spPr>
        <a:xfrm xmlns:a="http://schemas.openxmlformats.org/drawingml/2006/main">
          <a:off x="57150" y="507475"/>
          <a:ext cx="1000125" cy="3425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0.05763</cdr:x>
      <cdr:y>0.73372</cdr:y>
    </cdr:from>
    <cdr:to>
      <cdr:x>0.4452</cdr:x>
      <cdr:y>0.79179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21040B8-0F7C-DAA7-9E49-F2F6CCD388A0}"/>
            </a:ext>
          </a:extLst>
        </cdr:cNvPr>
        <cdr:cNvSpPr txBox="1"/>
      </cdr:nvSpPr>
      <cdr:spPr>
        <a:xfrm xmlns:a="http://schemas.openxmlformats.org/drawingml/2006/main">
          <a:off x="485775" y="4940977"/>
          <a:ext cx="3267075" cy="3910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Services CPI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0.05122</cdr:x>
      <cdr:y>0.07687</cdr:y>
    </cdr:from>
    <cdr:to>
      <cdr:x>0.44667</cdr:x>
      <cdr:y>0.12781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F127075-7A8B-C6F7-9199-C7DB31A0410F}"/>
            </a:ext>
          </a:extLst>
        </cdr:cNvPr>
        <cdr:cNvSpPr txBox="1"/>
      </cdr:nvSpPr>
      <cdr:spPr>
        <a:xfrm xmlns:a="http://schemas.openxmlformats.org/drawingml/2006/main">
          <a:off x="219561" y="517686"/>
          <a:ext cx="1694964" cy="3430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0.16</cdr:x>
      <cdr:y>0.73419</cdr:y>
    </cdr:from>
    <cdr:to>
      <cdr:x>0.93111</cdr:x>
      <cdr:y>0.79226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3CA33B20-3251-0AD5-84D4-00F41793950F}"/>
            </a:ext>
          </a:extLst>
        </cdr:cNvPr>
        <cdr:cNvSpPr txBox="1"/>
      </cdr:nvSpPr>
      <cdr:spPr>
        <a:xfrm xmlns:a="http://schemas.openxmlformats.org/drawingml/2006/main">
          <a:off x="685799" y="4944134"/>
          <a:ext cx="3305175" cy="3910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Private sector regular pay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7FAC4F-57FB-3127-2440-70864D133EE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2742C6-CCFB-DC8F-311A-69C386521CC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Market interest rate expectations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B5A231B-05A0-442B-0D18-98DF74B30BB7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0.00679</cdr:x>
      <cdr:y>0.07277</cdr:y>
    </cdr:from>
    <cdr:to>
      <cdr:x>0.11996</cdr:x>
      <cdr:y>0.1238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15F579-BFCF-5421-6A95-0F09F0EA9B90}"/>
            </a:ext>
          </a:extLst>
        </cdr:cNvPr>
        <cdr:cNvSpPr txBox="1"/>
      </cdr:nvSpPr>
      <cdr:spPr>
        <a:xfrm xmlns:a="http://schemas.openxmlformats.org/drawingml/2006/main">
          <a:off x="57150" y="488950"/>
          <a:ext cx="9525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D87B24-8AAE-27BE-C36A-0462BF8E06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2742C6-CCFB-DC8F-311A-69C386521CC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Market interest rate expectations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B5A231B-05A0-442B-0D18-98DF74B30BB7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0.00679</cdr:x>
      <cdr:y>0.07277</cdr:y>
    </cdr:from>
    <cdr:to>
      <cdr:x>0.11996</cdr:x>
      <cdr:y>0.1238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15F579-BFCF-5421-6A95-0F09F0EA9B90}"/>
            </a:ext>
          </a:extLst>
        </cdr:cNvPr>
        <cdr:cNvSpPr txBox="1"/>
      </cdr:nvSpPr>
      <cdr:spPr>
        <a:xfrm xmlns:a="http://schemas.openxmlformats.org/drawingml/2006/main">
          <a:off x="57150" y="488950"/>
          <a:ext cx="9525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38E764-80A6-CFB4-23C3-82B554B26A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364AA7B-B048-3DE9-051D-F8A49D91187A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inflation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71A7310-4C9D-8FA7-207F-643531DD8C21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Bank of England, HMT </a:t>
          </a:r>
        </a:p>
      </cdr:txBody>
    </cdr:sp>
  </cdr:relSizeAnchor>
  <cdr:relSizeAnchor xmlns:cdr="http://schemas.openxmlformats.org/drawingml/2006/chartDrawing">
    <cdr:from>
      <cdr:x>0.00792</cdr:x>
      <cdr:y>0.07135</cdr:y>
    </cdr:from>
    <cdr:to>
      <cdr:x>0.15051</cdr:x>
      <cdr:y>0.12238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D820D13-B23C-21CB-C58E-8D83583E084E}"/>
            </a:ext>
          </a:extLst>
        </cdr:cNvPr>
        <cdr:cNvSpPr txBox="1"/>
      </cdr:nvSpPr>
      <cdr:spPr>
        <a:xfrm xmlns:a="http://schemas.openxmlformats.org/drawingml/2006/main">
          <a:off x="66675" y="479425"/>
          <a:ext cx="120015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0.09944</cdr:x>
      <cdr:y>0.74823</cdr:y>
    </cdr:from>
    <cdr:to>
      <cdr:x>0.65424</cdr:x>
      <cdr:y>0.86421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FF6D87F-88DA-0D47-0C0F-367B960F50B3}"/>
            </a:ext>
          </a:extLst>
        </cdr:cNvPr>
        <cdr:cNvSpPr txBox="1"/>
      </cdr:nvSpPr>
      <cdr:spPr>
        <a:xfrm xmlns:a="http://schemas.openxmlformats.org/drawingml/2006/main">
          <a:off x="838201" y="5038725"/>
          <a:ext cx="4676774" cy="781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6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Note: OE forecast is based on our profile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for Bank Rate, which is lower than </a:t>
          </a:r>
          <a:r>
            <a:rPr lang="en-GB" sz="16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the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market curve</a:t>
          </a:r>
          <a:endParaRPr lang="en-GB" sz="16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430070" cy="67298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509BFA-5270-5681-C650-1ABCF94FE06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B10E2A3-FB75-17A7-FC39-C49CD944830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Bank of England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Decision Maker Panel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99E05B53-51A9-D36C-7FE7-908B64D9586E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0.00339</cdr:x>
      <cdr:y>0.07407</cdr:y>
    </cdr:from>
    <cdr:to>
      <cdr:x>0.1315</cdr:x>
      <cdr:y>0.12502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B009382-E795-F8B1-067E-AD6F504AFE32}"/>
            </a:ext>
          </a:extLst>
        </cdr:cNvPr>
        <cdr:cNvSpPr txBox="1"/>
      </cdr:nvSpPr>
      <cdr:spPr>
        <a:xfrm xmlns:a="http://schemas.openxmlformats.org/drawingml/2006/main">
          <a:off x="28575" y="498475"/>
          <a:ext cx="108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430070" cy="67298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54CCD3-8D6D-C8A2-3ABB-F63A825E69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B10E2A3-FB75-17A7-FC39-C49CD944830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Bank of England Decision Maker Panel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99E05B53-51A9-D36C-7FE7-908B64D9586E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0.00339</cdr:x>
      <cdr:y>0.07407</cdr:y>
    </cdr:from>
    <cdr:to>
      <cdr:x>0.49602</cdr:x>
      <cdr:y>0.12502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B009382-E795-F8B1-067E-AD6F504AFE32}"/>
            </a:ext>
          </a:extLst>
        </cdr:cNvPr>
        <cdr:cNvSpPr txBox="1"/>
      </cdr:nvSpPr>
      <cdr:spPr>
        <a:xfrm xmlns:a="http://schemas.openxmlformats.org/drawingml/2006/main">
          <a:off x="28577" y="498477"/>
          <a:ext cx="4152897" cy="342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3-months-on-3-months a year ago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0D2594-517D-C01B-D213-5DDD53B63FE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A04846B-81B5-22E1-D457-10F3A7BFE343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Asset Purchase Facility - gilt sales and redemptions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C40902D-6C4C-1F05-397A-D670AF6177ED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 calculations using data from Haver Analytics &amp; Bank of England</a:t>
          </a:r>
        </a:p>
      </cdr:txBody>
    </cdr:sp>
  </cdr:relSizeAnchor>
  <cdr:relSizeAnchor xmlns:cdr="http://schemas.openxmlformats.org/drawingml/2006/chartDrawing">
    <cdr:from>
      <cdr:x>0.38378</cdr:x>
      <cdr:y>0.13399</cdr:y>
    </cdr:from>
    <cdr:to>
      <cdr:x>0.38378</cdr:x>
      <cdr:y>0.8187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2064FD7B-9953-F78E-2AA3-32930957FD16}"/>
            </a:ext>
          </a:extLst>
        </cdr:cNvPr>
        <cdr:cNvCxnSpPr/>
      </cdr:nvCxnSpPr>
      <cdr:spPr>
        <a:xfrm xmlns:a="http://schemas.openxmlformats.org/drawingml/2006/main">
          <a:off x="3235325" y="901700"/>
          <a:ext cx="0" cy="46080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0.72506</cdr:x>
      <cdr:y>0.38686</cdr:y>
    </cdr:from>
    <cdr:to>
      <cdr:x>0.87571</cdr:x>
      <cdr:y>0.46612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ECA3D767-8EB6-67BA-A45F-97BFDF2DD7DE}"/>
            </a:ext>
          </a:extLst>
        </cdr:cNvPr>
        <cdr:cNvSpPr txBox="1"/>
      </cdr:nvSpPr>
      <cdr:spPr>
        <a:xfrm xmlns:a="http://schemas.openxmlformats.org/drawingml/2006/main">
          <a:off x="6112320" y="2603500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0.07124</cdr:y>
    </cdr:from>
    <cdr:to>
      <cdr:x>0.12811</cdr:x>
      <cdr:y>0.12219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894688C-7DA2-CAE8-95CA-6AD647E2A5DA}"/>
            </a:ext>
          </a:extLst>
        </cdr:cNvPr>
        <cdr:cNvSpPr txBox="1"/>
      </cdr:nvSpPr>
      <cdr:spPr>
        <a:xfrm xmlns:a="http://schemas.openxmlformats.org/drawingml/2006/main">
          <a:off x="0" y="479425"/>
          <a:ext cx="108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£bn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OMMON\99I2K\Group3\forecast\Pre%20Budget%20Reports\PBR%202006\Summer%20changes\CTPBR06L_orig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PROF99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orecast\hist20\CHSPD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M\Forecast\Bud05\PostBudget05_reconcile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orecast\hist20\HIS19FI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sisdata7\homedirs\Program%20Files\FileNET\IDM\Cache\2003012410152300001\all%20the%20chart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Misc\jrr\From%20CVH\US%20securities%20houses%20CRA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blp\Wintrv\data\G10fsd\Misc\amp\FSR%20december\for%20alex%20bowen%20from%20jun%20fsr%20equity%20implied%20vol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PRD\G10%20Countries\RA's\New%20chart%20pack\Europe%20chartpack\Europe%20BB%20dat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G10%20Countries\RA's\Weekly\LCFI%20weekl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eekly%20dat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G10fsd\G10%20Countries\RA's\Weekly\Japa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backup\backup\JP%20Bond%20data%20(dropped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G10%20Countries\RA's\Weekly\US%20week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kyv\CheckOut\Long-term%20model%202009%7bdb5-doc3966101-ma1-mi14%7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UK99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ECD\10.%20Personal\Nick%20B\Business\Global_PMIs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3%20Q1\CEC\Global%20and%20Financial\Final\Chart%202.2%20Global%20GDP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Div6\Monetary%20Policy%20Report\2020%20Q4\Current%20Economic%20Conditions\D&amp;O,%20Supply,%20Costs%20and%20Prices\MPC%20circulation%20Charts\Chart%202.20%20-%20house%20price%20inflatio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ECD\10.%20Personal\Nick%20B\CKP\GFK_CC_OP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3%20Q2\CEC\Global%20&amp;%20Financial\Final\Chart%202.2%20NEW_Daily%20Gas,%20Energy%20and%20Commodity%20Monitor%20FINAL%20DATA%20CUT%20OFF.xlsb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2%20Q1\Bottlenecks\Final\Chart%20D%20-%20Freight%20Index%20Chart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324202\AppData\Local\Microsoft\Windows\INetCache\Content.Outlook\B705OCS4\Weights%20-%20Oct%202020%20WEO%202020%20Pink%20Boo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puts"/>
      <sheetName val="Determinant analysis"/>
      <sheetName val="Model output"/>
      <sheetName val="CTA output"/>
      <sheetName val="Model growth rates"/>
      <sheetName val="HIC Total"/>
      <sheetName val="FIN Total"/>
      <sheetName val="Main calcs"/>
      <sheetName val="Summary"/>
      <sheetName val="Diagnostics"/>
      <sheetName val="CT on gains"/>
      <sheetName val="A9 summary"/>
      <sheetName val="GR regressions"/>
      <sheetName val="L-P regressions"/>
      <sheetName val="Chart 3.11"/>
      <sheetName val="Exec Summary"/>
      <sheetName val="Sheet2"/>
      <sheetName val="Model_inputs"/>
      <sheetName val="Determinant_analysis"/>
      <sheetName val="Model_output"/>
      <sheetName val="CTA_output"/>
      <sheetName val="Model_growth_rates"/>
      <sheetName val="HIC_Total"/>
      <sheetName val="FIN_Total"/>
      <sheetName val="Main_calcs"/>
      <sheetName val="CT_on_gains"/>
      <sheetName val="A9_summary"/>
      <sheetName val="GR_regressions"/>
      <sheetName val="L-P_regressions"/>
      <sheetName val="Chart_3_11"/>
      <sheetName val="Exec_Summary"/>
      <sheetName val="Model_inputs1"/>
      <sheetName val="Determinant_analysis1"/>
      <sheetName val="Model_output1"/>
      <sheetName val="CTA_output1"/>
      <sheetName val="Model_growth_rates1"/>
      <sheetName val="HIC_Total1"/>
      <sheetName val="FIN_Total1"/>
      <sheetName val="Main_calcs1"/>
      <sheetName val="CT_on_gains1"/>
      <sheetName val="A9_summary1"/>
      <sheetName val="GR_regressions1"/>
      <sheetName val="L-P_regressions1"/>
      <sheetName val="Chart_3_111"/>
      <sheetName val="Exec_Summary1"/>
      <sheetName val="BigChart"/>
      <sheetName val="Model_inputs2"/>
      <sheetName val="Determinant_analysis2"/>
      <sheetName val="Model_output2"/>
      <sheetName val="CTA_output2"/>
      <sheetName val="Model_growth_rates2"/>
      <sheetName val="HIC_Total2"/>
      <sheetName val="FIN_Total2"/>
      <sheetName val="Main_calcs2"/>
      <sheetName val="CT_on_gains2"/>
      <sheetName val="A9_summary2"/>
      <sheetName val="GR_regressions2"/>
      <sheetName val="L-P_regressions2"/>
      <sheetName val="Chart_3_112"/>
      <sheetName val="Exec_Summary2"/>
      <sheetName val="Buget Reconciliation page"/>
      <sheetName val="Model_inputs3"/>
      <sheetName val="Determinant_analysis3"/>
      <sheetName val="Model_output3"/>
      <sheetName val="CTA_output3"/>
      <sheetName val="Model_growth_rates3"/>
      <sheetName val="HIC_Total3"/>
      <sheetName val="FIN_Total3"/>
      <sheetName val="Main_calcs3"/>
      <sheetName val="CT_on_gains3"/>
      <sheetName val="A9_summary3"/>
      <sheetName val="GR_regressions3"/>
      <sheetName val="L-P_regressions3"/>
      <sheetName val="Chart_3_113"/>
      <sheetName val="Exec_Summary3"/>
      <sheetName val="Buget_Reconciliation_page"/>
      <sheetName val="Model_inputs4"/>
      <sheetName val="Determinant_analysis4"/>
      <sheetName val="Model_output4"/>
      <sheetName val="CTA_output4"/>
      <sheetName val="Model_growth_rates4"/>
      <sheetName val="HIC_Total4"/>
      <sheetName val="FIN_Total4"/>
      <sheetName val="Main_calcs4"/>
      <sheetName val="CT_on_gains4"/>
      <sheetName val="A9_summary4"/>
      <sheetName val="GR_regressions4"/>
      <sheetName val="L-P_regressions4"/>
      <sheetName val="Chart_3_114"/>
      <sheetName val="Exec_Summary4"/>
      <sheetName val="Buget_Reconciliation_page1"/>
      <sheetName val="Data Variables"/>
      <sheetName val="Savings Uplifts"/>
      <sheetName val="Lookup"/>
      <sheetName val="Model_inputs5"/>
      <sheetName val="Determinant_analysis5"/>
      <sheetName val="Model_output5"/>
      <sheetName val="CTA_output5"/>
      <sheetName val="Model_growth_rates5"/>
      <sheetName val="HIC_Total5"/>
      <sheetName val="FIN_Total5"/>
      <sheetName val="Main_calcs5"/>
      <sheetName val="CT_on_gains5"/>
      <sheetName val="A9_summary5"/>
      <sheetName val="GR_regressions5"/>
      <sheetName val="L-P_regressions5"/>
      <sheetName val="Chart_3_115"/>
      <sheetName val="Exec_Summary5"/>
      <sheetName val="Buget_Reconciliation_page2"/>
      <sheetName val="Data_Variables"/>
      <sheetName val="Savings_Uplifts"/>
      <sheetName val="GDP forecast"/>
      <sheetName val="CTPBR06L_original"/>
      <sheetName val="Model_inputs6"/>
      <sheetName val="Determinant_analysis6"/>
      <sheetName val="Model_output6"/>
      <sheetName val="CTA_output6"/>
      <sheetName val="Model_growth_rates6"/>
      <sheetName val="HIC_Total6"/>
      <sheetName val="FIN_Total6"/>
      <sheetName val="Main_calcs6"/>
      <sheetName val="CT_on_gains6"/>
      <sheetName val="A9_summary6"/>
      <sheetName val="GR_regressions6"/>
      <sheetName val="L-P_regressions6"/>
      <sheetName val="Chart_3_116"/>
      <sheetName val="Exec_Summary6"/>
      <sheetName val="Buget_Reconciliation_page3"/>
      <sheetName val="Data_Variables1"/>
      <sheetName val="Savings_Uplifts1"/>
      <sheetName val="Carbon Budget clearance (Nov)"/>
      <sheetName val="CHGSPD19.FIN"/>
      <sheetName val="T3 Page 1"/>
      <sheetName val="HIS19FIN(A)"/>
      <sheetName val="FC Page 1"/>
      <sheetName val="4.6 ten year bonds"/>
      <sheetName val="Population"/>
      <sheetName val="UK99"/>
      <sheetName val="IPE-Data-from webpage"/>
      <sheetName val="Wholesale Raw"/>
      <sheetName val="1.1"/>
      <sheetName val="Forecast data"/>
      <sheetName val="Data"/>
      <sheetName val="weekly"/>
      <sheetName val="SUMMARY TABLE"/>
      <sheetName val="USGC"/>
      <sheetName val="BR1 Form"/>
      <sheetName val="Section A"/>
      <sheetName val="CTB Form"/>
      <sheetName val="Part 1"/>
      <sheetName val="151120 ASC bill diff regional"/>
      <sheetName val="Table5.1 LRL North E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data"/>
      <sheetName val="Intro - read first"/>
      <sheetName val="Imp VAT"/>
      <sheetName val="Home VAT"/>
      <sheetName val="VATgraph"/>
      <sheetName val="Tobacco"/>
      <sheetName val="Spirits"/>
      <sheetName val="Beer"/>
      <sheetName val="Wine"/>
      <sheetName val="Cider"/>
      <sheetName val="B&amp;G"/>
      <sheetName val="Customs"/>
      <sheetName val="APD"/>
      <sheetName val="IPT"/>
      <sheetName val="Landfill"/>
      <sheetName val="Reb oils"/>
      <sheetName val="Petrol"/>
      <sheetName val="Derv"/>
      <sheetName val="Oilgraph"/>
      <sheetName val="Tables 1 &amp; 2"/>
      <sheetName val="April"/>
      <sheetName val="Daily (2)"/>
      <sheetName val="Proportions"/>
      <sheetName val="Comparison"/>
      <sheetName val="CGBR table"/>
      <sheetName val="BIS table"/>
      <sheetName val="Tob accs"/>
      <sheetName val="Accruals"/>
      <sheetName val="Acc adj"/>
      <sheetName val="Data validation"/>
      <sheetName val="Forecast_data"/>
      <sheetName val="Intro_-_read_first"/>
      <sheetName val="Imp_VAT"/>
      <sheetName val="Home_VAT"/>
      <sheetName val="Reb_oils"/>
      <sheetName val="Tables_1_&amp;_2"/>
      <sheetName val="Daily_(2)"/>
      <sheetName val="CGBR_table"/>
      <sheetName val="BIS_table"/>
      <sheetName val="Tob_accs"/>
      <sheetName val="Acc_adj"/>
      <sheetName val="Forecast_data1"/>
      <sheetName val="Intro_-_read_first1"/>
      <sheetName val="Imp_VAT1"/>
      <sheetName val="Home_VAT1"/>
      <sheetName val="Reb_oils1"/>
      <sheetName val="Tables_1_&amp;_21"/>
      <sheetName val="Daily_(2)1"/>
      <sheetName val="CGBR_table1"/>
      <sheetName val="BIS_table1"/>
      <sheetName val="Tob_accs1"/>
      <sheetName val="Acc_adj1"/>
      <sheetName val="Data_validation"/>
      <sheetName val="Forecast_data2"/>
      <sheetName val="Intro_-_read_first2"/>
      <sheetName val="Imp_VAT2"/>
      <sheetName val="Home_VAT2"/>
      <sheetName val="Reb_oils2"/>
      <sheetName val="Tables_1_&amp;_22"/>
      <sheetName val="Daily_(2)2"/>
      <sheetName val="CGBR_table2"/>
      <sheetName val="BIS_table2"/>
      <sheetName val="Tob_accs2"/>
      <sheetName val="Acc_adj2"/>
      <sheetName val="Data_validation1"/>
      <sheetName val="Forecast_data3"/>
      <sheetName val="Intro_-_read_first3"/>
      <sheetName val="Imp_VAT3"/>
      <sheetName val="Home_VAT3"/>
      <sheetName val="Reb_oils3"/>
      <sheetName val="Tables_1_&amp;_23"/>
      <sheetName val="Daily_(2)3"/>
      <sheetName val="CGBR_table3"/>
      <sheetName val="BIS_table3"/>
      <sheetName val="Tob_accs3"/>
      <sheetName val="Acc_adj3"/>
      <sheetName val="Data_validation2"/>
      <sheetName val="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GSPD19.FIN"/>
    </sheetNames>
    <sheetDataSet>
      <sheetData sheetId="0" refreshError="1">
        <row r="10">
          <cell r="A10">
            <v>1982</v>
          </cell>
          <cell r="B10">
            <v>5084</v>
          </cell>
          <cell r="H10">
            <v>5241.2908349754507</v>
          </cell>
        </row>
        <row r="11">
          <cell r="A11">
            <v>1983</v>
          </cell>
          <cell r="B11">
            <v>4554</v>
          </cell>
          <cell r="E11">
            <v>-10.424862313139261</v>
          </cell>
          <cell r="H11">
            <v>4722.0067399498357</v>
          </cell>
          <cell r="I11">
            <v>-9.907561159560176</v>
          </cell>
        </row>
        <row r="12">
          <cell r="A12">
            <v>1984</v>
          </cell>
          <cell r="B12">
            <v>5130</v>
          </cell>
          <cell r="E12">
            <v>12.648221343873518</v>
          </cell>
          <cell r="H12">
            <v>5475.2539986683105</v>
          </cell>
          <cell r="I12">
            <v>15.951846327234954</v>
          </cell>
        </row>
        <row r="13">
          <cell r="A13">
            <v>1985</v>
          </cell>
          <cell r="B13">
            <v>6391</v>
          </cell>
          <cell r="E13">
            <v>24.580896686159846</v>
          </cell>
          <cell r="H13">
            <v>6756.7525816828584</v>
          </cell>
          <cell r="I13">
            <v>23.40528098470379</v>
          </cell>
        </row>
        <row r="14">
          <cell r="A14">
            <v>1986</v>
          </cell>
          <cell r="B14">
            <v>5848</v>
          </cell>
          <cell r="E14">
            <v>-8.4963229541542802</v>
          </cell>
          <cell r="H14">
            <v>6745.3397444295488</v>
          </cell>
          <cell r="I14">
            <v>-0.16891009572037743</v>
          </cell>
        </row>
        <row r="15">
          <cell r="A15">
            <v>1987</v>
          </cell>
          <cell r="B15">
            <v>5980</v>
          </cell>
          <cell r="E15">
            <v>2.2571819425444595</v>
          </cell>
          <cell r="H15">
            <v>7026.5846624575506</v>
          </cell>
          <cell r="I15">
            <v>4.1694700146165378</v>
          </cell>
        </row>
        <row r="16">
          <cell r="A16">
            <v>1988</v>
          </cell>
          <cell r="B16">
            <v>9292.2999999999993</v>
          </cell>
          <cell r="E16">
            <v>55.389632107023402</v>
          </cell>
          <cell r="H16">
            <v>9521.9200076277339</v>
          </cell>
          <cell r="I16">
            <v>35.512777046614829</v>
          </cell>
        </row>
        <row r="17">
          <cell r="A17">
            <v>1989</v>
          </cell>
          <cell r="B17">
            <v>13887.5</v>
          </cell>
          <cell r="E17">
            <v>49.45169656597399</v>
          </cell>
          <cell r="H17">
            <v>16931.29699300892</v>
          </cell>
          <cell r="I17">
            <v>77.813896561258119</v>
          </cell>
        </row>
        <row r="18">
          <cell r="A18">
            <v>1990</v>
          </cell>
          <cell r="B18">
            <v>18208</v>
          </cell>
          <cell r="E18">
            <v>31.110711071107112</v>
          </cell>
          <cell r="H18">
            <v>21405.129196306531</v>
          </cell>
          <cell r="I18">
            <v>26.423446503507051</v>
          </cell>
        </row>
        <row r="19">
          <cell r="A19">
            <v>1991</v>
          </cell>
          <cell r="B19">
            <v>20553.400000000001</v>
          </cell>
          <cell r="E19">
            <v>12.881151142355016</v>
          </cell>
          <cell r="H19">
            <v>19019.031007703743</v>
          </cell>
          <cell r="I19">
            <v>-11.147319722856475</v>
          </cell>
        </row>
        <row r="20">
          <cell r="A20">
            <v>1992</v>
          </cell>
          <cell r="B20">
            <v>19974.599999999999</v>
          </cell>
          <cell r="E20">
            <v>-2.8160790915371803</v>
          </cell>
          <cell r="H20">
            <v>16626.411197813348</v>
          </cell>
          <cell r="I20">
            <v>-12.580135175768175</v>
          </cell>
        </row>
        <row r="21">
          <cell r="A21">
            <v>1993</v>
          </cell>
          <cell r="H21">
            <v>12410.183035376172</v>
          </cell>
          <cell r="I21">
            <v>-25.358618358913681</v>
          </cell>
        </row>
        <row r="22">
          <cell r="A22">
            <v>1994</v>
          </cell>
          <cell r="H22">
            <v>12000.136096917955</v>
          </cell>
          <cell r="I22">
            <v>-3.3041167667660289</v>
          </cell>
        </row>
        <row r="23">
          <cell r="A23">
            <v>1995</v>
          </cell>
          <cell r="H23">
            <v>13460.164062680713</v>
          </cell>
          <cell r="I23">
            <v>12.166761726458612</v>
          </cell>
        </row>
        <row r="24">
          <cell r="A24">
            <v>1996</v>
          </cell>
          <cell r="H24">
            <v>13230.39919269175</v>
          </cell>
          <cell r="I24">
            <v>-1.7069990300192783</v>
          </cell>
        </row>
        <row r="25">
          <cell r="A25">
            <v>1997</v>
          </cell>
          <cell r="H25">
            <v>13887.648186056666</v>
          </cell>
          <cell r="I25">
            <v>4.9677185381373006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External Inputs"/>
      <sheetName val="FAS Page 1"/>
      <sheetName val="FIN L-P regression"/>
      <sheetName val="HIC L-P regression"/>
      <sheetName val="FIN Rates"/>
      <sheetName val="Building Societies"/>
      <sheetName val="Rest of FIN"/>
      <sheetName val="FIN Total"/>
      <sheetName val="HIC Rates"/>
      <sheetName val="HIC Total"/>
      <sheetName val="FC Page 1"/>
      <sheetName val="T3 Page 1"/>
      <sheetName val="diff with last"/>
      <sheetName val="Repayments"/>
      <sheetName val="Budget 2005 measures"/>
      <sheetName val="PBR 2004 measures"/>
      <sheetName val="Previous Measures"/>
      <sheetName val="quarterly"/>
      <sheetName val="NG DATA"/>
      <sheetName val="NG HIC R7.3"/>
      <sheetName val="NG HIC R9.3"/>
      <sheetName val="NG FIN RA.3"/>
      <sheetName val="NG FIN RC.3"/>
      <sheetName val="CHGSPD19.FIN"/>
      <sheetName val="External_Inputs"/>
      <sheetName val="FAS_Page_1"/>
      <sheetName val="FIN_L-P_regression"/>
      <sheetName val="HIC_L-P_regression"/>
      <sheetName val="FIN_Rates"/>
      <sheetName val="Building_Societies"/>
      <sheetName val="Rest_of_FIN"/>
      <sheetName val="FIN_Total"/>
      <sheetName val="HIC_Rates"/>
      <sheetName val="HIC_Total"/>
      <sheetName val="FC_Page_1"/>
      <sheetName val="T3_Page_1"/>
      <sheetName val="diff_with_last"/>
      <sheetName val="Budget_2005_measures"/>
      <sheetName val="PBR_2004_measures"/>
      <sheetName val="Previous_Measures"/>
      <sheetName val="NG_DATA"/>
      <sheetName val="NG_HIC_R7_3"/>
      <sheetName val="NG_HIC_R9_3"/>
      <sheetName val="NG_FIN_RA_3"/>
      <sheetName val="NG_FIN_RC_3"/>
      <sheetName val="External_Inputs1"/>
      <sheetName val="FAS_Page_11"/>
      <sheetName val="FIN_L-P_regression1"/>
      <sheetName val="HIC_L-P_regression1"/>
      <sheetName val="FIN_Rates1"/>
      <sheetName val="Building_Societies1"/>
      <sheetName val="Rest_of_FIN1"/>
      <sheetName val="FIN_Total1"/>
      <sheetName val="HIC_Rates1"/>
      <sheetName val="HIC_Total1"/>
      <sheetName val="FC_Page_11"/>
      <sheetName val="T3_Page_11"/>
      <sheetName val="diff_with_last1"/>
      <sheetName val="Budget_2005_measures1"/>
      <sheetName val="PBR_2004_measures1"/>
      <sheetName val="Previous_Measures1"/>
      <sheetName val="NG_DATA1"/>
      <sheetName val="NG_HIC_R7_31"/>
      <sheetName val="NG_HIC_R9_31"/>
      <sheetName val="NG_FIN_RA_31"/>
      <sheetName val="NG_FIN_RC_31"/>
      <sheetName val="External_Inputs2"/>
      <sheetName val="FAS_Page_12"/>
      <sheetName val="FIN_L-P_regression2"/>
      <sheetName val="HIC_L-P_regression2"/>
      <sheetName val="FIN_Rates2"/>
      <sheetName val="Building_Societies2"/>
      <sheetName val="Rest_of_FIN2"/>
      <sheetName val="FIN_Total2"/>
      <sheetName val="HIC_Rates2"/>
      <sheetName val="HIC_Total2"/>
      <sheetName val="FC_Page_12"/>
      <sheetName val="T3_Page_12"/>
      <sheetName val="diff_with_last2"/>
      <sheetName val="Budget_2005_measures2"/>
      <sheetName val="PBR_2004_measures2"/>
      <sheetName val="Previous_Measures2"/>
      <sheetName val="NG_DATA2"/>
      <sheetName val="NG_HIC_R7_32"/>
      <sheetName val="NG_HIC_R9_32"/>
      <sheetName val="NG_FIN_RA_32"/>
      <sheetName val="NG_FIN_RC_32"/>
      <sheetName val="CHGSPD19_FIN"/>
      <sheetName val="External_Inputs3"/>
      <sheetName val="FAS_Page_13"/>
      <sheetName val="FIN_L-P_regression3"/>
      <sheetName val="HIC_L-P_regression3"/>
      <sheetName val="FIN_Rates3"/>
      <sheetName val="Building_Societies3"/>
      <sheetName val="Rest_of_FIN3"/>
      <sheetName val="FIN_Total3"/>
      <sheetName val="HIC_Rates3"/>
      <sheetName val="HIC_Total3"/>
      <sheetName val="FC_Page_13"/>
      <sheetName val="T3_Page_13"/>
      <sheetName val="diff_with_last3"/>
      <sheetName val="Budget_2005_measures3"/>
      <sheetName val="PBR_2004_measures3"/>
      <sheetName val="Previous_Measures3"/>
      <sheetName val="NG_DATA3"/>
      <sheetName val="NG_HIC_R7_33"/>
      <sheetName val="NG_HIC_R9_33"/>
      <sheetName val="NG_FIN_RA_33"/>
      <sheetName val="NG_FIN_RC_33"/>
      <sheetName val="CHGSPD19_FIN1"/>
      <sheetName val="External_Inputs4"/>
      <sheetName val="FAS_Page_14"/>
      <sheetName val="FIN_L-P_regression4"/>
      <sheetName val="HIC_L-P_regression4"/>
      <sheetName val="FIN_Rates4"/>
      <sheetName val="Building_Societies4"/>
      <sheetName val="Rest_of_FIN4"/>
      <sheetName val="FIN_Total4"/>
      <sheetName val="HIC_Rates4"/>
      <sheetName val="HIC_Total4"/>
      <sheetName val="FC_Page_14"/>
      <sheetName val="T3_Page_14"/>
      <sheetName val="diff_with_last4"/>
      <sheetName val="Budget_2005_measures4"/>
      <sheetName val="PBR_2004_measures4"/>
      <sheetName val="Previous_Measures4"/>
      <sheetName val="NG_DATA4"/>
      <sheetName val="NG_HIC_R7_34"/>
      <sheetName val="NG_HIC_R9_34"/>
      <sheetName val="NG_FIN_RA_34"/>
      <sheetName val="NG_FIN_RC_34"/>
      <sheetName val="CHGSPD19_FIN2"/>
      <sheetName val="External_Inputs5"/>
      <sheetName val="FAS_Page_15"/>
      <sheetName val="FIN_L-P_regression5"/>
      <sheetName val="HIC_L-P_regression5"/>
      <sheetName val="FIN_Rates5"/>
      <sheetName val="Building_Societies5"/>
      <sheetName val="Rest_of_FIN5"/>
      <sheetName val="FIN_Total5"/>
      <sheetName val="HIC_Rates5"/>
      <sheetName val="HIC_Total5"/>
      <sheetName val="FC_Page_15"/>
      <sheetName val="T3_Page_15"/>
      <sheetName val="diff_with_last5"/>
      <sheetName val="Budget_2005_measures5"/>
      <sheetName val="PBR_2004_measures5"/>
      <sheetName val="Previous_Measures5"/>
      <sheetName val="NG_DATA5"/>
      <sheetName val="NG_HIC_R7_35"/>
      <sheetName val="NG_HIC_R9_35"/>
      <sheetName val="NG_FIN_RA_35"/>
      <sheetName val="NG_FIN_RC_35"/>
      <sheetName val="CHGSPD19_FIN3"/>
      <sheetName val="External_Inputs6"/>
      <sheetName val="FAS_Page_16"/>
      <sheetName val="FIN_L-P_regression6"/>
      <sheetName val="HIC_L-P_regression6"/>
      <sheetName val="FIN_Rates6"/>
      <sheetName val="Building_Societies6"/>
      <sheetName val="Rest_of_FIN6"/>
      <sheetName val="FIN_Total6"/>
      <sheetName val="HIC_Rates6"/>
      <sheetName val="HIC_Total6"/>
      <sheetName val="FC_Page_16"/>
      <sheetName val="T3_Page_16"/>
      <sheetName val="diff_with_last6"/>
      <sheetName val="Budget_2005_measures6"/>
      <sheetName val="PBR_2004_measures6"/>
      <sheetName val="Previous_Measures6"/>
      <sheetName val="NG_DATA6"/>
      <sheetName val="NG_HIC_R7_36"/>
      <sheetName val="NG_HIC_R9_36"/>
      <sheetName val="NG_FIN_RA_36"/>
      <sheetName val="NG_FIN_RC_36"/>
      <sheetName val="CHGSPD19_FIN4"/>
      <sheetName val="weekly"/>
      <sheetName val="Drop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19FIN(A)"/>
    </sheetNames>
    <sheetDataSet>
      <sheetData sheetId="0" refreshError="1">
        <row r="59">
          <cell r="D59">
            <v>49896</v>
          </cell>
          <cell r="E59">
            <v>50276</v>
          </cell>
          <cell r="F59">
            <v>45966</v>
          </cell>
          <cell r="G59">
            <v>41788</v>
          </cell>
          <cell r="H59">
            <v>41669</v>
          </cell>
          <cell r="I59">
            <v>50498</v>
          </cell>
          <cell r="J59">
            <v>56928</v>
          </cell>
          <cell r="K59">
            <v>13990</v>
          </cell>
          <cell r="L59">
            <v>14858</v>
          </cell>
          <cell r="M59">
            <v>12645</v>
          </cell>
          <cell r="N59">
            <v>11496</v>
          </cell>
          <cell r="O59">
            <v>12551</v>
          </cell>
          <cell r="P59">
            <v>23608</v>
          </cell>
          <cell r="Q59">
            <v>22770</v>
          </cell>
        </row>
        <row r="61">
          <cell r="D61">
            <v>8.6439794773128104E-2</v>
          </cell>
          <cell r="E61">
            <v>6.6950433606492166E-2</v>
          </cell>
          <cell r="F61">
            <v>6.128442762041509E-2</v>
          </cell>
          <cell r="G61">
            <v>4.8052072365272328E-2</v>
          </cell>
          <cell r="H61">
            <v>5.1957090402937438E-2</v>
          </cell>
          <cell r="I61">
            <v>5.8358746881064599E-2</v>
          </cell>
          <cell r="J61">
            <v>5.4823636874648682E-2</v>
          </cell>
          <cell r="K61">
            <v>2.8377412437455327E-2</v>
          </cell>
          <cell r="L61">
            <v>3.0825144703190199E-2</v>
          </cell>
          <cell r="M61">
            <v>3.0525899565045471E-2</v>
          </cell>
          <cell r="N61">
            <v>4.0535838552540011E-2</v>
          </cell>
          <cell r="O61">
            <v>8.6287945183650711E-2</v>
          </cell>
          <cell r="P61">
            <v>9.3358183666553712E-2</v>
          </cell>
          <cell r="Q61">
            <v>3.1971892841458058E-2</v>
          </cell>
        </row>
        <row r="79">
          <cell r="D79">
            <v>8220</v>
          </cell>
          <cell r="E79">
            <v>11605</v>
          </cell>
          <cell r="F79">
            <v>15772</v>
          </cell>
          <cell r="G79">
            <v>18872</v>
          </cell>
          <cell r="H79">
            <v>17851</v>
          </cell>
          <cell r="I79">
            <v>16599</v>
          </cell>
        </row>
        <row r="83">
          <cell r="D83">
            <v>324.3</v>
          </cell>
          <cell r="E83">
            <v>1191.4000000000001</v>
          </cell>
          <cell r="F83">
            <v>1472</v>
          </cell>
          <cell r="G83">
            <v>4711.5</v>
          </cell>
          <cell r="H83">
            <v>3826.9</v>
          </cell>
          <cell r="I83">
            <v>3647</v>
          </cell>
        </row>
        <row r="95">
          <cell r="D95">
            <v>9.5466571891166127E-2</v>
          </cell>
          <cell r="E95">
            <v>0.11145074065365625</v>
          </cell>
          <cell r="F95">
            <v>0.12864093847897087</v>
          </cell>
          <cell r="G95">
            <v>0.14350581052307534</v>
          </cell>
          <cell r="H95">
            <v>0.1542719106920894</v>
          </cell>
          <cell r="I95">
            <v>0.10921389095108472</v>
          </cell>
          <cell r="J95">
            <v>8.9755851092625002E-2</v>
          </cell>
          <cell r="K95">
            <v>0.14001163128816516</v>
          </cell>
          <cell r="L95">
            <v>7.0516096065406236E-2</v>
          </cell>
          <cell r="M95">
            <v>6.7059965648569933E-2</v>
          </cell>
          <cell r="N95">
            <v>8.5541450115020873E-2</v>
          </cell>
          <cell r="O95">
            <v>8.6534902657487603E-2</v>
          </cell>
          <cell r="P95">
            <v>5.0708785439271965E-2</v>
          </cell>
          <cell r="Q95">
            <v>4.9075245988649818E-2</v>
          </cell>
        </row>
        <row r="97">
          <cell r="D97">
            <v>91.003102378490169</v>
          </cell>
          <cell r="E97">
            <v>83.509142053445856</v>
          </cell>
          <cell r="F97">
            <v>75.993091537132983</v>
          </cell>
          <cell r="G97">
            <v>75.080443332141584</v>
          </cell>
          <cell r="H97">
            <v>66.889632107023417</v>
          </cell>
          <cell r="I97">
            <v>96.299093655589118</v>
          </cell>
          <cell r="J97">
            <v>90.470446320868518</v>
          </cell>
          <cell r="K97">
            <v>14.122533748701974</v>
          </cell>
          <cell r="L97">
            <v>52.536231884057969</v>
          </cell>
          <cell r="M97">
            <v>63.028953229398667</v>
          </cell>
          <cell r="N97">
            <v>59.760956175298809</v>
          </cell>
          <cell r="O97">
            <v>51.32591958939264</v>
          </cell>
          <cell r="P97">
            <v>51.768766177739437</v>
          </cell>
          <cell r="Q97">
            <v>49.916805324459233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 1.1"/>
      <sheetName val="Frameworks comparison 2.1 2.2"/>
      <sheetName val="Figures 3.1 3.2"/>
      <sheetName val="Table 3.1"/>
      <sheetName val="3.1 Inflation expectations"/>
      <sheetName val="3.2 Taylor rules"/>
      <sheetName val="3.3 UK Taylor rule"/>
      <sheetName val="Chart 3.4"/>
      <sheetName val="3.5 10 years ahead"/>
      <sheetName val="3.6 M3 growth"/>
      <sheetName val="Box D Red triangle"/>
      <sheetName val="Figure 4.1 UK fiscal fwork"/>
      <sheetName val="Table 4.1"/>
      <sheetName val="Box D table"/>
      <sheetName val="4.1 UK"/>
      <sheetName val="4.3.and 4.4"/>
      <sheetName val="4.5 deficit and interest rate"/>
      <sheetName val="4.6 ten year bonds"/>
      <sheetName val="5.1 share of gdp"/>
      <sheetName val="Sheet1"/>
      <sheetName val="Figure 6.1"/>
      <sheetName val="Table 6.1 Bank Supervisors"/>
      <sheetName val="Figure_1_1"/>
      <sheetName val="Frameworks_comparison_2_1_2_2"/>
      <sheetName val="Figures_3_1_3_2"/>
      <sheetName val="Table_3_1"/>
      <sheetName val="3_1_Inflation_expectations"/>
      <sheetName val="3_2_Taylor_rules"/>
      <sheetName val="3_3_UK_Taylor_rule"/>
      <sheetName val="Chart_3_4"/>
      <sheetName val="3_5_10_years_ahead"/>
      <sheetName val="3_6_M3_growth"/>
      <sheetName val="Box_D_Red_triangle"/>
      <sheetName val="Figure_4_1_UK_fiscal_fwork"/>
      <sheetName val="Table_4_1"/>
      <sheetName val="Box_D_table"/>
      <sheetName val="4_1_UK"/>
      <sheetName val="4_3_and_4_4"/>
      <sheetName val="4_5_deficit_and_interest_rate"/>
      <sheetName val="4_6_ten_year_bonds"/>
      <sheetName val="5_1_share_of_gdp"/>
      <sheetName val="Figure_6_1"/>
      <sheetName val="Table_6_1_Bank_Supervisors"/>
      <sheetName val="Figure_1_11"/>
      <sheetName val="Frameworks_comparison_2_1_2_21"/>
      <sheetName val="Figures_3_1_3_21"/>
      <sheetName val="Table_3_11"/>
      <sheetName val="3_1_Inflation_expectations1"/>
      <sheetName val="3_2_Taylor_rules1"/>
      <sheetName val="3_3_UK_Taylor_rule1"/>
      <sheetName val="Chart_3_41"/>
      <sheetName val="3_5_10_years_ahead1"/>
      <sheetName val="3_6_M3_growth1"/>
      <sheetName val="Box_D_Red_triangle1"/>
      <sheetName val="Figure_4_1_UK_fiscal_fwork1"/>
      <sheetName val="Table_4_11"/>
      <sheetName val="Box_D_table1"/>
      <sheetName val="4_1_UK1"/>
      <sheetName val="4_3_and_4_41"/>
      <sheetName val="4_5_deficit_and_interest_rate1"/>
      <sheetName val="4_6_ten_year_bonds1"/>
      <sheetName val="5_1_share_of_gdp1"/>
      <sheetName val="Figure_6_11"/>
      <sheetName val="Table_6_1_Bank_Supervisors1"/>
      <sheetName val="Figure_1_12"/>
      <sheetName val="Frameworks_comparison_2_1_2_22"/>
      <sheetName val="Figures_3_1_3_22"/>
      <sheetName val="Table_3_12"/>
      <sheetName val="3_1_Inflation_expectations2"/>
      <sheetName val="3_2_Taylor_rules2"/>
      <sheetName val="3_3_UK_Taylor_rule2"/>
      <sheetName val="Chart_3_42"/>
      <sheetName val="3_5_10_years_ahead2"/>
      <sheetName val="3_6_M3_growth2"/>
      <sheetName val="Box_D_Red_triangle2"/>
      <sheetName val="Figure_4_1_UK_fiscal_fwork2"/>
      <sheetName val="Table_4_12"/>
      <sheetName val="Box_D_table2"/>
      <sheetName val="4_1_UK2"/>
      <sheetName val="4_3_and_4_42"/>
      <sheetName val="4_5_deficit_and_interest_rate2"/>
      <sheetName val="4_6_ten_year_bonds2"/>
      <sheetName val="5_1_share_of_gdp2"/>
      <sheetName val="Figure_6_12"/>
      <sheetName val="Table_6_1_Bank_Supervisors2"/>
      <sheetName val="USGC"/>
      <sheetName val="Carbon Price Floor"/>
      <sheetName val="Baseline results"/>
      <sheetName val="DECC Summary"/>
      <sheetName val="Figure_1_13"/>
      <sheetName val="Frameworks_comparison_2_1_2_23"/>
      <sheetName val="Figures_3_1_3_23"/>
      <sheetName val="Table_3_13"/>
      <sheetName val="3_1_Inflation_expectations3"/>
      <sheetName val="3_2_Taylor_rules3"/>
      <sheetName val="3_3_UK_Taylor_rule3"/>
      <sheetName val="Chart_3_43"/>
      <sheetName val="3_5_10_years_ahead3"/>
      <sheetName val="3_6_M3_growth3"/>
      <sheetName val="Box_D_Red_triangle3"/>
      <sheetName val="Figure_4_1_UK_fiscal_fwork3"/>
      <sheetName val="Table_4_13"/>
      <sheetName val="Box_D_table3"/>
      <sheetName val="4_1_UK3"/>
      <sheetName val="4_3_and_4_43"/>
      <sheetName val="4_5_deficit_and_interest_rate3"/>
      <sheetName val="4_6_ten_year_bonds3"/>
      <sheetName val="5_1_share_of_gdp3"/>
      <sheetName val="Figure_6_13"/>
      <sheetName val="Table_6_1_Bank_Supervisors3"/>
      <sheetName val="Carbon_Price_Floor"/>
      <sheetName val="Baseline_results"/>
      <sheetName val="DECC_Summary"/>
      <sheetName val="Figure_1_14"/>
      <sheetName val="Frameworks_comparison_2_1_2_24"/>
      <sheetName val="Figures_3_1_3_24"/>
      <sheetName val="Table_3_14"/>
      <sheetName val="3_1_Inflation_expectations4"/>
      <sheetName val="3_2_Taylor_rules4"/>
      <sheetName val="3_3_UK_Taylor_rule4"/>
      <sheetName val="Chart_3_44"/>
      <sheetName val="3_5_10_years_ahead4"/>
      <sheetName val="3_6_M3_growth4"/>
      <sheetName val="Box_D_Red_triangle4"/>
      <sheetName val="Figure_4_1_UK_fiscal_fwork4"/>
      <sheetName val="Table_4_14"/>
      <sheetName val="Box_D_table4"/>
      <sheetName val="4_1_UK4"/>
      <sheetName val="4_3_and_4_44"/>
      <sheetName val="4_5_deficit_and_interest_rate4"/>
      <sheetName val="4_6_ten_year_bonds4"/>
      <sheetName val="5_1_share_of_gdp4"/>
      <sheetName val="Figure_6_14"/>
      <sheetName val="Table_6_1_Bank_Supervisors4"/>
      <sheetName val="Carbon_Price_Floor1"/>
      <sheetName val="Baseline_results1"/>
      <sheetName val="DECC_Summary1"/>
      <sheetName val="CASHFLOW Gen Income"/>
      <sheetName val="model inputs"/>
      <sheetName val="Figure_1_15"/>
      <sheetName val="Frameworks_comparison_2_1_2_25"/>
      <sheetName val="Figures_3_1_3_25"/>
      <sheetName val="Table_3_15"/>
      <sheetName val="3_1_Inflation_expectations5"/>
      <sheetName val="3_2_Taylor_rules5"/>
      <sheetName val="3_3_UK_Taylor_rule5"/>
      <sheetName val="Chart_3_45"/>
      <sheetName val="3_5_10_years_ahead5"/>
      <sheetName val="3_6_M3_growth5"/>
      <sheetName val="Box_D_Red_triangle5"/>
      <sheetName val="Figure_4_1_UK_fiscal_fwork5"/>
      <sheetName val="Table_4_15"/>
      <sheetName val="Box_D_table5"/>
      <sheetName val="4_1_UK5"/>
      <sheetName val="4_3_and_4_45"/>
      <sheetName val="4_5_deficit_and_interest_rate5"/>
      <sheetName val="4_6_ten_year_bonds5"/>
      <sheetName val="5_1_share_of_gdp5"/>
      <sheetName val="Figure_6_15"/>
      <sheetName val="Table_6_1_Bank_Supervisors5"/>
      <sheetName val="Carbon_Price_Floor2"/>
      <sheetName val="Baseline_results2"/>
      <sheetName val="DECC_Summary2"/>
      <sheetName val="CASHFLOW_Gen_Income"/>
      <sheetName val="model_inputs"/>
      <sheetName val="Figure_1_16"/>
      <sheetName val="Frameworks_comparison_2_1_2_26"/>
      <sheetName val="Figures_3_1_3_26"/>
      <sheetName val="Table_3_16"/>
      <sheetName val="3_1_Inflation_expectations6"/>
      <sheetName val="3_2_Taylor_rules6"/>
      <sheetName val="3_3_UK_Taylor_rule6"/>
      <sheetName val="Chart_3_46"/>
      <sheetName val="3_5_10_years_ahead6"/>
      <sheetName val="3_6_M3_growth6"/>
      <sheetName val="Box_D_Red_triangle6"/>
      <sheetName val="Figure_4_1_UK_fiscal_fwork6"/>
      <sheetName val="Table_4_16"/>
      <sheetName val="Box_D_table6"/>
      <sheetName val="4_1_UK6"/>
      <sheetName val="4_3_and_4_46"/>
      <sheetName val="4_5_deficit_and_interest_rate6"/>
      <sheetName val="4_6_ten_year_bonds6"/>
      <sheetName val="5_1_share_of_gdp6"/>
      <sheetName val="Figure_6_16"/>
      <sheetName val="Table_6_1_Bank_Supervisors6"/>
      <sheetName val="Carbon_Price_Floor3"/>
      <sheetName val="Baseline_results3"/>
      <sheetName val="DECC_Summary3"/>
      <sheetName val="CASHFLOW_Gen_Income1"/>
      <sheetName val="model_inputs1"/>
      <sheetName val="Forecast data"/>
      <sheetName val="all the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4">
          <cell r="A4">
            <v>35877</v>
          </cell>
          <cell r="D4">
            <v>33091</v>
          </cell>
          <cell r="G4">
            <v>33092</v>
          </cell>
          <cell r="J4">
            <v>33973</v>
          </cell>
          <cell r="M4">
            <v>34096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4">
          <cell r="A4">
            <v>35877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4">
          <cell r="A4">
            <v>35877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A4">
            <v>35877</v>
          </cell>
        </row>
      </sheetData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A4">
            <v>35877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>
            <v>35877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>
        <row r="4">
          <cell r="A4">
            <v>35877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>
        <row r="4">
          <cell r="A4">
            <v>35877</v>
          </cell>
        </row>
      </sheetData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"/>
      <sheetName val="Sheet1"/>
      <sheetName val="Sheet4"/>
      <sheetName val="Sheet5"/>
      <sheetName val="Sheet3"/>
      <sheetName val="Charts"/>
      <sheetName val="Sheet2"/>
      <sheetName val="Volatility"/>
      <sheetName val="Confidence"/>
      <sheetName val="RO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Q5">
            <v>33146</v>
          </cell>
        </row>
        <row r="7">
          <cell r="E7">
            <v>33326</v>
          </cell>
        </row>
        <row r="23">
          <cell r="M23" t="e">
            <v>#NAME?</v>
          </cell>
        </row>
        <row r="34">
          <cell r="A34" t="e">
            <v>#NAME?</v>
          </cell>
        </row>
        <row r="43">
          <cell r="I43" t="e">
            <v>#NAME?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Data"/>
      <sheetName val="Data weekly"/>
      <sheetName val="Chart"/>
    </sheetNames>
    <sheetDataSet>
      <sheetData sheetId="0" refreshError="1"/>
      <sheetData sheetId="1" refreshError="1">
        <row r="8">
          <cell r="D8" t="e">
            <v>#N/A</v>
          </cell>
          <cell r="G8" t="e">
            <v>#N/A</v>
          </cell>
          <cell r="J8" t="e">
            <v>#N/A</v>
          </cell>
          <cell r="M8" t="e">
            <v>#N/A</v>
          </cell>
        </row>
      </sheetData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German"/>
      <sheetName val="French"/>
      <sheetName val="Italian"/>
      <sheetName val="Spanish"/>
      <sheetName val="DutchBelgian"/>
      <sheetName val="SwissNorway"/>
      <sheetName val="Govt bonds over swaps"/>
      <sheetName val="euribor"/>
      <sheetName val="Euro spreads"/>
      <sheetName val="Price to book raw data"/>
      <sheetName val="Price to book calc"/>
      <sheetName val="Insurance"/>
    </sheetNames>
    <sheetDataSet>
      <sheetData sheetId="0" refreshError="1"/>
      <sheetData sheetId="1" refreshError="1">
        <row r="5">
          <cell r="B5" t="e">
            <v>#NAME?</v>
          </cell>
          <cell r="F5" t="e">
            <v>#NAME?</v>
          </cell>
          <cell r="J5" t="e">
            <v>#NAME?</v>
          </cell>
          <cell r="N5">
            <v>163.75128117526478</v>
          </cell>
        </row>
      </sheetData>
      <sheetData sheetId="2" refreshError="1">
        <row r="5">
          <cell r="B5" t="e">
            <v>#NAME?</v>
          </cell>
          <cell r="F5" t="e">
            <v>#NAME?</v>
          </cell>
        </row>
      </sheetData>
      <sheetData sheetId="3" refreshError="1">
        <row r="6">
          <cell r="B6" t="e">
            <v>#NAME?</v>
          </cell>
          <cell r="F6" t="e">
            <v>#NAME?</v>
          </cell>
          <cell r="J6" t="e">
            <v>#NAME?</v>
          </cell>
        </row>
      </sheetData>
      <sheetData sheetId="4" refreshError="1">
        <row r="5">
          <cell r="B5" t="e">
            <v>#NAME?</v>
          </cell>
          <cell r="F5" t="e">
            <v>#NAME?</v>
          </cell>
        </row>
      </sheetData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ans"/>
      <sheetName val="US "/>
      <sheetName val="bancassurance"/>
      <sheetName val="FAME Persistence"/>
    </sheetNames>
    <sheetDataSet>
      <sheetData sheetId="0" refreshError="1">
        <row r="6">
          <cell r="B6">
            <v>36528</v>
          </cell>
          <cell r="F6">
            <v>36528</v>
          </cell>
          <cell r="J6">
            <v>36528</v>
          </cell>
          <cell r="N6">
            <v>36528</v>
          </cell>
          <cell r="R6">
            <v>36528</v>
          </cell>
          <cell r="V6">
            <v>36528</v>
          </cell>
        </row>
      </sheetData>
      <sheetData sheetId="1" refreshError="1">
        <row r="5">
          <cell r="B5">
            <v>36528</v>
          </cell>
          <cell r="F5">
            <v>36528</v>
          </cell>
          <cell r="J5">
            <v>36528</v>
          </cell>
          <cell r="N5">
            <v>36528</v>
          </cell>
          <cell r="R5">
            <v>36528</v>
          </cell>
          <cell r="V5">
            <v>36528</v>
          </cell>
          <cell r="Z5">
            <v>36528</v>
          </cell>
          <cell r="AD5">
            <v>36528</v>
          </cell>
        </row>
      </sheetData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ward Rates"/>
      <sheetName val="US TED spread"/>
      <sheetName val="Gov bond yields"/>
      <sheetName val="swap spreads"/>
      <sheetName val="Spreads"/>
      <sheetName val="FMC spreads"/>
      <sheetName val="H-Y spreads"/>
      <sheetName val="Equity prices"/>
      <sheetName val="Eq imp vols"/>
      <sheetName val="oil price"/>
      <sheetName val="US CP spreads"/>
      <sheetName val="Gov bond imp vols"/>
      <sheetName val="banks"/>
      <sheetName val="debtiss"/>
      <sheetName val="cp iss"/>
      <sheetName val="Jap prem"/>
      <sheetName val="euro indices"/>
      <sheetName val="Swaptions"/>
      <sheetName val="Bond sprea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Bankruptcies"/>
      <sheetName val="Equities"/>
      <sheetName val="Interest rates"/>
      <sheetName val="bank lending"/>
      <sheetName val="sub-debt"/>
      <sheetName val="Tibor"/>
      <sheetName val="5 yr spreads"/>
      <sheetName val="Bank premium"/>
      <sheetName val="bank equities"/>
      <sheetName val="equity index"/>
    </sheetNames>
    <sheetDataSet>
      <sheetData sheetId="0" refreshError="1"/>
      <sheetData sheetId="1" refreshError="1">
        <row r="7">
          <cell r="B7">
            <v>30712</v>
          </cell>
        </row>
      </sheetData>
      <sheetData sheetId="2"/>
      <sheetData sheetId="3"/>
      <sheetData sheetId="4"/>
      <sheetData sheetId="5" refreshError="1">
        <row r="164">
          <cell r="B164">
            <v>37116</v>
          </cell>
          <cell r="E164">
            <v>37116</v>
          </cell>
          <cell r="H164">
            <v>37116</v>
          </cell>
          <cell r="K164">
            <v>37116</v>
          </cell>
          <cell r="N164">
            <v>37116</v>
          </cell>
          <cell r="Q164">
            <v>37116</v>
          </cell>
        </row>
        <row r="165">
          <cell r="B165">
            <v>37117</v>
          </cell>
        </row>
        <row r="170">
          <cell r="K170">
            <v>37124</v>
          </cell>
        </row>
      </sheetData>
      <sheetData sheetId="6"/>
      <sheetData sheetId="7"/>
      <sheetData sheetId="8"/>
      <sheetData sheetId="9" refreshError="1"/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nd data"/>
    </sheetNames>
    <sheetDataSet>
      <sheetData sheetId="0" refreshError="1">
        <row r="1208">
          <cell r="D1208">
            <v>37116</v>
          </cell>
        </row>
        <row r="1210">
          <cell r="P1210">
            <v>37118</v>
          </cell>
        </row>
        <row r="1213">
          <cell r="D1213">
            <v>37123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ty prices"/>
      <sheetName val="FAME Persistence"/>
    </sheetNames>
    <sheetDataSet>
      <sheetData sheetId="0" refreshError="1">
        <row r="5">
          <cell r="B5">
            <v>36528</v>
          </cell>
          <cell r="F5">
            <v>36528</v>
          </cell>
          <cell r="J5">
            <v>36528</v>
          </cell>
          <cell r="N5">
            <v>36528</v>
          </cell>
          <cell r="R5">
            <v>36528</v>
          </cell>
          <cell r="V5">
            <v>36528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 09"/>
      <sheetName val="Charts"/>
      <sheetName val="Scenarios"/>
      <sheetName val="Projections"/>
      <sheetName val="Calculation"/>
      <sheetName val="Latest"/>
      <sheetName val="Latest check"/>
      <sheetName val="PSF"/>
      <sheetName val="Nom. Input"/>
      <sheetName val="Profiles"/>
      <sheetName val="Population"/>
      <sheetName val="Social sec &amp; TC"/>
      <sheetName val="Pub.sec.pensions"/>
      <sheetName val="Health"/>
      <sheetName val="Death"/>
      <sheetName val="Education"/>
      <sheetName val="TREND"/>
      <sheetName val="RESULT 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K99"/>
      <sheetName val="PSF"/>
      <sheetName val="QsYs"/>
      <sheetName val="Dis master"/>
      <sheetName val="Ranges"/>
      <sheetName val="Dis_master1"/>
      <sheetName val="Population"/>
      <sheetName val="A2_Log"/>
      <sheetName val="headroom"/>
      <sheetName val="Price x Volume Calcs"/>
      <sheetName val="C_TOC Capex"/>
      <sheetName val="C_Working Cap"/>
      <sheetName val="C_Funding"/>
      <sheetName val="I_Calcs"/>
      <sheetName val="Financial Calcs"/>
      <sheetName val="Indices &amp; Rates"/>
      <sheetName val="D8_Lockup_calc"/>
      <sheetName val="A5_User Manual &amp; Ass"/>
      <sheetName val="Template Control"/>
      <sheetName val="B3 _Ass Yr-Yr"/>
      <sheetName val="Price &amp; Volume Tables"/>
      <sheetName val="CASHFLOW Gen Income"/>
      <sheetName val="Dis_master"/>
      <sheetName val="Price_x_Volume_Calcs"/>
      <sheetName val="C_TOC_Capex"/>
      <sheetName val="C_Working_Cap"/>
      <sheetName val="Financial_Calcs"/>
      <sheetName val="Indices_&amp;_Rates"/>
      <sheetName val="A5_User_Manual_&amp;_Ass"/>
      <sheetName val="Template_Control"/>
      <sheetName val="B3__Ass_Yr-Yr"/>
      <sheetName val="Price_&amp;_Volume_Tables"/>
      <sheetName val="List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f output"/>
      <sheetName val="Manuf PMIs"/>
      <sheetName val="Manuf output PMIs"/>
      <sheetName val="Manuf export PMIs"/>
      <sheetName val="FAME Persistence2"/>
      <sheetName val="Manuf delivery times"/>
      <sheetName val="Services PMIs"/>
      <sheetName val="Composite PMIs"/>
      <sheetName val="Future PMIs"/>
      <sheetName val="Composite input prices"/>
      <sheetName val="Composite output prices"/>
    </sheetNames>
    <sheetDataSet>
      <sheetData sheetId="0">
        <row r="2">
          <cell r="B2" t="str">
            <v>Name</v>
          </cell>
        </row>
      </sheetData>
      <sheetData sheetId="1">
        <row r="2">
          <cell r="B2" t="str">
            <v>Name</v>
          </cell>
        </row>
      </sheetData>
      <sheetData sheetId="2">
        <row r="2">
          <cell r="B2" t="str">
            <v>Name</v>
          </cell>
        </row>
      </sheetData>
      <sheetData sheetId="3">
        <row r="2">
          <cell r="B2" t="str">
            <v>Name</v>
          </cell>
        </row>
      </sheetData>
      <sheetData sheetId="4"/>
      <sheetData sheetId="5">
        <row r="4">
          <cell r="B4" t="str">
            <v>Name</v>
          </cell>
          <cell r="M4" t="str">
            <v>Name</v>
          </cell>
          <cell r="Y4" t="str">
            <v>Name</v>
          </cell>
          <cell r="AK4" t="str">
            <v>Name</v>
          </cell>
        </row>
      </sheetData>
      <sheetData sheetId="6">
        <row r="2">
          <cell r="B2" t="str">
            <v>Name</v>
          </cell>
        </row>
      </sheetData>
      <sheetData sheetId="7">
        <row r="2">
          <cell r="B2" t="str">
            <v>Name</v>
          </cell>
        </row>
      </sheetData>
      <sheetData sheetId="8"/>
      <sheetData sheetId="9">
        <row r="2">
          <cell r="B2" t="str">
            <v>Name</v>
          </cell>
        </row>
      </sheetData>
      <sheetData sheetId="10">
        <row r="2">
          <cell r="B2" t="str">
            <v>Name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Regional data"/>
      <sheetName val="World GDP"/>
      <sheetName val="DfW"/>
      <sheetName val="MPR chart"/>
    </sheetNames>
    <sheetDataSet>
      <sheetData sheetId="0" refreshError="1"/>
      <sheetData sheetId="1">
        <row r="5">
          <cell r="A5" t="str">
            <v>Name</v>
          </cell>
        </row>
      </sheetData>
      <sheetData sheetId="2">
        <row r="10">
          <cell r="C10">
            <v>2.5332649515071415</v>
          </cell>
        </row>
      </sheetData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il"/>
      <sheetName val="All data and charts"/>
      <sheetName val="MPR Chart"/>
      <sheetName val="DfW"/>
      <sheetName val="FAME Persistence2"/>
    </sheetNames>
    <sheetDataSet>
      <sheetData sheetId="0" refreshError="1"/>
      <sheetData sheetId="1">
        <row r="317">
          <cell r="B317">
            <v>5.2767847919716893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GFK"/>
      <sheetName val="Reuters"/>
      <sheetName val="OPN"/>
    </sheetNames>
    <sheetDataSet>
      <sheetData sheetId="0"/>
      <sheetData sheetId="1"/>
      <sheetData sheetId="2">
        <row r="2">
          <cell r="B2" t="str">
            <v>Name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W"/>
      <sheetName val="MPR CHART"/>
      <sheetName val="Spot prices EUR_MWh chart"/>
      <sheetName val="Info_BBG Codes"/>
      <sheetName val="Control "/>
      <sheetName val="Gas spot prices"/>
      <sheetName val="UK Gas future prices"/>
      <sheetName val="Gas spot prices - hard pasted"/>
      <sheetName val="FX"/>
      <sheetName val="Brent oil"/>
      <sheetName val="NOCs"/>
      <sheetName val="Other"/>
      <sheetName val="Table "/>
      <sheetName val="Table-old "/>
      <sheetName val="Weekly table_old"/>
      <sheetName val="1-day futures chart for monitor"/>
      <sheetName val="April 23 gas future vintages"/>
      <sheetName val="Gas oil equivalent"/>
      <sheetName val="Weekly table"/>
      <sheetName val="Weekly monitor charts"/>
      <sheetName val="Gas future spreads"/>
      <sheetName val="UK power baseload prices"/>
      <sheetName val="Weekly monitor Chart"/>
      <sheetName val="Brent oil futures chart_"/>
      <sheetName val="Brent oil futures"/>
      <sheetName val="Sheet1"/>
      <sheetName val="Urals"/>
      <sheetName val="MPR 15day avg £_therm"/>
      <sheetName val="Gas spot pence_therm chart "/>
      <sheetName val="Historic futures--&gt;"/>
      <sheetName val="March 23 gas future vintages"/>
      <sheetName val="Feb 23 gas future vintages"/>
      <sheetName val="Jan 23 gas future vintages"/>
      <sheetName val="Dec 22 gas future vintages"/>
      <sheetName val="Nov 22 gas future vintages"/>
      <sheetName val="Oct 22 gas future vintages"/>
      <sheetName val="Sept 22 gas future vintag"/>
      <sheetName val="August 22 gas future vintages"/>
      <sheetName val="July 22 gas future vintages"/>
      <sheetName val="June 22 gas future vintages"/>
      <sheetName val="May 22 gas future vintages"/>
      <sheetName val="April 22 gas future vintage"/>
      <sheetName val="March 22 gas future vintages"/>
      <sheetName val="Gas futures Feb MPR"/>
      <sheetName val="Gas futures May MPR"/>
      <sheetName val="Gas futures MPR"/>
      <sheetName val="OLD"/>
      <sheetName val="UK gas futures historic"/>
      <sheetName val="EA gas futures historic"/>
      <sheetName val="Feb MPR avg_Gas and Oil futures"/>
      <sheetName val="FAME Persistenc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ingData"/>
      <sheetName val="Futures"/>
      <sheetName val="chartdata"/>
      <sheetName val="DfW"/>
      <sheetName val="MPR Chart"/>
    </sheetNames>
    <sheetDataSet>
      <sheetData sheetId="0" refreshError="1"/>
      <sheetData sheetId="1"/>
      <sheetData sheetId="2">
        <row r="2">
          <cell r="A2">
            <v>43466</v>
          </cell>
        </row>
      </sheetData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&quot;Name&quot; Ranges"/>
      <sheetName val="Info"/>
      <sheetName val="Control"/>
      <sheetName val="Weights summary"/>
      <sheetName val="DS - US (S weight source)"/>
      <sheetName val="DS - €A (S weights source)"/>
      <sheetName val="DS - China (S weight source)"/>
      <sheetName val="DS - Japan (S weight source)"/>
      <sheetName val="SR weights"/>
      <sheetName val="FAME Persistence2"/>
      <sheetName val="Weights source (PPP)"/>
      <sheetName val="PPP wt -Agg (Annual) "/>
      <sheetName val="PPP wt - Agg (Quarterly)"/>
      <sheetName val="Weights source (UK)"/>
      <sheetName val="UK-trade wt - Agg (Annual)"/>
      <sheetName val="UK-trade wt - Agg (Quarterly)"/>
      <sheetName val="Weights source (MER-GDP)"/>
      <sheetName val="MER-GDP wt - Agg (Annual)"/>
      <sheetName val="MER-GDP wt - Agg (Quarterly)"/>
      <sheetName val="Weights source (MER-trade)"/>
      <sheetName val="MER-trade wt - Agg (Annual)"/>
      <sheetName val="MER-trade wt - Agg (Quarterly)"/>
      <sheetName val="PPP weights - GROUP for Oil GDP"/>
      <sheetName val="Oil Consumption weights source"/>
      <sheetName val="Oil Consumption weights summary"/>
    </sheetNames>
    <sheetDataSet>
      <sheetData sheetId="0"/>
      <sheetData sheetId="1"/>
      <sheetData sheetId="2">
        <row r="5">
          <cell r="D5">
            <v>43830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">
          <cell r="A7">
            <v>29586</v>
          </cell>
        </row>
      </sheetData>
      <sheetData sheetId="12"/>
      <sheetData sheetId="13"/>
      <sheetData sheetId="14">
        <row r="7">
          <cell r="A7">
            <v>29586</v>
          </cell>
        </row>
      </sheetData>
      <sheetData sheetId="15"/>
      <sheetData sheetId="16"/>
      <sheetData sheetId="17">
        <row r="7">
          <cell r="A7">
            <v>29586</v>
          </cell>
        </row>
      </sheetData>
      <sheetData sheetId="18"/>
      <sheetData sheetId="19"/>
      <sheetData sheetId="20">
        <row r="7">
          <cell r="A7">
            <v>29586</v>
          </cell>
        </row>
      </sheetData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X112EN@INTDAILY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1D9E-F03B-4246-BF89-DA007322FCDA}">
  <dimension ref="A1:AH75"/>
  <sheetViews>
    <sheetView topLeftCell="I1" workbookViewId="0">
      <selection activeCell="AE2" sqref="AE2"/>
    </sheetView>
  </sheetViews>
  <sheetFormatPr defaultRowHeight="15" x14ac:dyDescent="0.25"/>
  <cols>
    <col min="1" max="1" width="10.7109375" bestFit="1" customWidth="1"/>
    <col min="4" max="4" width="2.7109375" customWidth="1"/>
    <col min="5" max="5" width="10.7109375" bestFit="1" customWidth="1"/>
    <col min="8" max="8" width="2.7109375" customWidth="1"/>
    <col min="9" max="9" width="10.7109375" bestFit="1" customWidth="1"/>
    <col min="15" max="15" width="2.7109375" customWidth="1"/>
    <col min="16" max="16" width="10.7109375" bestFit="1" customWidth="1"/>
    <col min="21" max="21" width="2.5703125" customWidth="1"/>
    <col min="22" max="22" width="10.7109375" bestFit="1" customWidth="1"/>
    <col min="27" max="27" width="2.5703125" customWidth="1"/>
    <col min="28" max="28" width="11.28515625" customWidth="1"/>
  </cols>
  <sheetData>
    <row r="1" spans="1:34" x14ac:dyDescent="0.25">
      <c r="A1" s="8" t="s">
        <v>774</v>
      </c>
      <c r="E1" s="8" t="s">
        <v>775</v>
      </c>
      <c r="I1" s="8" t="s">
        <v>987</v>
      </c>
      <c r="P1" s="8" t="s">
        <v>1543</v>
      </c>
      <c r="V1" s="8" t="s">
        <v>1543</v>
      </c>
      <c r="AB1" s="8" t="s">
        <v>1712</v>
      </c>
    </row>
    <row r="2" spans="1:34" x14ac:dyDescent="0.25">
      <c r="B2" t="s">
        <v>186</v>
      </c>
      <c r="C2" t="s">
        <v>187</v>
      </c>
      <c r="F2" t="s">
        <v>186</v>
      </c>
      <c r="G2" t="s">
        <v>187</v>
      </c>
      <c r="J2" t="s">
        <v>1022</v>
      </c>
      <c r="K2" t="s">
        <v>1480</v>
      </c>
      <c r="L2" t="s">
        <v>1481</v>
      </c>
      <c r="M2" t="s">
        <v>1479</v>
      </c>
      <c r="N2" t="s">
        <v>1367</v>
      </c>
      <c r="Q2" t="s">
        <v>1544</v>
      </c>
      <c r="R2" t="s">
        <v>1545</v>
      </c>
      <c r="S2" t="s">
        <v>1546</v>
      </c>
      <c r="T2" t="s">
        <v>1547</v>
      </c>
      <c r="W2" t="s">
        <v>1544</v>
      </c>
      <c r="X2" t="s">
        <v>1545</v>
      </c>
      <c r="Y2" t="s">
        <v>1546</v>
      </c>
      <c r="Z2" t="s">
        <v>1547</v>
      </c>
      <c r="AC2" t="s">
        <v>1713</v>
      </c>
      <c r="AD2" t="s">
        <v>1714</v>
      </c>
      <c r="AE2" t="s">
        <v>1722</v>
      </c>
      <c r="AF2" t="s">
        <v>1715</v>
      </c>
    </row>
    <row r="3" spans="1:34" ht="30" x14ac:dyDescent="0.25">
      <c r="A3" s="6">
        <v>44562</v>
      </c>
      <c r="B3" s="4">
        <f>100*((HAVERM!C151/HAVERM!C139)-1)</f>
        <v>3.2685512367491176</v>
      </c>
      <c r="E3" s="6">
        <v>44562</v>
      </c>
      <c r="F3" s="4">
        <f>HAVERM!D151</f>
        <v>4.2</v>
      </c>
      <c r="I3" s="6">
        <v>44927</v>
      </c>
      <c r="J3" s="4">
        <f>100*((HAVERQ!E39/HAVERQ!E35)-1)</f>
        <v>10.178263369752759</v>
      </c>
      <c r="K3" s="4"/>
      <c r="L3" s="4"/>
      <c r="M3" s="4"/>
      <c r="N3">
        <v>2</v>
      </c>
      <c r="P3" s="43">
        <v>43466</v>
      </c>
      <c r="Q3" s="4">
        <f>HAVERM!E115</f>
        <v>2.79</v>
      </c>
      <c r="R3" s="4">
        <f>HAVERM!F115</f>
        <v>2.532</v>
      </c>
      <c r="S3" s="4" t="e">
        <f>HAVERM!G115</f>
        <v>#N/A</v>
      </c>
      <c r="T3" s="4" t="e">
        <f>HAVERM!H115</f>
        <v>#N/A</v>
      </c>
      <c r="V3" s="43">
        <v>43466</v>
      </c>
      <c r="W3" s="4">
        <f>HAVERM!I115</f>
        <v>2.528</v>
      </c>
      <c r="X3" s="4">
        <f>HAVERM!J115</f>
        <v>2.4649999999999999</v>
      </c>
      <c r="Y3" s="4" t="e">
        <f>HAVERM!K115</f>
        <v>#N/A</v>
      </c>
      <c r="Z3" s="4" t="e">
        <f>HAVERM!L115</f>
        <v>#N/A</v>
      </c>
      <c r="AB3" s="5" t="s">
        <v>1716</v>
      </c>
      <c r="AC3" s="4">
        <v>37</v>
      </c>
      <c r="AD3" s="4">
        <f>80-AC3</f>
        <v>43</v>
      </c>
      <c r="AE3" s="4"/>
      <c r="AF3" s="4">
        <f>SUM(AC3:AD3)</f>
        <v>80</v>
      </c>
      <c r="AH3" s="4">
        <f>SUM('APF gilt sales'!H3:H592)/1000</f>
        <v>41.994000000000014</v>
      </c>
    </row>
    <row r="4" spans="1:34" ht="30" x14ac:dyDescent="0.25">
      <c r="A4" s="6">
        <v>44593</v>
      </c>
      <c r="B4" s="4">
        <f>100*((HAVERM!C152/HAVERM!C140)-1)</f>
        <v>3.4391534391534417</v>
      </c>
      <c r="E4" s="6">
        <v>44593</v>
      </c>
      <c r="F4" s="4">
        <f>HAVERM!D152</f>
        <v>4.5999999999999996</v>
      </c>
      <c r="I4" s="6">
        <v>45017</v>
      </c>
      <c r="J4" s="4">
        <f>100*((HAVERQ!E40/HAVERQ!E36)-1)</f>
        <v>8.4390512961941777</v>
      </c>
      <c r="K4" s="4"/>
      <c r="L4" s="4"/>
      <c r="M4" s="4"/>
      <c r="N4">
        <v>2</v>
      </c>
      <c r="P4" s="43">
        <v>43497</v>
      </c>
      <c r="Q4" s="4">
        <f>HAVERM!E116</f>
        <v>2.23</v>
      </c>
      <c r="R4" s="4">
        <f>HAVERM!F116</f>
        <v>2.5609999999999999</v>
      </c>
      <c r="S4" s="4" t="e">
        <f>HAVERM!G116</f>
        <v>#N/A</v>
      </c>
      <c r="T4" s="4" t="e">
        <f>HAVERM!H116</f>
        <v>#N/A</v>
      </c>
      <c r="V4" s="43">
        <v>43497</v>
      </c>
      <c r="W4" s="4">
        <f>HAVERM!I116</f>
        <v>2.4119999999999999</v>
      </c>
      <c r="X4" s="4">
        <f>HAVERM!J116</f>
        <v>2.423</v>
      </c>
      <c r="Y4" s="4" t="e">
        <f>HAVERM!K116</f>
        <v>#N/A</v>
      </c>
      <c r="Z4" s="4" t="e">
        <f>HAVERM!L116</f>
        <v>#N/A</v>
      </c>
      <c r="AB4" s="5" t="s">
        <v>1717</v>
      </c>
      <c r="AC4" s="4">
        <v>50</v>
      </c>
      <c r="AD4" s="4">
        <f>100-AC4</f>
        <v>50</v>
      </c>
      <c r="AE4" s="4"/>
      <c r="AF4" s="4">
        <f t="shared" ref="AF4" si="0">SUM(AC4:AD4)</f>
        <v>100</v>
      </c>
      <c r="AH4" s="4">
        <f>SUM('APF gilt sales'!H593:H1125)/1000</f>
        <v>40.989499999999992</v>
      </c>
    </row>
    <row r="5" spans="1:34" ht="30" x14ac:dyDescent="0.25">
      <c r="A5" s="6">
        <v>44621</v>
      </c>
      <c r="B5" s="4">
        <f>100*((HAVERM!C153/HAVERM!C141)-1)</f>
        <v>3.9612676056338003</v>
      </c>
      <c r="E5" s="6">
        <v>44621</v>
      </c>
      <c r="F5" s="4">
        <f>HAVERM!D153</f>
        <v>4.9000000000000004</v>
      </c>
      <c r="I5" s="6">
        <v>45108</v>
      </c>
      <c r="J5" s="4">
        <f>100*((HAVERQ!E41/HAVERQ!E37)-1)</f>
        <v>6.7135896047644916</v>
      </c>
      <c r="K5" s="4"/>
      <c r="L5" s="4"/>
      <c r="M5" s="4"/>
      <c r="N5">
        <v>2</v>
      </c>
      <c r="P5" s="43">
        <v>43525</v>
      </c>
      <c r="Q5" s="4">
        <f>HAVERM!E117</f>
        <v>2.39</v>
      </c>
      <c r="R5" s="4">
        <f>HAVERM!F117</f>
        <v>2.0680000000000001</v>
      </c>
      <c r="S5" s="4" t="e">
        <f>HAVERM!G117</f>
        <v>#N/A</v>
      </c>
      <c r="T5" s="4" t="e">
        <f>HAVERM!H117</f>
        <v>#N/A</v>
      </c>
      <c r="V5" s="43">
        <v>43525</v>
      </c>
      <c r="W5" s="4">
        <f>HAVERM!I117</f>
        <v>2.4700000000000002</v>
      </c>
      <c r="X5" s="4">
        <f>HAVERM!J117</f>
        <v>2.387</v>
      </c>
      <c r="Y5" s="4" t="e">
        <f>HAVERM!K117</f>
        <v>#N/A</v>
      </c>
      <c r="Z5" s="4" t="e">
        <f>HAVERM!L117</f>
        <v>#N/A</v>
      </c>
      <c r="AB5" s="5" t="s">
        <v>1718</v>
      </c>
      <c r="AC5" s="4">
        <f>'Maturity Profile of APF (Table)'!H4</f>
        <v>87.187539232999995</v>
      </c>
      <c r="AD5" s="4"/>
      <c r="AE5" s="4">
        <f>100-AC5</f>
        <v>12.812460767000005</v>
      </c>
      <c r="AF5" s="4">
        <f>SUM(AC5:AE5)</f>
        <v>100</v>
      </c>
    </row>
    <row r="6" spans="1:34" ht="30" x14ac:dyDescent="0.25">
      <c r="A6" s="6">
        <v>44652</v>
      </c>
      <c r="B6" s="4">
        <f>100*((HAVERM!C154/HAVERM!C142)-1)</f>
        <v>4.7244094488189115</v>
      </c>
      <c r="E6" s="6">
        <v>44652</v>
      </c>
      <c r="F6" s="4">
        <f>HAVERM!D154</f>
        <v>4.8</v>
      </c>
      <c r="I6" s="6">
        <v>45200</v>
      </c>
      <c r="J6" s="4">
        <f>100*((HAVERQ!E42/HAVERQ!E38)-1)</f>
        <v>4.1568008418837232</v>
      </c>
      <c r="K6" s="4"/>
      <c r="L6" s="4"/>
      <c r="M6" s="4"/>
      <c r="N6">
        <v>2</v>
      </c>
      <c r="P6" s="43">
        <v>43556</v>
      </c>
      <c r="Q6" s="4">
        <f>HAVERM!E118</f>
        <v>2.88</v>
      </c>
      <c r="R6" s="4">
        <f>HAVERM!F118</f>
        <v>2.7149999999999999</v>
      </c>
      <c r="S6" s="4" t="e">
        <f>HAVERM!G118</f>
        <v>#N/A</v>
      </c>
      <c r="T6" s="4" t="e">
        <f>HAVERM!H118</f>
        <v>#N/A</v>
      </c>
      <c r="V6" s="43">
        <v>43556</v>
      </c>
      <c r="W6" s="4">
        <f>HAVERM!I118</f>
        <v>2.4990000000000001</v>
      </c>
      <c r="X6" s="4">
        <f>HAVERM!J118</f>
        <v>2.448</v>
      </c>
      <c r="Y6" s="4" t="e">
        <f>HAVERM!K118</f>
        <v>#N/A</v>
      </c>
      <c r="Z6" s="4" t="e">
        <f>HAVERM!L118</f>
        <v>#N/A</v>
      </c>
      <c r="AB6" s="5" t="s">
        <v>1719</v>
      </c>
      <c r="AC6" s="4">
        <f>'Maturity Profile of APF (Table)'!H5</f>
        <v>49.127840932827311</v>
      </c>
      <c r="AD6" s="4"/>
      <c r="AE6" s="4">
        <f>75-AC6</f>
        <v>25.872159067172689</v>
      </c>
      <c r="AF6" s="4">
        <f t="shared" ref="AF6:AF8" si="1">SUM(AC6:AE6)</f>
        <v>75</v>
      </c>
    </row>
    <row r="7" spans="1:34" ht="30" x14ac:dyDescent="0.25">
      <c r="A7" s="6">
        <v>44682</v>
      </c>
      <c r="B7" s="4">
        <f>100*((HAVERM!C155/HAVERM!C143)-1)</f>
        <v>4.8865619546247796</v>
      </c>
      <c r="E7" s="6">
        <v>44682</v>
      </c>
      <c r="F7" s="4">
        <f>HAVERM!D155</f>
        <v>5.0999999999999996</v>
      </c>
      <c r="I7" s="6">
        <v>45292</v>
      </c>
      <c r="J7" s="4">
        <f>100*((HAVERQ!E43/HAVERQ!E39)-1)</f>
        <v>3.5490605427974886</v>
      </c>
      <c r="K7" s="4"/>
      <c r="L7" s="4">
        <f>100*((GMW!B211/GMW!B207)-1)</f>
        <v>3.5491136610421803</v>
      </c>
      <c r="M7" s="4"/>
      <c r="N7">
        <v>2</v>
      </c>
      <c r="P7" s="43">
        <v>43586</v>
      </c>
      <c r="Q7" s="4">
        <f>HAVERM!E119</f>
        <v>1.82</v>
      </c>
      <c r="R7" s="4">
        <f>HAVERM!F119</f>
        <v>2.3319999999999999</v>
      </c>
      <c r="S7" s="4" t="e">
        <f>HAVERM!G119</f>
        <v>#N/A</v>
      </c>
      <c r="T7" s="4" t="e">
        <f>HAVERM!H119</f>
        <v>#N/A</v>
      </c>
      <c r="V7" s="43">
        <v>43586</v>
      </c>
      <c r="W7" s="4">
        <f>HAVERM!I119</f>
        <v>2.3620000000000001</v>
      </c>
      <c r="X7" s="4">
        <f>HAVERM!J119</f>
        <v>2.3719999999999999</v>
      </c>
      <c r="Y7" s="4" t="e">
        <f>HAVERM!K119</f>
        <v>#N/A</v>
      </c>
      <c r="Z7" s="4" t="e">
        <f>HAVERM!L119</f>
        <v>#N/A</v>
      </c>
      <c r="AB7" s="5" t="s">
        <v>1720</v>
      </c>
      <c r="AC7" s="4">
        <f>'Maturity Profile of APF (Table)'!H6</f>
        <v>30.505273803655086</v>
      </c>
      <c r="AD7" s="4"/>
      <c r="AE7" s="4">
        <f>50-AC7</f>
        <v>19.494726196344914</v>
      </c>
      <c r="AF7" s="4">
        <f t="shared" si="1"/>
        <v>50</v>
      </c>
    </row>
    <row r="8" spans="1:34" ht="30" x14ac:dyDescent="0.25">
      <c r="A8" s="6">
        <v>44713</v>
      </c>
      <c r="B8" s="4">
        <f>100*((HAVERM!C156/HAVERM!C144)-1)</f>
        <v>5.2173913043478182</v>
      </c>
      <c r="E8" s="6">
        <v>44713</v>
      </c>
      <c r="F8" s="4">
        <f>HAVERM!D156</f>
        <v>5.4</v>
      </c>
      <c r="I8" s="6">
        <v>45383</v>
      </c>
      <c r="J8" s="4">
        <f>100*((HAVERQ!E44/HAVERQ!E40)-1)</f>
        <v>2.1108850457782102</v>
      </c>
      <c r="K8" s="4"/>
      <c r="L8" s="4">
        <f>100*((GMW!B212/GMW!B208)-1)</f>
        <v>2.110833644243737</v>
      </c>
      <c r="M8" s="4"/>
      <c r="N8">
        <v>2</v>
      </c>
      <c r="P8" s="43">
        <v>43617</v>
      </c>
      <c r="Q8" s="4">
        <f>HAVERM!E120</f>
        <v>2.69</v>
      </c>
      <c r="R8" s="4">
        <f>HAVERM!F120</f>
        <v>2.1539999999999999</v>
      </c>
      <c r="S8" s="4" t="e">
        <f>HAVERM!G120</f>
        <v>#N/A</v>
      </c>
      <c r="T8" s="4" t="e">
        <f>HAVERM!H120</f>
        <v>#N/A</v>
      </c>
      <c r="V8" s="43">
        <v>43617</v>
      </c>
      <c r="W8" s="4">
        <f>HAVERM!I120</f>
        <v>2.4620000000000002</v>
      </c>
      <c r="X8" s="4">
        <f>HAVERM!J120</f>
        <v>2.4</v>
      </c>
      <c r="Y8" s="4" t="e">
        <f>HAVERM!K120</f>
        <v>#N/A</v>
      </c>
      <c r="Z8" s="4" t="e">
        <f>HAVERM!L120</f>
        <v>#N/A</v>
      </c>
      <c r="AB8" s="5" t="s">
        <v>1721</v>
      </c>
      <c r="AC8" s="4">
        <f>'Maturity Profile of APF (Table)'!H7</f>
        <v>29.223226360099716</v>
      </c>
      <c r="AD8" s="4"/>
      <c r="AE8" s="4">
        <f>31-AC8</f>
        <v>1.7767736399002843</v>
      </c>
      <c r="AF8" s="4">
        <f t="shared" si="1"/>
        <v>31</v>
      </c>
    </row>
    <row r="9" spans="1:34" x14ac:dyDescent="0.25">
      <c r="A9" s="6">
        <v>44743</v>
      </c>
      <c r="B9" s="4">
        <f>100*((HAVERM!C157/HAVERM!C145)-1)</f>
        <v>5.7241977450130266</v>
      </c>
      <c r="E9" s="6">
        <v>44743</v>
      </c>
      <c r="F9" s="4">
        <f>HAVERM!D157</f>
        <v>6</v>
      </c>
      <c r="I9" s="6">
        <v>45474</v>
      </c>
      <c r="J9" s="4"/>
      <c r="K9" s="4">
        <f>HAVERQ!B45</f>
        <v>2.2999999999999998</v>
      </c>
      <c r="L9" s="4">
        <f>100*((GMW!B213/GMW!B209)-1)</f>
        <v>2.1209284627092817</v>
      </c>
      <c r="M9" s="4"/>
      <c r="N9">
        <v>2</v>
      </c>
      <c r="P9" s="43">
        <v>43647</v>
      </c>
      <c r="Q9" s="4">
        <f>HAVERM!E121</f>
        <v>2.2599999999999998</v>
      </c>
      <c r="R9" s="4">
        <f>HAVERM!F121</f>
        <v>2.0979999999999999</v>
      </c>
      <c r="S9" s="4" t="e">
        <f>HAVERM!G121</f>
        <v>#N/A</v>
      </c>
      <c r="T9" s="4" t="e">
        <f>HAVERM!H121</f>
        <v>#N/A</v>
      </c>
      <c r="V9" s="43">
        <v>43647</v>
      </c>
      <c r="W9" s="4">
        <f>HAVERM!I121</f>
        <v>2.2559999999999998</v>
      </c>
      <c r="X9" s="4">
        <f>HAVERM!J121</f>
        <v>2.1949999999999998</v>
      </c>
      <c r="Y9" s="4" t="e">
        <f>HAVERM!K121</f>
        <v>#N/A</v>
      </c>
      <c r="Z9" s="4" t="e">
        <f>HAVERM!L121</f>
        <v>#N/A</v>
      </c>
      <c r="AB9" s="5"/>
      <c r="AC9" s="4"/>
      <c r="AD9" s="4"/>
      <c r="AE9" s="4"/>
      <c r="AF9" s="4"/>
    </row>
    <row r="10" spans="1:34" x14ac:dyDescent="0.25">
      <c r="A10" s="6">
        <v>44774</v>
      </c>
      <c r="B10" s="4">
        <f>100*((HAVERM!C158/HAVERM!C146)-1)</f>
        <v>5.9585492227979264</v>
      </c>
      <c r="E10" s="6">
        <v>44774</v>
      </c>
      <c r="F10" s="4">
        <f>HAVERM!D158</f>
        <v>6.2</v>
      </c>
      <c r="I10" s="6">
        <v>45566</v>
      </c>
      <c r="J10" s="4"/>
      <c r="K10" s="4">
        <f>HAVERQ!B46</f>
        <v>2.7</v>
      </c>
      <c r="L10" s="4">
        <f>100*((GMW!B214/GMW!B210)-1)</f>
        <v>2.5595093307629879</v>
      </c>
      <c r="M10" s="4">
        <v>2.4</v>
      </c>
      <c r="N10">
        <v>2</v>
      </c>
      <c r="P10" s="43">
        <v>43678</v>
      </c>
      <c r="Q10" s="4">
        <f>HAVERM!E122</f>
        <v>1.94</v>
      </c>
      <c r="R10" s="4">
        <f>HAVERM!F122</f>
        <v>2.2890000000000001</v>
      </c>
      <c r="S10" s="4" t="e">
        <f>HAVERM!G122</f>
        <v>#N/A</v>
      </c>
      <c r="T10" s="4" t="e">
        <f>HAVERM!H122</f>
        <v>#N/A</v>
      </c>
      <c r="V10" s="43">
        <v>43678</v>
      </c>
      <c r="W10" s="4">
        <f>HAVERM!I122</f>
        <v>2.2959999999999998</v>
      </c>
      <c r="X10" s="4">
        <f>HAVERM!J122</f>
        <v>2.1800000000000002</v>
      </c>
      <c r="Y10" s="4" t="e">
        <f>HAVERM!K122</f>
        <v>#N/A</v>
      </c>
      <c r="Z10" s="4" t="e">
        <f>HAVERM!L122</f>
        <v>#N/A</v>
      </c>
    </row>
    <row r="11" spans="1:34" x14ac:dyDescent="0.25">
      <c r="A11" s="6">
        <v>44805</v>
      </c>
      <c r="B11" s="4">
        <f>100*((HAVERM!C159/HAVERM!C147)-1)</f>
        <v>6.1312607944732367</v>
      </c>
      <c r="E11" s="6">
        <v>44805</v>
      </c>
      <c r="F11" s="4">
        <f>HAVERM!D159</f>
        <v>6.6</v>
      </c>
      <c r="I11" s="6">
        <v>45658</v>
      </c>
      <c r="J11" s="4"/>
      <c r="K11" s="4">
        <f>HAVERQ!B47</f>
        <v>2.7</v>
      </c>
      <c r="L11" s="4">
        <f>100*((GMW!B215/GMW!B211)-1)</f>
        <v>2.5444802055241578</v>
      </c>
      <c r="M11" s="4"/>
      <c r="N11">
        <v>2</v>
      </c>
      <c r="P11" s="43">
        <v>43709</v>
      </c>
      <c r="Q11" s="4">
        <f>HAVERM!E123</f>
        <v>2.27</v>
      </c>
      <c r="R11" s="4">
        <f>HAVERM!F123</f>
        <v>2.355</v>
      </c>
      <c r="S11" s="4" t="e">
        <f>HAVERM!G123</f>
        <v>#N/A</v>
      </c>
      <c r="T11" s="4" t="e">
        <f>HAVERM!H123</f>
        <v>#N/A</v>
      </c>
      <c r="V11" s="43">
        <v>43709</v>
      </c>
      <c r="W11" s="4">
        <f>HAVERM!I123</f>
        <v>2.1560000000000001</v>
      </c>
      <c r="X11" s="4">
        <f>HAVERM!J123</f>
        <v>2.2469999999999999</v>
      </c>
      <c r="Y11" s="4" t="e">
        <f>HAVERM!K123</f>
        <v>#N/A</v>
      </c>
      <c r="Z11" s="4" t="e">
        <f>HAVERM!L123</f>
        <v>#N/A</v>
      </c>
    </row>
    <row r="12" spans="1:34" x14ac:dyDescent="0.25">
      <c r="A12" s="6">
        <v>44835</v>
      </c>
      <c r="B12" s="4">
        <f>100*((HAVERM!C160/HAVERM!C148)-1)</f>
        <v>6.2660944206008651</v>
      </c>
      <c r="E12" s="6">
        <v>44835</v>
      </c>
      <c r="F12" s="4">
        <f>HAVERM!D160</f>
        <v>6.9</v>
      </c>
      <c r="I12" s="6">
        <v>45748</v>
      </c>
      <c r="J12" s="4"/>
      <c r="K12" s="4">
        <f>HAVERQ!B48</f>
        <v>2.6</v>
      </c>
      <c r="L12" s="4">
        <f>100*((GMW!B216/GMW!B212)-1)</f>
        <v>2.3549445466860774</v>
      </c>
      <c r="M12" s="4"/>
      <c r="N12">
        <v>2</v>
      </c>
      <c r="P12" s="43">
        <v>43739</v>
      </c>
      <c r="Q12" s="4">
        <f>HAVERM!E124</f>
        <v>1.99</v>
      </c>
      <c r="R12" s="4">
        <f>HAVERM!F124</f>
        <v>2.2160000000000002</v>
      </c>
      <c r="S12" s="4" t="e">
        <f>HAVERM!G124</f>
        <v>#N/A</v>
      </c>
      <c r="T12" s="4" t="e">
        <f>HAVERM!H124</f>
        <v>#N/A</v>
      </c>
      <c r="V12" s="43">
        <v>43739</v>
      </c>
      <c r="W12" s="4">
        <f>HAVERM!I124</f>
        <v>2.0670000000000002</v>
      </c>
      <c r="X12" s="4">
        <f>HAVERM!J124</f>
        <v>2.2869999999999999</v>
      </c>
      <c r="Y12" s="4" t="e">
        <f>HAVERM!K124</f>
        <v>#N/A</v>
      </c>
      <c r="Z12" s="4" t="e">
        <f>HAVERM!L124</f>
        <v>#N/A</v>
      </c>
    </row>
    <row r="13" spans="1:34" x14ac:dyDescent="0.25">
      <c r="A13" s="6">
        <v>44866</v>
      </c>
      <c r="B13" s="4">
        <f>100*((HAVERM!C161/HAVERM!C149)-1)</f>
        <v>6.3464837049742817</v>
      </c>
      <c r="E13" s="6">
        <v>44866</v>
      </c>
      <c r="F13" s="4">
        <f>HAVERM!D161</f>
        <v>7.3</v>
      </c>
      <c r="I13" s="6">
        <v>45839</v>
      </c>
      <c r="J13" s="4"/>
      <c r="K13" s="4">
        <f>HAVERQ!B49</f>
        <v>2.4</v>
      </c>
      <c r="L13" s="4">
        <f>100*((GMW!B217/GMW!B213)-1)</f>
        <v>2.6438497349592138</v>
      </c>
      <c r="M13" s="4"/>
      <c r="N13">
        <v>2</v>
      </c>
      <c r="P13" s="43">
        <v>43770</v>
      </c>
      <c r="Q13" s="4">
        <f>HAVERM!E125</f>
        <v>1.89</v>
      </c>
      <c r="R13" s="4">
        <f>HAVERM!F125</f>
        <v>2.181</v>
      </c>
      <c r="S13" s="4" t="e">
        <f>HAVERM!G125</f>
        <v>#N/A</v>
      </c>
      <c r="T13" s="4" t="e">
        <f>HAVERM!H125</f>
        <v>#N/A</v>
      </c>
      <c r="V13" s="43">
        <v>43770</v>
      </c>
      <c r="W13" s="4">
        <f>HAVERM!I125</f>
        <v>2.0510000000000002</v>
      </c>
      <c r="X13" s="4">
        <f>HAVERM!J125</f>
        <v>2.2509999999999999</v>
      </c>
      <c r="Y13" s="4" t="e">
        <f>HAVERM!K125</f>
        <v>#N/A</v>
      </c>
      <c r="Z13" s="4" t="e">
        <f>HAVERM!L125</f>
        <v>#N/A</v>
      </c>
    </row>
    <row r="14" spans="1:34" x14ac:dyDescent="0.25">
      <c r="A14" s="6">
        <v>44896</v>
      </c>
      <c r="B14" s="4">
        <f>100*((HAVERM!C162/HAVERM!C150)-1)</f>
        <v>6.8376068376068355</v>
      </c>
      <c r="E14" s="6">
        <v>44896</v>
      </c>
      <c r="F14" s="4">
        <f>HAVERM!D162</f>
        <v>7.3</v>
      </c>
      <c r="I14" s="6">
        <v>45931</v>
      </c>
      <c r="J14" s="4"/>
      <c r="K14" s="4">
        <f>HAVERQ!B50</f>
        <v>2.2000000000000002</v>
      </c>
      <c r="L14" s="4">
        <f>100*((GMW!B218/GMW!B214)-1)</f>
        <v>2.4348994121663026</v>
      </c>
      <c r="M14" s="4">
        <v>2.1</v>
      </c>
      <c r="N14">
        <v>2</v>
      </c>
      <c r="P14" s="43">
        <v>43800</v>
      </c>
      <c r="Q14" s="4">
        <f>HAVERM!E126</f>
        <v>1.99</v>
      </c>
      <c r="R14" s="4">
        <f>HAVERM!F126</f>
        <v>2.371</v>
      </c>
      <c r="S14" s="4" t="e">
        <f>HAVERM!G126</f>
        <v>#N/A</v>
      </c>
      <c r="T14" s="4" t="e">
        <f>HAVERM!H126</f>
        <v>#N/A</v>
      </c>
      <c r="V14" s="43">
        <v>43800</v>
      </c>
      <c r="W14" s="4">
        <f>HAVERM!I126</f>
        <v>1.958</v>
      </c>
      <c r="X14" s="4">
        <f>HAVERM!J126</f>
        <v>2.2559999999999998</v>
      </c>
      <c r="Y14" s="4" t="e">
        <f>HAVERM!K126</f>
        <v>#N/A</v>
      </c>
      <c r="Z14" s="4" t="e">
        <f>HAVERM!L126</f>
        <v>#N/A</v>
      </c>
    </row>
    <row r="15" spans="1:34" x14ac:dyDescent="0.25">
      <c r="A15" s="6">
        <v>44927</v>
      </c>
      <c r="B15" s="4">
        <f>100*((HAVERM!C163/HAVERM!C151)-1)</f>
        <v>5.9024807527801482</v>
      </c>
      <c r="E15" s="6">
        <v>44927</v>
      </c>
      <c r="F15" s="4">
        <f>HAVERM!D163</f>
        <v>7.1</v>
      </c>
      <c r="I15" s="6">
        <v>46023</v>
      </c>
      <c r="J15" s="4"/>
      <c r="K15" s="4">
        <f>HAVERQ!B51</f>
        <v>2</v>
      </c>
      <c r="L15" s="4">
        <f>100*((GMW!B219/GMW!B215)-1)</f>
        <v>2.3920573433152237</v>
      </c>
      <c r="M15" s="4"/>
      <c r="N15">
        <v>2</v>
      </c>
      <c r="P15" s="43">
        <v>43831</v>
      </c>
      <c r="Q15" s="4">
        <f>HAVERM!E127</f>
        <v>2.0699999999999998</v>
      </c>
      <c r="R15" s="4">
        <f>HAVERM!F127</f>
        <v>2.121</v>
      </c>
      <c r="S15" s="4" t="e">
        <f>HAVERM!G127</f>
        <v>#N/A</v>
      </c>
      <c r="T15" s="4" t="e">
        <f>HAVERM!H127</f>
        <v>#N/A</v>
      </c>
      <c r="V15" s="43">
        <v>43831</v>
      </c>
      <c r="W15" s="4">
        <f>HAVERM!I127</f>
        <v>1.982</v>
      </c>
      <c r="X15" s="4">
        <f>HAVERM!J127</f>
        <v>2.2240000000000002</v>
      </c>
      <c r="Y15" s="4" t="e">
        <f>HAVERM!K127</f>
        <v>#N/A</v>
      </c>
      <c r="Z15" s="4" t="e">
        <f>HAVERM!L127</f>
        <v>#N/A</v>
      </c>
    </row>
    <row r="16" spans="1:34" x14ac:dyDescent="0.25">
      <c r="A16" s="6">
        <v>44958</v>
      </c>
      <c r="B16" s="4">
        <f>100*((HAVERM!C164/HAVERM!C152)-1)</f>
        <v>6.6496163682864484</v>
      </c>
      <c r="E16" s="6">
        <v>44958</v>
      </c>
      <c r="F16" s="4">
        <f>HAVERM!D164</f>
        <v>7.1</v>
      </c>
      <c r="I16" s="6">
        <v>46113</v>
      </c>
      <c r="J16" s="4"/>
      <c r="K16" s="4">
        <f>HAVERQ!B52</f>
        <v>1.7</v>
      </c>
      <c r="L16" s="4">
        <f>100*((GMW!B220/GMW!B216)-1)</f>
        <v>2.306310909953635</v>
      </c>
      <c r="M16" s="4"/>
      <c r="N16">
        <v>2</v>
      </c>
      <c r="P16" s="43">
        <v>43862</v>
      </c>
      <c r="Q16" s="4">
        <f>HAVERM!E128</f>
        <v>1.79</v>
      </c>
      <c r="R16" s="4">
        <f>HAVERM!F128</f>
        <v>2.1259999999999999</v>
      </c>
      <c r="S16" s="4" t="e">
        <f>HAVERM!G128</f>
        <v>#N/A</v>
      </c>
      <c r="T16" s="4" t="e">
        <f>HAVERM!H128</f>
        <v>#N/A</v>
      </c>
      <c r="V16" s="43">
        <v>43862</v>
      </c>
      <c r="W16" s="4">
        <f>HAVERM!I128</f>
        <v>1.9490000000000001</v>
      </c>
      <c r="X16" s="4">
        <f>HAVERM!J128</f>
        <v>2.206</v>
      </c>
      <c r="Y16" s="4" t="e">
        <f>HAVERM!K128</f>
        <v>#N/A</v>
      </c>
      <c r="Z16" s="4" t="e">
        <f>HAVERM!L128</f>
        <v>#N/A</v>
      </c>
    </row>
    <row r="17" spans="1:26" x14ac:dyDescent="0.25">
      <c r="A17" s="6">
        <v>44986</v>
      </c>
      <c r="B17" s="4">
        <f>100*((HAVERM!C165/HAVERM!C153)-1)</f>
        <v>6.6892464013547981</v>
      </c>
      <c r="E17" s="6">
        <v>44986</v>
      </c>
      <c r="F17" s="4">
        <f>HAVERM!D165</f>
        <v>7.2</v>
      </c>
      <c r="I17" s="6">
        <v>46204</v>
      </c>
      <c r="J17" s="4"/>
      <c r="K17" s="4">
        <f>HAVERQ!B53</f>
        <v>1.7</v>
      </c>
      <c r="L17" s="4">
        <f>100*((GMW!B221/GMW!B217)-1)</f>
        <v>2.2260201866488138</v>
      </c>
      <c r="M17" s="4"/>
      <c r="N17">
        <v>2</v>
      </c>
      <c r="P17" s="43">
        <v>43891</v>
      </c>
      <c r="Q17" s="4">
        <f>HAVERM!E129</f>
        <v>1.82</v>
      </c>
      <c r="R17" s="4">
        <f>HAVERM!F129</f>
        <v>1.615</v>
      </c>
      <c r="S17" s="4" t="e">
        <f>HAVERM!G129</f>
        <v>#N/A</v>
      </c>
      <c r="T17" s="4" t="e">
        <f>HAVERM!H129</f>
        <v>#N/A</v>
      </c>
      <c r="V17" s="43">
        <v>43891</v>
      </c>
      <c r="W17" s="4">
        <f>HAVERM!I129</f>
        <v>1.893</v>
      </c>
      <c r="X17" s="4">
        <f>HAVERM!J129</f>
        <v>1.954</v>
      </c>
      <c r="Y17" s="4" t="e">
        <f>HAVERM!K129</f>
        <v>#N/A</v>
      </c>
      <c r="Z17" s="4" t="e">
        <f>HAVERM!L129</f>
        <v>#N/A</v>
      </c>
    </row>
    <row r="18" spans="1:26" x14ac:dyDescent="0.25">
      <c r="A18" s="6">
        <v>45017</v>
      </c>
      <c r="B18" s="4">
        <f>100*((HAVERM!C166/HAVERM!C154)-1)</f>
        <v>6.9340016708437702</v>
      </c>
      <c r="E18" s="6">
        <v>45017</v>
      </c>
      <c r="F18" s="4">
        <f>HAVERM!D166</f>
        <v>7.7</v>
      </c>
      <c r="I18" s="6">
        <v>46296</v>
      </c>
      <c r="J18" s="4"/>
      <c r="K18" s="4">
        <f>HAVERQ!B54</f>
        <v>1.6</v>
      </c>
      <c r="L18" s="4">
        <f>100*((GMW!B222/GMW!B218)-1)</f>
        <v>2.0986743354546533</v>
      </c>
      <c r="M18" s="4"/>
      <c r="N18">
        <v>2</v>
      </c>
      <c r="P18" s="43">
        <v>43922</v>
      </c>
      <c r="Q18" s="4">
        <f>HAVERM!E130</f>
        <v>1.86</v>
      </c>
      <c r="R18" s="4">
        <f>HAVERM!F130</f>
        <v>1.2070000000000001</v>
      </c>
      <c r="S18" s="4" t="e">
        <f>HAVERM!G130</f>
        <v>#N/A</v>
      </c>
      <c r="T18" s="4" t="e">
        <f>HAVERM!H130</f>
        <v>#N/A</v>
      </c>
      <c r="V18" s="43">
        <v>43922</v>
      </c>
      <c r="W18" s="4">
        <f>HAVERM!I130</f>
        <v>1.8240000000000001</v>
      </c>
      <c r="X18" s="4">
        <f>HAVERM!J130</f>
        <v>1.649</v>
      </c>
      <c r="Y18" s="4" t="e">
        <f>HAVERM!K130</f>
        <v>#N/A</v>
      </c>
      <c r="Z18" s="4" t="e">
        <f>HAVERM!L130</f>
        <v>#N/A</v>
      </c>
    </row>
    <row r="19" spans="1:26" x14ac:dyDescent="0.25">
      <c r="A19" s="6">
        <v>45047</v>
      </c>
      <c r="B19" s="4">
        <f>100*((HAVERM!C167/HAVERM!C155)-1)</f>
        <v>7.3211314475873479</v>
      </c>
      <c r="E19" s="6">
        <v>45047</v>
      </c>
      <c r="F19" s="4">
        <f>HAVERM!D167</f>
        <v>7.9</v>
      </c>
      <c r="I19" s="6">
        <v>46388</v>
      </c>
      <c r="J19" s="4"/>
      <c r="K19" s="4">
        <f>HAVERQ!B55</f>
        <v>1.5</v>
      </c>
      <c r="L19" s="4">
        <f>100*((GMW!B223/GMW!B219)-1)</f>
        <v>2.1633594140409551</v>
      </c>
      <c r="M19" s="4"/>
      <c r="N19">
        <v>2</v>
      </c>
      <c r="P19" s="43">
        <v>43952</v>
      </c>
      <c r="Q19" s="4">
        <f>HAVERM!E131</f>
        <v>1.76</v>
      </c>
      <c r="R19" s="4">
        <f>HAVERM!F131</f>
        <v>1.387</v>
      </c>
      <c r="S19" s="4" t="e">
        <f>HAVERM!G131</f>
        <v>#N/A</v>
      </c>
      <c r="T19" s="4" t="e">
        <f>HAVERM!H131</f>
        <v>#N/A</v>
      </c>
      <c r="V19" s="43">
        <v>43952</v>
      </c>
      <c r="W19" s="4">
        <f>HAVERM!I131</f>
        <v>1.8129999999999999</v>
      </c>
      <c r="X19" s="4">
        <f>HAVERM!J131</f>
        <v>1.403</v>
      </c>
      <c r="Y19" s="4" t="e">
        <f>HAVERM!K131</f>
        <v>#N/A</v>
      </c>
      <c r="Z19" s="4" t="e">
        <f>HAVERM!L131</f>
        <v>#N/A</v>
      </c>
    </row>
    <row r="20" spans="1:26" x14ac:dyDescent="0.25">
      <c r="A20" s="6">
        <v>45078</v>
      </c>
      <c r="B20" s="4">
        <f>100*((HAVERM!C168/HAVERM!C156)-1)</f>
        <v>7.1900826446280819</v>
      </c>
      <c r="E20" s="6">
        <v>45078</v>
      </c>
      <c r="F20" s="4">
        <f>HAVERM!D168</f>
        <v>8.1</v>
      </c>
      <c r="I20" s="6">
        <v>46478</v>
      </c>
      <c r="J20" s="4"/>
      <c r="K20" s="4">
        <f>HAVERQ!B56</f>
        <v>1.5</v>
      </c>
      <c r="L20" s="4">
        <f>100*((GMW!B224/GMW!B220)-1)</f>
        <v>2.1882445450867705</v>
      </c>
      <c r="M20" s="4"/>
      <c r="N20">
        <v>2</v>
      </c>
      <c r="P20" s="43">
        <v>43983</v>
      </c>
      <c r="Q20" s="4">
        <f>HAVERM!E132</f>
        <v>1.19</v>
      </c>
      <c r="R20" s="4">
        <f>HAVERM!F132</f>
        <v>1.45</v>
      </c>
      <c r="S20" s="4" t="e">
        <f>HAVERM!G132</f>
        <v>#N/A</v>
      </c>
      <c r="T20" s="4" t="e">
        <f>HAVERM!H132</f>
        <v>#N/A</v>
      </c>
      <c r="V20" s="43">
        <v>43983</v>
      </c>
      <c r="W20" s="4">
        <f>HAVERM!I132</f>
        <v>1.6</v>
      </c>
      <c r="X20" s="4">
        <f>HAVERM!J132</f>
        <v>1.3480000000000001</v>
      </c>
      <c r="Y20" s="4" t="e">
        <f>HAVERM!K132</f>
        <v>#N/A</v>
      </c>
      <c r="Z20" s="4" t="e">
        <f>HAVERM!L132</f>
        <v>#N/A</v>
      </c>
    </row>
    <row r="21" spans="1:26" x14ac:dyDescent="0.25">
      <c r="A21" s="6">
        <v>45108</v>
      </c>
      <c r="B21" s="4">
        <f>100*((HAVERM!C169/HAVERM!C157)-1)</f>
        <v>7.4651353568498724</v>
      </c>
      <c r="E21" s="6">
        <v>45108</v>
      </c>
      <c r="F21" s="4">
        <f>HAVERM!D169</f>
        <v>8.1</v>
      </c>
      <c r="I21" s="6">
        <v>46569</v>
      </c>
      <c r="J21" s="4"/>
      <c r="K21" s="4">
        <f>HAVERQ!B57</f>
        <v>1.5</v>
      </c>
      <c r="L21" s="4">
        <f>100*((GMW!B225/GMW!B221)-1)</f>
        <v>2.2367092185686888</v>
      </c>
      <c r="M21" s="4"/>
      <c r="N21">
        <v>2</v>
      </c>
      <c r="P21" s="43">
        <v>44013</v>
      </c>
      <c r="Q21" s="4">
        <f>HAVERM!E133</f>
        <v>1.34</v>
      </c>
      <c r="R21" s="4">
        <f>HAVERM!F133</f>
        <v>1.663</v>
      </c>
      <c r="S21" s="4" t="e">
        <f>HAVERM!G133</f>
        <v>#N/A</v>
      </c>
      <c r="T21" s="4" t="e">
        <f>HAVERM!H133</f>
        <v>#N/A</v>
      </c>
      <c r="V21" s="43">
        <v>44013</v>
      </c>
      <c r="W21" s="4">
        <f>HAVERM!I133</f>
        <v>1.427</v>
      </c>
      <c r="X21" s="4">
        <f>HAVERM!J133</f>
        <v>1.5</v>
      </c>
      <c r="Y21" s="4" t="e">
        <f>HAVERM!K133</f>
        <v>#N/A</v>
      </c>
      <c r="Z21" s="4" t="e">
        <f>HAVERM!L133</f>
        <v>#N/A</v>
      </c>
    </row>
    <row r="22" spans="1:26" x14ac:dyDescent="0.25">
      <c r="A22" s="6">
        <v>45139</v>
      </c>
      <c r="B22" s="4">
        <f>100*((HAVERM!C170/HAVERM!C158)-1)</f>
        <v>6.764466177669104</v>
      </c>
      <c r="E22" s="6">
        <v>45139</v>
      </c>
      <c r="F22" s="4">
        <f>HAVERM!D170</f>
        <v>8.1</v>
      </c>
      <c r="I22" s="6">
        <v>46661</v>
      </c>
      <c r="J22" s="4"/>
      <c r="K22" s="4"/>
      <c r="L22" s="4">
        <f>100*((GMW!B226/GMW!B222)-1)</f>
        <v>2.2573022158326239</v>
      </c>
      <c r="M22" s="4"/>
      <c r="N22">
        <v>2</v>
      </c>
      <c r="P22" s="43">
        <v>44044</v>
      </c>
      <c r="Q22" s="4">
        <f>HAVERM!E134</f>
        <v>1.08</v>
      </c>
      <c r="R22" s="4">
        <f>HAVERM!F134</f>
        <v>2.181</v>
      </c>
      <c r="S22" s="4" t="e">
        <f>HAVERM!G134</f>
        <v>#N/A</v>
      </c>
      <c r="T22" s="4" t="e">
        <f>HAVERM!H134</f>
        <v>#N/A</v>
      </c>
      <c r="V22" s="43">
        <v>44044</v>
      </c>
      <c r="W22" s="4">
        <f>HAVERM!I134</f>
        <v>1.2</v>
      </c>
      <c r="X22" s="4">
        <f>HAVERM!J134</f>
        <v>1.764</v>
      </c>
      <c r="Y22" s="4" t="e">
        <f>HAVERM!K134</f>
        <v>#N/A</v>
      </c>
      <c r="Z22" s="4" t="e">
        <f>HAVERM!L134</f>
        <v>#N/A</v>
      </c>
    </row>
    <row r="23" spans="1:26" x14ac:dyDescent="0.25">
      <c r="A23" s="6">
        <v>45170</v>
      </c>
      <c r="B23" s="4">
        <f>100*((HAVERM!C171/HAVERM!C159)-1)</f>
        <v>6.9161920260374377</v>
      </c>
      <c r="C23" s="4"/>
      <c r="E23" s="6">
        <v>45170</v>
      </c>
      <c r="F23" s="4">
        <f>HAVERM!D171</f>
        <v>7.9</v>
      </c>
      <c r="P23" s="43">
        <v>44075</v>
      </c>
      <c r="Q23" s="4">
        <f>HAVERM!E135</f>
        <v>1.44</v>
      </c>
      <c r="R23" s="4">
        <f>HAVERM!F135</f>
        <v>1.887</v>
      </c>
      <c r="S23" s="4" t="e">
        <f>HAVERM!G135</f>
        <v>#N/A</v>
      </c>
      <c r="T23" s="4" t="e">
        <f>HAVERM!H135</f>
        <v>#N/A</v>
      </c>
      <c r="V23" s="43">
        <v>44075</v>
      </c>
      <c r="W23" s="4">
        <f>HAVERM!I135</f>
        <v>1.286</v>
      </c>
      <c r="X23" s="4">
        <f>HAVERM!J135</f>
        <v>1.91</v>
      </c>
      <c r="Y23" s="4" t="e">
        <f>HAVERM!K135</f>
        <v>#N/A</v>
      </c>
      <c r="Z23" s="4" t="e">
        <f>HAVERM!L135</f>
        <v>#N/A</v>
      </c>
    </row>
    <row r="24" spans="1:26" x14ac:dyDescent="0.25">
      <c r="A24" s="6">
        <v>45200</v>
      </c>
      <c r="B24" s="4">
        <f>100*((HAVERM!C172/HAVERM!C160)-1)</f>
        <v>6.5428109854604344</v>
      </c>
      <c r="C24" s="4"/>
      <c r="E24" s="6">
        <v>45200</v>
      </c>
      <c r="F24" s="4">
        <f>HAVERM!D172</f>
        <v>7.2</v>
      </c>
      <c r="P24" s="43">
        <v>44105</v>
      </c>
      <c r="Q24" s="4">
        <f>HAVERM!E136</f>
        <v>2.21</v>
      </c>
      <c r="R24" s="4">
        <f>HAVERM!F136</f>
        <v>2.3639999999999999</v>
      </c>
      <c r="S24" s="4" t="e">
        <f>HAVERM!G136</f>
        <v>#N/A</v>
      </c>
      <c r="T24" s="4" t="e">
        <f>HAVERM!H136</f>
        <v>#N/A</v>
      </c>
      <c r="V24" s="43">
        <v>44105</v>
      </c>
      <c r="W24" s="4">
        <f>HAVERM!I136</f>
        <v>1.5760000000000001</v>
      </c>
      <c r="X24" s="4">
        <f>HAVERM!J136</f>
        <v>2.1440000000000001</v>
      </c>
      <c r="Y24" s="4" t="e">
        <f>HAVERM!K136</f>
        <v>#N/A</v>
      </c>
      <c r="Z24" s="4" t="e">
        <f>HAVERM!L136</f>
        <v>#N/A</v>
      </c>
    </row>
    <row r="25" spans="1:26" x14ac:dyDescent="0.25">
      <c r="A25" s="6">
        <v>45231</v>
      </c>
      <c r="B25" s="4">
        <f>100*((HAVERM!C173/HAVERM!C161)-1)</f>
        <v>6.209677419354831</v>
      </c>
      <c r="C25" s="4"/>
      <c r="E25" s="6">
        <v>45231</v>
      </c>
      <c r="F25" s="4">
        <f>HAVERM!D173</f>
        <v>6.6</v>
      </c>
      <c r="P25" s="43">
        <v>44136</v>
      </c>
      <c r="Q25" s="4">
        <f>HAVERM!E137</f>
        <v>1.69</v>
      </c>
      <c r="R25" s="4">
        <f>HAVERM!F137</f>
        <v>2.0920000000000001</v>
      </c>
      <c r="S25" s="4" t="e">
        <f>HAVERM!G137</f>
        <v>#N/A</v>
      </c>
      <c r="T25" s="4" t="e">
        <f>HAVERM!H137</f>
        <v>#N/A</v>
      </c>
      <c r="V25" s="43">
        <v>44136</v>
      </c>
      <c r="W25" s="4">
        <f>HAVERM!I137</f>
        <v>1.78</v>
      </c>
      <c r="X25" s="4">
        <f>HAVERM!J137</f>
        <v>2.1150000000000002</v>
      </c>
      <c r="Y25" s="4" t="e">
        <f>HAVERM!K137</f>
        <v>#N/A</v>
      </c>
      <c r="Z25" s="4" t="e">
        <f>HAVERM!L137</f>
        <v>#N/A</v>
      </c>
    </row>
    <row r="26" spans="1:26" x14ac:dyDescent="0.25">
      <c r="A26" s="6">
        <v>45261</v>
      </c>
      <c r="B26" s="4">
        <f>100*((HAVERM!C174/HAVERM!C162)-1)</f>
        <v>6.4000000000000057</v>
      </c>
      <c r="C26" s="4"/>
      <c r="E26" s="6">
        <v>45261</v>
      </c>
      <c r="F26" s="4">
        <f>HAVERM!D174</f>
        <v>6.2</v>
      </c>
      <c r="P26" s="43">
        <v>44166</v>
      </c>
      <c r="Q26" s="4">
        <f>HAVERM!E138</f>
        <v>0.85</v>
      </c>
      <c r="R26" s="4">
        <f>HAVERM!F138</f>
        <v>2.6960000000000002</v>
      </c>
      <c r="S26" s="4" t="e">
        <f>HAVERM!G138</f>
        <v>#N/A</v>
      </c>
      <c r="T26" s="4" t="e">
        <f>HAVERM!H138</f>
        <v>#N/A</v>
      </c>
      <c r="V26" s="43">
        <v>44166</v>
      </c>
      <c r="W26" s="4">
        <f>HAVERM!I138</f>
        <v>1.5820000000000001</v>
      </c>
      <c r="X26" s="4">
        <f>HAVERM!J138</f>
        <v>2.3839999999999999</v>
      </c>
      <c r="Y26" s="4" t="e">
        <f>HAVERM!K138</f>
        <v>#N/A</v>
      </c>
      <c r="Z26" s="4" t="e">
        <f>HAVERM!L138</f>
        <v>#N/A</v>
      </c>
    </row>
    <row r="27" spans="1:26" x14ac:dyDescent="0.25">
      <c r="A27" s="6">
        <v>45292</v>
      </c>
      <c r="B27" s="4">
        <f>100*((HAVERM!C175/HAVERM!C163)-1)</f>
        <v>6.5428109854604344</v>
      </c>
      <c r="C27" s="4"/>
      <c r="E27" s="6">
        <v>45292</v>
      </c>
      <c r="F27" s="4">
        <f>HAVERM!D175</f>
        <v>6.1</v>
      </c>
      <c r="P27" s="43">
        <v>44197</v>
      </c>
      <c r="Q27" s="4">
        <f>HAVERM!E139</f>
        <v>1.83</v>
      </c>
      <c r="R27" s="4">
        <f>HAVERM!F139</f>
        <v>2.5089999999999999</v>
      </c>
      <c r="S27" s="4" t="e">
        <f>HAVERM!G139</f>
        <v>#N/A</v>
      </c>
      <c r="T27" s="4" t="e">
        <f>HAVERM!H139</f>
        <v>#N/A</v>
      </c>
      <c r="V27" s="43">
        <v>44197</v>
      </c>
      <c r="W27" s="4">
        <f>HAVERM!I139</f>
        <v>1.456</v>
      </c>
      <c r="X27" s="4">
        <f>HAVERM!J139</f>
        <v>2.4329999999999998</v>
      </c>
      <c r="Y27" s="4" t="e">
        <f>HAVERM!K139</f>
        <v>#N/A</v>
      </c>
      <c r="Z27" s="4" t="e">
        <f>HAVERM!L139</f>
        <v>#N/A</v>
      </c>
    </row>
    <row r="28" spans="1:26" x14ac:dyDescent="0.25">
      <c r="A28" s="6">
        <v>45323</v>
      </c>
      <c r="B28" s="4">
        <f>100*((HAVERM!C176/HAVERM!C164)-1)</f>
        <v>6.0751398880895202</v>
      </c>
      <c r="C28" s="4"/>
      <c r="E28" s="6">
        <v>45323</v>
      </c>
      <c r="F28" s="4">
        <f>HAVERM!D176</f>
        <v>6</v>
      </c>
      <c r="P28" s="43">
        <v>44228</v>
      </c>
      <c r="Q28" s="4">
        <f>HAVERM!E140</f>
        <v>2.0699999999999998</v>
      </c>
      <c r="R28" s="4">
        <f>HAVERM!F140</f>
        <v>2.7189999999999999</v>
      </c>
      <c r="S28" s="4" t="e">
        <f>HAVERM!G140</f>
        <v>#N/A</v>
      </c>
      <c r="T28" s="4" t="e">
        <f>HAVERM!H140</f>
        <v>#N/A</v>
      </c>
      <c r="V28" s="43">
        <v>44228</v>
      </c>
      <c r="W28" s="4">
        <f>HAVERM!I140</f>
        <v>1.585</v>
      </c>
      <c r="X28" s="4">
        <f>HAVERM!J140</f>
        <v>2.6419999999999999</v>
      </c>
      <c r="Y28" s="4" t="e">
        <f>HAVERM!K140</f>
        <v>#N/A</v>
      </c>
      <c r="Z28" s="4" t="e">
        <f>HAVERM!L140</f>
        <v>#N/A</v>
      </c>
    </row>
    <row r="29" spans="1:26" x14ac:dyDescent="0.25">
      <c r="A29" s="6">
        <v>45352</v>
      </c>
      <c r="B29" s="4">
        <f>100*((HAVERM!C177/HAVERM!C165)-1)</f>
        <v>5.9523809523809534</v>
      </c>
      <c r="C29" s="4"/>
      <c r="E29" s="6">
        <v>45352</v>
      </c>
      <c r="F29" s="4">
        <f>HAVERM!D177</f>
        <v>5.9</v>
      </c>
      <c r="P29" s="43">
        <v>44256</v>
      </c>
      <c r="Q29" s="4">
        <f>HAVERM!E141</f>
        <v>1.65</v>
      </c>
      <c r="R29" s="4">
        <f>HAVERM!F141</f>
        <v>2.9780000000000002</v>
      </c>
      <c r="S29" s="4" t="e">
        <f>HAVERM!G141</f>
        <v>#N/A</v>
      </c>
      <c r="T29" s="4" t="e">
        <f>HAVERM!H141</f>
        <v>#N/A</v>
      </c>
      <c r="V29" s="43">
        <v>44256</v>
      </c>
      <c r="W29" s="4">
        <f>HAVERM!I141</f>
        <v>1.8520000000000001</v>
      </c>
      <c r="X29" s="4">
        <f>HAVERM!J141</f>
        <v>2.7349999999999999</v>
      </c>
      <c r="Y29" s="4" t="e">
        <f>HAVERM!K141</f>
        <v>#N/A</v>
      </c>
      <c r="Z29" s="4" t="e">
        <f>HAVERM!L141</f>
        <v>#N/A</v>
      </c>
    </row>
    <row r="30" spans="1:26" x14ac:dyDescent="0.25">
      <c r="A30" s="6">
        <v>45383</v>
      </c>
      <c r="B30" s="4">
        <f>100*((HAVERM!C178/HAVERM!C166)-1)</f>
        <v>5.859375</v>
      </c>
      <c r="C30" s="4"/>
      <c r="E30" s="6">
        <v>45383</v>
      </c>
      <c r="F30" s="4">
        <f>HAVERM!D178</f>
        <v>5.9</v>
      </c>
      <c r="P30" s="43">
        <v>44287</v>
      </c>
      <c r="Q30" s="4">
        <f>HAVERM!E142</f>
        <v>2.78</v>
      </c>
      <c r="R30" s="4">
        <f>HAVERM!F142</f>
        <v>3.137</v>
      </c>
      <c r="S30" s="4" t="e">
        <f>HAVERM!G142</f>
        <v>#N/A</v>
      </c>
      <c r="T30" s="4" t="e">
        <f>HAVERM!H142</f>
        <v>#N/A</v>
      </c>
      <c r="V30" s="43">
        <v>44287</v>
      </c>
      <c r="W30" s="4">
        <f>HAVERM!I142</f>
        <v>2.1680000000000001</v>
      </c>
      <c r="X30" s="4">
        <f>HAVERM!J142</f>
        <v>2.9449999999999998</v>
      </c>
      <c r="Y30" s="4" t="e">
        <f>HAVERM!K142</f>
        <v>#N/A</v>
      </c>
      <c r="Z30" s="4" t="e">
        <f>HAVERM!L142</f>
        <v>#N/A</v>
      </c>
    </row>
    <row r="31" spans="1:26" x14ac:dyDescent="0.25">
      <c r="A31" s="6">
        <v>45413</v>
      </c>
      <c r="B31" s="4">
        <f>100*((HAVERM!C179/HAVERM!C167)-1)</f>
        <v>5.7364341085271331</v>
      </c>
      <c r="C31" s="4"/>
      <c r="E31" s="6">
        <v>45413</v>
      </c>
      <c r="F31" s="4">
        <f>HAVERM!D179</f>
        <v>5.6</v>
      </c>
      <c r="P31" s="43">
        <v>44317</v>
      </c>
      <c r="Q31" s="4">
        <f>HAVERM!E143</f>
        <v>2.84</v>
      </c>
      <c r="R31" s="4">
        <f>HAVERM!F143</f>
        <v>3.4489999999999998</v>
      </c>
      <c r="S31" s="4" t="e">
        <f>HAVERM!G143</f>
        <v>#N/A</v>
      </c>
      <c r="T31" s="4" t="e">
        <f>HAVERM!H143</f>
        <v>#N/A</v>
      </c>
      <c r="V31" s="43">
        <v>44317</v>
      </c>
      <c r="W31" s="4">
        <f>HAVERM!I143</f>
        <v>2.4249999999999998</v>
      </c>
      <c r="X31" s="4">
        <f>HAVERM!J143</f>
        <v>3.1880000000000002</v>
      </c>
      <c r="Y31" s="4" t="e">
        <f>HAVERM!K143</f>
        <v>#N/A</v>
      </c>
      <c r="Z31" s="4" t="e">
        <f>HAVERM!L143</f>
        <v>#N/A</v>
      </c>
    </row>
    <row r="32" spans="1:26" x14ac:dyDescent="0.25">
      <c r="A32" s="6">
        <v>45444</v>
      </c>
      <c r="B32" s="4">
        <f>100*((HAVERM!C180/HAVERM!C168)-1)</f>
        <v>5.7054741711642265</v>
      </c>
      <c r="C32" s="4"/>
      <c r="E32" s="6">
        <v>45444</v>
      </c>
      <c r="F32" s="4">
        <f>HAVERM!D180</f>
        <v>5.2</v>
      </c>
      <c r="G32" s="4">
        <f>'MPR Chart 2.21'!B32</f>
        <v>5.141</v>
      </c>
      <c r="P32" s="43">
        <v>44348</v>
      </c>
      <c r="Q32" s="4">
        <f>HAVERM!E144</f>
        <v>3.13</v>
      </c>
      <c r="R32" s="4">
        <f>HAVERM!F144</f>
        <v>3.2549999999999999</v>
      </c>
      <c r="S32" s="4" t="e">
        <f>HAVERM!G144</f>
        <v>#N/A</v>
      </c>
      <c r="T32" s="4" t="e">
        <f>HAVERM!H144</f>
        <v>#N/A</v>
      </c>
      <c r="V32" s="43">
        <v>44348</v>
      </c>
      <c r="W32" s="4">
        <f>HAVERM!I144</f>
        <v>2.9169999999999998</v>
      </c>
      <c r="X32" s="4">
        <f>HAVERM!J144</f>
        <v>3.28</v>
      </c>
      <c r="Y32" s="4" t="e">
        <f>HAVERM!K144</f>
        <v>#N/A</v>
      </c>
      <c r="Z32" s="4" t="e">
        <f>HAVERM!L144</f>
        <v>#N/A</v>
      </c>
    </row>
    <row r="33" spans="1:26" x14ac:dyDescent="0.25">
      <c r="A33" s="6">
        <v>45474</v>
      </c>
      <c r="B33" s="4">
        <f>100*((HAVERM!C181/HAVERM!C169)-1)</f>
        <v>5.1908396946565016</v>
      </c>
      <c r="C33" s="4">
        <f>'MPR Chart 2.16'!L49</f>
        <v>5.5629999999999997</v>
      </c>
      <c r="E33" s="6">
        <v>45474</v>
      </c>
      <c r="F33" s="4"/>
      <c r="G33" s="4"/>
      <c r="P33" s="43">
        <v>44378</v>
      </c>
      <c r="Q33" s="4">
        <f>HAVERM!E145</f>
        <v>3.76</v>
      </c>
      <c r="R33" s="4">
        <f>HAVERM!F145</f>
        <v>2.9220000000000002</v>
      </c>
      <c r="S33" s="4" t="e">
        <f>HAVERM!G145</f>
        <v>#N/A</v>
      </c>
      <c r="T33" s="4" t="e">
        <f>HAVERM!H145</f>
        <v>#N/A</v>
      </c>
      <c r="V33" s="43">
        <v>44378</v>
      </c>
      <c r="W33" s="4">
        <f>HAVERM!I145</f>
        <v>3.2440000000000002</v>
      </c>
      <c r="X33" s="4">
        <f>HAVERM!J145</f>
        <v>3.2090000000000001</v>
      </c>
      <c r="Y33" s="4" t="e">
        <f>HAVERM!K145</f>
        <v>#N/A</v>
      </c>
      <c r="Z33" s="4" t="e">
        <f>HAVERM!L145</f>
        <v>#N/A</v>
      </c>
    </row>
    <row r="34" spans="1:26" x14ac:dyDescent="0.25">
      <c r="A34" s="6">
        <v>45505</v>
      </c>
      <c r="C34" s="4">
        <f>'MPR Chart 2.16'!L50</f>
        <v>5.84</v>
      </c>
      <c r="E34" s="6">
        <v>45505</v>
      </c>
      <c r="F34" s="4"/>
      <c r="G34" s="4"/>
      <c r="P34" s="43">
        <v>44409</v>
      </c>
      <c r="Q34" s="4">
        <f>HAVERM!E146</f>
        <v>3.45</v>
      </c>
      <c r="R34" s="4">
        <f>HAVERM!F146</f>
        <v>3.2229999999999999</v>
      </c>
      <c r="S34" s="4" t="e">
        <f>HAVERM!G146</f>
        <v>#N/A</v>
      </c>
      <c r="T34" s="4" t="e">
        <f>HAVERM!H146</f>
        <v>#N/A</v>
      </c>
      <c r="V34" s="43">
        <v>44409</v>
      </c>
      <c r="W34" s="4">
        <f>HAVERM!I146</f>
        <v>3.4460000000000002</v>
      </c>
      <c r="X34" s="4">
        <f>HAVERM!J146</f>
        <v>3.133</v>
      </c>
      <c r="Y34" s="4" t="e">
        <f>HAVERM!K146</f>
        <v>#N/A</v>
      </c>
      <c r="Z34" s="4" t="e">
        <f>HAVERM!L146</f>
        <v>#N/A</v>
      </c>
    </row>
    <row r="35" spans="1:26" x14ac:dyDescent="0.25">
      <c r="A35" s="6">
        <v>45536</v>
      </c>
      <c r="C35" s="4">
        <f>'MPR Chart 2.16'!L51</f>
        <v>5.52</v>
      </c>
      <c r="E35" s="6">
        <v>45536</v>
      </c>
      <c r="F35" s="4"/>
      <c r="G35" s="4">
        <f>'MPR Chart 2.21'!B33</f>
        <v>4.83</v>
      </c>
      <c r="P35" s="43">
        <v>44440</v>
      </c>
      <c r="Q35" s="4">
        <f>HAVERM!E147</f>
        <v>4.54</v>
      </c>
      <c r="R35" s="4">
        <f>HAVERM!F147</f>
        <v>4.1059999999999999</v>
      </c>
      <c r="S35" s="4" t="e">
        <f>HAVERM!G147</f>
        <v>#N/A</v>
      </c>
      <c r="T35" s="4" t="e">
        <f>HAVERM!H147</f>
        <v>#N/A</v>
      </c>
      <c r="V35" s="43">
        <v>44440</v>
      </c>
      <c r="W35" s="4">
        <f>HAVERM!I147</f>
        <v>3.9159999999999999</v>
      </c>
      <c r="X35" s="4">
        <f>HAVERM!J147</f>
        <v>3.4169999999999998</v>
      </c>
      <c r="Y35" s="4" t="e">
        <f>HAVERM!K147</f>
        <v>#N/A</v>
      </c>
      <c r="Z35" s="4" t="e">
        <f>HAVERM!L147</f>
        <v>#N/A</v>
      </c>
    </row>
    <row r="36" spans="1:26" x14ac:dyDescent="0.25">
      <c r="A36" s="6">
        <v>45566</v>
      </c>
      <c r="C36" s="4">
        <f>'MPR Chart 2.16'!L52</f>
        <v>5.5019999999999998</v>
      </c>
      <c r="E36" s="6">
        <v>45566</v>
      </c>
      <c r="P36" s="43">
        <v>44470</v>
      </c>
      <c r="Q36" s="4">
        <f>HAVERM!E148</f>
        <v>5.42</v>
      </c>
      <c r="R36" s="4">
        <f>HAVERM!F148</f>
        <v>4.7069999999999999</v>
      </c>
      <c r="S36" s="4" t="e">
        <f>HAVERM!G148</f>
        <v>#N/A</v>
      </c>
      <c r="T36" s="4" t="e">
        <f>HAVERM!H148</f>
        <v>#N/A</v>
      </c>
      <c r="V36" s="43">
        <v>44470</v>
      </c>
      <c r="W36" s="4">
        <f>HAVERM!I148</f>
        <v>4.4690000000000003</v>
      </c>
      <c r="X36" s="4">
        <f>HAVERM!J148</f>
        <v>4.0119999999999996</v>
      </c>
      <c r="Y36" s="4" t="e">
        <f>HAVERM!K148</f>
        <v>#N/A</v>
      </c>
      <c r="Z36" s="4" t="e">
        <f>HAVERM!L148</f>
        <v>#N/A</v>
      </c>
    </row>
    <row r="37" spans="1:26" x14ac:dyDescent="0.25">
      <c r="A37" s="6">
        <v>45597</v>
      </c>
      <c r="C37" s="4">
        <f>'MPR Chart 2.16'!L53</f>
        <v>5.3949999999999996</v>
      </c>
      <c r="E37" s="6">
        <v>45597</v>
      </c>
      <c r="P37" s="43">
        <v>44501</v>
      </c>
      <c r="Q37" s="4">
        <f>HAVERM!E149</f>
        <v>4.82</v>
      </c>
      <c r="R37" s="4">
        <f>HAVERM!F149</f>
        <v>4.444</v>
      </c>
      <c r="S37" s="4" t="e">
        <f>HAVERM!G149</f>
        <v>#N/A</v>
      </c>
      <c r="T37" s="4" t="e">
        <f>HAVERM!H149</f>
        <v>#N/A</v>
      </c>
      <c r="V37" s="43">
        <v>44501</v>
      </c>
      <c r="W37" s="4">
        <f>HAVERM!I149</f>
        <v>4.9249999999999998</v>
      </c>
      <c r="X37" s="4">
        <f>HAVERM!J149</f>
        <v>4.4189999999999996</v>
      </c>
      <c r="Y37" s="4" t="e">
        <f>HAVERM!K149</f>
        <v>#N/A</v>
      </c>
      <c r="Z37" s="4" t="e">
        <f>HAVERM!L149</f>
        <v>#N/A</v>
      </c>
    </row>
    <row r="38" spans="1:26" x14ac:dyDescent="0.25">
      <c r="A38" s="6">
        <v>45627</v>
      </c>
      <c r="C38" s="4">
        <f>'MPR Chart 2.16'!L54</f>
        <v>5.2859999999999996</v>
      </c>
      <c r="E38" s="6">
        <v>45627</v>
      </c>
      <c r="P38" s="43">
        <v>44531</v>
      </c>
      <c r="Q38" s="4">
        <f>HAVERM!E150</f>
        <v>5.48</v>
      </c>
      <c r="R38" s="4">
        <f>HAVERM!F150</f>
        <v>5.0990000000000002</v>
      </c>
      <c r="S38" s="4" t="e">
        <f>HAVERM!G150</f>
        <v>#N/A</v>
      </c>
      <c r="T38" s="4" t="e">
        <f>HAVERM!H150</f>
        <v>#N/A</v>
      </c>
      <c r="V38" s="43">
        <v>44531</v>
      </c>
      <c r="W38" s="4">
        <f>HAVERM!I150</f>
        <v>5.24</v>
      </c>
      <c r="X38" s="4">
        <f>HAVERM!J150</f>
        <v>4.75</v>
      </c>
      <c r="Y38" s="4" t="e">
        <f>HAVERM!K150</f>
        <v>#N/A</v>
      </c>
      <c r="Z38" s="4" t="e">
        <f>HAVERM!L150</f>
        <v>#N/A</v>
      </c>
    </row>
    <row r="39" spans="1:26" x14ac:dyDescent="0.25">
      <c r="P39" s="43">
        <v>44562</v>
      </c>
      <c r="Q39" s="4">
        <f>HAVERM!E151</f>
        <v>5.41</v>
      </c>
      <c r="R39" s="4">
        <f>HAVERM!F151</f>
        <v>4.5270000000000001</v>
      </c>
      <c r="S39" s="4" t="e">
        <f>HAVERM!G151</f>
        <v>#N/A</v>
      </c>
      <c r="T39" s="4" t="e">
        <f>HAVERM!H151</f>
        <v>#N/A</v>
      </c>
      <c r="V39" s="43">
        <v>44562</v>
      </c>
      <c r="W39" s="4">
        <f>HAVERM!I151</f>
        <v>5.2350000000000003</v>
      </c>
      <c r="X39" s="4">
        <f>HAVERM!J151</f>
        <v>4.6900000000000004</v>
      </c>
      <c r="Y39" s="4" t="e">
        <f>HAVERM!K151</f>
        <v>#N/A</v>
      </c>
      <c r="Z39" s="4" t="e">
        <f>HAVERM!L151</f>
        <v>#N/A</v>
      </c>
    </row>
    <row r="40" spans="1:26" x14ac:dyDescent="0.25">
      <c r="P40" s="43">
        <v>44593</v>
      </c>
      <c r="Q40" s="4">
        <f>HAVERM!E152</f>
        <v>5.26</v>
      </c>
      <c r="R40" s="4">
        <f>HAVERM!F152</f>
        <v>4.8920000000000003</v>
      </c>
      <c r="S40" s="4" t="e">
        <f>HAVERM!G152</f>
        <v>#N/A</v>
      </c>
      <c r="T40" s="4" t="e">
        <f>HAVERM!H152</f>
        <v>#N/A</v>
      </c>
      <c r="V40" s="43">
        <v>44593</v>
      </c>
      <c r="W40" s="4">
        <f>HAVERM!I152</f>
        <v>5.383</v>
      </c>
      <c r="X40" s="4">
        <f>HAVERM!J152</f>
        <v>4.8390000000000004</v>
      </c>
      <c r="Y40" s="4" t="e">
        <f>HAVERM!K152</f>
        <v>#N/A</v>
      </c>
      <c r="Z40" s="4" t="e">
        <f>HAVERM!L152</f>
        <v>#N/A</v>
      </c>
    </row>
    <row r="41" spans="1:26" x14ac:dyDescent="0.25">
      <c r="P41" s="43">
        <v>44621</v>
      </c>
      <c r="Q41" s="4">
        <f>HAVERM!E153</f>
        <v>6.84</v>
      </c>
      <c r="R41" s="4">
        <f>HAVERM!F153</f>
        <v>5.87</v>
      </c>
      <c r="S41" s="4" t="e">
        <f>HAVERM!G153</f>
        <v>#N/A</v>
      </c>
      <c r="T41" s="4" t="e">
        <f>HAVERM!H153</f>
        <v>#N/A</v>
      </c>
      <c r="V41" s="43">
        <v>44621</v>
      </c>
      <c r="W41" s="4">
        <f>HAVERM!I153</f>
        <v>5.8339999999999996</v>
      </c>
      <c r="X41" s="4">
        <f>HAVERM!J153</f>
        <v>5.0960000000000001</v>
      </c>
      <c r="Y41" s="4" t="e">
        <f>HAVERM!K153</f>
        <v>#N/A</v>
      </c>
      <c r="Z41" s="4" t="e">
        <f>HAVERM!L153</f>
        <v>#N/A</v>
      </c>
    </row>
    <row r="42" spans="1:26" x14ac:dyDescent="0.25">
      <c r="P42" s="43">
        <v>44652</v>
      </c>
      <c r="Q42" s="4">
        <f>HAVERM!E154</f>
        <v>6.5</v>
      </c>
      <c r="R42" s="4">
        <f>HAVERM!F154</f>
        <v>5.9980000000000002</v>
      </c>
      <c r="S42" s="4" t="e">
        <f>HAVERM!G154</f>
        <v>#N/A</v>
      </c>
      <c r="T42" s="4" t="e">
        <f>HAVERM!H154</f>
        <v>#N/A</v>
      </c>
      <c r="V42" s="43">
        <v>44652</v>
      </c>
      <c r="W42" s="4">
        <f>HAVERM!I154</f>
        <v>6.2</v>
      </c>
      <c r="X42" s="4">
        <f>HAVERM!J154</f>
        <v>5.5869999999999997</v>
      </c>
      <c r="Y42" s="4" t="e">
        <f>HAVERM!K154</f>
        <v>#N/A</v>
      </c>
      <c r="Z42" s="4" t="e">
        <f>HAVERM!L154</f>
        <v>#N/A</v>
      </c>
    </row>
    <row r="43" spans="1:26" x14ac:dyDescent="0.25">
      <c r="P43" s="43">
        <v>44682</v>
      </c>
      <c r="Q43" s="4">
        <f>HAVERM!E155</f>
        <v>7.28</v>
      </c>
      <c r="R43" s="4">
        <f>HAVERM!F155</f>
        <v>5.883</v>
      </c>
      <c r="S43" s="4">
        <f>HAVERM!G155</f>
        <v>5.5</v>
      </c>
      <c r="T43" s="4">
        <f>HAVERM!H155</f>
        <v>4.8</v>
      </c>
      <c r="V43" s="43">
        <v>44682</v>
      </c>
      <c r="W43" s="4">
        <f>HAVERM!I155</f>
        <v>6.8739999999999997</v>
      </c>
      <c r="X43" s="4">
        <f>HAVERM!J155</f>
        <v>5.9169999999999998</v>
      </c>
      <c r="Y43" s="4">
        <f>HAVERM!K155</f>
        <v>5.4509999999999996</v>
      </c>
      <c r="Z43" s="4">
        <f>HAVERM!L155</f>
        <v>4.774</v>
      </c>
    </row>
    <row r="44" spans="1:26" x14ac:dyDescent="0.25">
      <c r="P44" s="43">
        <v>44713</v>
      </c>
      <c r="Q44" s="4">
        <f>HAVERM!E156</f>
        <v>7.44</v>
      </c>
      <c r="R44" s="4">
        <f>HAVERM!F156</f>
        <v>6.2919999999999998</v>
      </c>
      <c r="S44" s="4">
        <f>HAVERM!G156</f>
        <v>5.7</v>
      </c>
      <c r="T44" s="4">
        <f>HAVERM!H156</f>
        <v>5.0999999999999996</v>
      </c>
      <c r="V44" s="43">
        <v>44713</v>
      </c>
      <c r="W44" s="4">
        <f>HAVERM!I156</f>
        <v>7.0759999999999996</v>
      </c>
      <c r="X44" s="4">
        <f>HAVERM!J156</f>
        <v>6.0579999999999998</v>
      </c>
      <c r="Y44" s="4">
        <f>HAVERM!K156</f>
        <v>5.5659999999999998</v>
      </c>
      <c r="Z44" s="4">
        <f>HAVERM!L156</f>
        <v>4.9329999999999998</v>
      </c>
    </row>
    <row r="45" spans="1:26" x14ac:dyDescent="0.25">
      <c r="P45" s="43">
        <v>44743</v>
      </c>
      <c r="Q45" s="4">
        <f>HAVERM!E157</f>
        <v>7.96</v>
      </c>
      <c r="R45" s="4">
        <f>HAVERM!F157</f>
        <v>6.6680000000000001</v>
      </c>
      <c r="S45" s="4">
        <f>HAVERM!G157</f>
        <v>5.5</v>
      </c>
      <c r="T45" s="4">
        <f>HAVERM!H157</f>
        <v>5.2</v>
      </c>
      <c r="V45" s="43">
        <v>44743</v>
      </c>
      <c r="W45" s="4">
        <f>HAVERM!I157</f>
        <v>7.56</v>
      </c>
      <c r="X45" s="4">
        <f>HAVERM!J157</f>
        <v>6.2809999999999997</v>
      </c>
      <c r="Y45" s="4">
        <f>HAVERM!K157</f>
        <v>5.53</v>
      </c>
      <c r="Z45" s="4">
        <f>HAVERM!L157</f>
        <v>5.0129999999999999</v>
      </c>
    </row>
    <row r="46" spans="1:26" x14ac:dyDescent="0.25">
      <c r="P46" s="43">
        <v>44774</v>
      </c>
      <c r="Q46" s="4">
        <f>HAVERM!E158</f>
        <v>7.63</v>
      </c>
      <c r="R46" s="4">
        <f>HAVERM!F158</f>
        <v>6.4340000000000002</v>
      </c>
      <c r="S46" s="4">
        <f>HAVERM!G158</f>
        <v>6.4</v>
      </c>
      <c r="T46" s="4">
        <f>HAVERM!H158</f>
        <v>5.5</v>
      </c>
      <c r="V46" s="43">
        <v>44774</v>
      </c>
      <c r="W46" s="4">
        <f>HAVERM!I158</f>
        <v>7.6760000000000002</v>
      </c>
      <c r="X46" s="4">
        <f>HAVERM!J158</f>
        <v>6.4649999999999999</v>
      </c>
      <c r="Y46" s="4">
        <f>HAVERM!K158</f>
        <v>5.835</v>
      </c>
      <c r="Z46" s="4">
        <f>HAVERM!L158</f>
        <v>5.2450000000000001</v>
      </c>
    </row>
    <row r="47" spans="1:26" x14ac:dyDescent="0.25">
      <c r="P47" s="43">
        <v>44805</v>
      </c>
      <c r="Q47" s="4">
        <f>HAVERM!E159</f>
        <v>7.41</v>
      </c>
      <c r="R47" s="4">
        <f>HAVERM!F159</f>
        <v>6.6379999999999999</v>
      </c>
      <c r="S47" s="4">
        <f>HAVERM!G159</f>
        <v>6.5</v>
      </c>
      <c r="T47" s="4">
        <f>HAVERM!H159</f>
        <v>5.9</v>
      </c>
      <c r="V47" s="43">
        <v>44805</v>
      </c>
      <c r="W47" s="4">
        <f>HAVERM!I159</f>
        <v>7.665</v>
      </c>
      <c r="X47" s="4">
        <f>HAVERM!J159</f>
        <v>6.58</v>
      </c>
      <c r="Y47" s="4">
        <f>HAVERM!K159</f>
        <v>6.1</v>
      </c>
      <c r="Z47" s="4">
        <f>HAVERM!L159</f>
        <v>5.5030000000000001</v>
      </c>
    </row>
    <row r="48" spans="1:26" x14ac:dyDescent="0.25">
      <c r="P48" s="43">
        <v>44835</v>
      </c>
      <c r="Q48" s="4">
        <f>HAVERM!E160</f>
        <v>7.76</v>
      </c>
      <c r="R48" s="4">
        <f>HAVERM!F160</f>
        <v>6.2210000000000001</v>
      </c>
      <c r="S48" s="4">
        <f>HAVERM!G160</f>
        <v>6.1</v>
      </c>
      <c r="T48" s="4">
        <f>HAVERM!H160</f>
        <v>5.8</v>
      </c>
      <c r="V48" s="43">
        <v>44835</v>
      </c>
      <c r="W48" s="4">
        <f>HAVERM!I160</f>
        <v>7.5990000000000002</v>
      </c>
      <c r="X48" s="4">
        <f>HAVERM!J160</f>
        <v>6.431</v>
      </c>
      <c r="Y48" s="4">
        <f>HAVERM!K160</f>
        <v>6.3010000000000002</v>
      </c>
      <c r="Z48" s="4">
        <f>HAVERM!L160</f>
        <v>5.7249999999999996</v>
      </c>
    </row>
    <row r="49" spans="16:26" x14ac:dyDescent="0.25">
      <c r="P49" s="43">
        <v>44866</v>
      </c>
      <c r="Q49" s="4">
        <f>HAVERM!E161</f>
        <v>7.2</v>
      </c>
      <c r="R49" s="4">
        <f>HAVERM!F161</f>
        <v>5.7469999999999999</v>
      </c>
      <c r="S49" s="4">
        <f>HAVERM!G161</f>
        <v>6.1</v>
      </c>
      <c r="T49" s="4">
        <f>HAVERM!H161</f>
        <v>5.8</v>
      </c>
      <c r="V49" s="43">
        <v>44866</v>
      </c>
      <c r="W49" s="4">
        <f>HAVERM!I161</f>
        <v>7.4560000000000004</v>
      </c>
      <c r="X49" s="4">
        <f>HAVERM!J161</f>
        <v>6.202</v>
      </c>
      <c r="Y49" s="4">
        <f>HAVERM!K161</f>
        <v>6.2140000000000004</v>
      </c>
      <c r="Z49" s="4">
        <f>HAVERM!L161</f>
        <v>5.8280000000000003</v>
      </c>
    </row>
    <row r="50" spans="16:26" x14ac:dyDescent="0.25">
      <c r="P50" s="43">
        <v>44896</v>
      </c>
      <c r="Q50" s="4">
        <f>HAVERM!E162</f>
        <v>8.5399999999999991</v>
      </c>
      <c r="R50" s="4">
        <f>HAVERM!F162</f>
        <v>5.7830000000000004</v>
      </c>
      <c r="S50" s="4">
        <f>HAVERM!G162</f>
        <v>6.6</v>
      </c>
      <c r="T50" s="4">
        <f>HAVERM!H162</f>
        <v>6.3</v>
      </c>
      <c r="V50" s="43">
        <v>44896</v>
      </c>
      <c r="W50" s="4">
        <f>HAVERM!I162</f>
        <v>7.8319999999999999</v>
      </c>
      <c r="X50" s="4">
        <f>HAVERM!J162</f>
        <v>5.9169999999999998</v>
      </c>
      <c r="Y50" s="4">
        <f>HAVERM!K162</f>
        <v>6.258</v>
      </c>
      <c r="Z50" s="4">
        <f>HAVERM!L162</f>
        <v>5.9740000000000002</v>
      </c>
    </row>
    <row r="51" spans="16:26" x14ac:dyDescent="0.25">
      <c r="P51" s="43">
        <v>44927</v>
      </c>
      <c r="Q51" s="4">
        <f>HAVERM!E163</f>
        <v>7.85</v>
      </c>
      <c r="R51" s="4">
        <f>HAVERM!F163</f>
        <v>5.8</v>
      </c>
      <c r="S51" s="4">
        <f>HAVERM!G163</f>
        <v>6.3</v>
      </c>
      <c r="T51" s="4">
        <f>HAVERM!H163</f>
        <v>5.7</v>
      </c>
      <c r="V51" s="43">
        <v>44927</v>
      </c>
      <c r="W51" s="4">
        <f>HAVERM!I163</f>
        <v>7.8639999999999999</v>
      </c>
      <c r="X51" s="4">
        <f>HAVERM!J163</f>
        <v>5.7770000000000001</v>
      </c>
      <c r="Y51" s="4">
        <f>HAVERM!K163</f>
        <v>6.3369999999999997</v>
      </c>
      <c r="Z51" s="4">
        <f>HAVERM!L163</f>
        <v>5.9329999999999998</v>
      </c>
    </row>
    <row r="52" spans="16:26" x14ac:dyDescent="0.25">
      <c r="P52" s="43">
        <v>44958</v>
      </c>
      <c r="Q52" s="4">
        <f>HAVERM!E164</f>
        <v>7.78</v>
      </c>
      <c r="R52" s="4">
        <f>HAVERM!F164</f>
        <v>5.3879999999999999</v>
      </c>
      <c r="S52" s="4">
        <f>HAVERM!G164</f>
        <v>6.6</v>
      </c>
      <c r="T52" s="4">
        <f>HAVERM!H164</f>
        <v>5.8</v>
      </c>
      <c r="V52" s="43">
        <v>44958</v>
      </c>
      <c r="W52" s="4">
        <f>HAVERM!I164</f>
        <v>8.0589999999999993</v>
      </c>
      <c r="X52" s="4">
        <f>HAVERM!J164</f>
        <v>5.657</v>
      </c>
      <c r="Y52" s="4">
        <f>HAVERM!K164</f>
        <v>6.51</v>
      </c>
      <c r="Z52" s="4">
        <f>HAVERM!L164</f>
        <v>5.923</v>
      </c>
    </row>
    <row r="53" spans="16:26" x14ac:dyDescent="0.25">
      <c r="P53" s="43">
        <v>44986</v>
      </c>
      <c r="Q53" s="4">
        <f>HAVERM!E165</f>
        <v>7.81</v>
      </c>
      <c r="R53" s="4">
        <f>HAVERM!F165</f>
        <v>5.3109999999999999</v>
      </c>
      <c r="S53" s="4">
        <f>HAVERM!G165</f>
        <v>6.5</v>
      </c>
      <c r="T53" s="4">
        <f>HAVERM!H165</f>
        <v>5.6</v>
      </c>
      <c r="V53" s="43">
        <v>44986</v>
      </c>
      <c r="W53" s="4">
        <f>HAVERM!I165</f>
        <v>7.8150000000000004</v>
      </c>
      <c r="X53" s="4">
        <f>HAVERM!J165</f>
        <v>5.4989999999999997</v>
      </c>
      <c r="Y53" s="4">
        <f>HAVERM!K165</f>
        <v>6.4640000000000004</v>
      </c>
      <c r="Z53" s="4">
        <f>HAVERM!L165</f>
        <v>5.6779999999999999</v>
      </c>
    </row>
    <row r="54" spans="16:26" x14ac:dyDescent="0.25">
      <c r="P54" s="43">
        <v>45017</v>
      </c>
      <c r="Q54" s="4">
        <f>HAVERM!E166</f>
        <v>7.44</v>
      </c>
      <c r="R54" s="4">
        <f>HAVERM!F166</f>
        <v>5.9560000000000004</v>
      </c>
      <c r="S54" s="4">
        <f>HAVERM!G166</f>
        <v>6.6</v>
      </c>
      <c r="T54" s="4">
        <f>HAVERM!H166</f>
        <v>5.4</v>
      </c>
      <c r="V54" s="43">
        <v>45017</v>
      </c>
      <c r="W54" s="4">
        <f>HAVERM!I166</f>
        <v>7.6769999999999996</v>
      </c>
      <c r="X54" s="4">
        <f>HAVERM!J166</f>
        <v>5.5519999999999996</v>
      </c>
      <c r="Y54" s="4">
        <f>HAVERM!K166</f>
        <v>6.5570000000000004</v>
      </c>
      <c r="Z54" s="4">
        <f>HAVERM!L166</f>
        <v>5.5650000000000004</v>
      </c>
    </row>
    <row r="55" spans="16:26" x14ac:dyDescent="0.25">
      <c r="P55" s="43">
        <v>45047</v>
      </c>
      <c r="Q55" s="4">
        <f>HAVERM!E167</f>
        <v>7.55</v>
      </c>
      <c r="R55" s="4">
        <f>HAVERM!F167</f>
        <v>5.1420000000000003</v>
      </c>
      <c r="S55" s="4">
        <f>HAVERM!G167</f>
        <v>6.8</v>
      </c>
      <c r="T55" s="4">
        <f>HAVERM!H167</f>
        <v>5.2</v>
      </c>
      <c r="V55" s="43">
        <v>45047</v>
      </c>
      <c r="W55" s="4">
        <f>HAVERM!I167</f>
        <v>7.5979999999999999</v>
      </c>
      <c r="X55" s="4">
        <f>HAVERM!J167</f>
        <v>5.47</v>
      </c>
      <c r="Y55" s="4">
        <f>HAVERM!K167</f>
        <v>6.6029999999999998</v>
      </c>
      <c r="Z55" s="4">
        <f>HAVERM!L167</f>
        <v>5.3840000000000003</v>
      </c>
    </row>
    <row r="56" spans="16:26" x14ac:dyDescent="0.25">
      <c r="P56" s="43">
        <v>45078</v>
      </c>
      <c r="Q56" s="4">
        <f>HAVERM!E168</f>
        <v>6.92</v>
      </c>
      <c r="R56" s="4">
        <f>HAVERM!F168</f>
        <v>4.867</v>
      </c>
      <c r="S56" s="4">
        <f>HAVERM!G168</f>
        <v>7.1</v>
      </c>
      <c r="T56" s="4">
        <f>HAVERM!H168</f>
        <v>5.3</v>
      </c>
      <c r="V56" s="43">
        <v>45078</v>
      </c>
      <c r="W56" s="4">
        <f>HAVERM!I168</f>
        <v>7.3010000000000002</v>
      </c>
      <c r="X56" s="4">
        <f>HAVERM!J168</f>
        <v>5.3220000000000001</v>
      </c>
      <c r="Y56" s="4">
        <f>HAVERM!K168</f>
        <v>6.8280000000000003</v>
      </c>
      <c r="Z56" s="4">
        <f>HAVERM!L168</f>
        <v>5.306</v>
      </c>
    </row>
    <row r="57" spans="16:26" x14ac:dyDescent="0.25">
      <c r="P57" s="43">
        <v>45108</v>
      </c>
      <c r="Q57" s="4">
        <f>HAVERM!E169</f>
        <v>7.84</v>
      </c>
      <c r="R57" s="4">
        <f>HAVERM!F169</f>
        <v>5.5880000000000001</v>
      </c>
      <c r="S57" s="4">
        <f>HAVERM!G169</f>
        <v>6.7</v>
      </c>
      <c r="T57" s="4">
        <f>HAVERM!H169</f>
        <v>5</v>
      </c>
      <c r="V57" s="43">
        <v>45108</v>
      </c>
      <c r="W57" s="4">
        <f>HAVERM!I169</f>
        <v>7.4340000000000002</v>
      </c>
      <c r="X57" s="4">
        <f>HAVERM!J169</f>
        <v>5.1989999999999998</v>
      </c>
      <c r="Y57" s="4">
        <f>HAVERM!K169</f>
        <v>6.8529999999999998</v>
      </c>
      <c r="Z57" s="4">
        <f>HAVERM!L169</f>
        <v>5.1829999999999998</v>
      </c>
    </row>
    <row r="58" spans="16:26" x14ac:dyDescent="0.25">
      <c r="P58" s="43">
        <v>45139</v>
      </c>
      <c r="Q58" s="4">
        <f>HAVERM!E170</f>
        <v>7.49</v>
      </c>
      <c r="R58" s="4">
        <f>HAVERM!F170</f>
        <v>4.4950000000000001</v>
      </c>
      <c r="S58" s="4">
        <f>HAVERM!G170</f>
        <v>6.9</v>
      </c>
      <c r="T58" s="4">
        <f>HAVERM!H170</f>
        <v>5</v>
      </c>
      <c r="V58" s="43">
        <v>45139</v>
      </c>
      <c r="W58" s="4">
        <f>HAVERM!I170</f>
        <v>7.4139999999999997</v>
      </c>
      <c r="X58" s="4">
        <f>HAVERM!J170</f>
        <v>4.9829999999999997</v>
      </c>
      <c r="Y58" s="4">
        <f>HAVERM!K170</f>
        <v>6.9</v>
      </c>
      <c r="Z58" s="4">
        <f>HAVERM!L170</f>
        <v>5.1109999999999998</v>
      </c>
    </row>
    <row r="59" spans="16:26" x14ac:dyDescent="0.25">
      <c r="P59" s="43">
        <v>45170</v>
      </c>
      <c r="Q59" s="4">
        <f>HAVERM!E171</f>
        <v>6.92</v>
      </c>
      <c r="R59" s="4">
        <f>HAVERM!F171</f>
        <v>4.3840000000000003</v>
      </c>
      <c r="S59" s="4">
        <f>HAVERM!G171</f>
        <v>7.1</v>
      </c>
      <c r="T59" s="4">
        <f>HAVERM!H171</f>
        <v>5.2</v>
      </c>
      <c r="V59" s="43">
        <v>45170</v>
      </c>
      <c r="W59" s="4">
        <f>HAVERM!I171</f>
        <v>7.415</v>
      </c>
      <c r="X59" s="4">
        <f>HAVERM!J171</f>
        <v>4.8220000000000001</v>
      </c>
      <c r="Y59" s="4">
        <f>HAVERM!K171</f>
        <v>6.8730000000000002</v>
      </c>
      <c r="Z59" s="4">
        <f>HAVERM!L171</f>
        <v>5.0750000000000002</v>
      </c>
    </row>
    <row r="60" spans="16:26" x14ac:dyDescent="0.25">
      <c r="P60" s="43">
        <v>45200</v>
      </c>
      <c r="Q60" s="4">
        <f>HAVERM!E172</f>
        <v>6.81</v>
      </c>
      <c r="R60" s="4">
        <f>HAVERM!F172</f>
        <v>4.6980000000000004</v>
      </c>
      <c r="S60" s="4">
        <f>HAVERM!G172</f>
        <v>6.8</v>
      </c>
      <c r="T60" s="4">
        <f>HAVERM!H172</f>
        <v>5.0999999999999996</v>
      </c>
      <c r="V60" s="43">
        <v>45200</v>
      </c>
      <c r="W60" s="4">
        <f>HAVERM!I172</f>
        <v>7.0730000000000004</v>
      </c>
      <c r="X60" s="4">
        <f>HAVERM!J172</f>
        <v>4.5259999999999998</v>
      </c>
      <c r="Y60" s="4">
        <f>HAVERM!K172</f>
        <v>6.9210000000000003</v>
      </c>
      <c r="Z60" s="4">
        <f>HAVERM!L172</f>
        <v>5.1029999999999998</v>
      </c>
    </row>
    <row r="61" spans="16:26" x14ac:dyDescent="0.25">
      <c r="P61" s="43">
        <v>45231</v>
      </c>
      <c r="Q61" s="4">
        <f>HAVERM!E173</f>
        <v>5.96</v>
      </c>
      <c r="R61" s="4">
        <f>HAVERM!F173</f>
        <v>4.2569999999999997</v>
      </c>
      <c r="S61" s="4">
        <f>HAVERM!G173</f>
        <v>7</v>
      </c>
      <c r="T61" s="4">
        <f>HAVERM!H173</f>
        <v>5.0999999999999996</v>
      </c>
      <c r="V61" s="43">
        <v>45231</v>
      </c>
      <c r="W61" s="4">
        <f>HAVERM!I173</f>
        <v>6.5640000000000001</v>
      </c>
      <c r="X61" s="4">
        <f>HAVERM!J173</f>
        <v>4.4459999999999997</v>
      </c>
      <c r="Y61" s="4">
        <f>HAVERM!K173</f>
        <v>6.9550000000000001</v>
      </c>
      <c r="Z61" s="4">
        <f>HAVERM!L173</f>
        <v>5.1420000000000003</v>
      </c>
    </row>
    <row r="62" spans="16:26" x14ac:dyDescent="0.25">
      <c r="P62" s="43">
        <v>45261</v>
      </c>
      <c r="Q62" s="4">
        <f>HAVERM!E174</f>
        <v>4.92</v>
      </c>
      <c r="R62" s="4">
        <f>HAVERM!F174</f>
        <v>4.1900000000000004</v>
      </c>
      <c r="S62" s="4">
        <f>HAVERM!G174</f>
        <v>7</v>
      </c>
      <c r="T62" s="4">
        <f>HAVERM!H174</f>
        <v>5.4</v>
      </c>
      <c r="V62" s="43">
        <v>45261</v>
      </c>
      <c r="W62" s="4">
        <f>HAVERM!I174</f>
        <v>5.8970000000000002</v>
      </c>
      <c r="X62" s="4">
        <f>HAVERM!J174</f>
        <v>4.3819999999999997</v>
      </c>
      <c r="Y62" s="4">
        <f>HAVERM!K174</f>
        <v>6.9349999999999996</v>
      </c>
      <c r="Z62" s="4">
        <f>HAVERM!L174</f>
        <v>5.2110000000000003</v>
      </c>
    </row>
    <row r="63" spans="16:26" x14ac:dyDescent="0.25">
      <c r="P63" s="43">
        <v>45292</v>
      </c>
      <c r="Q63" s="4">
        <f>HAVERM!E175</f>
        <v>5.81</v>
      </c>
      <c r="R63" s="4">
        <f>HAVERM!F175</f>
        <v>4.5469999999999997</v>
      </c>
      <c r="S63" s="4">
        <f>HAVERM!G175</f>
        <v>6.5</v>
      </c>
      <c r="T63" s="4">
        <f>HAVERM!H175</f>
        <v>5.0999999999999996</v>
      </c>
      <c r="V63" s="43">
        <v>45292</v>
      </c>
      <c r="W63" s="4">
        <f>HAVERM!I175</f>
        <v>5.5640000000000001</v>
      </c>
      <c r="X63" s="4">
        <f>HAVERM!J175</f>
        <v>4.3310000000000004</v>
      </c>
      <c r="Y63" s="4">
        <f>HAVERM!K175</f>
        <v>6.8520000000000003</v>
      </c>
      <c r="Z63" s="4">
        <f>HAVERM!L175</f>
        <v>5.2270000000000003</v>
      </c>
    </row>
    <row r="64" spans="16:26" x14ac:dyDescent="0.25">
      <c r="P64" s="43">
        <v>45323</v>
      </c>
      <c r="Q64" s="4">
        <f>HAVERM!E176</f>
        <v>5.4</v>
      </c>
      <c r="R64" s="4">
        <f>HAVERM!F176</f>
        <v>4.1059999999999999</v>
      </c>
      <c r="S64" s="4">
        <f>HAVERM!G176</f>
        <v>6.5</v>
      </c>
      <c r="T64" s="4">
        <f>HAVERM!H176</f>
        <v>4.9000000000000004</v>
      </c>
      <c r="V64" s="43">
        <v>45323</v>
      </c>
      <c r="W64" s="4">
        <f>HAVERM!I176</f>
        <v>5.3780000000000001</v>
      </c>
      <c r="X64" s="4">
        <f>HAVERM!J176</f>
        <v>4.2809999999999997</v>
      </c>
      <c r="Y64" s="4">
        <f>HAVERM!K176</f>
        <v>6.6879999999999997</v>
      </c>
      <c r="Z64" s="4">
        <f>HAVERM!L176</f>
        <v>5.1689999999999996</v>
      </c>
    </row>
    <row r="65" spans="16:26" x14ac:dyDescent="0.25">
      <c r="P65" s="43">
        <v>45352</v>
      </c>
      <c r="Q65" s="4">
        <f>HAVERM!E177</f>
        <v>4.84</v>
      </c>
      <c r="R65" s="4">
        <f>HAVERM!F177</f>
        <v>3.6840000000000002</v>
      </c>
      <c r="S65" s="4">
        <f>HAVERM!G177</f>
        <v>6.1</v>
      </c>
      <c r="T65" s="4">
        <f>HAVERM!H177</f>
        <v>4.7</v>
      </c>
      <c r="V65" s="43">
        <v>45352</v>
      </c>
      <c r="W65" s="4">
        <f>HAVERM!I177</f>
        <v>5.35</v>
      </c>
      <c r="X65" s="4">
        <f>HAVERM!J177</f>
        <v>4.1120000000000001</v>
      </c>
      <c r="Y65" s="4">
        <f>HAVERM!K177</f>
        <v>6.3739999999999997</v>
      </c>
      <c r="Z65" s="4">
        <f>HAVERM!L177</f>
        <v>4.9260000000000002</v>
      </c>
    </row>
    <row r="66" spans="16:26" x14ac:dyDescent="0.25">
      <c r="P66" s="43">
        <v>45383</v>
      </c>
      <c r="Q66" s="4">
        <f>HAVERM!E178</f>
        <v>5.33</v>
      </c>
      <c r="R66" s="4">
        <f>HAVERM!F178</f>
        <v>4.2279999999999998</v>
      </c>
      <c r="S66" s="4">
        <f>HAVERM!G178</f>
        <v>5.9</v>
      </c>
      <c r="T66" s="4">
        <f>HAVERM!H178</f>
        <v>4.5999999999999996</v>
      </c>
      <c r="V66" s="43">
        <v>45383</v>
      </c>
      <c r="W66" s="4">
        <f>HAVERM!I178</f>
        <v>5.1879999999999997</v>
      </c>
      <c r="X66" s="4">
        <f>HAVERM!J178</f>
        <v>4.0060000000000002</v>
      </c>
      <c r="Y66" s="4">
        <f>HAVERM!K178</f>
        <v>6.1740000000000004</v>
      </c>
      <c r="Z66" s="4">
        <f>HAVERM!L178</f>
        <v>4.7519999999999998</v>
      </c>
    </row>
    <row r="67" spans="16:26" x14ac:dyDescent="0.25">
      <c r="P67" s="43">
        <v>45413</v>
      </c>
      <c r="Q67" s="4">
        <f>HAVERM!E179</f>
        <v>4.59</v>
      </c>
      <c r="R67" s="4">
        <f>HAVERM!F179</f>
        <v>3.8210000000000002</v>
      </c>
      <c r="S67" s="4">
        <f>HAVERM!G179</f>
        <v>6.1</v>
      </c>
      <c r="T67" s="4">
        <f>HAVERM!H179</f>
        <v>4.0999999999999996</v>
      </c>
      <c r="V67" s="43">
        <v>45413</v>
      </c>
      <c r="W67" s="4">
        <f>HAVERM!I179</f>
        <v>4.923</v>
      </c>
      <c r="X67" s="4">
        <f>HAVERM!J179</f>
        <v>3.9140000000000001</v>
      </c>
      <c r="Y67" s="4">
        <f>HAVERM!K179</f>
        <v>6.0279999999999996</v>
      </c>
      <c r="Z67" s="4">
        <f>HAVERM!L179</f>
        <v>4.4779999999999998</v>
      </c>
    </row>
    <row r="68" spans="16:26" x14ac:dyDescent="0.25">
      <c r="P68" s="43">
        <v>45444</v>
      </c>
      <c r="Q68" s="4">
        <f>HAVERM!E180</f>
        <v>3.84</v>
      </c>
      <c r="R68" s="4">
        <f>HAVERM!F180</f>
        <v>3.5760000000000001</v>
      </c>
      <c r="S68" s="4">
        <f>HAVERM!G180</f>
        <v>5.9</v>
      </c>
      <c r="T68" s="4">
        <f>HAVERM!H180</f>
        <v>4</v>
      </c>
      <c r="V68" s="43">
        <v>45444</v>
      </c>
      <c r="W68" s="4">
        <f>HAVERM!I180</f>
        <v>4.5869999999999997</v>
      </c>
      <c r="X68" s="4">
        <f>HAVERM!J180</f>
        <v>3.875</v>
      </c>
      <c r="Y68" s="4">
        <f>HAVERM!K180</f>
        <v>5.9790000000000001</v>
      </c>
      <c r="Z68" s="4">
        <f>HAVERM!L180</f>
        <v>4.2389999999999999</v>
      </c>
    </row>
    <row r="69" spans="16:26" x14ac:dyDescent="0.25">
      <c r="P69" s="43">
        <v>45474</v>
      </c>
      <c r="Q69" s="4">
        <f>HAVERM!E181</f>
        <v>4.3499999999999996</v>
      </c>
      <c r="R69" s="4">
        <f>HAVERM!F181</f>
        <v>3.7109999999999999</v>
      </c>
      <c r="S69" s="4">
        <f>HAVERM!G181</f>
        <v>5.7</v>
      </c>
      <c r="T69" s="4">
        <f>HAVERM!H181</f>
        <v>4.0999999999999996</v>
      </c>
      <c r="V69" s="43">
        <v>45474</v>
      </c>
      <c r="W69" s="4">
        <f>HAVERM!I181</f>
        <v>4.26</v>
      </c>
      <c r="X69" s="4">
        <f>HAVERM!J181</f>
        <v>3.7029999999999998</v>
      </c>
      <c r="Y69" s="4">
        <f>HAVERM!K181</f>
        <v>5.8819999999999997</v>
      </c>
      <c r="Z69" s="4">
        <f>HAVERM!L181</f>
        <v>4.0640000000000001</v>
      </c>
    </row>
    <row r="70" spans="16:26" x14ac:dyDescent="0.25">
      <c r="P70" s="43">
        <v>45505</v>
      </c>
      <c r="Q70" s="4">
        <f>HAVERM!E182</f>
        <v>3.87</v>
      </c>
      <c r="R70" s="4">
        <f>HAVERM!F182</f>
        <v>3.3660000000000001</v>
      </c>
      <c r="S70" s="4">
        <f>HAVERM!G182</f>
        <v>5.7</v>
      </c>
      <c r="T70" s="4">
        <f>HAVERM!H182</f>
        <v>4.0999999999999996</v>
      </c>
      <c r="V70" s="43">
        <v>45505</v>
      </c>
      <c r="W70" s="4">
        <f>HAVERM!I182</f>
        <v>4.0199999999999996</v>
      </c>
      <c r="X70" s="4">
        <f>HAVERM!J182</f>
        <v>3.5510000000000002</v>
      </c>
      <c r="Y70" s="4">
        <f>HAVERM!K182</f>
        <v>5.7709999999999999</v>
      </c>
      <c r="Z70" s="4">
        <f>HAVERM!L182</f>
        <v>4.0679999999999996</v>
      </c>
    </row>
    <row r="71" spans="16:26" x14ac:dyDescent="0.25">
      <c r="P71" s="43">
        <v>45536</v>
      </c>
      <c r="Q71" s="4"/>
      <c r="R71" s="4"/>
      <c r="S71" s="4"/>
      <c r="T71" s="4"/>
      <c r="V71" s="43">
        <v>45536</v>
      </c>
      <c r="W71" s="4"/>
      <c r="X71" s="4"/>
      <c r="Y71" s="4"/>
      <c r="Z71" s="4"/>
    </row>
    <row r="72" spans="16:26" x14ac:dyDescent="0.25">
      <c r="P72" s="43">
        <v>45566</v>
      </c>
      <c r="Q72" s="4"/>
      <c r="R72" s="4"/>
      <c r="S72" s="4"/>
      <c r="T72" s="4"/>
      <c r="V72" s="43">
        <v>45566</v>
      </c>
      <c r="W72" s="4"/>
      <c r="X72" s="4"/>
      <c r="Y72" s="4"/>
      <c r="Z72" s="4"/>
    </row>
    <row r="73" spans="16:26" x14ac:dyDescent="0.25">
      <c r="P73" s="43">
        <v>45597</v>
      </c>
      <c r="Q73" s="4"/>
      <c r="R73" s="4"/>
      <c r="S73" s="4"/>
      <c r="T73" s="4"/>
      <c r="V73" s="43">
        <v>45597</v>
      </c>
      <c r="W73" s="4"/>
      <c r="X73" s="4"/>
      <c r="Y73" s="4"/>
      <c r="Z73" s="4"/>
    </row>
    <row r="74" spans="16:26" x14ac:dyDescent="0.25">
      <c r="P74" s="43">
        <v>45627</v>
      </c>
      <c r="Q74" s="4"/>
      <c r="R74" s="4"/>
      <c r="S74" s="4"/>
      <c r="T74" s="4"/>
      <c r="V74" s="43">
        <v>45627</v>
      </c>
      <c r="W74" s="4"/>
      <c r="X74" s="4"/>
      <c r="Y74" s="4"/>
      <c r="Z74" s="4"/>
    </row>
    <row r="75" spans="16:26" x14ac:dyDescent="0.25">
      <c r="P75" s="6"/>
      <c r="V75" s="6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F912-8CFF-4153-ABD3-FE17BA2E9028}">
  <dimension ref="A1:DI68"/>
  <sheetViews>
    <sheetView workbookViewId="0">
      <pane xSplit="1" ySplit="4" topLeftCell="AV29" activePane="bottomRight" state="frozen"/>
      <selection pane="topRight" activeCell="B1" sqref="B1"/>
      <selection pane="bottomLeft" activeCell="A5" sqref="A5"/>
      <selection pane="bottomRight" activeCell="BA56" sqref="BA56"/>
    </sheetView>
  </sheetViews>
  <sheetFormatPr defaultRowHeight="15" x14ac:dyDescent="0.25"/>
  <cols>
    <col min="1" max="50" width="10.7109375" bestFit="1" customWidth="1"/>
    <col min="53" max="113" width="10.7109375" bestFit="1" customWidth="1"/>
  </cols>
  <sheetData>
    <row r="1" spans="1:113" x14ac:dyDescent="0.25">
      <c r="A1" s="8" t="s">
        <v>1430</v>
      </c>
      <c r="C1" t="s">
        <v>1482</v>
      </c>
      <c r="BA1" s="8" t="s">
        <v>1483</v>
      </c>
      <c r="BC1" t="s">
        <v>1484</v>
      </c>
    </row>
    <row r="2" spans="1:113" x14ac:dyDescent="0.25">
      <c r="A2" t="s">
        <v>948</v>
      </c>
      <c r="B2">
        <v>9</v>
      </c>
      <c r="C2">
        <f t="shared" ref="C2:AX2" si="0">+B2+1</f>
        <v>10</v>
      </c>
      <c r="D2">
        <f t="shared" si="0"/>
        <v>11</v>
      </c>
      <c r="E2">
        <f t="shared" si="0"/>
        <v>12</v>
      </c>
      <c r="F2">
        <f t="shared" si="0"/>
        <v>13</v>
      </c>
      <c r="G2">
        <f t="shared" si="0"/>
        <v>14</v>
      </c>
      <c r="H2">
        <f t="shared" si="0"/>
        <v>15</v>
      </c>
      <c r="I2">
        <f t="shared" si="0"/>
        <v>16</v>
      </c>
      <c r="J2">
        <f t="shared" si="0"/>
        <v>17</v>
      </c>
      <c r="K2">
        <f t="shared" si="0"/>
        <v>18</v>
      </c>
      <c r="L2">
        <f t="shared" si="0"/>
        <v>19</v>
      </c>
      <c r="M2">
        <f t="shared" si="0"/>
        <v>20</v>
      </c>
      <c r="N2">
        <f t="shared" si="0"/>
        <v>21</v>
      </c>
      <c r="O2">
        <f t="shared" si="0"/>
        <v>22</v>
      </c>
      <c r="P2">
        <f t="shared" si="0"/>
        <v>23</v>
      </c>
      <c r="Q2">
        <f t="shared" si="0"/>
        <v>24</v>
      </c>
      <c r="R2">
        <f t="shared" si="0"/>
        <v>25</v>
      </c>
      <c r="S2">
        <f t="shared" si="0"/>
        <v>26</v>
      </c>
      <c r="T2">
        <f t="shared" si="0"/>
        <v>27</v>
      </c>
      <c r="U2">
        <f t="shared" si="0"/>
        <v>28</v>
      </c>
      <c r="V2">
        <f t="shared" si="0"/>
        <v>29</v>
      </c>
      <c r="W2">
        <f t="shared" si="0"/>
        <v>30</v>
      </c>
      <c r="X2">
        <f t="shared" si="0"/>
        <v>31</v>
      </c>
      <c r="Y2">
        <f t="shared" si="0"/>
        <v>32</v>
      </c>
      <c r="Z2">
        <f t="shared" si="0"/>
        <v>33</v>
      </c>
      <c r="AA2">
        <f t="shared" si="0"/>
        <v>34</v>
      </c>
      <c r="AB2">
        <f t="shared" si="0"/>
        <v>35</v>
      </c>
      <c r="AC2">
        <f t="shared" si="0"/>
        <v>36</v>
      </c>
      <c r="AD2">
        <f t="shared" si="0"/>
        <v>37</v>
      </c>
      <c r="AE2">
        <f t="shared" si="0"/>
        <v>38</v>
      </c>
      <c r="AF2">
        <f t="shared" si="0"/>
        <v>39</v>
      </c>
      <c r="AG2">
        <f t="shared" si="0"/>
        <v>40</v>
      </c>
      <c r="AH2">
        <f t="shared" si="0"/>
        <v>41</v>
      </c>
      <c r="AI2">
        <f t="shared" si="0"/>
        <v>42</v>
      </c>
      <c r="AJ2">
        <f t="shared" si="0"/>
        <v>43</v>
      </c>
      <c r="AK2">
        <f t="shared" si="0"/>
        <v>44</v>
      </c>
      <c r="AL2">
        <f t="shared" si="0"/>
        <v>45</v>
      </c>
      <c r="AM2">
        <f t="shared" si="0"/>
        <v>46</v>
      </c>
      <c r="AN2">
        <f t="shared" si="0"/>
        <v>47</v>
      </c>
      <c r="AO2">
        <f t="shared" si="0"/>
        <v>48</v>
      </c>
      <c r="AP2">
        <f t="shared" si="0"/>
        <v>49</v>
      </c>
      <c r="AQ2">
        <f t="shared" si="0"/>
        <v>50</v>
      </c>
      <c r="AR2">
        <f t="shared" si="0"/>
        <v>51</v>
      </c>
      <c r="AS2">
        <f t="shared" si="0"/>
        <v>52</v>
      </c>
      <c r="AT2">
        <f t="shared" si="0"/>
        <v>53</v>
      </c>
      <c r="AU2">
        <f t="shared" si="0"/>
        <v>54</v>
      </c>
      <c r="AV2">
        <f t="shared" si="0"/>
        <v>55</v>
      </c>
      <c r="AW2">
        <f t="shared" si="0"/>
        <v>56</v>
      </c>
      <c r="AX2">
        <f t="shared" si="0"/>
        <v>57</v>
      </c>
      <c r="BA2" t="s">
        <v>948</v>
      </c>
      <c r="BB2">
        <v>9</v>
      </c>
      <c r="BC2">
        <f t="shared" ref="BC2" si="1">+BB2+1</f>
        <v>10</v>
      </c>
      <c r="BD2">
        <f t="shared" ref="BD2" si="2">+BC2+1</f>
        <v>11</v>
      </c>
      <c r="BE2">
        <f t="shared" ref="BE2" si="3">+BD2+1</f>
        <v>12</v>
      </c>
      <c r="BF2">
        <f t="shared" ref="BF2" si="4">+BE2+1</f>
        <v>13</v>
      </c>
      <c r="BG2">
        <f t="shared" ref="BG2" si="5">+BF2+1</f>
        <v>14</v>
      </c>
      <c r="BH2">
        <f t="shared" ref="BH2" si="6">+BG2+1</f>
        <v>15</v>
      </c>
      <c r="BI2">
        <f t="shared" ref="BI2" si="7">+BH2+1</f>
        <v>16</v>
      </c>
      <c r="BJ2">
        <f t="shared" ref="BJ2" si="8">+BI2+1</f>
        <v>17</v>
      </c>
      <c r="BK2">
        <f t="shared" ref="BK2" si="9">+BJ2+1</f>
        <v>18</v>
      </c>
      <c r="BL2">
        <f t="shared" ref="BL2" si="10">+BK2+1</f>
        <v>19</v>
      </c>
      <c r="BM2">
        <f t="shared" ref="BM2" si="11">+BL2+1</f>
        <v>20</v>
      </c>
      <c r="BN2">
        <f t="shared" ref="BN2" si="12">+BM2+1</f>
        <v>21</v>
      </c>
      <c r="BO2">
        <f t="shared" ref="BO2" si="13">+BN2+1</f>
        <v>22</v>
      </c>
      <c r="BP2">
        <f t="shared" ref="BP2" si="14">+BO2+1</f>
        <v>23</v>
      </c>
      <c r="BQ2">
        <f t="shared" ref="BQ2" si="15">+BP2+1</f>
        <v>24</v>
      </c>
      <c r="BR2">
        <f t="shared" ref="BR2" si="16">+BQ2+1</f>
        <v>25</v>
      </c>
      <c r="BS2">
        <f t="shared" ref="BS2" si="17">+BR2+1</f>
        <v>26</v>
      </c>
      <c r="BT2">
        <f t="shared" ref="BT2" si="18">+BS2+1</f>
        <v>27</v>
      </c>
      <c r="BU2">
        <f t="shared" ref="BU2" si="19">+BT2+1</f>
        <v>28</v>
      </c>
      <c r="BV2">
        <f t="shared" ref="BV2" si="20">+BU2+1</f>
        <v>29</v>
      </c>
      <c r="BW2">
        <f t="shared" ref="BW2" si="21">+BV2+1</f>
        <v>30</v>
      </c>
      <c r="BX2">
        <f t="shared" ref="BX2" si="22">+BW2+1</f>
        <v>31</v>
      </c>
      <c r="BY2">
        <f t="shared" ref="BY2" si="23">+BX2+1</f>
        <v>32</v>
      </c>
      <c r="BZ2">
        <f t="shared" ref="BZ2" si="24">+BY2+1</f>
        <v>33</v>
      </c>
      <c r="CA2">
        <f t="shared" ref="CA2" si="25">+BZ2+1</f>
        <v>34</v>
      </c>
      <c r="CB2">
        <f t="shared" ref="CB2" si="26">+CA2+1</f>
        <v>35</v>
      </c>
      <c r="CC2">
        <f t="shared" ref="CC2" si="27">+CB2+1</f>
        <v>36</v>
      </c>
      <c r="CD2">
        <f t="shared" ref="CD2" si="28">+CC2+1</f>
        <v>37</v>
      </c>
      <c r="CE2">
        <f t="shared" ref="CE2" si="29">+CD2+1</f>
        <v>38</v>
      </c>
      <c r="CF2">
        <f t="shared" ref="CF2" si="30">+CE2+1</f>
        <v>39</v>
      </c>
      <c r="CG2">
        <f t="shared" ref="CG2" si="31">+CF2+1</f>
        <v>40</v>
      </c>
      <c r="CH2">
        <f t="shared" ref="CH2" si="32">+CG2+1</f>
        <v>41</v>
      </c>
      <c r="CI2">
        <f t="shared" ref="CI2" si="33">+CH2+1</f>
        <v>42</v>
      </c>
      <c r="CJ2">
        <f t="shared" ref="CJ2" si="34">+CI2+1</f>
        <v>43</v>
      </c>
      <c r="CK2">
        <f t="shared" ref="CK2" si="35">+CJ2+1</f>
        <v>44</v>
      </c>
      <c r="CL2">
        <f t="shared" ref="CL2" si="36">+CK2+1</f>
        <v>45</v>
      </c>
      <c r="CM2">
        <f t="shared" ref="CM2" si="37">+CL2+1</f>
        <v>46</v>
      </c>
      <c r="CN2">
        <f t="shared" ref="CN2" si="38">+CM2+1</f>
        <v>47</v>
      </c>
      <c r="CO2">
        <f t="shared" ref="CO2" si="39">+CN2+1</f>
        <v>48</v>
      </c>
      <c r="CP2">
        <f t="shared" ref="CP2" si="40">+CO2+1</f>
        <v>49</v>
      </c>
      <c r="CQ2">
        <f t="shared" ref="CQ2" si="41">+CP2+1</f>
        <v>50</v>
      </c>
      <c r="CR2">
        <f t="shared" ref="CR2" si="42">+CQ2+1</f>
        <v>51</v>
      </c>
      <c r="CS2">
        <f t="shared" ref="CS2" si="43">+CR2+1</f>
        <v>52</v>
      </c>
      <c r="CT2">
        <f t="shared" ref="CT2" si="44">+CS2+1</f>
        <v>53</v>
      </c>
      <c r="CU2">
        <f t="shared" ref="CU2" si="45">+CT2+1</f>
        <v>54</v>
      </c>
      <c r="CV2">
        <f t="shared" ref="CV2" si="46">+CU2+1</f>
        <v>55</v>
      </c>
      <c r="CW2">
        <f t="shared" ref="CW2" si="47">+CV2+1</f>
        <v>56</v>
      </c>
    </row>
    <row r="3" spans="1:113" x14ac:dyDescent="0.25">
      <c r="A3" t="s">
        <v>949</v>
      </c>
      <c r="B3" t="str">
        <f>HAVERD!I$1</f>
        <v>Overnight</v>
      </c>
      <c r="C3">
        <f>HAVERD!J$1</f>
        <v>1</v>
      </c>
      <c r="D3">
        <f>HAVERD!K$1</f>
        <v>2</v>
      </c>
      <c r="E3">
        <f>HAVERD!L$1</f>
        <v>3</v>
      </c>
      <c r="F3">
        <f>HAVERD!M$1</f>
        <v>4</v>
      </c>
      <c r="G3">
        <f>HAVERD!N$1</f>
        <v>5</v>
      </c>
      <c r="H3">
        <f>HAVERD!O$1</f>
        <v>6</v>
      </c>
      <c r="I3">
        <f>HAVERD!P$1</f>
        <v>7</v>
      </c>
      <c r="J3">
        <f>HAVERD!Q$1</f>
        <v>8</v>
      </c>
      <c r="K3">
        <f>HAVERD!R$1</f>
        <v>9</v>
      </c>
      <c r="L3">
        <f>HAVERD!S$1</f>
        <v>10</v>
      </c>
      <c r="M3">
        <f>HAVERD!T$1</f>
        <v>11</v>
      </c>
      <c r="N3">
        <f>HAVERD!U$1</f>
        <v>12</v>
      </c>
      <c r="O3">
        <f>HAVERD!V$1</f>
        <v>13</v>
      </c>
      <c r="P3">
        <f>HAVERD!W$1</f>
        <v>14</v>
      </c>
      <c r="Q3">
        <f>HAVERD!X$1</f>
        <v>15</v>
      </c>
      <c r="R3">
        <f>HAVERD!Y$1</f>
        <v>16</v>
      </c>
      <c r="S3">
        <f>HAVERD!Z$1</f>
        <v>17</v>
      </c>
      <c r="T3">
        <f>HAVERD!AA$1</f>
        <v>18</v>
      </c>
      <c r="U3">
        <f>HAVERD!AB$1</f>
        <v>19</v>
      </c>
      <c r="V3">
        <f>HAVERD!AC$1</f>
        <v>20</v>
      </c>
      <c r="W3">
        <f>HAVERD!AD$1</f>
        <v>21</v>
      </c>
      <c r="X3">
        <f>HAVERD!AE$1</f>
        <v>22</v>
      </c>
      <c r="Y3">
        <f>HAVERD!AF$1</f>
        <v>23</v>
      </c>
      <c r="Z3">
        <f>HAVERD!AG$1</f>
        <v>24</v>
      </c>
      <c r="AA3">
        <f>HAVERD!AH$1</f>
        <v>25</v>
      </c>
      <c r="AB3">
        <f>HAVERD!AI$1</f>
        <v>26</v>
      </c>
      <c r="AC3">
        <f>HAVERD!AJ$1</f>
        <v>27</v>
      </c>
      <c r="AD3">
        <f>HAVERD!AK$1</f>
        <v>28</v>
      </c>
      <c r="AE3">
        <f>HAVERD!AL$1</f>
        <v>29</v>
      </c>
      <c r="AF3">
        <f>HAVERD!AM$1</f>
        <v>30</v>
      </c>
      <c r="AG3">
        <f>HAVERD!AN$1</f>
        <v>31</v>
      </c>
      <c r="AH3">
        <f>HAVERD!AO$1</f>
        <v>32</v>
      </c>
      <c r="AI3">
        <f>HAVERD!AP$1</f>
        <v>33</v>
      </c>
      <c r="AJ3">
        <f>HAVERD!AQ$1</f>
        <v>34</v>
      </c>
      <c r="AK3">
        <f>HAVERD!AR$1</f>
        <v>35</v>
      </c>
      <c r="AL3">
        <f>HAVERD!AS$1</f>
        <v>36</v>
      </c>
      <c r="AM3">
        <f>HAVERD!AT$1</f>
        <v>37</v>
      </c>
      <c r="AN3">
        <f>HAVERD!AU$1</f>
        <v>38</v>
      </c>
      <c r="AO3">
        <f>HAVERD!AV$1</f>
        <v>39</v>
      </c>
      <c r="AP3">
        <f>HAVERD!AW$1</f>
        <v>40</v>
      </c>
      <c r="AQ3">
        <f>HAVERD!AX$1</f>
        <v>41</v>
      </c>
      <c r="AR3">
        <f>HAVERD!AY$1</f>
        <v>42</v>
      </c>
      <c r="AS3">
        <f>HAVERD!AZ$1</f>
        <v>43</v>
      </c>
      <c r="AT3">
        <f>HAVERD!BA$1</f>
        <v>44</v>
      </c>
      <c r="AU3">
        <f>HAVERD!BB$1</f>
        <v>45</v>
      </c>
      <c r="AV3">
        <f>HAVERD!BC$1</f>
        <v>46</v>
      </c>
      <c r="AW3">
        <f>HAVERD!BD$1</f>
        <v>47</v>
      </c>
      <c r="AX3">
        <f>HAVERD!BE$1</f>
        <v>48</v>
      </c>
      <c r="BA3" t="s">
        <v>949</v>
      </c>
      <c r="BB3">
        <f>HAVERD!J$1</f>
        <v>1</v>
      </c>
      <c r="BC3">
        <f>HAVERD!K$1</f>
        <v>2</v>
      </c>
      <c r="BD3">
        <f>HAVERD!L$1</f>
        <v>3</v>
      </c>
      <c r="BE3">
        <f>HAVERD!M$1</f>
        <v>4</v>
      </c>
      <c r="BF3">
        <f>HAVERD!N$1</f>
        <v>5</v>
      </c>
      <c r="BG3">
        <f>HAVERD!O$1</f>
        <v>6</v>
      </c>
      <c r="BH3">
        <f>HAVERD!P$1</f>
        <v>7</v>
      </c>
      <c r="BI3">
        <f>HAVERD!Q$1</f>
        <v>8</v>
      </c>
      <c r="BJ3">
        <f>HAVERD!R$1</f>
        <v>9</v>
      </c>
      <c r="BK3">
        <f>HAVERD!S$1</f>
        <v>10</v>
      </c>
      <c r="BL3">
        <f>HAVERD!T$1</f>
        <v>11</v>
      </c>
      <c r="BM3">
        <f>HAVERD!U$1</f>
        <v>12</v>
      </c>
      <c r="BN3">
        <f>HAVERD!V$1</f>
        <v>13</v>
      </c>
      <c r="BO3">
        <f>HAVERD!W$1</f>
        <v>14</v>
      </c>
      <c r="BP3">
        <f>HAVERD!X$1</f>
        <v>15</v>
      </c>
      <c r="BQ3">
        <f>HAVERD!Y$1</f>
        <v>16</v>
      </c>
      <c r="BR3">
        <f>HAVERD!Z$1</f>
        <v>17</v>
      </c>
      <c r="BS3">
        <f>HAVERD!AA$1</f>
        <v>18</v>
      </c>
      <c r="BT3">
        <f>HAVERD!AB$1</f>
        <v>19</v>
      </c>
      <c r="BU3">
        <f>HAVERD!AC$1</f>
        <v>20</v>
      </c>
      <c r="BV3">
        <f>HAVERD!AD$1</f>
        <v>21</v>
      </c>
      <c r="BW3">
        <f>HAVERD!AE$1</f>
        <v>22</v>
      </c>
      <c r="BX3">
        <f>HAVERD!AF$1</f>
        <v>23</v>
      </c>
      <c r="BY3">
        <f>HAVERD!AG$1</f>
        <v>24</v>
      </c>
      <c r="BZ3">
        <f>HAVERD!AH$1</f>
        <v>25</v>
      </c>
      <c r="CA3">
        <f>HAVERD!AI$1</f>
        <v>26</v>
      </c>
      <c r="CB3">
        <f>HAVERD!AJ$1</f>
        <v>27</v>
      </c>
      <c r="CC3">
        <f>HAVERD!AK$1</f>
        <v>28</v>
      </c>
      <c r="CD3">
        <f>HAVERD!AL$1</f>
        <v>29</v>
      </c>
      <c r="CE3">
        <f>HAVERD!AM$1</f>
        <v>30</v>
      </c>
      <c r="CF3">
        <f>HAVERD!AN$1</f>
        <v>31</v>
      </c>
      <c r="CG3">
        <f>HAVERD!AO$1</f>
        <v>32</v>
      </c>
      <c r="CH3">
        <f>HAVERD!AP$1</f>
        <v>33</v>
      </c>
      <c r="CI3">
        <f>HAVERD!AQ$1</f>
        <v>34</v>
      </c>
      <c r="CJ3">
        <f>HAVERD!AR$1</f>
        <v>35</v>
      </c>
      <c r="CK3">
        <f>HAVERD!AS$1</f>
        <v>36</v>
      </c>
      <c r="CL3">
        <f>HAVERD!AT$1</f>
        <v>37</v>
      </c>
      <c r="CM3">
        <f>HAVERD!AU$1</f>
        <v>38</v>
      </c>
      <c r="CN3">
        <f>HAVERD!AV$1</f>
        <v>39</v>
      </c>
      <c r="CO3">
        <f>HAVERD!AW$1</f>
        <v>40</v>
      </c>
      <c r="CP3">
        <f>HAVERD!AX$1</f>
        <v>41</v>
      </c>
      <c r="CQ3">
        <f>HAVERD!AY$1</f>
        <v>42</v>
      </c>
      <c r="CR3">
        <f>HAVERD!AZ$1</f>
        <v>43</v>
      </c>
      <c r="CS3">
        <f>HAVERD!BA$1</f>
        <v>44</v>
      </c>
      <c r="CT3">
        <f>HAVERD!BB$1</f>
        <v>45</v>
      </c>
      <c r="CU3">
        <f>HAVERD!BC$1</f>
        <v>46</v>
      </c>
      <c r="CV3">
        <f>HAVERD!BD$1</f>
        <v>47</v>
      </c>
      <c r="CW3">
        <f>HAVERD!BE$1</f>
        <v>48</v>
      </c>
    </row>
    <row r="4" spans="1:113" x14ac:dyDescent="0.25">
      <c r="A4" t="s">
        <v>950</v>
      </c>
      <c r="C4">
        <v>30.4166667</v>
      </c>
      <c r="D4">
        <f>+C4+30.4166667</f>
        <v>60.833333400000001</v>
      </c>
      <c r="E4">
        <f t="shared" ref="E4:AX4" si="48">+D4+30.4166667</f>
        <v>91.250000099999994</v>
      </c>
      <c r="F4">
        <f t="shared" si="48"/>
        <v>121.6666668</v>
      </c>
      <c r="G4">
        <f t="shared" si="48"/>
        <v>152.08333350000001</v>
      </c>
      <c r="H4">
        <f t="shared" si="48"/>
        <v>182.50000020000002</v>
      </c>
      <c r="I4">
        <f t="shared" si="48"/>
        <v>212.91666690000002</v>
      </c>
      <c r="J4">
        <f t="shared" si="48"/>
        <v>243.33333360000003</v>
      </c>
      <c r="K4">
        <f t="shared" si="48"/>
        <v>273.75000030000001</v>
      </c>
      <c r="L4">
        <f t="shared" si="48"/>
        <v>304.16666700000002</v>
      </c>
      <c r="M4">
        <f t="shared" si="48"/>
        <v>334.58333370000003</v>
      </c>
      <c r="N4">
        <f t="shared" si="48"/>
        <v>365.00000040000003</v>
      </c>
      <c r="O4">
        <f t="shared" si="48"/>
        <v>395.41666710000004</v>
      </c>
      <c r="P4">
        <f t="shared" si="48"/>
        <v>425.83333380000005</v>
      </c>
      <c r="Q4">
        <f t="shared" si="48"/>
        <v>456.25000050000006</v>
      </c>
      <c r="R4">
        <f t="shared" si="48"/>
        <v>486.66666720000006</v>
      </c>
      <c r="S4">
        <f t="shared" si="48"/>
        <v>517.08333390000007</v>
      </c>
      <c r="T4">
        <f t="shared" si="48"/>
        <v>547.50000060000002</v>
      </c>
      <c r="U4">
        <f t="shared" si="48"/>
        <v>577.91666729999997</v>
      </c>
      <c r="V4">
        <f t="shared" si="48"/>
        <v>608.33333399999992</v>
      </c>
      <c r="W4">
        <f t="shared" si="48"/>
        <v>638.75000069999987</v>
      </c>
      <c r="X4">
        <f t="shared" si="48"/>
        <v>669.16666739999982</v>
      </c>
      <c r="Y4">
        <f t="shared" si="48"/>
        <v>699.58333409999977</v>
      </c>
      <c r="Z4">
        <f t="shared" si="48"/>
        <v>730.00000079999973</v>
      </c>
      <c r="AA4">
        <f t="shared" si="48"/>
        <v>760.41666749999968</v>
      </c>
      <c r="AB4">
        <f t="shared" si="48"/>
        <v>790.83333419999963</v>
      </c>
      <c r="AC4">
        <f t="shared" si="48"/>
        <v>821.25000089999958</v>
      </c>
      <c r="AD4">
        <f t="shared" si="48"/>
        <v>851.66666759999953</v>
      </c>
      <c r="AE4">
        <f t="shared" si="48"/>
        <v>882.08333429999948</v>
      </c>
      <c r="AF4">
        <f t="shared" si="48"/>
        <v>912.50000099999943</v>
      </c>
      <c r="AG4">
        <f t="shared" si="48"/>
        <v>942.91666769999938</v>
      </c>
      <c r="AH4">
        <f t="shared" si="48"/>
        <v>973.33333439999933</v>
      </c>
      <c r="AI4">
        <f t="shared" si="48"/>
        <v>1003.7500010999993</v>
      </c>
      <c r="AJ4">
        <f t="shared" si="48"/>
        <v>1034.1666677999992</v>
      </c>
      <c r="AK4">
        <f t="shared" si="48"/>
        <v>1064.5833344999992</v>
      </c>
      <c r="AL4">
        <f t="shared" si="48"/>
        <v>1095.0000011999991</v>
      </c>
      <c r="AM4">
        <f t="shared" si="48"/>
        <v>1125.4166678999991</v>
      </c>
      <c r="AN4">
        <f t="shared" si="48"/>
        <v>1155.833334599999</v>
      </c>
      <c r="AO4">
        <f t="shared" si="48"/>
        <v>1186.250001299999</v>
      </c>
      <c r="AP4">
        <f t="shared" si="48"/>
        <v>1216.6666679999989</v>
      </c>
      <c r="AQ4">
        <f t="shared" si="48"/>
        <v>1247.0833346999989</v>
      </c>
      <c r="AR4">
        <f t="shared" si="48"/>
        <v>1277.5000013999988</v>
      </c>
      <c r="AS4">
        <f t="shared" si="48"/>
        <v>1307.9166680999988</v>
      </c>
      <c r="AT4">
        <f t="shared" si="48"/>
        <v>1338.3333347999987</v>
      </c>
      <c r="AU4">
        <f t="shared" si="48"/>
        <v>1368.7500014999987</v>
      </c>
      <c r="AV4">
        <f t="shared" si="48"/>
        <v>1399.1666681999986</v>
      </c>
      <c r="AW4">
        <f t="shared" si="48"/>
        <v>1429.5833348999986</v>
      </c>
      <c r="AX4">
        <f t="shared" si="48"/>
        <v>1460.0000015999985</v>
      </c>
      <c r="BA4" t="s">
        <v>950</v>
      </c>
      <c r="BC4">
        <v>30.4166667</v>
      </c>
      <c r="BD4">
        <f>+BC4+30.4166667</f>
        <v>60.833333400000001</v>
      </c>
      <c r="BE4">
        <f t="shared" ref="BE4" si="49">+BD4+30.4166667</f>
        <v>91.250000099999994</v>
      </c>
      <c r="BF4">
        <f t="shared" ref="BF4" si="50">+BE4+30.4166667</f>
        <v>121.6666668</v>
      </c>
      <c r="BG4">
        <f t="shared" ref="BG4" si="51">+BF4+30.4166667</f>
        <v>152.08333350000001</v>
      </c>
      <c r="BH4">
        <f t="shared" ref="BH4" si="52">+BG4+30.4166667</f>
        <v>182.50000020000002</v>
      </c>
      <c r="BI4">
        <f t="shared" ref="BI4" si="53">+BH4+30.4166667</f>
        <v>212.91666690000002</v>
      </c>
      <c r="BJ4">
        <f t="shared" ref="BJ4" si="54">+BI4+30.4166667</f>
        <v>243.33333360000003</v>
      </c>
      <c r="BK4">
        <f t="shared" ref="BK4" si="55">+BJ4+30.4166667</f>
        <v>273.75000030000001</v>
      </c>
      <c r="BL4">
        <f t="shared" ref="BL4" si="56">+BK4+30.4166667</f>
        <v>304.16666700000002</v>
      </c>
      <c r="BM4">
        <f t="shared" ref="BM4" si="57">+BL4+30.4166667</f>
        <v>334.58333370000003</v>
      </c>
      <c r="BN4">
        <f t="shared" ref="BN4" si="58">+BM4+30.4166667</f>
        <v>365.00000040000003</v>
      </c>
      <c r="BO4">
        <f t="shared" ref="BO4" si="59">+BN4+30.4166667</f>
        <v>395.41666710000004</v>
      </c>
      <c r="BP4">
        <f t="shared" ref="BP4" si="60">+BO4+30.4166667</f>
        <v>425.83333380000005</v>
      </c>
      <c r="BQ4">
        <f t="shared" ref="BQ4" si="61">+BP4+30.4166667</f>
        <v>456.25000050000006</v>
      </c>
      <c r="BR4">
        <f t="shared" ref="BR4" si="62">+BQ4+30.4166667</f>
        <v>486.66666720000006</v>
      </c>
      <c r="BS4">
        <f t="shared" ref="BS4" si="63">+BR4+30.4166667</f>
        <v>517.08333390000007</v>
      </c>
      <c r="BT4">
        <f t="shared" ref="BT4" si="64">+BS4+30.4166667</f>
        <v>547.50000060000002</v>
      </c>
      <c r="BU4">
        <f t="shared" ref="BU4" si="65">+BT4+30.4166667</f>
        <v>577.91666729999997</v>
      </c>
      <c r="BV4">
        <f t="shared" ref="BV4" si="66">+BU4+30.4166667</f>
        <v>608.33333399999992</v>
      </c>
      <c r="BW4">
        <f t="shared" ref="BW4" si="67">+BV4+30.4166667</f>
        <v>638.75000069999987</v>
      </c>
      <c r="BX4">
        <f t="shared" ref="BX4" si="68">+BW4+30.4166667</f>
        <v>669.16666739999982</v>
      </c>
      <c r="BY4">
        <f t="shared" ref="BY4" si="69">+BX4+30.4166667</f>
        <v>699.58333409999977</v>
      </c>
      <c r="BZ4">
        <f t="shared" ref="BZ4" si="70">+BY4+30.4166667</f>
        <v>730.00000079999973</v>
      </c>
      <c r="CA4">
        <f t="shared" ref="CA4" si="71">+BZ4+30.4166667</f>
        <v>760.41666749999968</v>
      </c>
      <c r="CB4">
        <f t="shared" ref="CB4" si="72">+CA4+30.4166667</f>
        <v>790.83333419999963</v>
      </c>
      <c r="CC4">
        <f t="shared" ref="CC4" si="73">+CB4+30.4166667</f>
        <v>821.25000089999958</v>
      </c>
      <c r="CD4">
        <f t="shared" ref="CD4" si="74">+CC4+30.4166667</f>
        <v>851.66666759999953</v>
      </c>
      <c r="CE4">
        <f t="shared" ref="CE4" si="75">+CD4+30.4166667</f>
        <v>882.08333429999948</v>
      </c>
      <c r="CF4">
        <f t="shared" ref="CF4" si="76">+CE4+30.4166667</f>
        <v>912.50000099999943</v>
      </c>
      <c r="CG4">
        <f t="shared" ref="CG4" si="77">+CF4+30.4166667</f>
        <v>942.91666769999938</v>
      </c>
      <c r="CH4">
        <f t="shared" ref="CH4" si="78">+CG4+30.4166667</f>
        <v>973.33333439999933</v>
      </c>
      <c r="CI4">
        <f t="shared" ref="CI4" si="79">+CH4+30.4166667</f>
        <v>1003.7500010999993</v>
      </c>
      <c r="CJ4">
        <f t="shared" ref="CJ4" si="80">+CI4+30.4166667</f>
        <v>1034.1666677999992</v>
      </c>
      <c r="CK4">
        <f t="shared" ref="CK4" si="81">+CJ4+30.4166667</f>
        <v>1064.5833344999992</v>
      </c>
      <c r="CL4">
        <f t="shared" ref="CL4" si="82">+CK4+30.4166667</f>
        <v>1095.0000011999991</v>
      </c>
      <c r="CM4">
        <f t="shared" ref="CM4" si="83">+CL4+30.4166667</f>
        <v>1125.4166678999991</v>
      </c>
      <c r="CN4">
        <f t="shared" ref="CN4" si="84">+CM4+30.4166667</f>
        <v>1155.833334599999</v>
      </c>
      <c r="CO4">
        <f t="shared" ref="CO4" si="85">+CN4+30.4166667</f>
        <v>1186.250001299999</v>
      </c>
      <c r="CP4">
        <f t="shared" ref="CP4" si="86">+CO4+30.4166667</f>
        <v>1216.6666679999989</v>
      </c>
      <c r="CQ4">
        <f t="shared" ref="CQ4" si="87">+CP4+30.4166667</f>
        <v>1247.0833346999989</v>
      </c>
      <c r="CR4">
        <f t="shared" ref="CR4" si="88">+CQ4+30.4166667</f>
        <v>1277.5000013999988</v>
      </c>
      <c r="CS4">
        <f t="shared" ref="CS4" si="89">+CR4+30.4166667</f>
        <v>1307.9166680999988</v>
      </c>
      <c r="CT4">
        <f t="shared" ref="CT4" si="90">+CS4+30.4166667</f>
        <v>1338.3333347999987</v>
      </c>
      <c r="CU4">
        <f t="shared" ref="CU4" si="91">+CT4+30.4166667</f>
        <v>1368.7500014999987</v>
      </c>
      <c r="CV4">
        <f t="shared" ref="CV4" si="92">+CU4+30.4166667</f>
        <v>1399.1666681999986</v>
      </c>
      <c r="CW4">
        <f t="shared" ref="CW4" si="93">+CV4+30.4166667</f>
        <v>1429.5833348999986</v>
      </c>
    </row>
    <row r="5" spans="1:113" x14ac:dyDescent="0.25">
      <c r="A5" s="8" t="s">
        <v>951</v>
      </c>
      <c r="BA5" s="8" t="s">
        <v>951</v>
      </c>
    </row>
    <row r="6" spans="1:113" x14ac:dyDescent="0.25">
      <c r="A6" s="6">
        <f t="shared" ref="A6:A14" si="94">A11-7</f>
        <v>45475</v>
      </c>
      <c r="B6" s="6">
        <f>A6</f>
        <v>45475</v>
      </c>
      <c r="C6" s="6">
        <f>$B6+C$4</f>
        <v>45505.416666700003</v>
      </c>
      <c r="D6" s="6">
        <f t="shared" ref="D6:AX10" si="95">$B6+D$4</f>
        <v>45535.833333399998</v>
      </c>
      <c r="E6" s="6">
        <f t="shared" si="95"/>
        <v>45566.250000100001</v>
      </c>
      <c r="F6" s="6">
        <f t="shared" si="95"/>
        <v>45596.666666800003</v>
      </c>
      <c r="G6" s="6">
        <f t="shared" si="95"/>
        <v>45627.083333499999</v>
      </c>
      <c r="H6" s="6">
        <f t="shared" si="95"/>
        <v>45657.500000200002</v>
      </c>
      <c r="I6" s="6">
        <f t="shared" si="95"/>
        <v>45687.916666899997</v>
      </c>
      <c r="J6" s="6">
        <f t="shared" si="95"/>
        <v>45718.3333336</v>
      </c>
      <c r="K6" s="6">
        <f t="shared" si="95"/>
        <v>45748.750000300002</v>
      </c>
      <c r="L6" s="6">
        <f t="shared" si="95"/>
        <v>45779.166666999998</v>
      </c>
      <c r="M6" s="6">
        <f t="shared" si="95"/>
        <v>45809.5833337</v>
      </c>
      <c r="N6" s="6">
        <f t="shared" si="95"/>
        <v>45840.000000400003</v>
      </c>
      <c r="O6" s="6">
        <f t="shared" si="95"/>
        <v>45870.416667099998</v>
      </c>
      <c r="P6" s="6">
        <f t="shared" si="95"/>
        <v>45900.833333800001</v>
      </c>
      <c r="Q6" s="6">
        <f t="shared" si="95"/>
        <v>45931.250000499997</v>
      </c>
      <c r="R6" s="6">
        <f t="shared" si="95"/>
        <v>45961.666667199999</v>
      </c>
      <c r="S6" s="6">
        <f t="shared" si="95"/>
        <v>45992.083333900002</v>
      </c>
      <c r="T6" s="6">
        <f t="shared" si="95"/>
        <v>46022.500000599997</v>
      </c>
      <c r="U6" s="6">
        <f t="shared" si="95"/>
        <v>46052.9166673</v>
      </c>
      <c r="V6" s="6">
        <f t="shared" si="95"/>
        <v>46083.333334000003</v>
      </c>
      <c r="W6" s="6">
        <f t="shared" si="95"/>
        <v>46113.750000699998</v>
      </c>
      <c r="X6" s="6">
        <f t="shared" si="95"/>
        <v>46144.166667400001</v>
      </c>
      <c r="Y6" s="6">
        <f t="shared" si="95"/>
        <v>46174.583334099996</v>
      </c>
      <c r="Z6" s="6">
        <f t="shared" si="95"/>
        <v>46205.000000799999</v>
      </c>
      <c r="AA6" s="6">
        <f t="shared" si="95"/>
        <v>46235.416667500001</v>
      </c>
      <c r="AB6" s="6">
        <f t="shared" si="95"/>
        <v>46265.833334199997</v>
      </c>
      <c r="AC6" s="6">
        <f t="shared" si="95"/>
        <v>46296.2500009</v>
      </c>
      <c r="AD6" s="6">
        <f t="shared" si="95"/>
        <v>46326.666667600002</v>
      </c>
      <c r="AE6" s="6">
        <f t="shared" si="95"/>
        <v>46357.083334299998</v>
      </c>
      <c r="AF6" s="6">
        <f t="shared" si="95"/>
        <v>46387.500001</v>
      </c>
      <c r="AG6" s="6">
        <f t="shared" si="95"/>
        <v>46417.916667700003</v>
      </c>
      <c r="AH6" s="6">
        <f t="shared" si="95"/>
        <v>46448.333334399998</v>
      </c>
      <c r="AI6" s="6">
        <f t="shared" si="95"/>
        <v>46478.750001100001</v>
      </c>
      <c r="AJ6" s="6">
        <f t="shared" si="95"/>
        <v>46509.166667799997</v>
      </c>
      <c r="AK6" s="6">
        <f t="shared" si="95"/>
        <v>46539.583334499999</v>
      </c>
      <c r="AL6" s="6">
        <f t="shared" si="95"/>
        <v>46570.000001200002</v>
      </c>
      <c r="AM6" s="6">
        <f t="shared" si="95"/>
        <v>46600.416667899997</v>
      </c>
      <c r="AN6" s="6">
        <f t="shared" si="95"/>
        <v>46630.8333346</v>
      </c>
      <c r="AO6" s="6">
        <f t="shared" si="95"/>
        <v>46661.250001299995</v>
      </c>
      <c r="AP6" s="6">
        <f t="shared" si="95"/>
        <v>46691.666667999998</v>
      </c>
      <c r="AQ6" s="6">
        <f t="shared" si="95"/>
        <v>46722.083334700001</v>
      </c>
      <c r="AR6" s="6">
        <f t="shared" si="95"/>
        <v>46752.500001399996</v>
      </c>
      <c r="AS6" s="6">
        <f t="shared" si="95"/>
        <v>46782.916668099999</v>
      </c>
      <c r="AT6" s="6">
        <f t="shared" si="95"/>
        <v>46813.333334800001</v>
      </c>
      <c r="AU6" s="6">
        <f t="shared" si="95"/>
        <v>46843.750001499997</v>
      </c>
      <c r="AV6" s="6">
        <f t="shared" si="95"/>
        <v>46874.1666682</v>
      </c>
      <c r="AW6" s="6">
        <f t="shared" si="95"/>
        <v>46904.583334900002</v>
      </c>
      <c r="AX6" s="6">
        <f t="shared" si="95"/>
        <v>46935.000001599998</v>
      </c>
      <c r="BA6" s="6">
        <f t="shared" ref="BA6:BA14" si="96">BA11-7</f>
        <v>45573</v>
      </c>
      <c r="BB6" s="6">
        <f>BA6</f>
        <v>45573</v>
      </c>
      <c r="BC6" s="6">
        <f>$BA6+BC$4</f>
        <v>45603.416666700003</v>
      </c>
      <c r="BD6" s="6">
        <f t="shared" ref="BD6:CW10" si="97">$BA6+BD$4</f>
        <v>45633.833333399998</v>
      </c>
      <c r="BE6" s="6">
        <f t="shared" si="97"/>
        <v>45664.250000100001</v>
      </c>
      <c r="BF6" s="6">
        <f t="shared" si="97"/>
        <v>45694.666666800003</v>
      </c>
      <c r="BG6" s="6">
        <f t="shared" si="97"/>
        <v>45725.083333499999</v>
      </c>
      <c r="BH6" s="6">
        <f t="shared" si="97"/>
        <v>45755.500000200002</v>
      </c>
      <c r="BI6" s="6">
        <f t="shared" si="97"/>
        <v>45785.916666899997</v>
      </c>
      <c r="BJ6" s="6">
        <f t="shared" si="97"/>
        <v>45816.3333336</v>
      </c>
      <c r="BK6" s="6">
        <f t="shared" si="97"/>
        <v>45846.750000300002</v>
      </c>
      <c r="BL6" s="6">
        <f t="shared" si="97"/>
        <v>45877.166666999998</v>
      </c>
      <c r="BM6" s="6">
        <f t="shared" si="97"/>
        <v>45907.5833337</v>
      </c>
      <c r="BN6" s="6">
        <f t="shared" si="97"/>
        <v>45938.000000400003</v>
      </c>
      <c r="BO6" s="6">
        <f t="shared" si="97"/>
        <v>45968.416667099998</v>
      </c>
      <c r="BP6" s="6">
        <f t="shared" si="97"/>
        <v>45998.833333800001</v>
      </c>
      <c r="BQ6" s="6">
        <f t="shared" si="97"/>
        <v>46029.250000499997</v>
      </c>
      <c r="BR6" s="6">
        <f t="shared" si="97"/>
        <v>46059.666667199999</v>
      </c>
      <c r="BS6" s="6">
        <f t="shared" si="97"/>
        <v>46090.083333900002</v>
      </c>
      <c r="BT6" s="6">
        <f t="shared" si="97"/>
        <v>46120.500000599997</v>
      </c>
      <c r="BU6" s="6">
        <f t="shared" si="97"/>
        <v>46150.9166673</v>
      </c>
      <c r="BV6" s="6">
        <f t="shared" si="97"/>
        <v>46181.333334000003</v>
      </c>
      <c r="BW6" s="6">
        <f t="shared" si="97"/>
        <v>46211.750000699998</v>
      </c>
      <c r="BX6" s="6">
        <f t="shared" si="97"/>
        <v>46242.166667400001</v>
      </c>
      <c r="BY6" s="6">
        <f t="shared" si="97"/>
        <v>46272.583334099996</v>
      </c>
      <c r="BZ6" s="6">
        <f t="shared" si="97"/>
        <v>46303.000000799999</v>
      </c>
      <c r="CA6" s="6">
        <f t="shared" si="97"/>
        <v>46333.416667500001</v>
      </c>
      <c r="CB6" s="6">
        <f t="shared" si="97"/>
        <v>46363.833334199997</v>
      </c>
      <c r="CC6" s="6">
        <f t="shared" si="97"/>
        <v>46394.2500009</v>
      </c>
      <c r="CD6" s="6">
        <f t="shared" si="97"/>
        <v>46424.666667600002</v>
      </c>
      <c r="CE6" s="6">
        <f t="shared" si="97"/>
        <v>46455.083334299998</v>
      </c>
      <c r="CF6" s="6">
        <f t="shared" si="97"/>
        <v>46485.500001</v>
      </c>
      <c r="CG6" s="6">
        <f t="shared" si="97"/>
        <v>46515.916667700003</v>
      </c>
      <c r="CH6" s="6">
        <f t="shared" si="97"/>
        <v>46546.333334399998</v>
      </c>
      <c r="CI6" s="6">
        <f t="shared" si="97"/>
        <v>46576.750001100001</v>
      </c>
      <c r="CJ6" s="6">
        <f t="shared" si="97"/>
        <v>46607.166667799997</v>
      </c>
      <c r="CK6" s="6">
        <f t="shared" si="97"/>
        <v>46637.583334499999</v>
      </c>
      <c r="CL6" s="6">
        <f t="shared" si="97"/>
        <v>46668.000001200002</v>
      </c>
      <c r="CM6" s="6">
        <f t="shared" si="97"/>
        <v>46698.416667899997</v>
      </c>
      <c r="CN6" s="6">
        <f t="shared" si="97"/>
        <v>46728.8333346</v>
      </c>
      <c r="CO6" s="6">
        <f t="shared" si="97"/>
        <v>46759.250001299995</v>
      </c>
      <c r="CP6" s="6">
        <f t="shared" si="97"/>
        <v>46789.666667999998</v>
      </c>
      <c r="CQ6" s="6">
        <f t="shared" si="97"/>
        <v>46820.083334700001</v>
      </c>
      <c r="CR6" s="6">
        <f t="shared" si="97"/>
        <v>46850.500001399996</v>
      </c>
      <c r="CS6" s="6">
        <f t="shared" si="97"/>
        <v>46880.916668099999</v>
      </c>
      <c r="CT6" s="6">
        <f t="shared" si="97"/>
        <v>46911.333334800001</v>
      </c>
      <c r="CU6" s="6">
        <f t="shared" si="97"/>
        <v>46941.750001499997</v>
      </c>
      <c r="CV6" s="6">
        <f t="shared" si="97"/>
        <v>46972.1666682</v>
      </c>
      <c r="CW6" s="6">
        <f t="shared" si="97"/>
        <v>47002.583334900002</v>
      </c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</row>
    <row r="7" spans="1:113" x14ac:dyDescent="0.25">
      <c r="A7" s="6">
        <f t="shared" si="94"/>
        <v>45476</v>
      </c>
      <c r="B7" s="6">
        <f t="shared" ref="B7:B18" si="98">A7</f>
        <v>45476</v>
      </c>
      <c r="C7" s="6">
        <f t="shared" ref="C7:R20" si="99">$B7+C$4</f>
        <v>45506.416666700003</v>
      </c>
      <c r="D7" s="6">
        <f t="shared" si="95"/>
        <v>45536.833333399998</v>
      </c>
      <c r="E7" s="6">
        <f t="shared" si="95"/>
        <v>45567.250000100001</v>
      </c>
      <c r="F7" s="6">
        <f t="shared" si="95"/>
        <v>45597.666666800003</v>
      </c>
      <c r="G7" s="6">
        <f t="shared" si="95"/>
        <v>45628.083333499999</v>
      </c>
      <c r="H7" s="6">
        <f t="shared" si="95"/>
        <v>45658.500000200002</v>
      </c>
      <c r="I7" s="6">
        <f t="shared" si="95"/>
        <v>45688.916666899997</v>
      </c>
      <c r="J7" s="6">
        <f t="shared" si="95"/>
        <v>45719.3333336</v>
      </c>
      <c r="K7" s="6">
        <f t="shared" si="95"/>
        <v>45749.750000300002</v>
      </c>
      <c r="L7" s="6">
        <f t="shared" si="95"/>
        <v>45780.166666999998</v>
      </c>
      <c r="M7" s="6">
        <f t="shared" si="95"/>
        <v>45810.5833337</v>
      </c>
      <c r="N7" s="6">
        <f t="shared" si="95"/>
        <v>45841.000000400003</v>
      </c>
      <c r="O7" s="6">
        <f t="shared" si="95"/>
        <v>45871.416667099998</v>
      </c>
      <c r="P7" s="6">
        <f t="shared" si="95"/>
        <v>45901.833333800001</v>
      </c>
      <c r="Q7" s="6">
        <f t="shared" si="95"/>
        <v>45932.250000499997</v>
      </c>
      <c r="R7" s="6">
        <f t="shared" si="95"/>
        <v>45962.666667199999</v>
      </c>
      <c r="S7" s="6">
        <f t="shared" si="95"/>
        <v>45993.083333900002</v>
      </c>
      <c r="T7" s="6">
        <f t="shared" si="95"/>
        <v>46023.500000599997</v>
      </c>
      <c r="U7" s="6">
        <f t="shared" si="95"/>
        <v>46053.9166673</v>
      </c>
      <c r="V7" s="6">
        <f t="shared" si="95"/>
        <v>46084.333334000003</v>
      </c>
      <c r="W7" s="6">
        <f t="shared" si="95"/>
        <v>46114.750000699998</v>
      </c>
      <c r="X7" s="6">
        <f t="shared" si="95"/>
        <v>46145.166667400001</v>
      </c>
      <c r="Y7" s="6">
        <f t="shared" si="95"/>
        <v>46175.583334099996</v>
      </c>
      <c r="Z7" s="6">
        <f t="shared" si="95"/>
        <v>46206.000000799999</v>
      </c>
      <c r="AA7" s="6">
        <f t="shared" si="95"/>
        <v>46236.416667500001</v>
      </c>
      <c r="AB7" s="6">
        <f t="shared" si="95"/>
        <v>46266.833334199997</v>
      </c>
      <c r="AC7" s="6">
        <f t="shared" si="95"/>
        <v>46297.2500009</v>
      </c>
      <c r="AD7" s="6">
        <f t="shared" si="95"/>
        <v>46327.666667600002</v>
      </c>
      <c r="AE7" s="6">
        <f t="shared" si="95"/>
        <v>46358.083334299998</v>
      </c>
      <c r="AF7" s="6">
        <f t="shared" si="95"/>
        <v>46388.500001</v>
      </c>
      <c r="AG7" s="6">
        <f t="shared" si="95"/>
        <v>46418.916667700003</v>
      </c>
      <c r="AH7" s="6">
        <f t="shared" si="95"/>
        <v>46449.333334399998</v>
      </c>
      <c r="AI7" s="6">
        <f t="shared" si="95"/>
        <v>46479.750001100001</v>
      </c>
      <c r="AJ7" s="6">
        <f t="shared" si="95"/>
        <v>46510.166667799997</v>
      </c>
      <c r="AK7" s="6">
        <f t="shared" si="95"/>
        <v>46540.583334499999</v>
      </c>
      <c r="AL7" s="6">
        <f t="shared" si="95"/>
        <v>46571.000001200002</v>
      </c>
      <c r="AM7" s="6">
        <f t="shared" si="95"/>
        <v>46601.416667899997</v>
      </c>
      <c r="AN7" s="6">
        <f t="shared" si="95"/>
        <v>46631.8333346</v>
      </c>
      <c r="AO7" s="6">
        <f t="shared" si="95"/>
        <v>46662.250001299995</v>
      </c>
      <c r="AP7" s="6">
        <f t="shared" si="95"/>
        <v>46692.666667999998</v>
      </c>
      <c r="AQ7" s="6">
        <f t="shared" si="95"/>
        <v>46723.083334700001</v>
      </c>
      <c r="AR7" s="6">
        <f t="shared" si="95"/>
        <v>46753.500001399996</v>
      </c>
      <c r="AS7" s="6">
        <f t="shared" si="95"/>
        <v>46783.916668099999</v>
      </c>
      <c r="AT7" s="6">
        <f t="shared" si="95"/>
        <v>46814.333334800001</v>
      </c>
      <c r="AU7" s="6">
        <f t="shared" si="95"/>
        <v>46844.750001499997</v>
      </c>
      <c r="AV7" s="6">
        <f t="shared" si="95"/>
        <v>46875.1666682</v>
      </c>
      <c r="AW7" s="6">
        <f t="shared" si="95"/>
        <v>46905.583334900002</v>
      </c>
      <c r="AX7" s="6">
        <f t="shared" si="95"/>
        <v>46936.000001599998</v>
      </c>
      <c r="BA7" s="6">
        <f t="shared" si="96"/>
        <v>45574</v>
      </c>
      <c r="BB7" s="6">
        <f t="shared" ref="BB7:BB18" si="100">BA7</f>
        <v>45574</v>
      </c>
      <c r="BC7" s="6">
        <f t="shared" ref="BC7:BR20" si="101">$BA7+BC$4</f>
        <v>45604.416666700003</v>
      </c>
      <c r="BD7" s="6">
        <f t="shared" si="101"/>
        <v>45634.833333399998</v>
      </c>
      <c r="BE7" s="6">
        <f t="shared" si="101"/>
        <v>45665.250000100001</v>
      </c>
      <c r="BF7" s="6">
        <f t="shared" si="101"/>
        <v>45695.666666800003</v>
      </c>
      <c r="BG7" s="6">
        <f t="shared" si="101"/>
        <v>45726.083333499999</v>
      </c>
      <c r="BH7" s="6">
        <f t="shared" si="101"/>
        <v>45756.500000200002</v>
      </c>
      <c r="BI7" s="6">
        <f t="shared" si="101"/>
        <v>45786.916666899997</v>
      </c>
      <c r="BJ7" s="6">
        <f t="shared" si="101"/>
        <v>45817.3333336</v>
      </c>
      <c r="BK7" s="6">
        <f t="shared" si="101"/>
        <v>45847.750000300002</v>
      </c>
      <c r="BL7" s="6">
        <f t="shared" si="101"/>
        <v>45878.166666999998</v>
      </c>
      <c r="BM7" s="6">
        <f t="shared" si="101"/>
        <v>45908.5833337</v>
      </c>
      <c r="BN7" s="6">
        <f t="shared" si="101"/>
        <v>45939.000000400003</v>
      </c>
      <c r="BO7" s="6">
        <f t="shared" si="101"/>
        <v>45969.416667099998</v>
      </c>
      <c r="BP7" s="6">
        <f t="shared" si="101"/>
        <v>45999.833333800001</v>
      </c>
      <c r="BQ7" s="6">
        <f t="shared" si="101"/>
        <v>46030.250000499997</v>
      </c>
      <c r="BR7" s="6">
        <f t="shared" si="101"/>
        <v>46060.666667199999</v>
      </c>
      <c r="BS7" s="6">
        <f t="shared" si="97"/>
        <v>46091.083333900002</v>
      </c>
      <c r="BT7" s="6">
        <f t="shared" si="97"/>
        <v>46121.500000599997</v>
      </c>
      <c r="BU7" s="6">
        <f t="shared" si="97"/>
        <v>46151.9166673</v>
      </c>
      <c r="BV7" s="6">
        <f t="shared" si="97"/>
        <v>46182.333334000003</v>
      </c>
      <c r="BW7" s="6">
        <f t="shared" si="97"/>
        <v>46212.750000699998</v>
      </c>
      <c r="BX7" s="6">
        <f t="shared" si="97"/>
        <v>46243.166667400001</v>
      </c>
      <c r="BY7" s="6">
        <f t="shared" si="97"/>
        <v>46273.583334099996</v>
      </c>
      <c r="BZ7" s="6">
        <f t="shared" si="97"/>
        <v>46304.000000799999</v>
      </c>
      <c r="CA7" s="6">
        <f t="shared" si="97"/>
        <v>46334.416667500001</v>
      </c>
      <c r="CB7" s="6">
        <f t="shared" si="97"/>
        <v>46364.833334199997</v>
      </c>
      <c r="CC7" s="6">
        <f t="shared" si="97"/>
        <v>46395.2500009</v>
      </c>
      <c r="CD7" s="6">
        <f t="shared" si="97"/>
        <v>46425.666667600002</v>
      </c>
      <c r="CE7" s="6">
        <f t="shared" si="97"/>
        <v>46456.083334299998</v>
      </c>
      <c r="CF7" s="6">
        <f t="shared" si="97"/>
        <v>46486.500001</v>
      </c>
      <c r="CG7" s="6">
        <f t="shared" si="97"/>
        <v>46516.916667700003</v>
      </c>
      <c r="CH7" s="6">
        <f t="shared" si="97"/>
        <v>46547.333334399998</v>
      </c>
      <c r="CI7" s="6">
        <f t="shared" si="97"/>
        <v>46577.750001100001</v>
      </c>
      <c r="CJ7" s="6">
        <f t="shared" si="97"/>
        <v>46608.166667799997</v>
      </c>
      <c r="CK7" s="6">
        <f t="shared" si="97"/>
        <v>46638.583334499999</v>
      </c>
      <c r="CL7" s="6">
        <f t="shared" si="97"/>
        <v>46669.000001200002</v>
      </c>
      <c r="CM7" s="6">
        <f t="shared" si="97"/>
        <v>46699.416667899997</v>
      </c>
      <c r="CN7" s="6">
        <f t="shared" si="97"/>
        <v>46729.8333346</v>
      </c>
      <c r="CO7" s="6">
        <f t="shared" si="97"/>
        <v>46760.250001299995</v>
      </c>
      <c r="CP7" s="6">
        <f t="shared" si="97"/>
        <v>46790.666667999998</v>
      </c>
      <c r="CQ7" s="6">
        <f t="shared" si="97"/>
        <v>46821.083334700001</v>
      </c>
      <c r="CR7" s="6">
        <f t="shared" si="97"/>
        <v>46851.500001399996</v>
      </c>
      <c r="CS7" s="6">
        <f t="shared" si="97"/>
        <v>46881.916668099999</v>
      </c>
      <c r="CT7" s="6">
        <f t="shared" si="97"/>
        <v>46912.333334800001</v>
      </c>
      <c r="CU7" s="6">
        <f t="shared" si="97"/>
        <v>46942.750001499997</v>
      </c>
      <c r="CV7" s="6">
        <f t="shared" si="97"/>
        <v>46973.1666682</v>
      </c>
      <c r="CW7" s="6">
        <f t="shared" si="97"/>
        <v>47003.583334900002</v>
      </c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</row>
    <row r="8" spans="1:113" x14ac:dyDescent="0.25">
      <c r="A8" s="6">
        <f t="shared" si="94"/>
        <v>45477</v>
      </c>
      <c r="B8" s="6">
        <f t="shared" si="98"/>
        <v>45477</v>
      </c>
      <c r="C8" s="6">
        <f t="shared" si="99"/>
        <v>45507.416666700003</v>
      </c>
      <c r="D8" s="6">
        <f t="shared" si="95"/>
        <v>45537.833333399998</v>
      </c>
      <c r="E8" s="6">
        <f t="shared" si="95"/>
        <v>45568.250000100001</v>
      </c>
      <c r="F8" s="6">
        <f t="shared" si="95"/>
        <v>45598.666666800003</v>
      </c>
      <c r="G8" s="6">
        <f t="shared" si="95"/>
        <v>45629.083333499999</v>
      </c>
      <c r="H8" s="6">
        <f t="shared" si="95"/>
        <v>45659.500000200002</v>
      </c>
      <c r="I8" s="6">
        <f t="shared" si="95"/>
        <v>45689.916666899997</v>
      </c>
      <c r="J8" s="6">
        <f t="shared" si="95"/>
        <v>45720.3333336</v>
      </c>
      <c r="K8" s="6">
        <f t="shared" si="95"/>
        <v>45750.750000300002</v>
      </c>
      <c r="L8" s="6">
        <f t="shared" si="95"/>
        <v>45781.166666999998</v>
      </c>
      <c r="M8" s="6">
        <f t="shared" si="95"/>
        <v>45811.5833337</v>
      </c>
      <c r="N8" s="6">
        <f t="shared" si="95"/>
        <v>45842.000000400003</v>
      </c>
      <c r="O8" s="6">
        <f t="shared" si="95"/>
        <v>45872.416667099998</v>
      </c>
      <c r="P8" s="6">
        <f t="shared" si="95"/>
        <v>45902.833333800001</v>
      </c>
      <c r="Q8" s="6">
        <f t="shared" si="95"/>
        <v>45933.250000499997</v>
      </c>
      <c r="R8" s="6">
        <f t="shared" si="95"/>
        <v>45963.666667199999</v>
      </c>
      <c r="S8" s="6">
        <f t="shared" si="95"/>
        <v>45994.083333900002</v>
      </c>
      <c r="T8" s="6">
        <f t="shared" si="95"/>
        <v>46024.500000599997</v>
      </c>
      <c r="U8" s="6">
        <f t="shared" si="95"/>
        <v>46054.9166673</v>
      </c>
      <c r="V8" s="6">
        <f t="shared" si="95"/>
        <v>46085.333334000003</v>
      </c>
      <c r="W8" s="6">
        <f t="shared" si="95"/>
        <v>46115.750000699998</v>
      </c>
      <c r="X8" s="6">
        <f t="shared" si="95"/>
        <v>46146.166667400001</v>
      </c>
      <c r="Y8" s="6">
        <f t="shared" si="95"/>
        <v>46176.583334099996</v>
      </c>
      <c r="Z8" s="6">
        <f t="shared" si="95"/>
        <v>46207.000000799999</v>
      </c>
      <c r="AA8" s="6">
        <f t="shared" si="95"/>
        <v>46237.416667500001</v>
      </c>
      <c r="AB8" s="6">
        <f t="shared" si="95"/>
        <v>46267.833334199997</v>
      </c>
      <c r="AC8" s="6">
        <f t="shared" si="95"/>
        <v>46298.2500009</v>
      </c>
      <c r="AD8" s="6">
        <f t="shared" si="95"/>
        <v>46328.666667600002</v>
      </c>
      <c r="AE8" s="6">
        <f t="shared" si="95"/>
        <v>46359.083334299998</v>
      </c>
      <c r="AF8" s="6">
        <f t="shared" si="95"/>
        <v>46389.500001</v>
      </c>
      <c r="AG8" s="6">
        <f t="shared" si="95"/>
        <v>46419.916667700003</v>
      </c>
      <c r="AH8" s="6">
        <f t="shared" si="95"/>
        <v>46450.333334399998</v>
      </c>
      <c r="AI8" s="6">
        <f t="shared" si="95"/>
        <v>46480.750001100001</v>
      </c>
      <c r="AJ8" s="6">
        <f t="shared" si="95"/>
        <v>46511.166667799997</v>
      </c>
      <c r="AK8" s="6">
        <f t="shared" si="95"/>
        <v>46541.583334499999</v>
      </c>
      <c r="AL8" s="6">
        <f t="shared" si="95"/>
        <v>46572.000001200002</v>
      </c>
      <c r="AM8" s="6">
        <f t="shared" si="95"/>
        <v>46602.416667899997</v>
      </c>
      <c r="AN8" s="6">
        <f t="shared" si="95"/>
        <v>46632.8333346</v>
      </c>
      <c r="AO8" s="6">
        <f t="shared" si="95"/>
        <v>46663.250001299995</v>
      </c>
      <c r="AP8" s="6">
        <f t="shared" si="95"/>
        <v>46693.666667999998</v>
      </c>
      <c r="AQ8" s="6">
        <f t="shared" si="95"/>
        <v>46724.083334700001</v>
      </c>
      <c r="AR8" s="6">
        <f t="shared" si="95"/>
        <v>46754.500001399996</v>
      </c>
      <c r="AS8" s="6">
        <f t="shared" si="95"/>
        <v>46784.916668099999</v>
      </c>
      <c r="AT8" s="6">
        <f t="shared" si="95"/>
        <v>46815.333334800001</v>
      </c>
      <c r="AU8" s="6">
        <f t="shared" si="95"/>
        <v>46845.750001499997</v>
      </c>
      <c r="AV8" s="6">
        <f t="shared" si="95"/>
        <v>46876.1666682</v>
      </c>
      <c r="AW8" s="6">
        <f t="shared" si="95"/>
        <v>46906.583334900002</v>
      </c>
      <c r="AX8" s="6">
        <f t="shared" si="95"/>
        <v>46937.000001599998</v>
      </c>
      <c r="BA8" s="6">
        <f t="shared" si="96"/>
        <v>45575</v>
      </c>
      <c r="BB8" s="6">
        <f t="shared" si="100"/>
        <v>45575</v>
      </c>
      <c r="BC8" s="6">
        <f t="shared" si="101"/>
        <v>45605.416666700003</v>
      </c>
      <c r="BD8" s="6">
        <f t="shared" si="97"/>
        <v>45635.833333399998</v>
      </c>
      <c r="BE8" s="6">
        <f t="shared" si="97"/>
        <v>45666.250000100001</v>
      </c>
      <c r="BF8" s="6">
        <f t="shared" si="97"/>
        <v>45696.666666800003</v>
      </c>
      <c r="BG8" s="6">
        <f t="shared" si="97"/>
        <v>45727.083333499999</v>
      </c>
      <c r="BH8" s="6">
        <f t="shared" si="97"/>
        <v>45757.500000200002</v>
      </c>
      <c r="BI8" s="6">
        <f t="shared" si="97"/>
        <v>45787.916666899997</v>
      </c>
      <c r="BJ8" s="6">
        <f t="shared" si="97"/>
        <v>45818.3333336</v>
      </c>
      <c r="BK8" s="6">
        <f t="shared" si="97"/>
        <v>45848.750000300002</v>
      </c>
      <c r="BL8" s="6">
        <f t="shared" si="97"/>
        <v>45879.166666999998</v>
      </c>
      <c r="BM8" s="6">
        <f t="shared" si="97"/>
        <v>45909.5833337</v>
      </c>
      <c r="BN8" s="6">
        <f t="shared" si="97"/>
        <v>45940.000000400003</v>
      </c>
      <c r="BO8" s="6">
        <f t="shared" si="97"/>
        <v>45970.416667099998</v>
      </c>
      <c r="BP8" s="6">
        <f t="shared" si="97"/>
        <v>46000.833333800001</v>
      </c>
      <c r="BQ8" s="6">
        <f t="shared" si="97"/>
        <v>46031.250000499997</v>
      </c>
      <c r="BR8" s="6">
        <f t="shared" si="97"/>
        <v>46061.666667199999</v>
      </c>
      <c r="BS8" s="6">
        <f t="shared" si="97"/>
        <v>46092.083333900002</v>
      </c>
      <c r="BT8" s="6">
        <f t="shared" si="97"/>
        <v>46122.500000599997</v>
      </c>
      <c r="BU8" s="6">
        <f t="shared" si="97"/>
        <v>46152.9166673</v>
      </c>
      <c r="BV8" s="6">
        <f t="shared" si="97"/>
        <v>46183.333334000003</v>
      </c>
      <c r="BW8" s="6">
        <f t="shared" si="97"/>
        <v>46213.750000699998</v>
      </c>
      <c r="BX8" s="6">
        <f t="shared" si="97"/>
        <v>46244.166667400001</v>
      </c>
      <c r="BY8" s="6">
        <f t="shared" si="97"/>
        <v>46274.583334099996</v>
      </c>
      <c r="BZ8" s="6">
        <f t="shared" si="97"/>
        <v>46305.000000799999</v>
      </c>
      <c r="CA8" s="6">
        <f t="shared" si="97"/>
        <v>46335.416667500001</v>
      </c>
      <c r="CB8" s="6">
        <f t="shared" si="97"/>
        <v>46365.833334199997</v>
      </c>
      <c r="CC8" s="6">
        <f t="shared" si="97"/>
        <v>46396.2500009</v>
      </c>
      <c r="CD8" s="6">
        <f t="shared" si="97"/>
        <v>46426.666667600002</v>
      </c>
      <c r="CE8" s="6">
        <f t="shared" si="97"/>
        <v>46457.083334299998</v>
      </c>
      <c r="CF8" s="6">
        <f t="shared" si="97"/>
        <v>46487.500001</v>
      </c>
      <c r="CG8" s="6">
        <f t="shared" si="97"/>
        <v>46517.916667700003</v>
      </c>
      <c r="CH8" s="6">
        <f t="shared" si="97"/>
        <v>46548.333334399998</v>
      </c>
      <c r="CI8" s="6">
        <f t="shared" si="97"/>
        <v>46578.750001100001</v>
      </c>
      <c r="CJ8" s="6">
        <f t="shared" si="97"/>
        <v>46609.166667799997</v>
      </c>
      <c r="CK8" s="6">
        <f t="shared" si="97"/>
        <v>46639.583334499999</v>
      </c>
      <c r="CL8" s="6">
        <f t="shared" si="97"/>
        <v>46670.000001200002</v>
      </c>
      <c r="CM8" s="6">
        <f t="shared" si="97"/>
        <v>46700.416667899997</v>
      </c>
      <c r="CN8" s="6">
        <f t="shared" si="97"/>
        <v>46730.8333346</v>
      </c>
      <c r="CO8" s="6">
        <f t="shared" si="97"/>
        <v>46761.250001299995</v>
      </c>
      <c r="CP8" s="6">
        <f t="shared" si="97"/>
        <v>46791.666667999998</v>
      </c>
      <c r="CQ8" s="6">
        <f t="shared" si="97"/>
        <v>46822.083334700001</v>
      </c>
      <c r="CR8" s="6">
        <f t="shared" si="97"/>
        <v>46852.500001399996</v>
      </c>
      <c r="CS8" s="6">
        <f t="shared" si="97"/>
        <v>46882.916668099999</v>
      </c>
      <c r="CT8" s="6">
        <f t="shared" si="97"/>
        <v>46913.333334800001</v>
      </c>
      <c r="CU8" s="6">
        <f t="shared" si="97"/>
        <v>46943.750001499997</v>
      </c>
      <c r="CV8" s="6">
        <f t="shared" si="97"/>
        <v>46974.1666682</v>
      </c>
      <c r="CW8" s="6">
        <f t="shared" si="97"/>
        <v>47004.583334900002</v>
      </c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</row>
    <row r="9" spans="1:113" x14ac:dyDescent="0.25">
      <c r="A9" s="6">
        <f t="shared" si="94"/>
        <v>45478</v>
      </c>
      <c r="B9" s="6">
        <f t="shared" si="98"/>
        <v>45478</v>
      </c>
      <c r="C9" s="6">
        <f t="shared" si="99"/>
        <v>45508.416666700003</v>
      </c>
      <c r="D9" s="6">
        <f t="shared" si="95"/>
        <v>45538.833333399998</v>
      </c>
      <c r="E9" s="6">
        <f t="shared" si="95"/>
        <v>45569.250000100001</v>
      </c>
      <c r="F9" s="6">
        <f t="shared" si="95"/>
        <v>45599.666666800003</v>
      </c>
      <c r="G9" s="6">
        <f t="shared" si="95"/>
        <v>45630.083333499999</v>
      </c>
      <c r="H9" s="6">
        <f t="shared" si="95"/>
        <v>45660.500000200002</v>
      </c>
      <c r="I9" s="6">
        <f t="shared" si="95"/>
        <v>45690.916666899997</v>
      </c>
      <c r="J9" s="6">
        <f t="shared" si="95"/>
        <v>45721.3333336</v>
      </c>
      <c r="K9" s="6">
        <f t="shared" si="95"/>
        <v>45751.750000300002</v>
      </c>
      <c r="L9" s="6">
        <f t="shared" si="95"/>
        <v>45782.166666999998</v>
      </c>
      <c r="M9" s="6">
        <f t="shared" si="95"/>
        <v>45812.5833337</v>
      </c>
      <c r="N9" s="6">
        <f t="shared" si="95"/>
        <v>45843.000000400003</v>
      </c>
      <c r="O9" s="6">
        <f t="shared" si="95"/>
        <v>45873.416667099998</v>
      </c>
      <c r="P9" s="6">
        <f t="shared" si="95"/>
        <v>45903.833333800001</v>
      </c>
      <c r="Q9" s="6">
        <f t="shared" si="95"/>
        <v>45934.250000499997</v>
      </c>
      <c r="R9" s="6">
        <f t="shared" si="95"/>
        <v>45964.666667199999</v>
      </c>
      <c r="S9" s="6">
        <f t="shared" si="95"/>
        <v>45995.083333900002</v>
      </c>
      <c r="T9" s="6">
        <f t="shared" si="95"/>
        <v>46025.500000599997</v>
      </c>
      <c r="U9" s="6">
        <f t="shared" si="95"/>
        <v>46055.9166673</v>
      </c>
      <c r="V9" s="6">
        <f t="shared" si="95"/>
        <v>46086.333334000003</v>
      </c>
      <c r="W9" s="6">
        <f t="shared" si="95"/>
        <v>46116.750000699998</v>
      </c>
      <c r="X9" s="6">
        <f t="shared" si="95"/>
        <v>46147.166667400001</v>
      </c>
      <c r="Y9" s="6">
        <f t="shared" si="95"/>
        <v>46177.583334099996</v>
      </c>
      <c r="Z9" s="6">
        <f t="shared" si="95"/>
        <v>46208.000000799999</v>
      </c>
      <c r="AA9" s="6">
        <f t="shared" si="95"/>
        <v>46238.416667500001</v>
      </c>
      <c r="AB9" s="6">
        <f t="shared" si="95"/>
        <v>46268.833334199997</v>
      </c>
      <c r="AC9" s="6">
        <f t="shared" si="95"/>
        <v>46299.2500009</v>
      </c>
      <c r="AD9" s="6">
        <f t="shared" si="95"/>
        <v>46329.666667600002</v>
      </c>
      <c r="AE9" s="6">
        <f t="shared" si="95"/>
        <v>46360.083334299998</v>
      </c>
      <c r="AF9" s="6">
        <f t="shared" si="95"/>
        <v>46390.500001</v>
      </c>
      <c r="AG9" s="6">
        <f t="shared" si="95"/>
        <v>46420.916667700003</v>
      </c>
      <c r="AH9" s="6">
        <f t="shared" si="95"/>
        <v>46451.333334399998</v>
      </c>
      <c r="AI9" s="6">
        <f t="shared" si="95"/>
        <v>46481.750001100001</v>
      </c>
      <c r="AJ9" s="6">
        <f t="shared" si="95"/>
        <v>46512.166667799997</v>
      </c>
      <c r="AK9" s="6">
        <f t="shared" si="95"/>
        <v>46542.583334499999</v>
      </c>
      <c r="AL9" s="6">
        <f t="shared" si="95"/>
        <v>46573.000001200002</v>
      </c>
      <c r="AM9" s="6">
        <f t="shared" si="95"/>
        <v>46603.416667899997</v>
      </c>
      <c r="AN9" s="6">
        <f t="shared" si="95"/>
        <v>46633.8333346</v>
      </c>
      <c r="AO9" s="6">
        <f t="shared" si="95"/>
        <v>46664.250001299995</v>
      </c>
      <c r="AP9" s="6">
        <f t="shared" si="95"/>
        <v>46694.666667999998</v>
      </c>
      <c r="AQ9" s="6">
        <f t="shared" si="95"/>
        <v>46725.083334700001</v>
      </c>
      <c r="AR9" s="6">
        <f t="shared" si="95"/>
        <v>46755.500001399996</v>
      </c>
      <c r="AS9" s="6">
        <f t="shared" si="95"/>
        <v>46785.916668099999</v>
      </c>
      <c r="AT9" s="6">
        <f t="shared" si="95"/>
        <v>46816.333334800001</v>
      </c>
      <c r="AU9" s="6">
        <f t="shared" si="95"/>
        <v>46846.750001499997</v>
      </c>
      <c r="AV9" s="6">
        <f t="shared" si="95"/>
        <v>46877.1666682</v>
      </c>
      <c r="AW9" s="6">
        <f t="shared" si="95"/>
        <v>46907.583334900002</v>
      </c>
      <c r="AX9" s="6">
        <f t="shared" si="95"/>
        <v>46938.000001599998</v>
      </c>
      <c r="BA9" s="6">
        <f t="shared" si="96"/>
        <v>45576</v>
      </c>
      <c r="BB9" s="6">
        <f t="shared" si="100"/>
        <v>45576</v>
      </c>
      <c r="BC9" s="6">
        <f t="shared" si="101"/>
        <v>45606.416666700003</v>
      </c>
      <c r="BD9" s="6">
        <f t="shared" si="97"/>
        <v>45636.833333399998</v>
      </c>
      <c r="BE9" s="6">
        <f t="shared" si="97"/>
        <v>45667.250000100001</v>
      </c>
      <c r="BF9" s="6">
        <f t="shared" si="97"/>
        <v>45697.666666800003</v>
      </c>
      <c r="BG9" s="6">
        <f t="shared" si="97"/>
        <v>45728.083333499999</v>
      </c>
      <c r="BH9" s="6">
        <f t="shared" si="97"/>
        <v>45758.500000200002</v>
      </c>
      <c r="BI9" s="6">
        <f t="shared" si="97"/>
        <v>45788.916666899997</v>
      </c>
      <c r="BJ9" s="6">
        <f t="shared" si="97"/>
        <v>45819.3333336</v>
      </c>
      <c r="BK9" s="6">
        <f t="shared" si="97"/>
        <v>45849.750000300002</v>
      </c>
      <c r="BL9" s="6">
        <f t="shared" si="97"/>
        <v>45880.166666999998</v>
      </c>
      <c r="BM9" s="6">
        <f t="shared" si="97"/>
        <v>45910.5833337</v>
      </c>
      <c r="BN9" s="6">
        <f t="shared" si="97"/>
        <v>45941.000000400003</v>
      </c>
      <c r="BO9" s="6">
        <f t="shared" si="97"/>
        <v>45971.416667099998</v>
      </c>
      <c r="BP9" s="6">
        <f t="shared" si="97"/>
        <v>46001.833333800001</v>
      </c>
      <c r="BQ9" s="6">
        <f t="shared" si="97"/>
        <v>46032.250000499997</v>
      </c>
      <c r="BR9" s="6">
        <f t="shared" si="97"/>
        <v>46062.666667199999</v>
      </c>
      <c r="BS9" s="6">
        <f t="shared" si="97"/>
        <v>46093.083333900002</v>
      </c>
      <c r="BT9" s="6">
        <f t="shared" si="97"/>
        <v>46123.500000599997</v>
      </c>
      <c r="BU9" s="6">
        <f t="shared" si="97"/>
        <v>46153.9166673</v>
      </c>
      <c r="BV9" s="6">
        <f t="shared" si="97"/>
        <v>46184.333334000003</v>
      </c>
      <c r="BW9" s="6">
        <f t="shared" si="97"/>
        <v>46214.750000699998</v>
      </c>
      <c r="BX9" s="6">
        <f t="shared" si="97"/>
        <v>46245.166667400001</v>
      </c>
      <c r="BY9" s="6">
        <f t="shared" si="97"/>
        <v>46275.583334099996</v>
      </c>
      <c r="BZ9" s="6">
        <f t="shared" si="97"/>
        <v>46306.000000799999</v>
      </c>
      <c r="CA9" s="6">
        <f t="shared" si="97"/>
        <v>46336.416667500001</v>
      </c>
      <c r="CB9" s="6">
        <f t="shared" si="97"/>
        <v>46366.833334199997</v>
      </c>
      <c r="CC9" s="6">
        <f t="shared" si="97"/>
        <v>46397.2500009</v>
      </c>
      <c r="CD9" s="6">
        <f t="shared" si="97"/>
        <v>46427.666667600002</v>
      </c>
      <c r="CE9" s="6">
        <f t="shared" si="97"/>
        <v>46458.083334299998</v>
      </c>
      <c r="CF9" s="6">
        <f t="shared" si="97"/>
        <v>46488.500001</v>
      </c>
      <c r="CG9" s="6">
        <f t="shared" si="97"/>
        <v>46518.916667700003</v>
      </c>
      <c r="CH9" s="6">
        <f t="shared" si="97"/>
        <v>46549.333334399998</v>
      </c>
      <c r="CI9" s="6">
        <f t="shared" si="97"/>
        <v>46579.750001100001</v>
      </c>
      <c r="CJ9" s="6">
        <f t="shared" si="97"/>
        <v>46610.166667799997</v>
      </c>
      <c r="CK9" s="6">
        <f t="shared" si="97"/>
        <v>46640.583334499999</v>
      </c>
      <c r="CL9" s="6">
        <f t="shared" si="97"/>
        <v>46671.000001200002</v>
      </c>
      <c r="CM9" s="6">
        <f t="shared" si="97"/>
        <v>46701.416667899997</v>
      </c>
      <c r="CN9" s="6">
        <f t="shared" si="97"/>
        <v>46731.8333346</v>
      </c>
      <c r="CO9" s="6">
        <f t="shared" si="97"/>
        <v>46762.250001299995</v>
      </c>
      <c r="CP9" s="6">
        <f t="shared" si="97"/>
        <v>46792.666667999998</v>
      </c>
      <c r="CQ9" s="6">
        <f t="shared" si="97"/>
        <v>46823.083334700001</v>
      </c>
      <c r="CR9" s="6">
        <f t="shared" si="97"/>
        <v>46853.500001399996</v>
      </c>
      <c r="CS9" s="6">
        <f t="shared" si="97"/>
        <v>46883.916668099999</v>
      </c>
      <c r="CT9" s="6">
        <f t="shared" si="97"/>
        <v>46914.333334800001</v>
      </c>
      <c r="CU9" s="6">
        <f t="shared" si="97"/>
        <v>46944.750001499997</v>
      </c>
      <c r="CV9" s="6">
        <f t="shared" si="97"/>
        <v>46975.1666682</v>
      </c>
      <c r="CW9" s="6">
        <f t="shared" si="97"/>
        <v>47005.583334900002</v>
      </c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</row>
    <row r="10" spans="1:113" x14ac:dyDescent="0.25">
      <c r="A10" s="6">
        <f t="shared" si="94"/>
        <v>45481</v>
      </c>
      <c r="B10" s="6">
        <f t="shared" si="98"/>
        <v>45481</v>
      </c>
      <c r="C10" s="6">
        <f t="shared" si="99"/>
        <v>45511.416666700003</v>
      </c>
      <c r="D10" s="6">
        <f t="shared" si="95"/>
        <v>45541.833333399998</v>
      </c>
      <c r="E10" s="6">
        <f t="shared" si="95"/>
        <v>45572.250000100001</v>
      </c>
      <c r="F10" s="6">
        <f t="shared" si="95"/>
        <v>45602.666666800003</v>
      </c>
      <c r="G10" s="6">
        <f t="shared" si="95"/>
        <v>45633.083333499999</v>
      </c>
      <c r="H10" s="6">
        <f t="shared" si="95"/>
        <v>45663.500000200002</v>
      </c>
      <c r="I10" s="6">
        <f t="shared" si="95"/>
        <v>45693.916666899997</v>
      </c>
      <c r="J10" s="6">
        <f t="shared" si="95"/>
        <v>45724.3333336</v>
      </c>
      <c r="K10" s="6">
        <f t="shared" si="95"/>
        <v>45754.750000300002</v>
      </c>
      <c r="L10" s="6">
        <f t="shared" si="95"/>
        <v>45785.166666999998</v>
      </c>
      <c r="M10" s="6">
        <f t="shared" si="95"/>
        <v>45815.5833337</v>
      </c>
      <c r="N10" s="6">
        <f t="shared" si="95"/>
        <v>45846.000000400003</v>
      </c>
      <c r="O10" s="6">
        <f t="shared" si="95"/>
        <v>45876.416667099998</v>
      </c>
      <c r="P10" s="6">
        <f t="shared" si="95"/>
        <v>45906.833333800001</v>
      </c>
      <c r="Q10" s="6">
        <f t="shared" si="95"/>
        <v>45937.250000499997</v>
      </c>
      <c r="R10" s="6">
        <f t="shared" si="95"/>
        <v>45967.666667199999</v>
      </c>
      <c r="S10" s="6">
        <f t="shared" si="95"/>
        <v>45998.083333900002</v>
      </c>
      <c r="T10" s="6">
        <f t="shared" si="95"/>
        <v>46028.500000599997</v>
      </c>
      <c r="U10" s="6">
        <f t="shared" si="95"/>
        <v>46058.9166673</v>
      </c>
      <c r="V10" s="6">
        <f t="shared" si="95"/>
        <v>46089.333334000003</v>
      </c>
      <c r="W10" s="6">
        <f t="shared" si="95"/>
        <v>46119.750000699998</v>
      </c>
      <c r="X10" s="6">
        <f t="shared" si="95"/>
        <v>46150.166667400001</v>
      </c>
      <c r="Y10" s="6">
        <f t="shared" si="95"/>
        <v>46180.583334099996</v>
      </c>
      <c r="Z10" s="6">
        <f t="shared" si="95"/>
        <v>46211.000000799999</v>
      </c>
      <c r="AA10" s="6">
        <f t="shared" si="95"/>
        <v>46241.416667500001</v>
      </c>
      <c r="AB10" s="6">
        <f t="shared" si="95"/>
        <v>46271.833334199997</v>
      </c>
      <c r="AC10" s="6">
        <f t="shared" si="95"/>
        <v>46302.2500009</v>
      </c>
      <c r="AD10" s="6">
        <f t="shared" si="95"/>
        <v>46332.666667600002</v>
      </c>
      <c r="AE10" s="6">
        <f t="shared" si="95"/>
        <v>46363.083334299998</v>
      </c>
      <c r="AF10" s="6">
        <f t="shared" si="95"/>
        <v>46393.500001</v>
      </c>
      <c r="AG10" s="6">
        <f t="shared" si="95"/>
        <v>46423.916667700003</v>
      </c>
      <c r="AH10" s="6">
        <f t="shared" si="95"/>
        <v>46454.333334399998</v>
      </c>
      <c r="AI10" s="6">
        <f t="shared" si="95"/>
        <v>46484.750001100001</v>
      </c>
      <c r="AJ10" s="6">
        <f t="shared" si="95"/>
        <v>46515.166667799997</v>
      </c>
      <c r="AK10" s="6">
        <f t="shared" si="95"/>
        <v>46545.583334499999</v>
      </c>
      <c r="AL10" s="6">
        <f t="shared" si="95"/>
        <v>46576.000001200002</v>
      </c>
      <c r="AM10" s="6">
        <f t="shared" ref="AM10:AX10" si="102">$B10+AM$4</f>
        <v>46606.416667899997</v>
      </c>
      <c r="AN10" s="6">
        <f t="shared" si="102"/>
        <v>46636.8333346</v>
      </c>
      <c r="AO10" s="6">
        <f t="shared" si="102"/>
        <v>46667.250001299995</v>
      </c>
      <c r="AP10" s="6">
        <f t="shared" si="102"/>
        <v>46697.666667999998</v>
      </c>
      <c r="AQ10" s="6">
        <f t="shared" si="102"/>
        <v>46728.083334700001</v>
      </c>
      <c r="AR10" s="6">
        <f t="shared" si="102"/>
        <v>46758.500001399996</v>
      </c>
      <c r="AS10" s="6">
        <f t="shared" si="102"/>
        <v>46788.916668099999</v>
      </c>
      <c r="AT10" s="6">
        <f t="shared" si="102"/>
        <v>46819.333334800001</v>
      </c>
      <c r="AU10" s="6">
        <f t="shared" si="102"/>
        <v>46849.750001499997</v>
      </c>
      <c r="AV10" s="6">
        <f t="shared" si="102"/>
        <v>46880.1666682</v>
      </c>
      <c r="AW10" s="6">
        <f t="shared" si="102"/>
        <v>46910.583334900002</v>
      </c>
      <c r="AX10" s="6">
        <f t="shared" si="102"/>
        <v>46941.000001599998</v>
      </c>
      <c r="BA10" s="6">
        <f t="shared" si="96"/>
        <v>45579</v>
      </c>
      <c r="BB10" s="6">
        <f t="shared" si="100"/>
        <v>45579</v>
      </c>
      <c r="BC10" s="6">
        <f t="shared" si="101"/>
        <v>45609.416666700003</v>
      </c>
      <c r="BD10" s="6">
        <f t="shared" si="97"/>
        <v>45639.833333399998</v>
      </c>
      <c r="BE10" s="6">
        <f t="shared" si="97"/>
        <v>45670.250000100001</v>
      </c>
      <c r="BF10" s="6">
        <f t="shared" si="97"/>
        <v>45700.666666800003</v>
      </c>
      <c r="BG10" s="6">
        <f t="shared" si="97"/>
        <v>45731.083333499999</v>
      </c>
      <c r="BH10" s="6">
        <f t="shared" si="97"/>
        <v>45761.500000200002</v>
      </c>
      <c r="BI10" s="6">
        <f t="shared" si="97"/>
        <v>45791.916666899997</v>
      </c>
      <c r="BJ10" s="6">
        <f t="shared" si="97"/>
        <v>45822.3333336</v>
      </c>
      <c r="BK10" s="6">
        <f t="shared" si="97"/>
        <v>45852.750000300002</v>
      </c>
      <c r="BL10" s="6">
        <f t="shared" si="97"/>
        <v>45883.166666999998</v>
      </c>
      <c r="BM10" s="6">
        <f t="shared" si="97"/>
        <v>45913.5833337</v>
      </c>
      <c r="BN10" s="6">
        <f t="shared" si="97"/>
        <v>45944.000000400003</v>
      </c>
      <c r="BO10" s="6">
        <f t="shared" si="97"/>
        <v>45974.416667099998</v>
      </c>
      <c r="BP10" s="6">
        <f t="shared" si="97"/>
        <v>46004.833333800001</v>
      </c>
      <c r="BQ10" s="6">
        <f t="shared" si="97"/>
        <v>46035.250000499997</v>
      </c>
      <c r="BR10" s="6">
        <f t="shared" si="97"/>
        <v>46065.666667199999</v>
      </c>
      <c r="BS10" s="6">
        <f t="shared" si="97"/>
        <v>46096.083333900002</v>
      </c>
      <c r="BT10" s="6">
        <f t="shared" si="97"/>
        <v>46126.500000599997</v>
      </c>
      <c r="BU10" s="6">
        <f t="shared" si="97"/>
        <v>46156.9166673</v>
      </c>
      <c r="BV10" s="6">
        <f t="shared" si="97"/>
        <v>46187.333334000003</v>
      </c>
      <c r="BW10" s="6">
        <f t="shared" si="97"/>
        <v>46217.750000699998</v>
      </c>
      <c r="BX10" s="6">
        <f t="shared" si="97"/>
        <v>46248.166667400001</v>
      </c>
      <c r="BY10" s="6">
        <f t="shared" si="97"/>
        <v>46278.583334099996</v>
      </c>
      <c r="BZ10" s="6">
        <f t="shared" si="97"/>
        <v>46309.000000799999</v>
      </c>
      <c r="CA10" s="6">
        <f t="shared" si="97"/>
        <v>46339.416667500001</v>
      </c>
      <c r="CB10" s="6">
        <f t="shared" si="97"/>
        <v>46369.833334199997</v>
      </c>
      <c r="CC10" s="6">
        <f t="shared" si="97"/>
        <v>46400.2500009</v>
      </c>
      <c r="CD10" s="6">
        <f t="shared" si="97"/>
        <v>46430.666667600002</v>
      </c>
      <c r="CE10" s="6">
        <f t="shared" si="97"/>
        <v>46461.083334299998</v>
      </c>
      <c r="CF10" s="6">
        <f t="shared" si="97"/>
        <v>46491.500001</v>
      </c>
      <c r="CG10" s="6">
        <f t="shared" si="97"/>
        <v>46521.916667700003</v>
      </c>
      <c r="CH10" s="6">
        <f t="shared" si="97"/>
        <v>46552.333334399998</v>
      </c>
      <c r="CI10" s="6">
        <f t="shared" si="97"/>
        <v>46582.750001100001</v>
      </c>
      <c r="CJ10" s="6">
        <f t="shared" si="97"/>
        <v>46613.166667799997</v>
      </c>
      <c r="CK10" s="6">
        <f t="shared" si="97"/>
        <v>46643.583334499999</v>
      </c>
      <c r="CL10" s="6">
        <f t="shared" si="97"/>
        <v>46674.000001200002</v>
      </c>
      <c r="CM10" s="6">
        <f t="shared" si="97"/>
        <v>46704.416667899997</v>
      </c>
      <c r="CN10" s="6">
        <f t="shared" si="97"/>
        <v>46734.8333346</v>
      </c>
      <c r="CO10" s="6">
        <f t="shared" si="97"/>
        <v>46765.250001299995</v>
      </c>
      <c r="CP10" s="6">
        <f t="shared" si="97"/>
        <v>46795.666667999998</v>
      </c>
      <c r="CQ10" s="6">
        <f t="shared" si="97"/>
        <v>46826.083334700001</v>
      </c>
      <c r="CR10" s="6">
        <f t="shared" si="97"/>
        <v>46856.500001399996</v>
      </c>
      <c r="CS10" s="6">
        <f t="shared" si="97"/>
        <v>46886.916668099999</v>
      </c>
      <c r="CT10" s="6">
        <f t="shared" si="97"/>
        <v>46917.333334800001</v>
      </c>
      <c r="CU10" s="6">
        <f t="shared" si="97"/>
        <v>46947.750001499997</v>
      </c>
      <c r="CV10" s="6">
        <f t="shared" si="97"/>
        <v>46978.1666682</v>
      </c>
      <c r="CW10" s="6">
        <f t="shared" si="97"/>
        <v>47008.583334900002</v>
      </c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</row>
    <row r="11" spans="1:113" x14ac:dyDescent="0.25">
      <c r="A11" s="6">
        <f t="shared" si="94"/>
        <v>45482</v>
      </c>
      <c r="B11" s="6">
        <f t="shared" si="98"/>
        <v>45482</v>
      </c>
      <c r="C11" s="6">
        <f t="shared" si="99"/>
        <v>45512.416666700003</v>
      </c>
      <c r="D11" s="6">
        <f t="shared" si="99"/>
        <v>45542.833333399998</v>
      </c>
      <c r="E11" s="6">
        <f t="shared" si="99"/>
        <v>45573.250000100001</v>
      </c>
      <c r="F11" s="6">
        <f t="shared" si="99"/>
        <v>45603.666666800003</v>
      </c>
      <c r="G11" s="6">
        <f t="shared" si="99"/>
        <v>45634.083333499999</v>
      </c>
      <c r="H11" s="6">
        <f t="shared" si="99"/>
        <v>45664.500000200002</v>
      </c>
      <c r="I11" s="6">
        <f t="shared" si="99"/>
        <v>45694.916666899997</v>
      </c>
      <c r="J11" s="6">
        <f t="shared" si="99"/>
        <v>45725.3333336</v>
      </c>
      <c r="K11" s="6">
        <f t="shared" si="99"/>
        <v>45755.750000300002</v>
      </c>
      <c r="L11" s="6">
        <f t="shared" si="99"/>
        <v>45786.166666999998</v>
      </c>
      <c r="M11" s="6">
        <f t="shared" si="99"/>
        <v>45816.5833337</v>
      </c>
      <c r="N11" s="6">
        <f t="shared" si="99"/>
        <v>45847.000000400003</v>
      </c>
      <c r="O11" s="6">
        <f t="shared" si="99"/>
        <v>45877.416667099998</v>
      </c>
      <c r="P11" s="6">
        <f t="shared" si="99"/>
        <v>45907.833333800001</v>
      </c>
      <c r="Q11" s="6">
        <f t="shared" si="99"/>
        <v>45938.250000499997</v>
      </c>
      <c r="R11" s="6">
        <f t="shared" si="99"/>
        <v>45968.666667199999</v>
      </c>
      <c r="S11" s="6">
        <f t="shared" ref="S11:AH20" si="103">$B11+S$4</f>
        <v>45999.083333900002</v>
      </c>
      <c r="T11" s="6">
        <f t="shared" si="103"/>
        <v>46029.500000599997</v>
      </c>
      <c r="U11" s="6">
        <f t="shared" si="103"/>
        <v>46059.9166673</v>
      </c>
      <c r="V11" s="6">
        <f t="shared" si="103"/>
        <v>46090.333334000003</v>
      </c>
      <c r="W11" s="6">
        <f t="shared" si="103"/>
        <v>46120.750000699998</v>
      </c>
      <c r="X11" s="6">
        <f t="shared" si="103"/>
        <v>46151.166667400001</v>
      </c>
      <c r="Y11" s="6">
        <f t="shared" si="103"/>
        <v>46181.583334099996</v>
      </c>
      <c r="Z11" s="6">
        <f t="shared" si="103"/>
        <v>46212.000000799999</v>
      </c>
      <c r="AA11" s="6">
        <f t="shared" si="103"/>
        <v>46242.416667500001</v>
      </c>
      <c r="AB11" s="6">
        <f t="shared" si="103"/>
        <v>46272.833334199997</v>
      </c>
      <c r="AC11" s="6">
        <f t="shared" si="103"/>
        <v>46303.2500009</v>
      </c>
      <c r="AD11" s="6">
        <f t="shared" si="103"/>
        <v>46333.666667600002</v>
      </c>
      <c r="AE11" s="6">
        <f t="shared" si="103"/>
        <v>46364.083334299998</v>
      </c>
      <c r="AF11" s="6">
        <f t="shared" si="103"/>
        <v>46394.500001</v>
      </c>
      <c r="AG11" s="6">
        <f t="shared" si="103"/>
        <v>46424.916667700003</v>
      </c>
      <c r="AH11" s="6">
        <f t="shared" si="103"/>
        <v>46455.333334399998</v>
      </c>
      <c r="AI11" s="6">
        <f t="shared" ref="AI11:AX20" si="104">$B11+AI$4</f>
        <v>46485.750001100001</v>
      </c>
      <c r="AJ11" s="6">
        <f t="shared" si="104"/>
        <v>46516.166667799997</v>
      </c>
      <c r="AK11" s="6">
        <f t="shared" si="104"/>
        <v>46546.583334499999</v>
      </c>
      <c r="AL11" s="6">
        <f t="shared" si="104"/>
        <v>46577.000001200002</v>
      </c>
      <c r="AM11" s="6">
        <f t="shared" si="104"/>
        <v>46607.416667899997</v>
      </c>
      <c r="AN11" s="6">
        <f t="shared" si="104"/>
        <v>46637.8333346</v>
      </c>
      <c r="AO11" s="6">
        <f t="shared" si="104"/>
        <v>46668.250001299995</v>
      </c>
      <c r="AP11" s="6">
        <f t="shared" si="104"/>
        <v>46698.666667999998</v>
      </c>
      <c r="AQ11" s="6">
        <f t="shared" si="104"/>
        <v>46729.083334700001</v>
      </c>
      <c r="AR11" s="6">
        <f t="shared" si="104"/>
        <v>46759.500001399996</v>
      </c>
      <c r="AS11" s="6">
        <f t="shared" si="104"/>
        <v>46789.916668099999</v>
      </c>
      <c r="AT11" s="6">
        <f t="shared" si="104"/>
        <v>46820.333334800001</v>
      </c>
      <c r="AU11" s="6">
        <f t="shared" si="104"/>
        <v>46850.750001499997</v>
      </c>
      <c r="AV11" s="6">
        <f t="shared" si="104"/>
        <v>46881.1666682</v>
      </c>
      <c r="AW11" s="6">
        <f t="shared" si="104"/>
        <v>46911.583334900002</v>
      </c>
      <c r="AX11" s="6">
        <f t="shared" si="104"/>
        <v>46942.000001599998</v>
      </c>
      <c r="BA11" s="6">
        <f t="shared" si="96"/>
        <v>45580</v>
      </c>
      <c r="BB11" s="6">
        <f t="shared" si="100"/>
        <v>45580</v>
      </c>
      <c r="BC11" s="6">
        <f t="shared" si="101"/>
        <v>45610.416666700003</v>
      </c>
      <c r="BD11" s="6">
        <f t="shared" ref="BD11:CW15" si="105">$BA11+BD$4</f>
        <v>45640.833333399998</v>
      </c>
      <c r="BE11" s="6">
        <f t="shared" si="105"/>
        <v>45671.250000100001</v>
      </c>
      <c r="BF11" s="6">
        <f t="shared" si="105"/>
        <v>45701.666666800003</v>
      </c>
      <c r="BG11" s="6">
        <f t="shared" si="105"/>
        <v>45732.083333499999</v>
      </c>
      <c r="BH11" s="6">
        <f t="shared" si="105"/>
        <v>45762.500000200002</v>
      </c>
      <c r="BI11" s="6">
        <f t="shared" si="105"/>
        <v>45792.916666899997</v>
      </c>
      <c r="BJ11" s="6">
        <f t="shared" si="105"/>
        <v>45823.3333336</v>
      </c>
      <c r="BK11" s="6">
        <f t="shared" si="105"/>
        <v>45853.750000300002</v>
      </c>
      <c r="BL11" s="6">
        <f t="shared" si="105"/>
        <v>45884.166666999998</v>
      </c>
      <c r="BM11" s="6">
        <f t="shared" si="105"/>
        <v>45914.5833337</v>
      </c>
      <c r="BN11" s="6">
        <f t="shared" si="105"/>
        <v>45945.000000400003</v>
      </c>
      <c r="BO11" s="6">
        <f t="shared" si="105"/>
        <v>45975.416667099998</v>
      </c>
      <c r="BP11" s="6">
        <f t="shared" si="105"/>
        <v>46005.833333800001</v>
      </c>
      <c r="BQ11" s="6">
        <f t="shared" si="105"/>
        <v>46036.250000499997</v>
      </c>
      <c r="BR11" s="6">
        <f t="shared" si="105"/>
        <v>46066.666667199999</v>
      </c>
      <c r="BS11" s="6">
        <f t="shared" si="105"/>
        <v>46097.083333900002</v>
      </c>
      <c r="BT11" s="6">
        <f t="shared" si="105"/>
        <v>46127.500000599997</v>
      </c>
      <c r="BU11" s="6">
        <f t="shared" si="105"/>
        <v>46157.9166673</v>
      </c>
      <c r="BV11" s="6">
        <f t="shared" si="105"/>
        <v>46188.333334000003</v>
      </c>
      <c r="BW11" s="6">
        <f t="shared" si="105"/>
        <v>46218.750000699998</v>
      </c>
      <c r="BX11" s="6">
        <f t="shared" si="105"/>
        <v>46249.166667400001</v>
      </c>
      <c r="BY11" s="6">
        <f t="shared" si="105"/>
        <v>46279.583334099996</v>
      </c>
      <c r="BZ11" s="6">
        <f t="shared" si="105"/>
        <v>46310.000000799999</v>
      </c>
      <c r="CA11" s="6">
        <f t="shared" si="105"/>
        <v>46340.416667500001</v>
      </c>
      <c r="CB11" s="6">
        <f t="shared" si="105"/>
        <v>46370.833334199997</v>
      </c>
      <c r="CC11" s="6">
        <f t="shared" si="105"/>
        <v>46401.2500009</v>
      </c>
      <c r="CD11" s="6">
        <f t="shared" si="105"/>
        <v>46431.666667600002</v>
      </c>
      <c r="CE11" s="6">
        <f t="shared" si="105"/>
        <v>46462.083334299998</v>
      </c>
      <c r="CF11" s="6">
        <f t="shared" si="105"/>
        <v>46492.500001</v>
      </c>
      <c r="CG11" s="6">
        <f t="shared" si="105"/>
        <v>46522.916667700003</v>
      </c>
      <c r="CH11" s="6">
        <f t="shared" si="105"/>
        <v>46553.333334399998</v>
      </c>
      <c r="CI11" s="6">
        <f t="shared" si="105"/>
        <v>46583.750001100001</v>
      </c>
      <c r="CJ11" s="6">
        <f t="shared" si="105"/>
        <v>46614.166667799997</v>
      </c>
      <c r="CK11" s="6">
        <f t="shared" si="105"/>
        <v>46644.583334499999</v>
      </c>
      <c r="CL11" s="6">
        <f t="shared" si="105"/>
        <v>46675.000001200002</v>
      </c>
      <c r="CM11" s="6">
        <f t="shared" si="105"/>
        <v>46705.416667899997</v>
      </c>
      <c r="CN11" s="6">
        <f t="shared" si="105"/>
        <v>46735.8333346</v>
      </c>
      <c r="CO11" s="6">
        <f t="shared" si="105"/>
        <v>46766.250001299995</v>
      </c>
      <c r="CP11" s="6">
        <f t="shared" si="105"/>
        <v>46796.666667999998</v>
      </c>
      <c r="CQ11" s="6">
        <f t="shared" si="105"/>
        <v>46827.083334700001</v>
      </c>
      <c r="CR11" s="6">
        <f t="shared" si="105"/>
        <v>46857.500001399996</v>
      </c>
      <c r="CS11" s="6">
        <f t="shared" si="105"/>
        <v>46887.916668099999</v>
      </c>
      <c r="CT11" s="6">
        <f t="shared" si="105"/>
        <v>46918.333334800001</v>
      </c>
      <c r="CU11" s="6">
        <f t="shared" si="105"/>
        <v>46948.750001499997</v>
      </c>
      <c r="CV11" s="6">
        <f t="shared" si="105"/>
        <v>46979.1666682</v>
      </c>
      <c r="CW11" s="6">
        <f t="shared" si="105"/>
        <v>47009.583334900002</v>
      </c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</row>
    <row r="12" spans="1:113" x14ac:dyDescent="0.25">
      <c r="A12" s="6">
        <f t="shared" si="94"/>
        <v>45483</v>
      </c>
      <c r="B12" s="6">
        <f t="shared" si="98"/>
        <v>45483</v>
      </c>
      <c r="C12" s="6">
        <f t="shared" si="99"/>
        <v>45513.416666700003</v>
      </c>
      <c r="D12" s="6">
        <f t="shared" si="99"/>
        <v>45543.833333399998</v>
      </c>
      <c r="E12" s="6">
        <f t="shared" si="99"/>
        <v>45574.250000100001</v>
      </c>
      <c r="F12" s="6">
        <f t="shared" si="99"/>
        <v>45604.666666800003</v>
      </c>
      <c r="G12" s="6">
        <f t="shared" si="99"/>
        <v>45635.083333499999</v>
      </c>
      <c r="H12" s="6">
        <f t="shared" si="99"/>
        <v>45665.500000200002</v>
      </c>
      <c r="I12" s="6">
        <f t="shared" si="99"/>
        <v>45695.916666899997</v>
      </c>
      <c r="J12" s="6">
        <f t="shared" si="99"/>
        <v>45726.3333336</v>
      </c>
      <c r="K12" s="6">
        <f t="shared" si="99"/>
        <v>45756.750000300002</v>
      </c>
      <c r="L12" s="6">
        <f t="shared" si="99"/>
        <v>45787.166666999998</v>
      </c>
      <c r="M12" s="6">
        <f t="shared" si="99"/>
        <v>45817.5833337</v>
      </c>
      <c r="N12" s="6">
        <f t="shared" si="99"/>
        <v>45848.000000400003</v>
      </c>
      <c r="O12" s="6">
        <f t="shared" si="99"/>
        <v>45878.416667099998</v>
      </c>
      <c r="P12" s="6">
        <f t="shared" si="99"/>
        <v>45908.833333800001</v>
      </c>
      <c r="Q12" s="6">
        <f t="shared" si="99"/>
        <v>45939.250000499997</v>
      </c>
      <c r="R12" s="6">
        <f t="shared" si="99"/>
        <v>45969.666667199999</v>
      </c>
      <c r="S12" s="6">
        <f t="shared" si="103"/>
        <v>46000.083333900002</v>
      </c>
      <c r="T12" s="6">
        <f t="shared" si="103"/>
        <v>46030.500000599997</v>
      </c>
      <c r="U12" s="6">
        <f t="shared" si="103"/>
        <v>46060.9166673</v>
      </c>
      <c r="V12" s="6">
        <f t="shared" si="103"/>
        <v>46091.333334000003</v>
      </c>
      <c r="W12" s="6">
        <f t="shared" si="103"/>
        <v>46121.750000699998</v>
      </c>
      <c r="X12" s="6">
        <f t="shared" si="103"/>
        <v>46152.166667400001</v>
      </c>
      <c r="Y12" s="6">
        <f t="shared" si="103"/>
        <v>46182.583334099996</v>
      </c>
      <c r="Z12" s="6">
        <f t="shared" si="103"/>
        <v>46213.000000799999</v>
      </c>
      <c r="AA12" s="6">
        <f t="shared" si="103"/>
        <v>46243.416667500001</v>
      </c>
      <c r="AB12" s="6">
        <f t="shared" si="103"/>
        <v>46273.833334199997</v>
      </c>
      <c r="AC12" s="6">
        <f t="shared" si="103"/>
        <v>46304.2500009</v>
      </c>
      <c r="AD12" s="6">
        <f t="shared" si="103"/>
        <v>46334.666667600002</v>
      </c>
      <c r="AE12" s="6">
        <f t="shared" si="103"/>
        <v>46365.083334299998</v>
      </c>
      <c r="AF12" s="6">
        <f t="shared" si="103"/>
        <v>46395.500001</v>
      </c>
      <c r="AG12" s="6">
        <f t="shared" si="103"/>
        <v>46425.916667700003</v>
      </c>
      <c r="AH12" s="6">
        <f t="shared" si="103"/>
        <v>46456.333334399998</v>
      </c>
      <c r="AI12" s="6">
        <f t="shared" si="104"/>
        <v>46486.750001100001</v>
      </c>
      <c r="AJ12" s="6">
        <f t="shared" si="104"/>
        <v>46517.166667799997</v>
      </c>
      <c r="AK12" s="6">
        <f t="shared" si="104"/>
        <v>46547.583334499999</v>
      </c>
      <c r="AL12" s="6">
        <f t="shared" si="104"/>
        <v>46578.000001200002</v>
      </c>
      <c r="AM12" s="6">
        <f t="shared" si="104"/>
        <v>46608.416667899997</v>
      </c>
      <c r="AN12" s="6">
        <f t="shared" si="104"/>
        <v>46638.8333346</v>
      </c>
      <c r="AO12" s="6">
        <f t="shared" si="104"/>
        <v>46669.250001299995</v>
      </c>
      <c r="AP12" s="6">
        <f t="shared" si="104"/>
        <v>46699.666667999998</v>
      </c>
      <c r="AQ12" s="6">
        <f t="shared" si="104"/>
        <v>46730.083334700001</v>
      </c>
      <c r="AR12" s="6">
        <f t="shared" si="104"/>
        <v>46760.500001399996</v>
      </c>
      <c r="AS12" s="6">
        <f t="shared" si="104"/>
        <v>46790.916668099999</v>
      </c>
      <c r="AT12" s="6">
        <f t="shared" si="104"/>
        <v>46821.333334800001</v>
      </c>
      <c r="AU12" s="6">
        <f t="shared" si="104"/>
        <v>46851.750001499997</v>
      </c>
      <c r="AV12" s="6">
        <f t="shared" si="104"/>
        <v>46882.1666682</v>
      </c>
      <c r="AW12" s="6">
        <f t="shared" si="104"/>
        <v>46912.583334900002</v>
      </c>
      <c r="AX12" s="6">
        <f t="shared" si="104"/>
        <v>46943.000001599998</v>
      </c>
      <c r="BA12" s="6">
        <f t="shared" si="96"/>
        <v>45581</v>
      </c>
      <c r="BB12" s="6">
        <f t="shared" si="100"/>
        <v>45581</v>
      </c>
      <c r="BC12" s="6">
        <f t="shared" si="101"/>
        <v>45611.416666700003</v>
      </c>
      <c r="BD12" s="6">
        <f t="shared" si="105"/>
        <v>45641.833333399998</v>
      </c>
      <c r="BE12" s="6">
        <f t="shared" si="105"/>
        <v>45672.250000100001</v>
      </c>
      <c r="BF12" s="6">
        <f t="shared" si="105"/>
        <v>45702.666666800003</v>
      </c>
      <c r="BG12" s="6">
        <f t="shared" si="105"/>
        <v>45733.083333499999</v>
      </c>
      <c r="BH12" s="6">
        <f t="shared" si="105"/>
        <v>45763.500000200002</v>
      </c>
      <c r="BI12" s="6">
        <f t="shared" si="105"/>
        <v>45793.916666899997</v>
      </c>
      <c r="BJ12" s="6">
        <f t="shared" si="105"/>
        <v>45824.3333336</v>
      </c>
      <c r="BK12" s="6">
        <f t="shared" si="105"/>
        <v>45854.750000300002</v>
      </c>
      <c r="BL12" s="6">
        <f t="shared" si="105"/>
        <v>45885.166666999998</v>
      </c>
      <c r="BM12" s="6">
        <f t="shared" si="105"/>
        <v>45915.5833337</v>
      </c>
      <c r="BN12" s="6">
        <f t="shared" si="105"/>
        <v>45946.000000400003</v>
      </c>
      <c r="BO12" s="6">
        <f t="shared" si="105"/>
        <v>45976.416667099998</v>
      </c>
      <c r="BP12" s="6">
        <f t="shared" si="105"/>
        <v>46006.833333800001</v>
      </c>
      <c r="BQ12" s="6">
        <f t="shared" si="105"/>
        <v>46037.250000499997</v>
      </c>
      <c r="BR12" s="6">
        <f t="shared" si="105"/>
        <v>46067.666667199999</v>
      </c>
      <c r="BS12" s="6">
        <f t="shared" si="105"/>
        <v>46098.083333900002</v>
      </c>
      <c r="BT12" s="6">
        <f t="shared" si="105"/>
        <v>46128.500000599997</v>
      </c>
      <c r="BU12" s="6">
        <f t="shared" si="105"/>
        <v>46158.9166673</v>
      </c>
      <c r="BV12" s="6">
        <f t="shared" si="105"/>
        <v>46189.333334000003</v>
      </c>
      <c r="BW12" s="6">
        <f t="shared" si="105"/>
        <v>46219.750000699998</v>
      </c>
      <c r="BX12" s="6">
        <f t="shared" si="105"/>
        <v>46250.166667400001</v>
      </c>
      <c r="BY12" s="6">
        <f t="shared" si="105"/>
        <v>46280.583334099996</v>
      </c>
      <c r="BZ12" s="6">
        <f t="shared" si="105"/>
        <v>46311.000000799999</v>
      </c>
      <c r="CA12" s="6">
        <f t="shared" si="105"/>
        <v>46341.416667500001</v>
      </c>
      <c r="CB12" s="6">
        <f t="shared" si="105"/>
        <v>46371.833334199997</v>
      </c>
      <c r="CC12" s="6">
        <f t="shared" si="105"/>
        <v>46402.2500009</v>
      </c>
      <c r="CD12" s="6">
        <f t="shared" si="105"/>
        <v>46432.666667600002</v>
      </c>
      <c r="CE12" s="6">
        <f t="shared" si="105"/>
        <v>46463.083334299998</v>
      </c>
      <c r="CF12" s="6">
        <f t="shared" si="105"/>
        <v>46493.500001</v>
      </c>
      <c r="CG12" s="6">
        <f t="shared" si="105"/>
        <v>46523.916667700003</v>
      </c>
      <c r="CH12" s="6">
        <f t="shared" si="105"/>
        <v>46554.333334399998</v>
      </c>
      <c r="CI12" s="6">
        <f t="shared" si="105"/>
        <v>46584.750001100001</v>
      </c>
      <c r="CJ12" s="6">
        <f t="shared" si="105"/>
        <v>46615.166667799997</v>
      </c>
      <c r="CK12" s="6">
        <f t="shared" si="105"/>
        <v>46645.583334499999</v>
      </c>
      <c r="CL12" s="6">
        <f t="shared" si="105"/>
        <v>46676.000001200002</v>
      </c>
      <c r="CM12" s="6">
        <f t="shared" si="105"/>
        <v>46706.416667899997</v>
      </c>
      <c r="CN12" s="6">
        <f t="shared" si="105"/>
        <v>46736.8333346</v>
      </c>
      <c r="CO12" s="6">
        <f t="shared" si="105"/>
        <v>46767.250001299995</v>
      </c>
      <c r="CP12" s="6">
        <f t="shared" si="105"/>
        <v>46797.666667999998</v>
      </c>
      <c r="CQ12" s="6">
        <f t="shared" si="105"/>
        <v>46828.083334700001</v>
      </c>
      <c r="CR12" s="6">
        <f t="shared" si="105"/>
        <v>46858.500001399996</v>
      </c>
      <c r="CS12" s="6">
        <f t="shared" si="105"/>
        <v>46888.916668099999</v>
      </c>
      <c r="CT12" s="6">
        <f t="shared" si="105"/>
        <v>46919.333334800001</v>
      </c>
      <c r="CU12" s="6">
        <f t="shared" si="105"/>
        <v>46949.750001499997</v>
      </c>
      <c r="CV12" s="6">
        <f t="shared" si="105"/>
        <v>46980.1666682</v>
      </c>
      <c r="CW12" s="6">
        <f t="shared" si="105"/>
        <v>47010.583334900002</v>
      </c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</row>
    <row r="13" spans="1:113" x14ac:dyDescent="0.25">
      <c r="A13" s="6">
        <f t="shared" si="94"/>
        <v>45484</v>
      </c>
      <c r="B13" s="6">
        <f t="shared" si="98"/>
        <v>45484</v>
      </c>
      <c r="C13" s="6">
        <f t="shared" si="99"/>
        <v>45514.416666700003</v>
      </c>
      <c r="D13" s="6">
        <f t="shared" si="99"/>
        <v>45544.833333399998</v>
      </c>
      <c r="E13" s="6">
        <f t="shared" si="99"/>
        <v>45575.250000100001</v>
      </c>
      <c r="F13" s="6">
        <f t="shared" si="99"/>
        <v>45605.666666800003</v>
      </c>
      <c r="G13" s="6">
        <f t="shared" si="99"/>
        <v>45636.083333499999</v>
      </c>
      <c r="H13" s="6">
        <f t="shared" si="99"/>
        <v>45666.500000200002</v>
      </c>
      <c r="I13" s="6">
        <f t="shared" si="99"/>
        <v>45696.916666899997</v>
      </c>
      <c r="J13" s="6">
        <f t="shared" si="99"/>
        <v>45727.3333336</v>
      </c>
      <c r="K13" s="6">
        <f t="shared" si="99"/>
        <v>45757.750000300002</v>
      </c>
      <c r="L13" s="6">
        <f t="shared" si="99"/>
        <v>45788.166666999998</v>
      </c>
      <c r="M13" s="6">
        <f t="shared" si="99"/>
        <v>45818.5833337</v>
      </c>
      <c r="N13" s="6">
        <f t="shared" si="99"/>
        <v>45849.000000400003</v>
      </c>
      <c r="O13" s="6">
        <f t="shared" si="99"/>
        <v>45879.416667099998</v>
      </c>
      <c r="P13" s="6">
        <f t="shared" si="99"/>
        <v>45909.833333800001</v>
      </c>
      <c r="Q13" s="6">
        <f t="shared" si="99"/>
        <v>45940.250000499997</v>
      </c>
      <c r="R13" s="6">
        <f t="shared" si="99"/>
        <v>45970.666667199999</v>
      </c>
      <c r="S13" s="6">
        <f t="shared" si="103"/>
        <v>46001.083333900002</v>
      </c>
      <c r="T13" s="6">
        <f t="shared" si="103"/>
        <v>46031.500000599997</v>
      </c>
      <c r="U13" s="6">
        <f t="shared" si="103"/>
        <v>46061.9166673</v>
      </c>
      <c r="V13" s="6">
        <f t="shared" si="103"/>
        <v>46092.333334000003</v>
      </c>
      <c r="W13" s="6">
        <f t="shared" si="103"/>
        <v>46122.750000699998</v>
      </c>
      <c r="X13" s="6">
        <f t="shared" si="103"/>
        <v>46153.166667400001</v>
      </c>
      <c r="Y13" s="6">
        <f t="shared" si="103"/>
        <v>46183.583334099996</v>
      </c>
      <c r="Z13" s="6">
        <f t="shared" si="103"/>
        <v>46214.000000799999</v>
      </c>
      <c r="AA13" s="6">
        <f t="shared" si="103"/>
        <v>46244.416667500001</v>
      </c>
      <c r="AB13" s="6">
        <f t="shared" si="103"/>
        <v>46274.833334199997</v>
      </c>
      <c r="AC13" s="6">
        <f t="shared" si="103"/>
        <v>46305.2500009</v>
      </c>
      <c r="AD13" s="6">
        <f t="shared" si="103"/>
        <v>46335.666667600002</v>
      </c>
      <c r="AE13" s="6">
        <f t="shared" si="103"/>
        <v>46366.083334299998</v>
      </c>
      <c r="AF13" s="6">
        <f t="shared" si="103"/>
        <v>46396.500001</v>
      </c>
      <c r="AG13" s="6">
        <f t="shared" si="103"/>
        <v>46426.916667700003</v>
      </c>
      <c r="AH13" s="6">
        <f t="shared" si="103"/>
        <v>46457.333334399998</v>
      </c>
      <c r="AI13" s="6">
        <f t="shared" si="104"/>
        <v>46487.750001100001</v>
      </c>
      <c r="AJ13" s="6">
        <f t="shared" si="104"/>
        <v>46518.166667799997</v>
      </c>
      <c r="AK13" s="6">
        <f t="shared" si="104"/>
        <v>46548.583334499999</v>
      </c>
      <c r="AL13" s="6">
        <f t="shared" si="104"/>
        <v>46579.000001200002</v>
      </c>
      <c r="AM13" s="6">
        <f t="shared" si="104"/>
        <v>46609.416667899997</v>
      </c>
      <c r="AN13" s="6">
        <f t="shared" si="104"/>
        <v>46639.8333346</v>
      </c>
      <c r="AO13" s="6">
        <f t="shared" si="104"/>
        <v>46670.250001299995</v>
      </c>
      <c r="AP13" s="6">
        <f t="shared" si="104"/>
        <v>46700.666667999998</v>
      </c>
      <c r="AQ13" s="6">
        <f t="shared" si="104"/>
        <v>46731.083334700001</v>
      </c>
      <c r="AR13" s="6">
        <f t="shared" si="104"/>
        <v>46761.500001399996</v>
      </c>
      <c r="AS13" s="6">
        <f t="shared" si="104"/>
        <v>46791.916668099999</v>
      </c>
      <c r="AT13" s="6">
        <f t="shared" si="104"/>
        <v>46822.333334800001</v>
      </c>
      <c r="AU13" s="6">
        <f t="shared" si="104"/>
        <v>46852.750001499997</v>
      </c>
      <c r="AV13" s="6">
        <f t="shared" si="104"/>
        <v>46883.1666682</v>
      </c>
      <c r="AW13" s="6">
        <f t="shared" si="104"/>
        <v>46913.583334900002</v>
      </c>
      <c r="AX13" s="6">
        <f t="shared" si="104"/>
        <v>46944.000001599998</v>
      </c>
      <c r="BA13" s="6">
        <f t="shared" si="96"/>
        <v>45582</v>
      </c>
      <c r="BB13" s="6">
        <f t="shared" si="100"/>
        <v>45582</v>
      </c>
      <c r="BC13" s="6">
        <f t="shared" si="101"/>
        <v>45612.416666700003</v>
      </c>
      <c r="BD13" s="6">
        <f t="shared" si="105"/>
        <v>45642.833333399998</v>
      </c>
      <c r="BE13" s="6">
        <f t="shared" si="105"/>
        <v>45673.250000100001</v>
      </c>
      <c r="BF13" s="6">
        <f t="shared" si="105"/>
        <v>45703.666666800003</v>
      </c>
      <c r="BG13" s="6">
        <f t="shared" si="105"/>
        <v>45734.083333499999</v>
      </c>
      <c r="BH13" s="6">
        <f t="shared" si="105"/>
        <v>45764.500000200002</v>
      </c>
      <c r="BI13" s="6">
        <f t="shared" si="105"/>
        <v>45794.916666899997</v>
      </c>
      <c r="BJ13" s="6">
        <f t="shared" si="105"/>
        <v>45825.3333336</v>
      </c>
      <c r="BK13" s="6">
        <f t="shared" si="105"/>
        <v>45855.750000300002</v>
      </c>
      <c r="BL13" s="6">
        <f t="shared" si="105"/>
        <v>45886.166666999998</v>
      </c>
      <c r="BM13" s="6">
        <f t="shared" si="105"/>
        <v>45916.5833337</v>
      </c>
      <c r="BN13" s="6">
        <f t="shared" si="105"/>
        <v>45947.000000400003</v>
      </c>
      <c r="BO13" s="6">
        <f t="shared" si="105"/>
        <v>45977.416667099998</v>
      </c>
      <c r="BP13" s="6">
        <f t="shared" si="105"/>
        <v>46007.833333800001</v>
      </c>
      <c r="BQ13" s="6">
        <f t="shared" si="105"/>
        <v>46038.250000499997</v>
      </c>
      <c r="BR13" s="6">
        <f t="shared" si="105"/>
        <v>46068.666667199999</v>
      </c>
      <c r="BS13" s="6">
        <f t="shared" si="105"/>
        <v>46099.083333900002</v>
      </c>
      <c r="BT13" s="6">
        <f t="shared" si="105"/>
        <v>46129.500000599997</v>
      </c>
      <c r="BU13" s="6">
        <f t="shared" si="105"/>
        <v>46159.9166673</v>
      </c>
      <c r="BV13" s="6">
        <f t="shared" si="105"/>
        <v>46190.333334000003</v>
      </c>
      <c r="BW13" s="6">
        <f t="shared" si="105"/>
        <v>46220.750000699998</v>
      </c>
      <c r="BX13" s="6">
        <f t="shared" si="105"/>
        <v>46251.166667400001</v>
      </c>
      <c r="BY13" s="6">
        <f t="shared" si="105"/>
        <v>46281.583334099996</v>
      </c>
      <c r="BZ13" s="6">
        <f t="shared" si="105"/>
        <v>46312.000000799999</v>
      </c>
      <c r="CA13" s="6">
        <f t="shared" si="105"/>
        <v>46342.416667500001</v>
      </c>
      <c r="CB13" s="6">
        <f t="shared" si="105"/>
        <v>46372.833334199997</v>
      </c>
      <c r="CC13" s="6">
        <f t="shared" si="105"/>
        <v>46403.2500009</v>
      </c>
      <c r="CD13" s="6">
        <f t="shared" si="105"/>
        <v>46433.666667600002</v>
      </c>
      <c r="CE13" s="6">
        <f t="shared" si="105"/>
        <v>46464.083334299998</v>
      </c>
      <c r="CF13" s="6">
        <f t="shared" si="105"/>
        <v>46494.500001</v>
      </c>
      <c r="CG13" s="6">
        <f t="shared" si="105"/>
        <v>46524.916667700003</v>
      </c>
      <c r="CH13" s="6">
        <f t="shared" si="105"/>
        <v>46555.333334399998</v>
      </c>
      <c r="CI13" s="6">
        <f t="shared" si="105"/>
        <v>46585.750001100001</v>
      </c>
      <c r="CJ13" s="6">
        <f t="shared" si="105"/>
        <v>46616.166667799997</v>
      </c>
      <c r="CK13" s="6">
        <f t="shared" si="105"/>
        <v>46646.583334499999</v>
      </c>
      <c r="CL13" s="6">
        <f t="shared" si="105"/>
        <v>46677.000001200002</v>
      </c>
      <c r="CM13" s="6">
        <f t="shared" si="105"/>
        <v>46707.416667899997</v>
      </c>
      <c r="CN13" s="6">
        <f t="shared" si="105"/>
        <v>46737.8333346</v>
      </c>
      <c r="CO13" s="6">
        <f t="shared" si="105"/>
        <v>46768.250001299995</v>
      </c>
      <c r="CP13" s="6">
        <f t="shared" si="105"/>
        <v>46798.666667999998</v>
      </c>
      <c r="CQ13" s="6">
        <f t="shared" si="105"/>
        <v>46829.083334700001</v>
      </c>
      <c r="CR13" s="6">
        <f t="shared" si="105"/>
        <v>46859.500001399996</v>
      </c>
      <c r="CS13" s="6">
        <f t="shared" si="105"/>
        <v>46889.916668099999</v>
      </c>
      <c r="CT13" s="6">
        <f t="shared" si="105"/>
        <v>46920.333334800001</v>
      </c>
      <c r="CU13" s="6">
        <f t="shared" si="105"/>
        <v>46950.750001499997</v>
      </c>
      <c r="CV13" s="6">
        <f t="shared" si="105"/>
        <v>46981.1666682</v>
      </c>
      <c r="CW13" s="6">
        <f t="shared" si="105"/>
        <v>47011.583334900002</v>
      </c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</row>
    <row r="14" spans="1:113" x14ac:dyDescent="0.25">
      <c r="A14" s="6">
        <f t="shared" si="94"/>
        <v>45485</v>
      </c>
      <c r="B14" s="6">
        <f t="shared" si="98"/>
        <v>45485</v>
      </c>
      <c r="C14" s="6">
        <f t="shared" si="99"/>
        <v>45515.416666700003</v>
      </c>
      <c r="D14" s="6">
        <f t="shared" si="99"/>
        <v>45545.833333399998</v>
      </c>
      <c r="E14" s="6">
        <f t="shared" si="99"/>
        <v>45576.250000100001</v>
      </c>
      <c r="F14" s="6">
        <f t="shared" si="99"/>
        <v>45606.666666800003</v>
      </c>
      <c r="G14" s="6">
        <f t="shared" si="99"/>
        <v>45637.083333499999</v>
      </c>
      <c r="H14" s="6">
        <f t="shared" si="99"/>
        <v>45667.500000200002</v>
      </c>
      <c r="I14" s="6">
        <f t="shared" si="99"/>
        <v>45697.916666899997</v>
      </c>
      <c r="J14" s="6">
        <f t="shared" si="99"/>
        <v>45728.3333336</v>
      </c>
      <c r="K14" s="6">
        <f t="shared" si="99"/>
        <v>45758.750000300002</v>
      </c>
      <c r="L14" s="6">
        <f t="shared" si="99"/>
        <v>45789.166666999998</v>
      </c>
      <c r="M14" s="6">
        <f t="shared" si="99"/>
        <v>45819.5833337</v>
      </c>
      <c r="N14" s="6">
        <f t="shared" si="99"/>
        <v>45850.000000400003</v>
      </c>
      <c r="O14" s="6">
        <f t="shared" si="99"/>
        <v>45880.416667099998</v>
      </c>
      <c r="P14" s="6">
        <f t="shared" si="99"/>
        <v>45910.833333800001</v>
      </c>
      <c r="Q14" s="6">
        <f t="shared" si="99"/>
        <v>45941.250000499997</v>
      </c>
      <c r="R14" s="6">
        <f t="shared" si="99"/>
        <v>45971.666667199999</v>
      </c>
      <c r="S14" s="6">
        <f t="shared" si="103"/>
        <v>46002.083333900002</v>
      </c>
      <c r="T14" s="6">
        <f t="shared" si="103"/>
        <v>46032.500000599997</v>
      </c>
      <c r="U14" s="6">
        <f t="shared" si="103"/>
        <v>46062.9166673</v>
      </c>
      <c r="V14" s="6">
        <f t="shared" si="103"/>
        <v>46093.333334000003</v>
      </c>
      <c r="W14" s="6">
        <f t="shared" si="103"/>
        <v>46123.750000699998</v>
      </c>
      <c r="X14" s="6">
        <f t="shared" si="103"/>
        <v>46154.166667400001</v>
      </c>
      <c r="Y14" s="6">
        <f t="shared" si="103"/>
        <v>46184.583334099996</v>
      </c>
      <c r="Z14" s="6">
        <f t="shared" si="103"/>
        <v>46215.000000799999</v>
      </c>
      <c r="AA14" s="6">
        <f t="shared" si="103"/>
        <v>46245.416667500001</v>
      </c>
      <c r="AB14" s="6">
        <f t="shared" si="103"/>
        <v>46275.833334199997</v>
      </c>
      <c r="AC14" s="6">
        <f t="shared" si="103"/>
        <v>46306.2500009</v>
      </c>
      <c r="AD14" s="6">
        <f t="shared" si="103"/>
        <v>46336.666667600002</v>
      </c>
      <c r="AE14" s="6">
        <f t="shared" si="103"/>
        <v>46367.083334299998</v>
      </c>
      <c r="AF14" s="6">
        <f t="shared" si="103"/>
        <v>46397.500001</v>
      </c>
      <c r="AG14" s="6">
        <f t="shared" si="103"/>
        <v>46427.916667700003</v>
      </c>
      <c r="AH14" s="6">
        <f t="shared" si="103"/>
        <v>46458.333334399998</v>
      </c>
      <c r="AI14" s="6">
        <f t="shared" si="104"/>
        <v>46488.750001100001</v>
      </c>
      <c r="AJ14" s="6">
        <f t="shared" si="104"/>
        <v>46519.166667799997</v>
      </c>
      <c r="AK14" s="6">
        <f t="shared" si="104"/>
        <v>46549.583334499999</v>
      </c>
      <c r="AL14" s="6">
        <f t="shared" si="104"/>
        <v>46580.000001200002</v>
      </c>
      <c r="AM14" s="6">
        <f t="shared" si="104"/>
        <v>46610.416667899997</v>
      </c>
      <c r="AN14" s="6">
        <f t="shared" si="104"/>
        <v>46640.8333346</v>
      </c>
      <c r="AO14" s="6">
        <f t="shared" si="104"/>
        <v>46671.250001299995</v>
      </c>
      <c r="AP14" s="6">
        <f t="shared" si="104"/>
        <v>46701.666667999998</v>
      </c>
      <c r="AQ14" s="6">
        <f t="shared" si="104"/>
        <v>46732.083334700001</v>
      </c>
      <c r="AR14" s="6">
        <f t="shared" si="104"/>
        <v>46762.500001399996</v>
      </c>
      <c r="AS14" s="6">
        <f t="shared" si="104"/>
        <v>46792.916668099999</v>
      </c>
      <c r="AT14" s="6">
        <f t="shared" si="104"/>
        <v>46823.333334800001</v>
      </c>
      <c r="AU14" s="6">
        <f t="shared" si="104"/>
        <v>46853.750001499997</v>
      </c>
      <c r="AV14" s="6">
        <f t="shared" si="104"/>
        <v>46884.1666682</v>
      </c>
      <c r="AW14" s="6">
        <f t="shared" si="104"/>
        <v>46914.583334900002</v>
      </c>
      <c r="AX14" s="6">
        <f t="shared" si="104"/>
        <v>46945.000001599998</v>
      </c>
      <c r="BA14" s="6">
        <f t="shared" si="96"/>
        <v>45583</v>
      </c>
      <c r="BB14" s="6">
        <f t="shared" si="100"/>
        <v>45583</v>
      </c>
      <c r="BC14" s="6">
        <f t="shared" si="101"/>
        <v>45613.416666700003</v>
      </c>
      <c r="BD14" s="6">
        <f t="shared" si="105"/>
        <v>45643.833333399998</v>
      </c>
      <c r="BE14" s="6">
        <f t="shared" si="105"/>
        <v>45674.250000100001</v>
      </c>
      <c r="BF14" s="6">
        <f t="shared" si="105"/>
        <v>45704.666666800003</v>
      </c>
      <c r="BG14" s="6">
        <f t="shared" si="105"/>
        <v>45735.083333499999</v>
      </c>
      <c r="BH14" s="6">
        <f t="shared" si="105"/>
        <v>45765.500000200002</v>
      </c>
      <c r="BI14" s="6">
        <f t="shared" si="105"/>
        <v>45795.916666899997</v>
      </c>
      <c r="BJ14" s="6">
        <f t="shared" si="105"/>
        <v>45826.3333336</v>
      </c>
      <c r="BK14" s="6">
        <f t="shared" si="105"/>
        <v>45856.750000300002</v>
      </c>
      <c r="BL14" s="6">
        <f t="shared" si="105"/>
        <v>45887.166666999998</v>
      </c>
      <c r="BM14" s="6">
        <f t="shared" si="105"/>
        <v>45917.5833337</v>
      </c>
      <c r="BN14" s="6">
        <f t="shared" si="105"/>
        <v>45948.000000400003</v>
      </c>
      <c r="BO14" s="6">
        <f t="shared" si="105"/>
        <v>45978.416667099998</v>
      </c>
      <c r="BP14" s="6">
        <f t="shared" si="105"/>
        <v>46008.833333800001</v>
      </c>
      <c r="BQ14" s="6">
        <f t="shared" si="105"/>
        <v>46039.250000499997</v>
      </c>
      <c r="BR14" s="6">
        <f t="shared" si="105"/>
        <v>46069.666667199999</v>
      </c>
      <c r="BS14" s="6">
        <f t="shared" si="105"/>
        <v>46100.083333900002</v>
      </c>
      <c r="BT14" s="6">
        <f t="shared" si="105"/>
        <v>46130.500000599997</v>
      </c>
      <c r="BU14" s="6">
        <f t="shared" si="105"/>
        <v>46160.9166673</v>
      </c>
      <c r="BV14" s="6">
        <f t="shared" si="105"/>
        <v>46191.333334000003</v>
      </c>
      <c r="BW14" s="6">
        <f t="shared" si="105"/>
        <v>46221.750000699998</v>
      </c>
      <c r="BX14" s="6">
        <f t="shared" si="105"/>
        <v>46252.166667400001</v>
      </c>
      <c r="BY14" s="6">
        <f t="shared" si="105"/>
        <v>46282.583334099996</v>
      </c>
      <c r="BZ14" s="6">
        <f t="shared" si="105"/>
        <v>46313.000000799999</v>
      </c>
      <c r="CA14" s="6">
        <f t="shared" si="105"/>
        <v>46343.416667500001</v>
      </c>
      <c r="CB14" s="6">
        <f t="shared" si="105"/>
        <v>46373.833334199997</v>
      </c>
      <c r="CC14" s="6">
        <f t="shared" si="105"/>
        <v>46404.2500009</v>
      </c>
      <c r="CD14" s="6">
        <f t="shared" si="105"/>
        <v>46434.666667600002</v>
      </c>
      <c r="CE14" s="6">
        <f t="shared" si="105"/>
        <v>46465.083334299998</v>
      </c>
      <c r="CF14" s="6">
        <f t="shared" si="105"/>
        <v>46495.500001</v>
      </c>
      <c r="CG14" s="6">
        <f t="shared" si="105"/>
        <v>46525.916667700003</v>
      </c>
      <c r="CH14" s="6">
        <f t="shared" si="105"/>
        <v>46556.333334399998</v>
      </c>
      <c r="CI14" s="6">
        <f t="shared" si="105"/>
        <v>46586.750001100001</v>
      </c>
      <c r="CJ14" s="6">
        <f t="shared" si="105"/>
        <v>46617.166667799997</v>
      </c>
      <c r="CK14" s="6">
        <f t="shared" si="105"/>
        <v>46647.583334499999</v>
      </c>
      <c r="CL14" s="6">
        <f t="shared" si="105"/>
        <v>46678.000001200002</v>
      </c>
      <c r="CM14" s="6">
        <f t="shared" si="105"/>
        <v>46708.416667899997</v>
      </c>
      <c r="CN14" s="6">
        <f t="shared" si="105"/>
        <v>46738.8333346</v>
      </c>
      <c r="CO14" s="6">
        <f t="shared" si="105"/>
        <v>46769.250001299995</v>
      </c>
      <c r="CP14" s="6">
        <f t="shared" si="105"/>
        <v>46799.666667999998</v>
      </c>
      <c r="CQ14" s="6">
        <f t="shared" si="105"/>
        <v>46830.083334700001</v>
      </c>
      <c r="CR14" s="6">
        <f t="shared" si="105"/>
        <v>46860.500001399996</v>
      </c>
      <c r="CS14" s="6">
        <f t="shared" si="105"/>
        <v>46890.916668099999</v>
      </c>
      <c r="CT14" s="6">
        <f t="shared" si="105"/>
        <v>46921.333334800001</v>
      </c>
      <c r="CU14" s="6">
        <f t="shared" si="105"/>
        <v>46951.750001499997</v>
      </c>
      <c r="CV14" s="6">
        <f t="shared" si="105"/>
        <v>46982.1666682</v>
      </c>
      <c r="CW14" s="6">
        <f t="shared" si="105"/>
        <v>47012.583334900002</v>
      </c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</row>
    <row r="15" spans="1:113" x14ac:dyDescent="0.25">
      <c r="A15" s="6">
        <f>A20-7</f>
        <v>45488</v>
      </c>
      <c r="B15" s="6">
        <f t="shared" si="98"/>
        <v>45488</v>
      </c>
      <c r="C15" s="6">
        <f t="shared" si="99"/>
        <v>45518.416666700003</v>
      </c>
      <c r="D15" s="6">
        <f t="shared" si="99"/>
        <v>45548.833333399998</v>
      </c>
      <c r="E15" s="6">
        <f t="shared" si="99"/>
        <v>45579.250000100001</v>
      </c>
      <c r="F15" s="6">
        <f t="shared" si="99"/>
        <v>45609.666666800003</v>
      </c>
      <c r="G15" s="6">
        <f t="shared" si="99"/>
        <v>45640.083333499999</v>
      </c>
      <c r="H15" s="6">
        <f t="shared" si="99"/>
        <v>45670.500000200002</v>
      </c>
      <c r="I15" s="6">
        <f t="shared" si="99"/>
        <v>45700.916666899997</v>
      </c>
      <c r="J15" s="6">
        <f t="shared" si="99"/>
        <v>45731.3333336</v>
      </c>
      <c r="K15" s="6">
        <f t="shared" si="99"/>
        <v>45761.750000300002</v>
      </c>
      <c r="L15" s="6">
        <f t="shared" si="99"/>
        <v>45792.166666999998</v>
      </c>
      <c r="M15" s="6">
        <f t="shared" si="99"/>
        <v>45822.5833337</v>
      </c>
      <c r="N15" s="6">
        <f t="shared" si="99"/>
        <v>45853.000000400003</v>
      </c>
      <c r="O15" s="6">
        <f t="shared" si="99"/>
        <v>45883.416667099998</v>
      </c>
      <c r="P15" s="6">
        <f t="shared" si="99"/>
        <v>45913.833333800001</v>
      </c>
      <c r="Q15" s="6">
        <f t="shared" si="99"/>
        <v>45944.250000499997</v>
      </c>
      <c r="R15" s="6">
        <f t="shared" si="99"/>
        <v>45974.666667199999</v>
      </c>
      <c r="S15" s="6">
        <f t="shared" si="103"/>
        <v>46005.083333900002</v>
      </c>
      <c r="T15" s="6">
        <f t="shared" si="103"/>
        <v>46035.500000599997</v>
      </c>
      <c r="U15" s="6">
        <f t="shared" si="103"/>
        <v>46065.9166673</v>
      </c>
      <c r="V15" s="6">
        <f t="shared" si="103"/>
        <v>46096.333334000003</v>
      </c>
      <c r="W15" s="6">
        <f t="shared" si="103"/>
        <v>46126.750000699998</v>
      </c>
      <c r="X15" s="6">
        <f t="shared" si="103"/>
        <v>46157.166667400001</v>
      </c>
      <c r="Y15" s="6">
        <f t="shared" si="103"/>
        <v>46187.583334099996</v>
      </c>
      <c r="Z15" s="6">
        <f t="shared" si="103"/>
        <v>46218.000000799999</v>
      </c>
      <c r="AA15" s="6">
        <f t="shared" si="103"/>
        <v>46248.416667500001</v>
      </c>
      <c r="AB15" s="6">
        <f t="shared" si="103"/>
        <v>46278.833334199997</v>
      </c>
      <c r="AC15" s="6">
        <f t="shared" si="103"/>
        <v>46309.2500009</v>
      </c>
      <c r="AD15" s="6">
        <f t="shared" si="103"/>
        <v>46339.666667600002</v>
      </c>
      <c r="AE15" s="6">
        <f t="shared" si="103"/>
        <v>46370.083334299998</v>
      </c>
      <c r="AF15" s="6">
        <f t="shared" si="103"/>
        <v>46400.500001</v>
      </c>
      <c r="AG15" s="6">
        <f t="shared" si="103"/>
        <v>46430.916667700003</v>
      </c>
      <c r="AH15" s="6">
        <f t="shared" si="103"/>
        <v>46461.333334399998</v>
      </c>
      <c r="AI15" s="6">
        <f t="shared" si="104"/>
        <v>46491.750001100001</v>
      </c>
      <c r="AJ15" s="6">
        <f t="shared" si="104"/>
        <v>46522.166667799997</v>
      </c>
      <c r="AK15" s="6">
        <f t="shared" si="104"/>
        <v>46552.583334499999</v>
      </c>
      <c r="AL15" s="6">
        <f t="shared" si="104"/>
        <v>46583.000001200002</v>
      </c>
      <c r="AM15" s="6">
        <f t="shared" si="104"/>
        <v>46613.416667899997</v>
      </c>
      <c r="AN15" s="6">
        <f t="shared" si="104"/>
        <v>46643.8333346</v>
      </c>
      <c r="AO15" s="6">
        <f t="shared" si="104"/>
        <v>46674.250001299995</v>
      </c>
      <c r="AP15" s="6">
        <f t="shared" si="104"/>
        <v>46704.666667999998</v>
      </c>
      <c r="AQ15" s="6">
        <f t="shared" si="104"/>
        <v>46735.083334700001</v>
      </c>
      <c r="AR15" s="6">
        <f t="shared" si="104"/>
        <v>46765.500001399996</v>
      </c>
      <c r="AS15" s="6">
        <f t="shared" si="104"/>
        <v>46795.916668099999</v>
      </c>
      <c r="AT15" s="6">
        <f t="shared" si="104"/>
        <v>46826.333334800001</v>
      </c>
      <c r="AU15" s="6">
        <f t="shared" si="104"/>
        <v>46856.750001499997</v>
      </c>
      <c r="AV15" s="6">
        <f t="shared" si="104"/>
        <v>46887.1666682</v>
      </c>
      <c r="AW15" s="6">
        <f t="shared" si="104"/>
        <v>46917.583334900002</v>
      </c>
      <c r="AX15" s="6">
        <f t="shared" si="104"/>
        <v>46948.000001599998</v>
      </c>
      <c r="BA15" s="6">
        <f>BA20-7</f>
        <v>45586</v>
      </c>
      <c r="BB15" s="6">
        <f t="shared" si="100"/>
        <v>45586</v>
      </c>
      <c r="BC15" s="6">
        <f t="shared" si="101"/>
        <v>45616.416666700003</v>
      </c>
      <c r="BD15" s="6">
        <f t="shared" si="105"/>
        <v>45646.833333399998</v>
      </c>
      <c r="BE15" s="6">
        <f t="shared" si="105"/>
        <v>45677.250000100001</v>
      </c>
      <c r="BF15" s="6">
        <f t="shared" si="105"/>
        <v>45707.666666800003</v>
      </c>
      <c r="BG15" s="6">
        <f t="shared" si="105"/>
        <v>45738.083333499999</v>
      </c>
      <c r="BH15" s="6">
        <f t="shared" si="105"/>
        <v>45768.500000200002</v>
      </c>
      <c r="BI15" s="6">
        <f t="shared" si="105"/>
        <v>45798.916666899997</v>
      </c>
      <c r="BJ15" s="6">
        <f t="shared" si="105"/>
        <v>45829.3333336</v>
      </c>
      <c r="BK15" s="6">
        <f t="shared" si="105"/>
        <v>45859.750000300002</v>
      </c>
      <c r="BL15" s="6">
        <f t="shared" si="105"/>
        <v>45890.166666999998</v>
      </c>
      <c r="BM15" s="6">
        <f t="shared" si="105"/>
        <v>45920.5833337</v>
      </c>
      <c r="BN15" s="6">
        <f t="shared" si="105"/>
        <v>45951.000000400003</v>
      </c>
      <c r="BO15" s="6">
        <f t="shared" si="105"/>
        <v>45981.416667099998</v>
      </c>
      <c r="BP15" s="6">
        <f t="shared" si="105"/>
        <v>46011.833333800001</v>
      </c>
      <c r="BQ15" s="6">
        <f t="shared" si="105"/>
        <v>46042.250000499997</v>
      </c>
      <c r="BR15" s="6">
        <f t="shared" si="105"/>
        <v>46072.666667199999</v>
      </c>
      <c r="BS15" s="6">
        <f t="shared" si="105"/>
        <v>46103.083333900002</v>
      </c>
      <c r="BT15" s="6">
        <f t="shared" si="105"/>
        <v>46133.500000599997</v>
      </c>
      <c r="BU15" s="6">
        <f t="shared" si="105"/>
        <v>46163.9166673</v>
      </c>
      <c r="BV15" s="6">
        <f t="shared" si="105"/>
        <v>46194.333334000003</v>
      </c>
      <c r="BW15" s="6">
        <f t="shared" si="105"/>
        <v>46224.750000699998</v>
      </c>
      <c r="BX15" s="6">
        <f t="shared" si="105"/>
        <v>46255.166667400001</v>
      </c>
      <c r="BY15" s="6">
        <f t="shared" si="105"/>
        <v>46285.583334099996</v>
      </c>
      <c r="BZ15" s="6">
        <f t="shared" si="105"/>
        <v>46316.000000799999</v>
      </c>
      <c r="CA15" s="6">
        <f t="shared" si="105"/>
        <v>46346.416667500001</v>
      </c>
      <c r="CB15" s="6">
        <f t="shared" si="105"/>
        <v>46376.833334199997</v>
      </c>
      <c r="CC15" s="6">
        <f t="shared" si="105"/>
        <v>46407.2500009</v>
      </c>
      <c r="CD15" s="6">
        <f t="shared" si="105"/>
        <v>46437.666667600002</v>
      </c>
      <c r="CE15" s="6">
        <f t="shared" si="105"/>
        <v>46468.083334299998</v>
      </c>
      <c r="CF15" s="6">
        <f t="shared" si="105"/>
        <v>46498.500001</v>
      </c>
      <c r="CG15" s="6">
        <f t="shared" si="105"/>
        <v>46528.916667700003</v>
      </c>
      <c r="CH15" s="6">
        <f t="shared" ref="BD15:CW20" si="106">$BA15+CH$4</f>
        <v>46559.333334399998</v>
      </c>
      <c r="CI15" s="6">
        <f t="shared" si="106"/>
        <v>46589.750001100001</v>
      </c>
      <c r="CJ15" s="6">
        <f t="shared" si="106"/>
        <v>46620.166667799997</v>
      </c>
      <c r="CK15" s="6">
        <f t="shared" si="106"/>
        <v>46650.583334499999</v>
      </c>
      <c r="CL15" s="6">
        <f t="shared" si="106"/>
        <v>46681.000001200002</v>
      </c>
      <c r="CM15" s="6">
        <f t="shared" si="106"/>
        <v>46711.416667899997</v>
      </c>
      <c r="CN15" s="6">
        <f t="shared" si="106"/>
        <v>46741.8333346</v>
      </c>
      <c r="CO15" s="6">
        <f t="shared" si="106"/>
        <v>46772.250001299995</v>
      </c>
      <c r="CP15" s="6">
        <f t="shared" si="106"/>
        <v>46802.666667999998</v>
      </c>
      <c r="CQ15" s="6">
        <f t="shared" si="106"/>
        <v>46833.083334700001</v>
      </c>
      <c r="CR15" s="6">
        <f t="shared" si="106"/>
        <v>46863.500001399996</v>
      </c>
      <c r="CS15" s="6">
        <f t="shared" si="106"/>
        <v>46893.916668099999</v>
      </c>
      <c r="CT15" s="6">
        <f t="shared" si="106"/>
        <v>46924.333334800001</v>
      </c>
      <c r="CU15" s="6">
        <f t="shared" si="106"/>
        <v>46954.750001499997</v>
      </c>
      <c r="CV15" s="6">
        <f t="shared" si="106"/>
        <v>46985.1666682</v>
      </c>
      <c r="CW15" s="6">
        <f t="shared" si="106"/>
        <v>47015.583334900002</v>
      </c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</row>
    <row r="16" spans="1:113" x14ac:dyDescent="0.25">
      <c r="A16" s="12">
        <f>+A17-1</f>
        <v>45489</v>
      </c>
      <c r="B16" s="6">
        <f t="shared" si="98"/>
        <v>45489</v>
      </c>
      <c r="C16" s="6">
        <f t="shared" si="99"/>
        <v>45519.416666700003</v>
      </c>
      <c r="D16" s="6">
        <f t="shared" si="99"/>
        <v>45549.833333399998</v>
      </c>
      <c r="E16" s="6">
        <f t="shared" si="99"/>
        <v>45580.250000100001</v>
      </c>
      <c r="F16" s="6">
        <f t="shared" si="99"/>
        <v>45610.666666800003</v>
      </c>
      <c r="G16" s="6">
        <f t="shared" si="99"/>
        <v>45641.083333499999</v>
      </c>
      <c r="H16" s="6">
        <f t="shared" si="99"/>
        <v>45671.500000200002</v>
      </c>
      <c r="I16" s="6">
        <f t="shared" si="99"/>
        <v>45701.916666899997</v>
      </c>
      <c r="J16" s="6">
        <f t="shared" si="99"/>
        <v>45732.3333336</v>
      </c>
      <c r="K16" s="6">
        <f t="shared" si="99"/>
        <v>45762.750000300002</v>
      </c>
      <c r="L16" s="6">
        <f t="shared" si="99"/>
        <v>45793.166666999998</v>
      </c>
      <c r="M16" s="6">
        <f t="shared" si="99"/>
        <v>45823.5833337</v>
      </c>
      <c r="N16" s="6">
        <f t="shared" si="99"/>
        <v>45854.000000400003</v>
      </c>
      <c r="O16" s="6">
        <f t="shared" si="99"/>
        <v>45884.416667099998</v>
      </c>
      <c r="P16" s="6">
        <f t="shared" si="99"/>
        <v>45914.833333800001</v>
      </c>
      <c r="Q16" s="6">
        <f t="shared" si="99"/>
        <v>45945.250000499997</v>
      </c>
      <c r="R16" s="6">
        <f t="shared" si="99"/>
        <v>45975.666667199999</v>
      </c>
      <c r="S16" s="6">
        <f t="shared" si="103"/>
        <v>46006.083333900002</v>
      </c>
      <c r="T16" s="6">
        <f t="shared" si="103"/>
        <v>46036.500000599997</v>
      </c>
      <c r="U16" s="6">
        <f t="shared" si="103"/>
        <v>46066.9166673</v>
      </c>
      <c r="V16" s="6">
        <f t="shared" si="103"/>
        <v>46097.333334000003</v>
      </c>
      <c r="W16" s="6">
        <f t="shared" si="103"/>
        <v>46127.750000699998</v>
      </c>
      <c r="X16" s="6">
        <f t="shared" si="103"/>
        <v>46158.166667400001</v>
      </c>
      <c r="Y16" s="6">
        <f t="shared" si="103"/>
        <v>46188.583334099996</v>
      </c>
      <c r="Z16" s="6">
        <f t="shared" si="103"/>
        <v>46219.000000799999</v>
      </c>
      <c r="AA16" s="6">
        <f t="shared" si="103"/>
        <v>46249.416667500001</v>
      </c>
      <c r="AB16" s="6">
        <f t="shared" si="103"/>
        <v>46279.833334199997</v>
      </c>
      <c r="AC16" s="6">
        <f t="shared" si="103"/>
        <v>46310.2500009</v>
      </c>
      <c r="AD16" s="6">
        <f t="shared" si="103"/>
        <v>46340.666667600002</v>
      </c>
      <c r="AE16" s="6">
        <f t="shared" si="103"/>
        <v>46371.083334299998</v>
      </c>
      <c r="AF16" s="6">
        <f t="shared" si="103"/>
        <v>46401.500001</v>
      </c>
      <c r="AG16" s="6">
        <f t="shared" si="103"/>
        <v>46431.916667700003</v>
      </c>
      <c r="AH16" s="6">
        <f t="shared" si="103"/>
        <v>46462.333334399998</v>
      </c>
      <c r="AI16" s="6">
        <f t="shared" si="104"/>
        <v>46492.750001100001</v>
      </c>
      <c r="AJ16" s="6">
        <f t="shared" si="104"/>
        <v>46523.166667799997</v>
      </c>
      <c r="AK16" s="6">
        <f t="shared" si="104"/>
        <v>46553.583334499999</v>
      </c>
      <c r="AL16" s="6">
        <f t="shared" si="104"/>
        <v>46584.000001200002</v>
      </c>
      <c r="AM16" s="6">
        <f t="shared" si="104"/>
        <v>46614.416667899997</v>
      </c>
      <c r="AN16" s="6">
        <f t="shared" si="104"/>
        <v>46644.8333346</v>
      </c>
      <c r="AO16" s="6">
        <f t="shared" si="104"/>
        <v>46675.250001299995</v>
      </c>
      <c r="AP16" s="6">
        <f t="shared" si="104"/>
        <v>46705.666667999998</v>
      </c>
      <c r="AQ16" s="6">
        <f t="shared" si="104"/>
        <v>46736.083334700001</v>
      </c>
      <c r="AR16" s="6">
        <f t="shared" si="104"/>
        <v>46766.500001399996</v>
      </c>
      <c r="AS16" s="6">
        <f t="shared" si="104"/>
        <v>46796.916668099999</v>
      </c>
      <c r="AT16" s="6">
        <f t="shared" si="104"/>
        <v>46827.333334800001</v>
      </c>
      <c r="AU16" s="6">
        <f t="shared" si="104"/>
        <v>46857.750001499997</v>
      </c>
      <c r="AV16" s="6">
        <f t="shared" si="104"/>
        <v>46888.1666682</v>
      </c>
      <c r="AW16" s="6">
        <f t="shared" si="104"/>
        <v>46918.583334900002</v>
      </c>
      <c r="AX16" s="6">
        <f t="shared" si="104"/>
        <v>46949.000001599998</v>
      </c>
      <c r="BA16" s="12">
        <f>+BA17-1</f>
        <v>45587</v>
      </c>
      <c r="BB16" s="6">
        <f t="shared" si="100"/>
        <v>45587</v>
      </c>
      <c r="BC16" s="6">
        <f t="shared" si="101"/>
        <v>45617.416666700003</v>
      </c>
      <c r="BD16" s="6">
        <f t="shared" si="106"/>
        <v>45647.833333399998</v>
      </c>
      <c r="BE16" s="6">
        <f t="shared" si="106"/>
        <v>45678.250000100001</v>
      </c>
      <c r="BF16" s="6">
        <f t="shared" si="106"/>
        <v>45708.666666800003</v>
      </c>
      <c r="BG16" s="6">
        <f t="shared" si="106"/>
        <v>45739.083333499999</v>
      </c>
      <c r="BH16" s="6">
        <f t="shared" si="106"/>
        <v>45769.500000200002</v>
      </c>
      <c r="BI16" s="6">
        <f t="shared" si="106"/>
        <v>45799.916666899997</v>
      </c>
      <c r="BJ16" s="6">
        <f t="shared" si="106"/>
        <v>45830.3333336</v>
      </c>
      <c r="BK16" s="6">
        <f t="shared" si="106"/>
        <v>45860.750000300002</v>
      </c>
      <c r="BL16" s="6">
        <f t="shared" si="106"/>
        <v>45891.166666999998</v>
      </c>
      <c r="BM16" s="6">
        <f t="shared" si="106"/>
        <v>45921.5833337</v>
      </c>
      <c r="BN16" s="6">
        <f t="shared" si="106"/>
        <v>45952.000000400003</v>
      </c>
      <c r="BO16" s="6">
        <f t="shared" si="106"/>
        <v>45982.416667099998</v>
      </c>
      <c r="BP16" s="6">
        <f t="shared" si="106"/>
        <v>46012.833333800001</v>
      </c>
      <c r="BQ16" s="6">
        <f t="shared" si="106"/>
        <v>46043.250000499997</v>
      </c>
      <c r="BR16" s="6">
        <f t="shared" si="106"/>
        <v>46073.666667199999</v>
      </c>
      <c r="BS16" s="6">
        <f t="shared" si="106"/>
        <v>46104.083333900002</v>
      </c>
      <c r="BT16" s="6">
        <f t="shared" si="106"/>
        <v>46134.500000599997</v>
      </c>
      <c r="BU16" s="6">
        <f t="shared" si="106"/>
        <v>46164.9166673</v>
      </c>
      <c r="BV16" s="6">
        <f t="shared" si="106"/>
        <v>46195.333334000003</v>
      </c>
      <c r="BW16" s="6">
        <f t="shared" si="106"/>
        <v>46225.750000699998</v>
      </c>
      <c r="BX16" s="6">
        <f t="shared" si="106"/>
        <v>46256.166667400001</v>
      </c>
      <c r="BY16" s="6">
        <f t="shared" si="106"/>
        <v>46286.583334099996</v>
      </c>
      <c r="BZ16" s="6">
        <f t="shared" si="106"/>
        <v>46317.000000799999</v>
      </c>
      <c r="CA16" s="6">
        <f t="shared" si="106"/>
        <v>46347.416667500001</v>
      </c>
      <c r="CB16" s="6">
        <f t="shared" si="106"/>
        <v>46377.833334199997</v>
      </c>
      <c r="CC16" s="6">
        <f t="shared" si="106"/>
        <v>46408.2500009</v>
      </c>
      <c r="CD16" s="6">
        <f t="shared" si="106"/>
        <v>46438.666667600002</v>
      </c>
      <c r="CE16" s="6">
        <f t="shared" si="106"/>
        <v>46469.083334299998</v>
      </c>
      <c r="CF16" s="6">
        <f t="shared" si="106"/>
        <v>46499.500001</v>
      </c>
      <c r="CG16" s="6">
        <f t="shared" si="106"/>
        <v>46529.916667700003</v>
      </c>
      <c r="CH16" s="6">
        <f t="shared" si="106"/>
        <v>46560.333334399998</v>
      </c>
      <c r="CI16" s="6">
        <f t="shared" si="106"/>
        <v>46590.750001100001</v>
      </c>
      <c r="CJ16" s="6">
        <f t="shared" si="106"/>
        <v>46621.166667799997</v>
      </c>
      <c r="CK16" s="6">
        <f t="shared" si="106"/>
        <v>46651.583334499999</v>
      </c>
      <c r="CL16" s="6">
        <f t="shared" si="106"/>
        <v>46682.000001200002</v>
      </c>
      <c r="CM16" s="6">
        <f t="shared" si="106"/>
        <v>46712.416667899997</v>
      </c>
      <c r="CN16" s="6">
        <f t="shared" si="106"/>
        <v>46742.8333346</v>
      </c>
      <c r="CO16" s="6">
        <f t="shared" si="106"/>
        <v>46773.250001299995</v>
      </c>
      <c r="CP16" s="6">
        <f t="shared" si="106"/>
        <v>46803.666667999998</v>
      </c>
      <c r="CQ16" s="6">
        <f t="shared" si="106"/>
        <v>46834.083334700001</v>
      </c>
      <c r="CR16" s="6">
        <f t="shared" si="106"/>
        <v>46864.500001399996</v>
      </c>
      <c r="CS16" s="6">
        <f t="shared" si="106"/>
        <v>46894.916668099999</v>
      </c>
      <c r="CT16" s="6">
        <f t="shared" si="106"/>
        <v>46925.333334800001</v>
      </c>
      <c r="CU16" s="6">
        <f t="shared" si="106"/>
        <v>46955.750001499997</v>
      </c>
      <c r="CV16" s="6">
        <f t="shared" si="106"/>
        <v>46986.1666682</v>
      </c>
      <c r="CW16" s="6">
        <f t="shared" si="106"/>
        <v>47016.583334900002</v>
      </c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</row>
    <row r="17" spans="1:113" x14ac:dyDescent="0.25">
      <c r="A17" s="12">
        <f>+A18-1</f>
        <v>45490</v>
      </c>
      <c r="B17" s="6">
        <f t="shared" si="98"/>
        <v>45490</v>
      </c>
      <c r="C17" s="6">
        <f t="shared" si="99"/>
        <v>45520.416666700003</v>
      </c>
      <c r="D17" s="6">
        <f t="shared" si="99"/>
        <v>45550.833333399998</v>
      </c>
      <c r="E17" s="6">
        <f t="shared" si="99"/>
        <v>45581.250000100001</v>
      </c>
      <c r="F17" s="6">
        <f t="shared" si="99"/>
        <v>45611.666666800003</v>
      </c>
      <c r="G17" s="6">
        <f t="shared" si="99"/>
        <v>45642.083333499999</v>
      </c>
      <c r="H17" s="6">
        <f t="shared" si="99"/>
        <v>45672.500000200002</v>
      </c>
      <c r="I17" s="6">
        <f t="shared" si="99"/>
        <v>45702.916666899997</v>
      </c>
      <c r="J17" s="6">
        <f t="shared" si="99"/>
        <v>45733.3333336</v>
      </c>
      <c r="K17" s="6">
        <f t="shared" si="99"/>
        <v>45763.750000300002</v>
      </c>
      <c r="L17" s="6">
        <f t="shared" si="99"/>
        <v>45794.166666999998</v>
      </c>
      <c r="M17" s="6">
        <f t="shared" si="99"/>
        <v>45824.5833337</v>
      </c>
      <c r="N17" s="6">
        <f t="shared" si="99"/>
        <v>45855.000000400003</v>
      </c>
      <c r="O17" s="6">
        <f t="shared" si="99"/>
        <v>45885.416667099998</v>
      </c>
      <c r="P17" s="6">
        <f t="shared" si="99"/>
        <v>45915.833333800001</v>
      </c>
      <c r="Q17" s="6">
        <f t="shared" si="99"/>
        <v>45946.250000499997</v>
      </c>
      <c r="R17" s="6">
        <f t="shared" si="99"/>
        <v>45976.666667199999</v>
      </c>
      <c r="S17" s="6">
        <f t="shared" si="103"/>
        <v>46007.083333900002</v>
      </c>
      <c r="T17" s="6">
        <f t="shared" si="103"/>
        <v>46037.500000599997</v>
      </c>
      <c r="U17" s="6">
        <f t="shared" si="103"/>
        <v>46067.9166673</v>
      </c>
      <c r="V17" s="6">
        <f t="shared" si="103"/>
        <v>46098.333334000003</v>
      </c>
      <c r="W17" s="6">
        <f t="shared" si="103"/>
        <v>46128.750000699998</v>
      </c>
      <c r="X17" s="6">
        <f t="shared" si="103"/>
        <v>46159.166667400001</v>
      </c>
      <c r="Y17" s="6">
        <f t="shared" si="103"/>
        <v>46189.583334099996</v>
      </c>
      <c r="Z17" s="6">
        <f t="shared" si="103"/>
        <v>46220.000000799999</v>
      </c>
      <c r="AA17" s="6">
        <f t="shared" si="103"/>
        <v>46250.416667500001</v>
      </c>
      <c r="AB17" s="6">
        <f t="shared" si="103"/>
        <v>46280.833334199997</v>
      </c>
      <c r="AC17" s="6">
        <f t="shared" si="103"/>
        <v>46311.2500009</v>
      </c>
      <c r="AD17" s="6">
        <f t="shared" si="103"/>
        <v>46341.666667600002</v>
      </c>
      <c r="AE17" s="6">
        <f t="shared" si="103"/>
        <v>46372.083334299998</v>
      </c>
      <c r="AF17" s="6">
        <f t="shared" si="103"/>
        <v>46402.500001</v>
      </c>
      <c r="AG17" s="6">
        <f t="shared" si="103"/>
        <v>46432.916667700003</v>
      </c>
      <c r="AH17" s="6">
        <f t="shared" si="103"/>
        <v>46463.333334399998</v>
      </c>
      <c r="AI17" s="6">
        <f t="shared" si="104"/>
        <v>46493.750001100001</v>
      </c>
      <c r="AJ17" s="6">
        <f t="shared" si="104"/>
        <v>46524.166667799997</v>
      </c>
      <c r="AK17" s="6">
        <f t="shared" si="104"/>
        <v>46554.583334499999</v>
      </c>
      <c r="AL17" s="6">
        <f t="shared" si="104"/>
        <v>46585.000001200002</v>
      </c>
      <c r="AM17" s="6">
        <f t="shared" si="104"/>
        <v>46615.416667899997</v>
      </c>
      <c r="AN17" s="6">
        <f t="shared" si="104"/>
        <v>46645.8333346</v>
      </c>
      <c r="AO17" s="6">
        <f t="shared" si="104"/>
        <v>46676.250001299995</v>
      </c>
      <c r="AP17" s="6">
        <f t="shared" si="104"/>
        <v>46706.666667999998</v>
      </c>
      <c r="AQ17" s="6">
        <f t="shared" si="104"/>
        <v>46737.083334700001</v>
      </c>
      <c r="AR17" s="6">
        <f t="shared" si="104"/>
        <v>46767.500001399996</v>
      </c>
      <c r="AS17" s="6">
        <f t="shared" si="104"/>
        <v>46797.916668099999</v>
      </c>
      <c r="AT17" s="6">
        <f t="shared" si="104"/>
        <v>46828.333334800001</v>
      </c>
      <c r="AU17" s="6">
        <f t="shared" si="104"/>
        <v>46858.750001499997</v>
      </c>
      <c r="AV17" s="6">
        <f t="shared" si="104"/>
        <v>46889.1666682</v>
      </c>
      <c r="AW17" s="6">
        <f t="shared" si="104"/>
        <v>46919.583334900002</v>
      </c>
      <c r="AX17" s="6">
        <f t="shared" si="104"/>
        <v>46950.000001599998</v>
      </c>
      <c r="BA17" s="12">
        <f>+BA18-1</f>
        <v>45588</v>
      </c>
      <c r="BB17" s="6">
        <f t="shared" si="100"/>
        <v>45588</v>
      </c>
      <c r="BC17" s="6">
        <f t="shared" si="101"/>
        <v>45618.416666700003</v>
      </c>
      <c r="BD17" s="6">
        <f t="shared" si="106"/>
        <v>45648.833333399998</v>
      </c>
      <c r="BE17" s="6">
        <f t="shared" si="106"/>
        <v>45679.250000100001</v>
      </c>
      <c r="BF17" s="6">
        <f t="shared" si="106"/>
        <v>45709.666666800003</v>
      </c>
      <c r="BG17" s="6">
        <f t="shared" si="106"/>
        <v>45740.083333499999</v>
      </c>
      <c r="BH17" s="6">
        <f t="shared" si="106"/>
        <v>45770.500000200002</v>
      </c>
      <c r="BI17" s="6">
        <f t="shared" si="106"/>
        <v>45800.916666899997</v>
      </c>
      <c r="BJ17" s="6">
        <f t="shared" si="106"/>
        <v>45831.3333336</v>
      </c>
      <c r="BK17" s="6">
        <f t="shared" si="106"/>
        <v>45861.750000300002</v>
      </c>
      <c r="BL17" s="6">
        <f t="shared" si="106"/>
        <v>45892.166666999998</v>
      </c>
      <c r="BM17" s="6">
        <f t="shared" si="106"/>
        <v>45922.5833337</v>
      </c>
      <c r="BN17" s="6">
        <f t="shared" si="106"/>
        <v>45953.000000400003</v>
      </c>
      <c r="BO17" s="6">
        <f t="shared" si="106"/>
        <v>45983.416667099998</v>
      </c>
      <c r="BP17" s="6">
        <f t="shared" si="106"/>
        <v>46013.833333800001</v>
      </c>
      <c r="BQ17" s="6">
        <f t="shared" si="106"/>
        <v>46044.250000499997</v>
      </c>
      <c r="BR17" s="6">
        <f t="shared" si="106"/>
        <v>46074.666667199999</v>
      </c>
      <c r="BS17" s="6">
        <f t="shared" si="106"/>
        <v>46105.083333900002</v>
      </c>
      <c r="BT17" s="6">
        <f t="shared" si="106"/>
        <v>46135.500000599997</v>
      </c>
      <c r="BU17" s="6">
        <f t="shared" si="106"/>
        <v>46165.9166673</v>
      </c>
      <c r="BV17" s="6">
        <f t="shared" si="106"/>
        <v>46196.333334000003</v>
      </c>
      <c r="BW17" s="6">
        <f t="shared" si="106"/>
        <v>46226.750000699998</v>
      </c>
      <c r="BX17" s="6">
        <f t="shared" si="106"/>
        <v>46257.166667400001</v>
      </c>
      <c r="BY17" s="6">
        <f t="shared" si="106"/>
        <v>46287.583334099996</v>
      </c>
      <c r="BZ17" s="6">
        <f t="shared" si="106"/>
        <v>46318.000000799999</v>
      </c>
      <c r="CA17" s="6">
        <f t="shared" si="106"/>
        <v>46348.416667500001</v>
      </c>
      <c r="CB17" s="6">
        <f t="shared" si="106"/>
        <v>46378.833334199997</v>
      </c>
      <c r="CC17" s="6">
        <f t="shared" si="106"/>
        <v>46409.2500009</v>
      </c>
      <c r="CD17" s="6">
        <f t="shared" si="106"/>
        <v>46439.666667600002</v>
      </c>
      <c r="CE17" s="6">
        <f t="shared" si="106"/>
        <v>46470.083334299998</v>
      </c>
      <c r="CF17" s="6">
        <f t="shared" si="106"/>
        <v>46500.500001</v>
      </c>
      <c r="CG17" s="6">
        <f t="shared" si="106"/>
        <v>46530.916667700003</v>
      </c>
      <c r="CH17" s="6">
        <f t="shared" si="106"/>
        <v>46561.333334399998</v>
      </c>
      <c r="CI17" s="6">
        <f t="shared" si="106"/>
        <v>46591.750001100001</v>
      </c>
      <c r="CJ17" s="6">
        <f t="shared" si="106"/>
        <v>46622.166667799997</v>
      </c>
      <c r="CK17" s="6">
        <f t="shared" si="106"/>
        <v>46652.583334499999</v>
      </c>
      <c r="CL17" s="6">
        <f t="shared" si="106"/>
        <v>46683.000001200002</v>
      </c>
      <c r="CM17" s="6">
        <f t="shared" si="106"/>
        <v>46713.416667899997</v>
      </c>
      <c r="CN17" s="6">
        <f t="shared" si="106"/>
        <v>46743.8333346</v>
      </c>
      <c r="CO17" s="6">
        <f t="shared" si="106"/>
        <v>46774.250001299995</v>
      </c>
      <c r="CP17" s="6">
        <f t="shared" si="106"/>
        <v>46804.666667999998</v>
      </c>
      <c r="CQ17" s="6">
        <f t="shared" si="106"/>
        <v>46835.083334700001</v>
      </c>
      <c r="CR17" s="6">
        <f t="shared" si="106"/>
        <v>46865.500001399996</v>
      </c>
      <c r="CS17" s="6">
        <f t="shared" si="106"/>
        <v>46895.916668099999</v>
      </c>
      <c r="CT17" s="6">
        <f t="shared" si="106"/>
        <v>46926.333334800001</v>
      </c>
      <c r="CU17" s="6">
        <f t="shared" si="106"/>
        <v>46956.750001499997</v>
      </c>
      <c r="CV17" s="6">
        <f t="shared" si="106"/>
        <v>46987.1666682</v>
      </c>
      <c r="CW17" s="6">
        <f t="shared" si="106"/>
        <v>47017.583334900002</v>
      </c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</row>
    <row r="18" spans="1:113" x14ac:dyDescent="0.25">
      <c r="A18" s="12">
        <f>+A19-1</f>
        <v>45491</v>
      </c>
      <c r="B18" s="6">
        <f t="shared" si="98"/>
        <v>45491</v>
      </c>
      <c r="C18" s="6">
        <f t="shared" si="99"/>
        <v>45521.416666700003</v>
      </c>
      <c r="D18" s="6">
        <f t="shared" si="99"/>
        <v>45551.833333399998</v>
      </c>
      <c r="E18" s="6">
        <f t="shared" si="99"/>
        <v>45582.250000100001</v>
      </c>
      <c r="F18" s="6">
        <f t="shared" si="99"/>
        <v>45612.666666800003</v>
      </c>
      <c r="G18" s="6">
        <f t="shared" si="99"/>
        <v>45643.083333499999</v>
      </c>
      <c r="H18" s="6">
        <f t="shared" si="99"/>
        <v>45673.500000200002</v>
      </c>
      <c r="I18" s="6">
        <f t="shared" si="99"/>
        <v>45703.916666899997</v>
      </c>
      <c r="J18" s="6">
        <f t="shared" si="99"/>
        <v>45734.3333336</v>
      </c>
      <c r="K18" s="6">
        <f t="shared" si="99"/>
        <v>45764.750000300002</v>
      </c>
      <c r="L18" s="6">
        <f t="shared" si="99"/>
        <v>45795.166666999998</v>
      </c>
      <c r="M18" s="6">
        <f t="shared" si="99"/>
        <v>45825.5833337</v>
      </c>
      <c r="N18" s="6">
        <f t="shared" si="99"/>
        <v>45856.000000400003</v>
      </c>
      <c r="O18" s="6">
        <f t="shared" si="99"/>
        <v>45886.416667099998</v>
      </c>
      <c r="P18" s="6">
        <f t="shared" si="99"/>
        <v>45916.833333800001</v>
      </c>
      <c r="Q18" s="6">
        <f t="shared" si="99"/>
        <v>45947.250000499997</v>
      </c>
      <c r="R18" s="6">
        <f t="shared" si="99"/>
        <v>45977.666667199999</v>
      </c>
      <c r="S18" s="6">
        <f t="shared" si="103"/>
        <v>46008.083333900002</v>
      </c>
      <c r="T18" s="6">
        <f t="shared" si="103"/>
        <v>46038.500000599997</v>
      </c>
      <c r="U18" s="6">
        <f t="shared" si="103"/>
        <v>46068.9166673</v>
      </c>
      <c r="V18" s="6">
        <f t="shared" si="103"/>
        <v>46099.333334000003</v>
      </c>
      <c r="W18" s="6">
        <f t="shared" si="103"/>
        <v>46129.750000699998</v>
      </c>
      <c r="X18" s="6">
        <f t="shared" si="103"/>
        <v>46160.166667400001</v>
      </c>
      <c r="Y18" s="6">
        <f t="shared" si="103"/>
        <v>46190.583334099996</v>
      </c>
      <c r="Z18" s="6">
        <f t="shared" si="103"/>
        <v>46221.000000799999</v>
      </c>
      <c r="AA18" s="6">
        <f t="shared" si="103"/>
        <v>46251.416667500001</v>
      </c>
      <c r="AB18" s="6">
        <f t="shared" si="103"/>
        <v>46281.833334199997</v>
      </c>
      <c r="AC18" s="6">
        <f t="shared" si="103"/>
        <v>46312.2500009</v>
      </c>
      <c r="AD18" s="6">
        <f t="shared" si="103"/>
        <v>46342.666667600002</v>
      </c>
      <c r="AE18" s="6">
        <f t="shared" si="103"/>
        <v>46373.083334299998</v>
      </c>
      <c r="AF18" s="6">
        <f t="shared" si="103"/>
        <v>46403.500001</v>
      </c>
      <c r="AG18" s="6">
        <f t="shared" si="103"/>
        <v>46433.916667700003</v>
      </c>
      <c r="AH18" s="6">
        <f t="shared" si="103"/>
        <v>46464.333334399998</v>
      </c>
      <c r="AI18" s="6">
        <f t="shared" si="104"/>
        <v>46494.750001100001</v>
      </c>
      <c r="AJ18" s="6">
        <f t="shared" si="104"/>
        <v>46525.166667799997</v>
      </c>
      <c r="AK18" s="6">
        <f t="shared" si="104"/>
        <v>46555.583334499999</v>
      </c>
      <c r="AL18" s="6">
        <f t="shared" si="104"/>
        <v>46586.000001200002</v>
      </c>
      <c r="AM18" s="6">
        <f t="shared" si="104"/>
        <v>46616.416667899997</v>
      </c>
      <c r="AN18" s="6">
        <f t="shared" si="104"/>
        <v>46646.8333346</v>
      </c>
      <c r="AO18" s="6">
        <f t="shared" si="104"/>
        <v>46677.250001299995</v>
      </c>
      <c r="AP18" s="6">
        <f t="shared" si="104"/>
        <v>46707.666667999998</v>
      </c>
      <c r="AQ18" s="6">
        <f t="shared" si="104"/>
        <v>46738.083334700001</v>
      </c>
      <c r="AR18" s="6">
        <f t="shared" si="104"/>
        <v>46768.500001399996</v>
      </c>
      <c r="AS18" s="6">
        <f t="shared" si="104"/>
        <v>46798.916668099999</v>
      </c>
      <c r="AT18" s="6">
        <f t="shared" si="104"/>
        <v>46829.333334800001</v>
      </c>
      <c r="AU18" s="6">
        <f t="shared" si="104"/>
        <v>46859.750001499997</v>
      </c>
      <c r="AV18" s="6">
        <f t="shared" si="104"/>
        <v>46890.1666682</v>
      </c>
      <c r="AW18" s="6">
        <f t="shared" si="104"/>
        <v>46920.583334900002</v>
      </c>
      <c r="AX18" s="6">
        <f t="shared" si="104"/>
        <v>46951.000001599998</v>
      </c>
      <c r="BA18" s="12">
        <f>+BA19-1</f>
        <v>45589</v>
      </c>
      <c r="BB18" s="6">
        <f t="shared" si="100"/>
        <v>45589</v>
      </c>
      <c r="BC18" s="6">
        <f t="shared" si="101"/>
        <v>45619.416666700003</v>
      </c>
      <c r="BD18" s="6">
        <f t="shared" si="106"/>
        <v>45649.833333399998</v>
      </c>
      <c r="BE18" s="6">
        <f t="shared" si="106"/>
        <v>45680.250000100001</v>
      </c>
      <c r="BF18" s="6">
        <f t="shared" si="106"/>
        <v>45710.666666800003</v>
      </c>
      <c r="BG18" s="6">
        <f t="shared" si="106"/>
        <v>45741.083333499999</v>
      </c>
      <c r="BH18" s="6">
        <f t="shared" si="106"/>
        <v>45771.500000200002</v>
      </c>
      <c r="BI18" s="6">
        <f t="shared" si="106"/>
        <v>45801.916666899997</v>
      </c>
      <c r="BJ18" s="6">
        <f t="shared" si="106"/>
        <v>45832.3333336</v>
      </c>
      <c r="BK18" s="6">
        <f t="shared" si="106"/>
        <v>45862.750000300002</v>
      </c>
      <c r="BL18" s="6">
        <f t="shared" si="106"/>
        <v>45893.166666999998</v>
      </c>
      <c r="BM18" s="6">
        <f t="shared" si="106"/>
        <v>45923.5833337</v>
      </c>
      <c r="BN18" s="6">
        <f t="shared" si="106"/>
        <v>45954.000000400003</v>
      </c>
      <c r="BO18" s="6">
        <f t="shared" si="106"/>
        <v>45984.416667099998</v>
      </c>
      <c r="BP18" s="6">
        <f t="shared" si="106"/>
        <v>46014.833333800001</v>
      </c>
      <c r="BQ18" s="6">
        <f t="shared" si="106"/>
        <v>46045.250000499997</v>
      </c>
      <c r="BR18" s="6">
        <f t="shared" si="106"/>
        <v>46075.666667199999</v>
      </c>
      <c r="BS18" s="6">
        <f t="shared" si="106"/>
        <v>46106.083333900002</v>
      </c>
      <c r="BT18" s="6">
        <f t="shared" si="106"/>
        <v>46136.500000599997</v>
      </c>
      <c r="BU18" s="6">
        <f t="shared" si="106"/>
        <v>46166.9166673</v>
      </c>
      <c r="BV18" s="6">
        <f t="shared" si="106"/>
        <v>46197.333334000003</v>
      </c>
      <c r="BW18" s="6">
        <f t="shared" si="106"/>
        <v>46227.750000699998</v>
      </c>
      <c r="BX18" s="6">
        <f t="shared" si="106"/>
        <v>46258.166667400001</v>
      </c>
      <c r="BY18" s="6">
        <f t="shared" si="106"/>
        <v>46288.583334099996</v>
      </c>
      <c r="BZ18" s="6">
        <f t="shared" si="106"/>
        <v>46319.000000799999</v>
      </c>
      <c r="CA18" s="6">
        <f t="shared" si="106"/>
        <v>46349.416667500001</v>
      </c>
      <c r="CB18" s="6">
        <f t="shared" si="106"/>
        <v>46379.833334199997</v>
      </c>
      <c r="CC18" s="6">
        <f t="shared" si="106"/>
        <v>46410.2500009</v>
      </c>
      <c r="CD18" s="6">
        <f t="shared" si="106"/>
        <v>46440.666667600002</v>
      </c>
      <c r="CE18" s="6">
        <f t="shared" si="106"/>
        <v>46471.083334299998</v>
      </c>
      <c r="CF18" s="6">
        <f t="shared" si="106"/>
        <v>46501.500001</v>
      </c>
      <c r="CG18" s="6">
        <f t="shared" si="106"/>
        <v>46531.916667700003</v>
      </c>
      <c r="CH18" s="6">
        <f t="shared" si="106"/>
        <v>46562.333334399998</v>
      </c>
      <c r="CI18" s="6">
        <f t="shared" si="106"/>
        <v>46592.750001100001</v>
      </c>
      <c r="CJ18" s="6">
        <f t="shared" si="106"/>
        <v>46623.166667799997</v>
      </c>
      <c r="CK18" s="6">
        <f t="shared" si="106"/>
        <v>46653.583334499999</v>
      </c>
      <c r="CL18" s="6">
        <f t="shared" si="106"/>
        <v>46684.000001200002</v>
      </c>
      <c r="CM18" s="6">
        <f t="shared" si="106"/>
        <v>46714.416667899997</v>
      </c>
      <c r="CN18" s="6">
        <f t="shared" si="106"/>
        <v>46744.8333346</v>
      </c>
      <c r="CO18" s="6">
        <f t="shared" si="106"/>
        <v>46775.250001299995</v>
      </c>
      <c r="CP18" s="6">
        <f t="shared" si="106"/>
        <v>46805.666667999998</v>
      </c>
      <c r="CQ18" s="6">
        <f t="shared" si="106"/>
        <v>46836.083334700001</v>
      </c>
      <c r="CR18" s="6">
        <f t="shared" si="106"/>
        <v>46866.500001399996</v>
      </c>
      <c r="CS18" s="6">
        <f t="shared" si="106"/>
        <v>46896.916668099999</v>
      </c>
      <c r="CT18" s="6">
        <f t="shared" si="106"/>
        <v>46927.333334800001</v>
      </c>
      <c r="CU18" s="6">
        <f t="shared" si="106"/>
        <v>46957.750001499997</v>
      </c>
      <c r="CV18" s="6">
        <f t="shared" si="106"/>
        <v>46988.1666682</v>
      </c>
      <c r="CW18" s="6">
        <f t="shared" si="106"/>
        <v>47018.583334900002</v>
      </c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</row>
    <row r="19" spans="1:113" x14ac:dyDescent="0.25">
      <c r="A19" s="12">
        <v>45492</v>
      </c>
      <c r="B19" s="6">
        <f>A19</f>
        <v>45492</v>
      </c>
      <c r="C19" s="6">
        <f>$B19+C$4</f>
        <v>45522.416666700003</v>
      </c>
      <c r="D19" s="6">
        <f t="shared" si="99"/>
        <v>45552.833333399998</v>
      </c>
      <c r="E19" s="6">
        <f t="shared" si="99"/>
        <v>45583.250000100001</v>
      </c>
      <c r="F19" s="6">
        <f t="shared" si="99"/>
        <v>45613.666666800003</v>
      </c>
      <c r="G19" s="6">
        <f t="shared" si="99"/>
        <v>45644.083333499999</v>
      </c>
      <c r="H19" s="6">
        <f t="shared" si="99"/>
        <v>45674.500000200002</v>
      </c>
      <c r="I19" s="6">
        <f t="shared" si="99"/>
        <v>45704.916666899997</v>
      </c>
      <c r="J19" s="6">
        <f t="shared" si="99"/>
        <v>45735.3333336</v>
      </c>
      <c r="K19" s="6">
        <f t="shared" si="99"/>
        <v>45765.750000300002</v>
      </c>
      <c r="L19" s="6">
        <f t="shared" si="99"/>
        <v>45796.166666999998</v>
      </c>
      <c r="M19" s="6">
        <f t="shared" si="99"/>
        <v>45826.5833337</v>
      </c>
      <c r="N19" s="6">
        <f t="shared" si="99"/>
        <v>45857.000000400003</v>
      </c>
      <c r="O19" s="6">
        <f t="shared" si="99"/>
        <v>45887.416667099998</v>
      </c>
      <c r="P19" s="6">
        <f t="shared" si="99"/>
        <v>45917.833333800001</v>
      </c>
      <c r="Q19" s="6">
        <f t="shared" si="99"/>
        <v>45948.250000499997</v>
      </c>
      <c r="R19" s="6">
        <f t="shared" si="99"/>
        <v>45978.666667199999</v>
      </c>
      <c r="S19" s="6">
        <f t="shared" si="103"/>
        <v>46009.083333900002</v>
      </c>
      <c r="T19" s="6">
        <f t="shared" si="103"/>
        <v>46039.500000599997</v>
      </c>
      <c r="U19" s="6">
        <f t="shared" si="103"/>
        <v>46069.9166673</v>
      </c>
      <c r="V19" s="6">
        <f t="shared" si="103"/>
        <v>46100.333334000003</v>
      </c>
      <c r="W19" s="6">
        <f t="shared" si="103"/>
        <v>46130.750000699998</v>
      </c>
      <c r="X19" s="6">
        <f t="shared" si="103"/>
        <v>46161.166667400001</v>
      </c>
      <c r="Y19" s="6">
        <f t="shared" si="103"/>
        <v>46191.583334099996</v>
      </c>
      <c r="Z19" s="6">
        <f t="shared" si="103"/>
        <v>46222.000000799999</v>
      </c>
      <c r="AA19" s="6">
        <f t="shared" si="103"/>
        <v>46252.416667500001</v>
      </c>
      <c r="AB19" s="6">
        <f t="shared" si="103"/>
        <v>46282.833334199997</v>
      </c>
      <c r="AC19" s="6">
        <f t="shared" si="103"/>
        <v>46313.2500009</v>
      </c>
      <c r="AD19" s="6">
        <f t="shared" si="103"/>
        <v>46343.666667600002</v>
      </c>
      <c r="AE19" s="6">
        <f t="shared" si="103"/>
        <v>46374.083334299998</v>
      </c>
      <c r="AF19" s="6">
        <f t="shared" si="103"/>
        <v>46404.500001</v>
      </c>
      <c r="AG19" s="6">
        <f t="shared" si="103"/>
        <v>46434.916667700003</v>
      </c>
      <c r="AH19" s="6">
        <f t="shared" si="103"/>
        <v>46465.333334399998</v>
      </c>
      <c r="AI19" s="6">
        <f t="shared" si="104"/>
        <v>46495.750001100001</v>
      </c>
      <c r="AJ19" s="6">
        <f t="shared" si="104"/>
        <v>46526.166667799997</v>
      </c>
      <c r="AK19" s="6">
        <f t="shared" si="104"/>
        <v>46556.583334499999</v>
      </c>
      <c r="AL19" s="6">
        <f t="shared" si="104"/>
        <v>46587.000001200002</v>
      </c>
      <c r="AM19" s="6">
        <f t="shared" si="104"/>
        <v>46617.416667899997</v>
      </c>
      <c r="AN19" s="6">
        <f t="shared" si="104"/>
        <v>46647.8333346</v>
      </c>
      <c r="AO19" s="6">
        <f t="shared" si="104"/>
        <v>46678.250001299995</v>
      </c>
      <c r="AP19" s="6">
        <f t="shared" si="104"/>
        <v>46708.666667999998</v>
      </c>
      <c r="AQ19" s="6">
        <f t="shared" si="104"/>
        <v>46739.083334700001</v>
      </c>
      <c r="AR19" s="6">
        <f t="shared" si="104"/>
        <v>46769.500001399996</v>
      </c>
      <c r="AS19" s="6">
        <f t="shared" si="104"/>
        <v>46799.916668099999</v>
      </c>
      <c r="AT19" s="6">
        <f t="shared" si="104"/>
        <v>46830.333334800001</v>
      </c>
      <c r="AU19" s="6">
        <f t="shared" si="104"/>
        <v>46860.750001499997</v>
      </c>
      <c r="AV19" s="6">
        <f t="shared" si="104"/>
        <v>46891.1666682</v>
      </c>
      <c r="AW19" s="6">
        <f t="shared" si="104"/>
        <v>46921.583334900002</v>
      </c>
      <c r="AX19" s="6">
        <f t="shared" si="104"/>
        <v>46952.000001599998</v>
      </c>
      <c r="BA19" s="12">
        <v>45590</v>
      </c>
      <c r="BB19" s="6">
        <f>BA19</f>
        <v>45590</v>
      </c>
      <c r="BC19" s="6">
        <f t="shared" si="101"/>
        <v>45620.416666700003</v>
      </c>
      <c r="BD19" s="6">
        <f t="shared" si="106"/>
        <v>45650.833333399998</v>
      </c>
      <c r="BE19" s="6">
        <f t="shared" si="106"/>
        <v>45681.250000100001</v>
      </c>
      <c r="BF19" s="6">
        <f t="shared" si="106"/>
        <v>45711.666666800003</v>
      </c>
      <c r="BG19" s="6">
        <f t="shared" si="106"/>
        <v>45742.083333499999</v>
      </c>
      <c r="BH19" s="6">
        <f t="shared" si="106"/>
        <v>45772.500000200002</v>
      </c>
      <c r="BI19" s="6">
        <f t="shared" si="106"/>
        <v>45802.916666899997</v>
      </c>
      <c r="BJ19" s="6">
        <f t="shared" si="106"/>
        <v>45833.3333336</v>
      </c>
      <c r="BK19" s="6">
        <f t="shared" si="106"/>
        <v>45863.750000300002</v>
      </c>
      <c r="BL19" s="6">
        <f t="shared" si="106"/>
        <v>45894.166666999998</v>
      </c>
      <c r="BM19" s="6">
        <f t="shared" si="106"/>
        <v>45924.5833337</v>
      </c>
      <c r="BN19" s="6">
        <f t="shared" si="106"/>
        <v>45955.000000400003</v>
      </c>
      <c r="BO19" s="6">
        <f t="shared" si="106"/>
        <v>45985.416667099998</v>
      </c>
      <c r="BP19" s="6">
        <f t="shared" si="106"/>
        <v>46015.833333800001</v>
      </c>
      <c r="BQ19" s="6">
        <f t="shared" si="106"/>
        <v>46046.250000499997</v>
      </c>
      <c r="BR19" s="6">
        <f t="shared" si="106"/>
        <v>46076.666667199999</v>
      </c>
      <c r="BS19" s="6">
        <f t="shared" si="106"/>
        <v>46107.083333900002</v>
      </c>
      <c r="BT19" s="6">
        <f t="shared" si="106"/>
        <v>46137.500000599997</v>
      </c>
      <c r="BU19" s="6">
        <f t="shared" si="106"/>
        <v>46167.9166673</v>
      </c>
      <c r="BV19" s="6">
        <f t="shared" si="106"/>
        <v>46198.333334000003</v>
      </c>
      <c r="BW19" s="6">
        <f t="shared" si="106"/>
        <v>46228.750000699998</v>
      </c>
      <c r="BX19" s="6">
        <f t="shared" si="106"/>
        <v>46259.166667400001</v>
      </c>
      <c r="BY19" s="6">
        <f t="shared" si="106"/>
        <v>46289.583334099996</v>
      </c>
      <c r="BZ19" s="6">
        <f t="shared" si="106"/>
        <v>46320.000000799999</v>
      </c>
      <c r="CA19" s="6">
        <f t="shared" si="106"/>
        <v>46350.416667500001</v>
      </c>
      <c r="CB19" s="6">
        <f t="shared" si="106"/>
        <v>46380.833334199997</v>
      </c>
      <c r="CC19" s="6">
        <f t="shared" si="106"/>
        <v>46411.2500009</v>
      </c>
      <c r="CD19" s="6">
        <f t="shared" si="106"/>
        <v>46441.666667600002</v>
      </c>
      <c r="CE19" s="6">
        <f t="shared" si="106"/>
        <v>46472.083334299998</v>
      </c>
      <c r="CF19" s="6">
        <f t="shared" si="106"/>
        <v>46502.500001</v>
      </c>
      <c r="CG19" s="6">
        <f t="shared" si="106"/>
        <v>46532.916667700003</v>
      </c>
      <c r="CH19" s="6">
        <f t="shared" si="106"/>
        <v>46563.333334399998</v>
      </c>
      <c r="CI19" s="6">
        <f t="shared" si="106"/>
        <v>46593.750001100001</v>
      </c>
      <c r="CJ19" s="6">
        <f t="shared" si="106"/>
        <v>46624.166667799997</v>
      </c>
      <c r="CK19" s="6">
        <f t="shared" si="106"/>
        <v>46654.583334499999</v>
      </c>
      <c r="CL19" s="6">
        <f t="shared" si="106"/>
        <v>46685.000001200002</v>
      </c>
      <c r="CM19" s="6">
        <f t="shared" si="106"/>
        <v>46715.416667899997</v>
      </c>
      <c r="CN19" s="6">
        <f t="shared" si="106"/>
        <v>46745.8333346</v>
      </c>
      <c r="CO19" s="6">
        <f t="shared" si="106"/>
        <v>46776.250001299995</v>
      </c>
      <c r="CP19" s="6">
        <f t="shared" si="106"/>
        <v>46806.666667999998</v>
      </c>
      <c r="CQ19" s="6">
        <f t="shared" si="106"/>
        <v>46837.083334700001</v>
      </c>
      <c r="CR19" s="6">
        <f t="shared" si="106"/>
        <v>46867.500001399996</v>
      </c>
      <c r="CS19" s="6">
        <f t="shared" si="106"/>
        <v>46897.916668099999</v>
      </c>
      <c r="CT19" s="6">
        <f t="shared" si="106"/>
        <v>46928.333334800001</v>
      </c>
      <c r="CU19" s="6">
        <f t="shared" si="106"/>
        <v>46958.750001499997</v>
      </c>
      <c r="CV19" s="6">
        <f t="shared" si="106"/>
        <v>46989.1666682</v>
      </c>
      <c r="CW19" s="6">
        <f t="shared" si="106"/>
        <v>47019.583334900002</v>
      </c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</row>
    <row r="20" spans="1:113" x14ac:dyDescent="0.25">
      <c r="A20" s="12">
        <v>45495</v>
      </c>
      <c r="B20" s="6">
        <f t="shared" ref="B20" si="107">A20</f>
        <v>45495</v>
      </c>
      <c r="C20" s="6">
        <f t="shared" si="99"/>
        <v>45525.416666700003</v>
      </c>
      <c r="D20" s="6">
        <f t="shared" si="99"/>
        <v>45555.833333399998</v>
      </c>
      <c r="E20" s="6">
        <f t="shared" si="99"/>
        <v>45586.250000100001</v>
      </c>
      <c r="F20" s="6">
        <f t="shared" si="99"/>
        <v>45616.666666800003</v>
      </c>
      <c r="G20" s="6">
        <f t="shared" si="99"/>
        <v>45647.083333499999</v>
      </c>
      <c r="H20" s="6">
        <f t="shared" si="99"/>
        <v>45677.500000200002</v>
      </c>
      <c r="I20" s="6">
        <f t="shared" si="99"/>
        <v>45707.916666899997</v>
      </c>
      <c r="J20" s="6">
        <f t="shared" si="99"/>
        <v>45738.3333336</v>
      </c>
      <c r="K20" s="6">
        <f t="shared" si="99"/>
        <v>45768.750000300002</v>
      </c>
      <c r="L20" s="6">
        <f t="shared" si="99"/>
        <v>45799.166666999998</v>
      </c>
      <c r="M20" s="6">
        <f t="shared" si="99"/>
        <v>45829.5833337</v>
      </c>
      <c r="N20" s="6">
        <f t="shared" si="99"/>
        <v>45860.000000400003</v>
      </c>
      <c r="O20" s="6">
        <f t="shared" si="99"/>
        <v>45890.416667099998</v>
      </c>
      <c r="P20" s="6">
        <f t="shared" si="99"/>
        <v>45920.833333800001</v>
      </c>
      <c r="Q20" s="6">
        <f t="shared" si="99"/>
        <v>45951.250000499997</v>
      </c>
      <c r="R20" s="6">
        <f t="shared" si="99"/>
        <v>45981.666667199999</v>
      </c>
      <c r="S20" s="6">
        <f t="shared" si="103"/>
        <v>46012.083333900002</v>
      </c>
      <c r="T20" s="6">
        <f t="shared" si="103"/>
        <v>46042.500000599997</v>
      </c>
      <c r="U20" s="6">
        <f t="shared" si="103"/>
        <v>46072.9166673</v>
      </c>
      <c r="V20" s="6">
        <f t="shared" si="103"/>
        <v>46103.333334000003</v>
      </c>
      <c r="W20" s="6">
        <f t="shared" si="103"/>
        <v>46133.750000699998</v>
      </c>
      <c r="X20" s="6">
        <f t="shared" si="103"/>
        <v>46164.166667400001</v>
      </c>
      <c r="Y20" s="6">
        <f t="shared" si="103"/>
        <v>46194.583334099996</v>
      </c>
      <c r="Z20" s="6">
        <f t="shared" si="103"/>
        <v>46225.000000799999</v>
      </c>
      <c r="AA20" s="6">
        <f t="shared" si="103"/>
        <v>46255.416667500001</v>
      </c>
      <c r="AB20" s="6">
        <f t="shared" si="103"/>
        <v>46285.833334199997</v>
      </c>
      <c r="AC20" s="6">
        <f t="shared" si="103"/>
        <v>46316.2500009</v>
      </c>
      <c r="AD20" s="6">
        <f t="shared" si="103"/>
        <v>46346.666667600002</v>
      </c>
      <c r="AE20" s="6">
        <f t="shared" si="103"/>
        <v>46377.083334299998</v>
      </c>
      <c r="AF20" s="6">
        <f t="shared" si="103"/>
        <v>46407.500001</v>
      </c>
      <c r="AG20" s="6">
        <f t="shared" si="103"/>
        <v>46437.916667700003</v>
      </c>
      <c r="AH20" s="6">
        <f t="shared" si="103"/>
        <v>46468.333334399998</v>
      </c>
      <c r="AI20" s="6">
        <f t="shared" si="104"/>
        <v>46498.750001100001</v>
      </c>
      <c r="AJ20" s="6">
        <f t="shared" si="104"/>
        <v>46529.166667799997</v>
      </c>
      <c r="AK20" s="6">
        <f t="shared" si="104"/>
        <v>46559.583334499999</v>
      </c>
      <c r="AL20" s="6">
        <f t="shared" si="104"/>
        <v>46590.000001200002</v>
      </c>
      <c r="AM20" s="6">
        <f t="shared" si="104"/>
        <v>46620.416667899997</v>
      </c>
      <c r="AN20" s="6">
        <f t="shared" si="104"/>
        <v>46650.8333346</v>
      </c>
      <c r="AO20" s="6">
        <f t="shared" si="104"/>
        <v>46681.250001299995</v>
      </c>
      <c r="AP20" s="6">
        <f t="shared" si="104"/>
        <v>46711.666667999998</v>
      </c>
      <c r="AQ20" s="6">
        <f t="shared" si="104"/>
        <v>46742.083334700001</v>
      </c>
      <c r="AR20" s="6">
        <f t="shared" si="104"/>
        <v>46772.500001399996</v>
      </c>
      <c r="AS20" s="6">
        <f t="shared" si="104"/>
        <v>46802.916668099999</v>
      </c>
      <c r="AT20" s="6">
        <f t="shared" si="104"/>
        <v>46833.333334800001</v>
      </c>
      <c r="AU20" s="6">
        <f t="shared" si="104"/>
        <v>46863.750001499997</v>
      </c>
      <c r="AV20" s="6">
        <f t="shared" si="104"/>
        <v>46894.1666682</v>
      </c>
      <c r="AW20" s="6">
        <f t="shared" si="104"/>
        <v>46924.583334900002</v>
      </c>
      <c r="AX20" s="6">
        <f t="shared" si="104"/>
        <v>46955.000001599998</v>
      </c>
      <c r="BA20" s="12">
        <v>45593</v>
      </c>
      <c r="BB20" s="6">
        <f t="shared" ref="BB20" si="108">BA20</f>
        <v>45593</v>
      </c>
      <c r="BC20" s="6">
        <f t="shared" si="101"/>
        <v>45623.416666700003</v>
      </c>
      <c r="BD20" s="6">
        <f t="shared" si="106"/>
        <v>45653.833333399998</v>
      </c>
      <c r="BE20" s="6">
        <f t="shared" si="106"/>
        <v>45684.250000100001</v>
      </c>
      <c r="BF20" s="6">
        <f t="shared" si="106"/>
        <v>45714.666666800003</v>
      </c>
      <c r="BG20" s="6">
        <f t="shared" si="106"/>
        <v>45745.083333499999</v>
      </c>
      <c r="BH20" s="6">
        <f t="shared" si="106"/>
        <v>45775.500000200002</v>
      </c>
      <c r="BI20" s="6">
        <f t="shared" si="106"/>
        <v>45805.916666899997</v>
      </c>
      <c r="BJ20" s="6">
        <f t="shared" si="106"/>
        <v>45836.3333336</v>
      </c>
      <c r="BK20" s="6">
        <f t="shared" si="106"/>
        <v>45866.750000300002</v>
      </c>
      <c r="BL20" s="6">
        <f t="shared" si="106"/>
        <v>45897.166666999998</v>
      </c>
      <c r="BM20" s="6">
        <f t="shared" si="106"/>
        <v>45927.5833337</v>
      </c>
      <c r="BN20" s="6">
        <f t="shared" ref="BN20:CW20" si="109">$BA20+BN$4</f>
        <v>45958.000000400003</v>
      </c>
      <c r="BO20" s="6">
        <f t="shared" si="109"/>
        <v>45988.416667099998</v>
      </c>
      <c r="BP20" s="6">
        <f t="shared" si="109"/>
        <v>46018.833333800001</v>
      </c>
      <c r="BQ20" s="6">
        <f t="shared" si="109"/>
        <v>46049.250000499997</v>
      </c>
      <c r="BR20" s="6">
        <f t="shared" si="109"/>
        <v>46079.666667199999</v>
      </c>
      <c r="BS20" s="6">
        <f t="shared" si="109"/>
        <v>46110.083333900002</v>
      </c>
      <c r="BT20" s="6">
        <f t="shared" si="109"/>
        <v>46140.500000599997</v>
      </c>
      <c r="BU20" s="6">
        <f t="shared" si="109"/>
        <v>46170.9166673</v>
      </c>
      <c r="BV20" s="6">
        <f t="shared" si="109"/>
        <v>46201.333334000003</v>
      </c>
      <c r="BW20" s="6">
        <f t="shared" si="109"/>
        <v>46231.750000699998</v>
      </c>
      <c r="BX20" s="6">
        <f t="shared" si="109"/>
        <v>46262.166667400001</v>
      </c>
      <c r="BY20" s="6">
        <f t="shared" si="109"/>
        <v>46292.583334099996</v>
      </c>
      <c r="BZ20" s="6">
        <f t="shared" si="109"/>
        <v>46323.000000799999</v>
      </c>
      <c r="CA20" s="6">
        <f t="shared" si="109"/>
        <v>46353.416667500001</v>
      </c>
      <c r="CB20" s="6">
        <f t="shared" si="109"/>
        <v>46383.833334199997</v>
      </c>
      <c r="CC20" s="6">
        <f t="shared" si="109"/>
        <v>46414.2500009</v>
      </c>
      <c r="CD20" s="6">
        <f t="shared" si="109"/>
        <v>46444.666667600002</v>
      </c>
      <c r="CE20" s="6">
        <f t="shared" si="109"/>
        <v>46475.083334299998</v>
      </c>
      <c r="CF20" s="6">
        <f t="shared" si="109"/>
        <v>46505.500001</v>
      </c>
      <c r="CG20" s="6">
        <f t="shared" si="109"/>
        <v>46535.916667700003</v>
      </c>
      <c r="CH20" s="6">
        <f t="shared" si="109"/>
        <v>46566.333334399998</v>
      </c>
      <c r="CI20" s="6">
        <f t="shared" si="109"/>
        <v>46596.750001100001</v>
      </c>
      <c r="CJ20" s="6">
        <f t="shared" si="109"/>
        <v>46627.166667799997</v>
      </c>
      <c r="CK20" s="6">
        <f t="shared" si="109"/>
        <v>46657.583334499999</v>
      </c>
      <c r="CL20" s="6">
        <f t="shared" si="109"/>
        <v>46688.000001200002</v>
      </c>
      <c r="CM20" s="6">
        <f t="shared" si="109"/>
        <v>46718.416667899997</v>
      </c>
      <c r="CN20" s="6">
        <f t="shared" si="109"/>
        <v>46748.8333346</v>
      </c>
      <c r="CO20" s="6">
        <f t="shared" si="109"/>
        <v>46779.250001299995</v>
      </c>
      <c r="CP20" s="6">
        <f t="shared" si="109"/>
        <v>46809.666667999998</v>
      </c>
      <c r="CQ20" s="6">
        <f t="shared" si="109"/>
        <v>46840.083334700001</v>
      </c>
      <c r="CR20" s="6">
        <f t="shared" si="109"/>
        <v>46870.500001399996</v>
      </c>
      <c r="CS20" s="6">
        <f t="shared" si="109"/>
        <v>46900.916668099999</v>
      </c>
      <c r="CT20" s="6">
        <f t="shared" si="109"/>
        <v>46931.333334800001</v>
      </c>
      <c r="CU20" s="6">
        <f t="shared" si="109"/>
        <v>46961.750001499997</v>
      </c>
      <c r="CV20" s="6">
        <f t="shared" si="109"/>
        <v>46992.1666682</v>
      </c>
      <c r="CW20" s="6">
        <f t="shared" si="109"/>
        <v>47022.583334900002</v>
      </c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</row>
    <row r="22" spans="1:113" x14ac:dyDescent="0.25">
      <c r="A22" s="8" t="s">
        <v>952</v>
      </c>
      <c r="BA22" s="8" t="s">
        <v>952</v>
      </c>
    </row>
    <row r="23" spans="1:113" x14ac:dyDescent="0.25">
      <c r="A23" s="6">
        <f t="shared" ref="A23:A37" si="110">A6</f>
        <v>45475</v>
      </c>
      <c r="B23" s="7">
        <f>VLOOKUP($A23,HAVERD!$A:$BS,B$2,FALSE)</f>
        <v>5.2</v>
      </c>
      <c r="C23" s="7">
        <f>VLOOKUP($A23,HAVERD!$A:$BS,C$2,FALSE)</f>
        <v>5.1362519999999998</v>
      </c>
      <c r="D23" s="7">
        <f>VLOOKUP($A23,HAVERD!$A:$BS,D$2,FALSE)</f>
        <v>5.0458777000000001</v>
      </c>
      <c r="E23" s="7">
        <f>VLOOKUP($A23,HAVERD!$A:$BS,E$2,FALSE)</f>
        <v>4.9812656999999998</v>
      </c>
      <c r="F23" s="7">
        <f>VLOOKUP($A23,HAVERD!$A:$BS,F$2,FALSE)</f>
        <v>4.9207792000000001</v>
      </c>
      <c r="G23" s="7">
        <f>VLOOKUP($A23,HAVERD!$A:$BS,G$2,FALSE)</f>
        <v>4.8541056999999999</v>
      </c>
      <c r="H23" s="7">
        <f>VLOOKUP($A23,HAVERD!$A:$BS,H$2,FALSE)</f>
        <v>4.7827698999999999</v>
      </c>
      <c r="I23" s="7">
        <f>VLOOKUP($A23,HAVERD!$A:$BS,I$2,FALSE)</f>
        <v>4.7105142000000004</v>
      </c>
      <c r="J23" s="7">
        <f>VLOOKUP($A23,HAVERD!$A:$BS,J$2,FALSE)</f>
        <v>4.6412294000000003</v>
      </c>
      <c r="K23" s="7">
        <f>VLOOKUP($A23,HAVERD!$A:$BS,K$2,FALSE)</f>
        <v>4.5777956</v>
      </c>
      <c r="L23" s="7">
        <f>VLOOKUP($A23,HAVERD!$A:$BS,L$2,FALSE)</f>
        <v>4.5208918999999996</v>
      </c>
      <c r="M23" s="7">
        <f>VLOOKUP($A23,HAVERD!$A:$BS,M$2,FALSE)</f>
        <v>4.4702950000000001</v>
      </c>
      <c r="N23" s="7">
        <f>VLOOKUP($A23,HAVERD!$A:$BS,N$2,FALSE)</f>
        <v>4.4247104999999998</v>
      </c>
      <c r="O23" s="7">
        <f>VLOOKUP($A23,HAVERD!$A:$BS,O$2,FALSE)</f>
        <v>4.3816316000000004</v>
      </c>
      <c r="P23" s="7">
        <f>VLOOKUP($A23,HAVERD!$A:$BS,P$2,FALSE)</f>
        <v>4.3401357999999997</v>
      </c>
      <c r="Q23" s="7">
        <f>VLOOKUP($A23,HAVERD!$A:$BS,Q$2,FALSE)</f>
        <v>4.2997997000000003</v>
      </c>
      <c r="R23" s="7">
        <f>VLOOKUP($A23,HAVERD!$A:$BS,R$2,FALSE)</f>
        <v>4.2601985999999998</v>
      </c>
      <c r="S23" s="7">
        <f>VLOOKUP($A23,HAVERD!$A:$BS,S$2,FALSE)</f>
        <v>4.2209075</v>
      </c>
      <c r="T23" s="7">
        <f>VLOOKUP($A23,HAVERD!$A:$BS,T$2,FALSE)</f>
        <v>4.1815030000000002</v>
      </c>
      <c r="U23" s="7">
        <f>VLOOKUP($A23,HAVERD!$A:$BS,U$2,FALSE)</f>
        <v>4.1416744000000003</v>
      </c>
      <c r="V23" s="7">
        <f>VLOOKUP($A23,HAVERD!$A:$BS,V$2,FALSE)</f>
        <v>4.1016399999999997</v>
      </c>
      <c r="W23" s="7">
        <f>VLOOKUP($A23,HAVERD!$A:$BS,W$2,FALSE)</f>
        <v>4.0617726999999997</v>
      </c>
      <c r="X23" s="7">
        <f>VLOOKUP($A23,HAVERD!$A:$BS,X$2,FALSE)</f>
        <v>4.0224443000000001</v>
      </c>
      <c r="Y23" s="7">
        <f>VLOOKUP($A23,HAVERD!$A:$BS,Y$2,FALSE)</f>
        <v>3.9840263999999999</v>
      </c>
      <c r="Z23" s="7">
        <f>VLOOKUP($A23,HAVERD!$A:$BS,Z$2,FALSE)</f>
        <v>3.9468920000000001</v>
      </c>
      <c r="AA23" s="7">
        <f>VLOOKUP($A23,HAVERD!$A:$BS,AA$2,FALSE)</f>
        <v>3.9113495999999999</v>
      </c>
      <c r="AB23" s="7">
        <f>VLOOKUP($A23,HAVERD!$A:$BS,AB$2,FALSE)</f>
        <v>3.8774554999999999</v>
      </c>
      <c r="AC23" s="7">
        <f>VLOOKUP($A23,HAVERD!$A:$BS,AC$2,FALSE)</f>
        <v>3.8452042</v>
      </c>
      <c r="AD23" s="7">
        <f>VLOOKUP($A23,HAVERD!$A:$BS,AD$2,FALSE)</f>
        <v>3.8145888999999999</v>
      </c>
      <c r="AE23" s="7">
        <f>VLOOKUP($A23,HAVERD!$A:$BS,AE$2,FALSE)</f>
        <v>3.7856027999999999</v>
      </c>
      <c r="AF23" s="7">
        <f>VLOOKUP($A23,HAVERD!$A:$BS,AF$2,FALSE)</f>
        <v>3.7582403000000002</v>
      </c>
      <c r="AG23" s="7">
        <f>VLOOKUP($A23,HAVERD!$A:$BS,AG$2,FALSE)</f>
        <v>3.7324947000000002</v>
      </c>
      <c r="AH23" s="7">
        <f>VLOOKUP($A23,HAVERD!$A:$BS,AH$2,FALSE)</f>
        <v>3.7083591999999999</v>
      </c>
      <c r="AI23" s="7">
        <f>VLOOKUP($A23,HAVERD!$A:$BS,AI$2,FALSE)</f>
        <v>3.6858279999999999</v>
      </c>
      <c r="AJ23" s="7">
        <f>VLOOKUP($A23,HAVERD!$A:$BS,AJ$2,FALSE)</f>
        <v>3.6648945999999998</v>
      </c>
      <c r="AK23" s="7">
        <f>VLOOKUP($A23,HAVERD!$A:$BS,AK$2,FALSE)</f>
        <v>3.6455522999999999</v>
      </c>
      <c r="AL23" s="7">
        <f>VLOOKUP($A23,HAVERD!$A:$BS,AL$2,FALSE)</f>
        <v>3.6277951000000002</v>
      </c>
      <c r="AM23" s="7">
        <f>VLOOKUP($A23,HAVERD!$A:$BS,AM$2,FALSE)</f>
        <v>3.6116069</v>
      </c>
      <c r="AN23" s="7">
        <f>VLOOKUP($A23,HAVERD!$A:$BS,AN$2,FALSE)</f>
        <v>3.5969334000000002</v>
      </c>
      <c r="AO23" s="7">
        <f>VLOOKUP($A23,HAVERD!$A:$BS,AO$2,FALSE)</f>
        <v>3.5837112000000002</v>
      </c>
      <c r="AP23" s="7">
        <f>VLOOKUP($A23,HAVERD!$A:$BS,AP$2,FALSE)</f>
        <v>3.5718763</v>
      </c>
      <c r="AQ23" s="7">
        <f>VLOOKUP($A23,HAVERD!$A:$BS,AQ$2,FALSE)</f>
        <v>3.5613649000000001</v>
      </c>
      <c r="AR23" s="7">
        <f>VLOOKUP($A23,HAVERD!$A:$BS,AR$2,FALSE)</f>
        <v>3.5521136000000002</v>
      </c>
      <c r="AS23" s="7">
        <f>VLOOKUP($A23,HAVERD!$A:$BS,AS$2,FALSE)</f>
        <v>3.5440584999999998</v>
      </c>
      <c r="AT23" s="7">
        <f>VLOOKUP($A23,HAVERD!$A:$BS,AT$2,FALSE)</f>
        <v>3.5371356999999999</v>
      </c>
      <c r="AU23" s="7">
        <f>VLOOKUP($A23,HAVERD!$A:$BS,AU$2,FALSE)</f>
        <v>3.5312817999999999</v>
      </c>
      <c r="AV23" s="7">
        <f>VLOOKUP($A23,HAVERD!$A:$BS,AV$2,FALSE)</f>
        <v>3.5264327999999998</v>
      </c>
      <c r="AW23" s="7">
        <f>VLOOKUP($A23,HAVERD!$A:$BS,AW$2,FALSE)</f>
        <v>3.5225249999999999</v>
      </c>
      <c r="AX23" s="7">
        <f>VLOOKUP($A23,HAVERD!$A:$BS,AX$2,FALSE)</f>
        <v>3.5194949000000002</v>
      </c>
      <c r="BA23" s="6">
        <f t="shared" ref="BA23:BA37" si="111">BA6</f>
        <v>45573</v>
      </c>
      <c r="BB23" s="7" t="e">
        <f>VLOOKUP($BA23,HAVERD!$A:$BS,BB$2,FALSE)</f>
        <v>#N/A</v>
      </c>
      <c r="BC23" s="7" t="e">
        <f>VLOOKUP($BA23,HAVERD!$A:$BS,BC$2,FALSE)</f>
        <v>#N/A</v>
      </c>
      <c r="BD23" s="7" t="e">
        <f>VLOOKUP($BA23,HAVERD!$A:$BS,BD$2,FALSE)</f>
        <v>#N/A</v>
      </c>
      <c r="BE23" s="7" t="e">
        <f>VLOOKUP($BA23,HAVERD!$A:$BS,BE$2,FALSE)</f>
        <v>#N/A</v>
      </c>
      <c r="BF23" s="7" t="e">
        <f>VLOOKUP($BA23,HAVERD!$A:$BS,BF$2,FALSE)</f>
        <v>#N/A</v>
      </c>
      <c r="BG23" s="7" t="e">
        <f>VLOOKUP($BA23,HAVERD!$A:$BS,BG$2,FALSE)</f>
        <v>#N/A</v>
      </c>
      <c r="BH23" s="7" t="e">
        <f>VLOOKUP($BA23,HAVERD!$A:$BS,BH$2,FALSE)</f>
        <v>#N/A</v>
      </c>
      <c r="BI23" s="7" t="e">
        <f>VLOOKUP($BA23,HAVERD!$A:$BS,BI$2,FALSE)</f>
        <v>#N/A</v>
      </c>
      <c r="BJ23" s="7" t="e">
        <f>VLOOKUP($BA23,HAVERD!$A:$BS,BJ$2,FALSE)</f>
        <v>#N/A</v>
      </c>
      <c r="BK23" s="7" t="e">
        <f>VLOOKUP($BA23,HAVERD!$A:$BS,BK$2,FALSE)</f>
        <v>#N/A</v>
      </c>
      <c r="BL23" s="7" t="e">
        <f>VLOOKUP($BA23,HAVERD!$A:$BS,BL$2,FALSE)</f>
        <v>#N/A</v>
      </c>
      <c r="BM23" s="7" t="e">
        <f>VLOOKUP($BA23,HAVERD!$A:$BS,BM$2,FALSE)</f>
        <v>#N/A</v>
      </c>
      <c r="BN23" s="7" t="e">
        <f>VLOOKUP($BA23,HAVERD!$A:$BS,BN$2,FALSE)</f>
        <v>#N/A</v>
      </c>
      <c r="BO23" s="7" t="e">
        <f>VLOOKUP($BA23,HAVERD!$A:$BS,BO$2,FALSE)</f>
        <v>#N/A</v>
      </c>
      <c r="BP23" s="7" t="e">
        <f>VLOOKUP($BA23,HAVERD!$A:$BS,BP$2,FALSE)</f>
        <v>#N/A</v>
      </c>
      <c r="BQ23" s="7" t="e">
        <f>VLOOKUP($BA23,HAVERD!$A:$BS,BQ$2,FALSE)</f>
        <v>#N/A</v>
      </c>
      <c r="BR23" s="7" t="e">
        <f>VLOOKUP($BA23,HAVERD!$A:$BS,BR$2,FALSE)</f>
        <v>#N/A</v>
      </c>
      <c r="BS23" s="7" t="e">
        <f>VLOOKUP($BA23,HAVERD!$A:$BS,BS$2,FALSE)</f>
        <v>#N/A</v>
      </c>
      <c r="BT23" s="7" t="e">
        <f>VLOOKUP($BA23,HAVERD!$A:$BS,BT$2,FALSE)</f>
        <v>#N/A</v>
      </c>
      <c r="BU23" s="7" t="e">
        <f>VLOOKUP($BA23,HAVERD!$A:$BS,BU$2,FALSE)</f>
        <v>#N/A</v>
      </c>
      <c r="BV23" s="7" t="e">
        <f>VLOOKUP($BA23,HAVERD!$A:$BS,BV$2,FALSE)</f>
        <v>#N/A</v>
      </c>
      <c r="BW23" s="7" t="e">
        <f>VLOOKUP($BA23,HAVERD!$A:$BS,BW$2,FALSE)</f>
        <v>#N/A</v>
      </c>
      <c r="BX23" s="7" t="e">
        <f>VLOOKUP($BA23,HAVERD!$A:$BS,BX$2,FALSE)</f>
        <v>#N/A</v>
      </c>
      <c r="BY23" s="7" t="e">
        <f>VLOOKUP($BA23,HAVERD!$A:$BS,BY$2,FALSE)</f>
        <v>#N/A</v>
      </c>
      <c r="BZ23" s="7" t="e">
        <f>VLOOKUP($BA23,HAVERD!$A:$BS,BZ$2,FALSE)</f>
        <v>#N/A</v>
      </c>
      <c r="CA23" s="7" t="e">
        <f>VLOOKUP($BA23,HAVERD!$A:$BS,CA$2,FALSE)</f>
        <v>#N/A</v>
      </c>
      <c r="CB23" s="7" t="e">
        <f>VLOOKUP($BA23,HAVERD!$A:$BS,CB$2,FALSE)</f>
        <v>#N/A</v>
      </c>
      <c r="CC23" s="7" t="e">
        <f>VLOOKUP($BA23,HAVERD!$A:$BS,CC$2,FALSE)</f>
        <v>#N/A</v>
      </c>
      <c r="CD23" s="7" t="e">
        <f>VLOOKUP($BA23,HAVERD!$A:$BS,CD$2,FALSE)</f>
        <v>#N/A</v>
      </c>
      <c r="CE23" s="7" t="e">
        <f>VLOOKUP($BA23,HAVERD!$A:$BS,CE$2,FALSE)</f>
        <v>#N/A</v>
      </c>
      <c r="CF23" s="7" t="e">
        <f>VLOOKUP($BA23,HAVERD!$A:$BS,CF$2,FALSE)</f>
        <v>#N/A</v>
      </c>
      <c r="CG23" s="7" t="e">
        <f>VLOOKUP($BA23,HAVERD!$A:$BS,CG$2,FALSE)</f>
        <v>#N/A</v>
      </c>
      <c r="CH23" s="7" t="e">
        <f>VLOOKUP($BA23,HAVERD!$A:$BS,CH$2,FALSE)</f>
        <v>#N/A</v>
      </c>
      <c r="CI23" s="7" t="e">
        <f>VLOOKUP($BA23,HAVERD!$A:$BS,CI$2,FALSE)</f>
        <v>#N/A</v>
      </c>
      <c r="CJ23" s="7" t="e">
        <f>VLOOKUP($BA23,HAVERD!$A:$BS,CJ$2,FALSE)</f>
        <v>#N/A</v>
      </c>
      <c r="CK23" s="7" t="e">
        <f>VLOOKUP($BA23,HAVERD!$A:$BS,CK$2,FALSE)</f>
        <v>#N/A</v>
      </c>
      <c r="CL23" s="7" t="e">
        <f>VLOOKUP($BA23,HAVERD!$A:$BS,CL$2,FALSE)</f>
        <v>#N/A</v>
      </c>
      <c r="CM23" s="7" t="e">
        <f>VLOOKUP($BA23,HAVERD!$A:$BS,CM$2,FALSE)</f>
        <v>#N/A</v>
      </c>
      <c r="CN23" s="7" t="e">
        <f>VLOOKUP($BA23,HAVERD!$A:$BS,CN$2,FALSE)</f>
        <v>#N/A</v>
      </c>
      <c r="CO23" s="7" t="e">
        <f>VLOOKUP($BA23,HAVERD!$A:$BS,CO$2,FALSE)</f>
        <v>#N/A</v>
      </c>
      <c r="CP23" s="7" t="e">
        <f>VLOOKUP($BA23,HAVERD!$A:$BS,CP$2,FALSE)</f>
        <v>#N/A</v>
      </c>
      <c r="CQ23" s="7" t="e">
        <f>VLOOKUP($BA23,HAVERD!$A:$BS,CQ$2,FALSE)</f>
        <v>#N/A</v>
      </c>
      <c r="CR23" s="7" t="e">
        <f>VLOOKUP($BA23,HAVERD!$A:$BS,CR$2,FALSE)</f>
        <v>#N/A</v>
      </c>
      <c r="CS23" s="7" t="e">
        <f>VLOOKUP($BA23,HAVERD!$A:$BS,CS$2,FALSE)</f>
        <v>#N/A</v>
      </c>
      <c r="CT23" s="7" t="e">
        <f>VLOOKUP($BA23,HAVERD!$A:$BS,CT$2,FALSE)</f>
        <v>#N/A</v>
      </c>
      <c r="CU23" s="7" t="e">
        <f>VLOOKUP($BA23,HAVERD!$A:$BS,CU$2,FALSE)</f>
        <v>#N/A</v>
      </c>
      <c r="CV23" s="7" t="e">
        <f>VLOOKUP($BA23,HAVERD!$A:$BS,CV$2,FALSE)</f>
        <v>#N/A</v>
      </c>
      <c r="CW23" s="7" t="e">
        <f>VLOOKUP($BA23,HAVERD!$A:$BS,CW$2,FALSE)</f>
        <v>#N/A</v>
      </c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</row>
    <row r="24" spans="1:113" x14ac:dyDescent="0.25">
      <c r="A24" s="6">
        <f t="shared" si="110"/>
        <v>45476</v>
      </c>
      <c r="B24" s="7">
        <f>VLOOKUP($A24,HAVERD!$A:$BS,B$2,FALSE)</f>
        <v>5.2</v>
      </c>
      <c r="C24" s="7">
        <f>VLOOKUP($A24,HAVERD!$A:$BS,C$2,FALSE)</f>
        <v>5.1234717999999999</v>
      </c>
      <c r="D24" s="7">
        <f>VLOOKUP($A24,HAVERD!$A:$BS,D$2,FALSE)</f>
        <v>5.0360844</v>
      </c>
      <c r="E24" s="7">
        <f>VLOOKUP($A24,HAVERD!$A:$BS,E$2,FALSE)</f>
        <v>4.9704607000000003</v>
      </c>
      <c r="F24" s="7">
        <f>VLOOKUP($A24,HAVERD!$A:$BS,F$2,FALSE)</f>
        <v>4.9070403999999996</v>
      </c>
      <c r="G24" s="7">
        <f>VLOOKUP($A24,HAVERD!$A:$BS,G$2,FALSE)</f>
        <v>4.8371358000000004</v>
      </c>
      <c r="H24" s="7">
        <f>VLOOKUP($A24,HAVERD!$A:$BS,H$2,FALSE)</f>
        <v>4.7628149000000004</v>
      </c>
      <c r="I24" s="7">
        <f>VLOOKUP($A24,HAVERD!$A:$BS,I$2,FALSE)</f>
        <v>4.6879809999999997</v>
      </c>
      <c r="J24" s="7">
        <f>VLOOKUP($A24,HAVERD!$A:$BS,J$2,FALSE)</f>
        <v>4.6166141999999999</v>
      </c>
      <c r="K24" s="7">
        <f>VLOOKUP($A24,HAVERD!$A:$BS,K$2,FALSE)</f>
        <v>4.5513662999999998</v>
      </c>
      <c r="L24" s="7">
        <f>VLOOKUP($A24,HAVERD!$A:$BS,L$2,FALSE)</f>
        <v>4.4928898999999998</v>
      </c>
      <c r="M24" s="7">
        <f>VLOOKUP($A24,HAVERD!$A:$BS,M$2,FALSE)</f>
        <v>4.4405402</v>
      </c>
      <c r="N24" s="7">
        <f>VLOOKUP($A24,HAVERD!$A:$BS,N$2,FALSE)</f>
        <v>4.3930923000000002</v>
      </c>
      <c r="O24" s="7">
        <f>VLOOKUP($A24,HAVERD!$A:$BS,O$2,FALSE)</f>
        <v>4.3478070999999998</v>
      </c>
      <c r="P24" s="7">
        <f>VLOOKUP($A24,HAVERD!$A:$BS,P$2,FALSE)</f>
        <v>4.3037305000000003</v>
      </c>
      <c r="Q24" s="7">
        <f>VLOOKUP($A24,HAVERD!$A:$BS,Q$2,FALSE)</f>
        <v>4.2604981000000004</v>
      </c>
      <c r="R24" s="7">
        <f>VLOOKUP($A24,HAVERD!$A:$BS,R$2,FALSE)</f>
        <v>4.2177436000000004</v>
      </c>
      <c r="S24" s="7">
        <f>VLOOKUP($A24,HAVERD!$A:$BS,S$2,FALSE)</f>
        <v>4.1751009000000003</v>
      </c>
      <c r="T24" s="7">
        <f>VLOOKUP($A24,HAVERD!$A:$BS,T$2,FALSE)</f>
        <v>4.1322052999999999</v>
      </c>
      <c r="U24" s="7">
        <f>VLOOKUP($A24,HAVERD!$A:$BS,U$2,FALSE)</f>
        <v>4.0887871999999996</v>
      </c>
      <c r="V24" s="7">
        <f>VLOOKUP($A24,HAVERD!$A:$BS,V$2,FALSE)</f>
        <v>4.0451226</v>
      </c>
      <c r="W24" s="7">
        <f>VLOOKUP($A24,HAVERD!$A:$BS,W$2,FALSE)</f>
        <v>4.0016813000000004</v>
      </c>
      <c r="X24" s="7">
        <f>VLOOKUP($A24,HAVERD!$A:$BS,X$2,FALSE)</f>
        <v>3.9589316999999999</v>
      </c>
      <c r="Y24" s="7">
        <f>VLOOKUP($A24,HAVERD!$A:$BS,Y$2,FALSE)</f>
        <v>3.9173420000000001</v>
      </c>
      <c r="Z24" s="7">
        <f>VLOOKUP($A24,HAVERD!$A:$BS,Z$2,FALSE)</f>
        <v>3.8773821000000002</v>
      </c>
      <c r="AA24" s="7">
        <f>VLOOKUP($A24,HAVERD!$A:$BS,AA$2,FALSE)</f>
        <v>3.8394363</v>
      </c>
      <c r="AB24" s="7">
        <f>VLOOKUP($A24,HAVERD!$A:$BS,AB$2,FALSE)</f>
        <v>3.8035519999999998</v>
      </c>
      <c r="AC24" s="7">
        <f>VLOOKUP($A24,HAVERD!$A:$BS,AC$2,FALSE)</f>
        <v>3.7696939</v>
      </c>
      <c r="AD24" s="7">
        <f>VLOOKUP($A24,HAVERD!$A:$BS,AD$2,FALSE)</f>
        <v>3.7378252000000001</v>
      </c>
      <c r="AE24" s="7">
        <f>VLOOKUP($A24,HAVERD!$A:$BS,AE$2,FALSE)</f>
        <v>3.7079092</v>
      </c>
      <c r="AF24" s="7">
        <f>VLOOKUP($A24,HAVERD!$A:$BS,AF$2,FALSE)</f>
        <v>3.6799105000000001</v>
      </c>
      <c r="AG24" s="7">
        <f>VLOOKUP($A24,HAVERD!$A:$BS,AG$2,FALSE)</f>
        <v>3.6537925000000002</v>
      </c>
      <c r="AH24" s="7">
        <f>VLOOKUP($A24,HAVERD!$A:$BS,AH$2,FALSE)</f>
        <v>3.6295185000000001</v>
      </c>
      <c r="AI24" s="7">
        <f>VLOOKUP($A24,HAVERD!$A:$BS,AI$2,FALSE)</f>
        <v>3.6070527999999999</v>
      </c>
      <c r="AJ24" s="7">
        <f>VLOOKUP($A24,HAVERD!$A:$BS,AJ$2,FALSE)</f>
        <v>3.5863589999999999</v>
      </c>
      <c r="AK24" s="7">
        <f>VLOOKUP($A24,HAVERD!$A:$BS,AK$2,FALSE)</f>
        <v>3.5674005000000002</v>
      </c>
      <c r="AL24" s="7">
        <f>VLOOKUP($A24,HAVERD!$A:$BS,AL$2,FALSE)</f>
        <v>3.5501415000000001</v>
      </c>
      <c r="AM24" s="7">
        <f>VLOOKUP($A24,HAVERD!$A:$BS,AM$2,FALSE)</f>
        <v>3.5345396</v>
      </c>
      <c r="AN24" s="7">
        <f>VLOOKUP($A24,HAVERD!$A:$BS,AN$2,FALSE)</f>
        <v>3.5205237</v>
      </c>
      <c r="AO24" s="7">
        <f>VLOOKUP($A24,HAVERD!$A:$BS,AO$2,FALSE)</f>
        <v>3.5080141</v>
      </c>
      <c r="AP24" s="7">
        <f>VLOOKUP($A24,HAVERD!$A:$BS,AP$2,FALSE)</f>
        <v>3.4969310999999998</v>
      </c>
      <c r="AQ24" s="7">
        <f>VLOOKUP($A24,HAVERD!$A:$BS,AQ$2,FALSE)</f>
        <v>3.4871946</v>
      </c>
      <c r="AR24" s="7">
        <f>VLOOKUP($A24,HAVERD!$A:$BS,AR$2,FALSE)</f>
        <v>3.4787251000000001</v>
      </c>
      <c r="AS24" s="7">
        <f>VLOOKUP($A24,HAVERD!$A:$BS,AS$2,FALSE)</f>
        <v>3.4714426</v>
      </c>
      <c r="AT24" s="7">
        <f>VLOOKUP($A24,HAVERD!$A:$BS,AT$2,FALSE)</f>
        <v>3.4652674000000001</v>
      </c>
      <c r="AU24" s="7">
        <f>VLOOKUP($A24,HAVERD!$A:$BS,AU$2,FALSE)</f>
        <v>3.4601196999999999</v>
      </c>
      <c r="AV24" s="7">
        <f>VLOOKUP($A24,HAVERD!$A:$BS,AV$2,FALSE)</f>
        <v>3.4559196999999999</v>
      </c>
      <c r="AW24" s="7">
        <f>VLOOKUP($A24,HAVERD!$A:$BS,AW$2,FALSE)</f>
        <v>3.4525876000000002</v>
      </c>
      <c r="AX24" s="7">
        <f>VLOOKUP($A24,HAVERD!$A:$BS,AX$2,FALSE)</f>
        <v>3.4500435</v>
      </c>
      <c r="BA24" s="6">
        <f t="shared" si="111"/>
        <v>45574</v>
      </c>
      <c r="BB24" s="7" t="e">
        <f>VLOOKUP($BA24,HAVERD!$A:$BS,BB$2,FALSE)</f>
        <v>#N/A</v>
      </c>
      <c r="BC24" s="7" t="e">
        <f>VLOOKUP($BA24,HAVERD!$A:$BS,BC$2,FALSE)</f>
        <v>#N/A</v>
      </c>
      <c r="BD24" s="7" t="e">
        <f>VLOOKUP($BA24,HAVERD!$A:$BS,BD$2,FALSE)</f>
        <v>#N/A</v>
      </c>
      <c r="BE24" s="7" t="e">
        <f>VLOOKUP($BA24,HAVERD!$A:$BS,BE$2,FALSE)</f>
        <v>#N/A</v>
      </c>
      <c r="BF24" s="7" t="e">
        <f>VLOOKUP($BA24,HAVERD!$A:$BS,BF$2,FALSE)</f>
        <v>#N/A</v>
      </c>
      <c r="BG24" s="7" t="e">
        <f>VLOOKUP($BA24,HAVERD!$A:$BS,BG$2,FALSE)</f>
        <v>#N/A</v>
      </c>
      <c r="BH24" s="7" t="e">
        <f>VLOOKUP($BA24,HAVERD!$A:$BS,BH$2,FALSE)</f>
        <v>#N/A</v>
      </c>
      <c r="BI24" s="7" t="e">
        <f>VLOOKUP($BA24,HAVERD!$A:$BS,BI$2,FALSE)</f>
        <v>#N/A</v>
      </c>
      <c r="BJ24" s="7" t="e">
        <f>VLOOKUP($BA24,HAVERD!$A:$BS,BJ$2,FALSE)</f>
        <v>#N/A</v>
      </c>
      <c r="BK24" s="7" t="e">
        <f>VLOOKUP($BA24,HAVERD!$A:$BS,BK$2,FALSE)</f>
        <v>#N/A</v>
      </c>
      <c r="BL24" s="7" t="e">
        <f>VLOOKUP($BA24,HAVERD!$A:$BS,BL$2,FALSE)</f>
        <v>#N/A</v>
      </c>
      <c r="BM24" s="7" t="e">
        <f>VLOOKUP($BA24,HAVERD!$A:$BS,BM$2,FALSE)</f>
        <v>#N/A</v>
      </c>
      <c r="BN24" s="7" t="e">
        <f>VLOOKUP($BA24,HAVERD!$A:$BS,BN$2,FALSE)</f>
        <v>#N/A</v>
      </c>
      <c r="BO24" s="7" t="e">
        <f>VLOOKUP($BA24,HAVERD!$A:$BS,BO$2,FALSE)</f>
        <v>#N/A</v>
      </c>
      <c r="BP24" s="7" t="e">
        <f>VLOOKUP($BA24,HAVERD!$A:$BS,BP$2,FALSE)</f>
        <v>#N/A</v>
      </c>
      <c r="BQ24" s="7" t="e">
        <f>VLOOKUP($BA24,HAVERD!$A:$BS,BQ$2,FALSE)</f>
        <v>#N/A</v>
      </c>
      <c r="BR24" s="7" t="e">
        <f>VLOOKUP($BA24,HAVERD!$A:$BS,BR$2,FALSE)</f>
        <v>#N/A</v>
      </c>
      <c r="BS24" s="7" t="e">
        <f>VLOOKUP($BA24,HAVERD!$A:$BS,BS$2,FALSE)</f>
        <v>#N/A</v>
      </c>
      <c r="BT24" s="7" t="e">
        <f>VLOOKUP($BA24,HAVERD!$A:$BS,BT$2,FALSE)</f>
        <v>#N/A</v>
      </c>
      <c r="BU24" s="7" t="e">
        <f>VLOOKUP($BA24,HAVERD!$A:$BS,BU$2,FALSE)</f>
        <v>#N/A</v>
      </c>
      <c r="BV24" s="7" t="e">
        <f>VLOOKUP($BA24,HAVERD!$A:$BS,BV$2,FALSE)</f>
        <v>#N/A</v>
      </c>
      <c r="BW24" s="7" t="e">
        <f>VLOOKUP($BA24,HAVERD!$A:$BS,BW$2,FALSE)</f>
        <v>#N/A</v>
      </c>
      <c r="BX24" s="7" t="e">
        <f>VLOOKUP($BA24,HAVERD!$A:$BS,BX$2,FALSE)</f>
        <v>#N/A</v>
      </c>
      <c r="BY24" s="7" t="e">
        <f>VLOOKUP($BA24,HAVERD!$A:$BS,BY$2,FALSE)</f>
        <v>#N/A</v>
      </c>
      <c r="BZ24" s="7" t="e">
        <f>VLOOKUP($BA24,HAVERD!$A:$BS,BZ$2,FALSE)</f>
        <v>#N/A</v>
      </c>
      <c r="CA24" s="7" t="e">
        <f>VLOOKUP($BA24,HAVERD!$A:$BS,CA$2,FALSE)</f>
        <v>#N/A</v>
      </c>
      <c r="CB24" s="7" t="e">
        <f>VLOOKUP($BA24,HAVERD!$A:$BS,CB$2,FALSE)</f>
        <v>#N/A</v>
      </c>
      <c r="CC24" s="7" t="e">
        <f>VLOOKUP($BA24,HAVERD!$A:$BS,CC$2,FALSE)</f>
        <v>#N/A</v>
      </c>
      <c r="CD24" s="7" t="e">
        <f>VLOOKUP($BA24,HAVERD!$A:$BS,CD$2,FALSE)</f>
        <v>#N/A</v>
      </c>
      <c r="CE24" s="7" t="e">
        <f>VLOOKUP($BA24,HAVERD!$A:$BS,CE$2,FALSE)</f>
        <v>#N/A</v>
      </c>
      <c r="CF24" s="7" t="e">
        <f>VLOOKUP($BA24,HAVERD!$A:$BS,CF$2,FALSE)</f>
        <v>#N/A</v>
      </c>
      <c r="CG24" s="7" t="e">
        <f>VLOOKUP($BA24,HAVERD!$A:$BS,CG$2,FALSE)</f>
        <v>#N/A</v>
      </c>
      <c r="CH24" s="7" t="e">
        <f>VLOOKUP($BA24,HAVERD!$A:$BS,CH$2,FALSE)</f>
        <v>#N/A</v>
      </c>
      <c r="CI24" s="7" t="e">
        <f>VLOOKUP($BA24,HAVERD!$A:$BS,CI$2,FALSE)</f>
        <v>#N/A</v>
      </c>
      <c r="CJ24" s="7" t="e">
        <f>VLOOKUP($BA24,HAVERD!$A:$BS,CJ$2,FALSE)</f>
        <v>#N/A</v>
      </c>
      <c r="CK24" s="7" t="e">
        <f>VLOOKUP($BA24,HAVERD!$A:$BS,CK$2,FALSE)</f>
        <v>#N/A</v>
      </c>
      <c r="CL24" s="7" t="e">
        <f>VLOOKUP($BA24,HAVERD!$A:$BS,CL$2,FALSE)</f>
        <v>#N/A</v>
      </c>
      <c r="CM24" s="7" t="e">
        <f>VLOOKUP($BA24,HAVERD!$A:$BS,CM$2,FALSE)</f>
        <v>#N/A</v>
      </c>
      <c r="CN24" s="7" t="e">
        <f>VLOOKUP($BA24,HAVERD!$A:$BS,CN$2,FALSE)</f>
        <v>#N/A</v>
      </c>
      <c r="CO24" s="7" t="e">
        <f>VLOOKUP($BA24,HAVERD!$A:$BS,CO$2,FALSE)</f>
        <v>#N/A</v>
      </c>
      <c r="CP24" s="7" t="e">
        <f>VLOOKUP($BA24,HAVERD!$A:$BS,CP$2,FALSE)</f>
        <v>#N/A</v>
      </c>
      <c r="CQ24" s="7" t="e">
        <f>VLOOKUP($BA24,HAVERD!$A:$BS,CQ$2,FALSE)</f>
        <v>#N/A</v>
      </c>
      <c r="CR24" s="7" t="e">
        <f>VLOOKUP($BA24,HAVERD!$A:$BS,CR$2,FALSE)</f>
        <v>#N/A</v>
      </c>
      <c r="CS24" s="7" t="e">
        <f>VLOOKUP($BA24,HAVERD!$A:$BS,CS$2,FALSE)</f>
        <v>#N/A</v>
      </c>
      <c r="CT24" s="7" t="e">
        <f>VLOOKUP($BA24,HAVERD!$A:$BS,CT$2,FALSE)</f>
        <v>#N/A</v>
      </c>
      <c r="CU24" s="7" t="e">
        <f>VLOOKUP($BA24,HAVERD!$A:$BS,CU$2,FALSE)</f>
        <v>#N/A</v>
      </c>
      <c r="CV24" s="7" t="e">
        <f>VLOOKUP($BA24,HAVERD!$A:$BS,CV$2,FALSE)</f>
        <v>#N/A</v>
      </c>
      <c r="CW24" s="7" t="e">
        <f>VLOOKUP($BA24,HAVERD!$A:$BS,CW$2,FALSE)</f>
        <v>#N/A</v>
      </c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</row>
    <row r="25" spans="1:113" x14ac:dyDescent="0.25">
      <c r="A25" s="6">
        <f t="shared" si="110"/>
        <v>45477</v>
      </c>
      <c r="B25" s="7">
        <f>VLOOKUP($A25,HAVERD!$A:$BS,B$2,FALSE)</f>
        <v>5.2</v>
      </c>
      <c r="C25" s="7">
        <f>VLOOKUP($A25,HAVERD!$A:$BS,C$2,FALSE)</f>
        <v>5.1204583000000001</v>
      </c>
      <c r="D25" s="7">
        <f>VLOOKUP($A25,HAVERD!$A:$BS,D$2,FALSE)</f>
        <v>5.0323288000000002</v>
      </c>
      <c r="E25" s="7">
        <f>VLOOKUP($A25,HAVERD!$A:$BS,E$2,FALSE)</f>
        <v>4.9651069000000003</v>
      </c>
      <c r="F25" s="7">
        <f>VLOOKUP($A25,HAVERD!$A:$BS,F$2,FALSE)</f>
        <v>4.8999987999999997</v>
      </c>
      <c r="G25" s="7">
        <f>VLOOKUP($A25,HAVERD!$A:$BS,G$2,FALSE)</f>
        <v>4.8292263999999996</v>
      </c>
      <c r="H25" s="7">
        <f>VLOOKUP($A25,HAVERD!$A:$BS,H$2,FALSE)</f>
        <v>4.7546948000000002</v>
      </c>
      <c r="I25" s="7">
        <f>VLOOKUP($A25,HAVERD!$A:$BS,I$2,FALSE)</f>
        <v>4.6797389000000003</v>
      </c>
      <c r="J25" s="7">
        <f>VLOOKUP($A25,HAVERD!$A:$BS,J$2,FALSE)</f>
        <v>4.6075955000000004</v>
      </c>
      <c r="K25" s="7">
        <f>VLOOKUP($A25,HAVERD!$A:$BS,K$2,FALSE)</f>
        <v>4.5404013000000001</v>
      </c>
      <c r="L25" s="7">
        <f>VLOOKUP($A25,HAVERD!$A:$BS,L$2,FALSE)</f>
        <v>4.4787379999999999</v>
      </c>
      <c r="M25" s="7">
        <f>VLOOKUP($A25,HAVERD!$A:$BS,M$2,FALSE)</f>
        <v>4.4224515000000002</v>
      </c>
      <c r="N25" s="7">
        <f>VLOOKUP($A25,HAVERD!$A:$BS,N$2,FALSE)</f>
        <v>4.3710110000000002</v>
      </c>
      <c r="O25" s="7">
        <f>VLOOKUP($A25,HAVERD!$A:$BS,O$2,FALSE)</f>
        <v>4.3232198999999998</v>
      </c>
      <c r="P25" s="7">
        <f>VLOOKUP($A25,HAVERD!$A:$BS,P$2,FALSE)</f>
        <v>4.2782954000000002</v>
      </c>
      <c r="Q25" s="7">
        <f>VLOOKUP($A25,HAVERD!$A:$BS,Q$2,FALSE)</f>
        <v>4.2356125000000002</v>
      </c>
      <c r="R25" s="7">
        <f>VLOOKUP($A25,HAVERD!$A:$BS,R$2,FALSE)</f>
        <v>4.1945443999999998</v>
      </c>
      <c r="S25" s="7">
        <f>VLOOKUP($A25,HAVERD!$A:$BS,S$2,FALSE)</f>
        <v>4.1544644000000002</v>
      </c>
      <c r="T25" s="7">
        <f>VLOOKUP($A25,HAVERD!$A:$BS,T$2,FALSE)</f>
        <v>4.1147472</v>
      </c>
      <c r="U25" s="7">
        <f>VLOOKUP($A25,HAVERD!$A:$BS,U$2,FALSE)</f>
        <v>4.0748949000000003</v>
      </c>
      <c r="V25" s="7">
        <f>VLOOKUP($A25,HAVERD!$A:$BS,V$2,FALSE)</f>
        <v>4.035069</v>
      </c>
      <c r="W25" s="7">
        <f>VLOOKUP($A25,HAVERD!$A:$BS,W$2,FALSE)</f>
        <v>3.9956429999999998</v>
      </c>
      <c r="X25" s="7">
        <f>VLOOKUP($A25,HAVERD!$A:$BS,X$2,FALSE)</f>
        <v>3.9569890000000001</v>
      </c>
      <c r="Y25" s="7">
        <f>VLOOKUP($A25,HAVERD!$A:$BS,Y$2,FALSE)</f>
        <v>3.9194794000000002</v>
      </c>
      <c r="Z25" s="7">
        <f>VLOOKUP($A25,HAVERD!$A:$BS,Z$2,FALSE)</f>
        <v>3.8834876999999999</v>
      </c>
      <c r="AA25" s="7">
        <f>VLOOKUP($A25,HAVERD!$A:$BS,AA$2,FALSE)</f>
        <v>3.8493306999999999</v>
      </c>
      <c r="AB25" s="7">
        <f>VLOOKUP($A25,HAVERD!$A:$BS,AB$2,FALSE)</f>
        <v>3.8170544999999998</v>
      </c>
      <c r="AC25" s="7">
        <f>VLOOKUP($A25,HAVERD!$A:$BS,AC$2,FALSE)</f>
        <v>3.7866243000000002</v>
      </c>
      <c r="AD25" s="7">
        <f>VLOOKUP($A25,HAVERD!$A:$BS,AD$2,FALSE)</f>
        <v>3.7580038</v>
      </c>
      <c r="AE25" s="7">
        <f>VLOOKUP($A25,HAVERD!$A:$BS,AE$2,FALSE)</f>
        <v>3.7311572000000002</v>
      </c>
      <c r="AF25" s="7">
        <f>VLOOKUP($A25,HAVERD!$A:$BS,AF$2,FALSE)</f>
        <v>3.7060491999999998</v>
      </c>
      <c r="AG25" s="7">
        <f>VLOOKUP($A25,HAVERD!$A:$BS,AG$2,FALSE)</f>
        <v>3.6826439</v>
      </c>
      <c r="AH25" s="7">
        <f>VLOOKUP($A25,HAVERD!$A:$BS,AH$2,FALSE)</f>
        <v>3.6609052000000002</v>
      </c>
      <c r="AI25" s="7">
        <f>VLOOKUP($A25,HAVERD!$A:$BS,AI$2,FALSE)</f>
        <v>3.6407980000000002</v>
      </c>
      <c r="AJ25" s="7">
        <f>VLOOKUP($A25,HAVERD!$A:$BS,AJ$2,FALSE)</f>
        <v>3.6222862</v>
      </c>
      <c r="AK25" s="7">
        <f>VLOOKUP($A25,HAVERD!$A:$BS,AK$2,FALSE)</f>
        <v>3.605334</v>
      </c>
      <c r="AL25" s="7">
        <f>VLOOKUP($A25,HAVERD!$A:$BS,AL$2,FALSE)</f>
        <v>3.589906</v>
      </c>
      <c r="AM25" s="7">
        <f>VLOOKUP($A25,HAVERD!$A:$BS,AM$2,FALSE)</f>
        <v>3.5759604</v>
      </c>
      <c r="AN25" s="7">
        <f>VLOOKUP($A25,HAVERD!$A:$BS,AN$2,FALSE)</f>
        <v>3.5634302999999998</v>
      </c>
      <c r="AO25" s="7">
        <f>VLOOKUP($A25,HAVERD!$A:$BS,AO$2,FALSE)</f>
        <v>3.5522418</v>
      </c>
      <c r="AP25" s="7">
        <f>VLOOKUP($A25,HAVERD!$A:$BS,AP$2,FALSE)</f>
        <v>3.5423206999999999</v>
      </c>
      <c r="AQ25" s="7">
        <f>VLOOKUP($A25,HAVERD!$A:$BS,AQ$2,FALSE)</f>
        <v>3.5335930000000002</v>
      </c>
      <c r="AR25" s="7">
        <f>VLOOKUP($A25,HAVERD!$A:$BS,AR$2,FALSE)</f>
        <v>3.5259847999999998</v>
      </c>
      <c r="AS25" s="7">
        <f>VLOOKUP($A25,HAVERD!$A:$BS,AS$2,FALSE)</f>
        <v>3.5194219000000002</v>
      </c>
      <c r="AT25" s="7">
        <f>VLOOKUP($A25,HAVERD!$A:$BS,AT$2,FALSE)</f>
        <v>3.5138303</v>
      </c>
      <c r="AU25" s="7">
        <f>VLOOKUP($A25,HAVERD!$A:$BS,AU$2,FALSE)</f>
        <v>3.5091361000000001</v>
      </c>
      <c r="AV25" s="7">
        <f>VLOOKUP($A25,HAVERD!$A:$BS,AV$2,FALSE)</f>
        <v>3.5052652000000002</v>
      </c>
      <c r="AW25" s="7">
        <f>VLOOKUP($A25,HAVERD!$A:$BS,AW$2,FALSE)</f>
        <v>3.5021434</v>
      </c>
      <c r="AX25" s="7">
        <f>VLOOKUP($A25,HAVERD!$A:$BS,AX$2,FALSE)</f>
        <v>3.4996969999999998</v>
      </c>
      <c r="BA25" s="6">
        <f t="shared" si="111"/>
        <v>45575</v>
      </c>
      <c r="BB25" s="7" t="e">
        <f>VLOOKUP($BA25,HAVERD!$A:$BS,BB$2,FALSE)</f>
        <v>#N/A</v>
      </c>
      <c r="BC25" s="7" t="e">
        <f>VLOOKUP($BA25,HAVERD!$A:$BS,BC$2,FALSE)</f>
        <v>#N/A</v>
      </c>
      <c r="BD25" s="7" t="e">
        <f>VLOOKUP($BA25,HAVERD!$A:$BS,BD$2,FALSE)</f>
        <v>#N/A</v>
      </c>
      <c r="BE25" s="7" t="e">
        <f>VLOOKUP($BA25,HAVERD!$A:$BS,BE$2,FALSE)</f>
        <v>#N/A</v>
      </c>
      <c r="BF25" s="7" t="e">
        <f>VLOOKUP($BA25,HAVERD!$A:$BS,BF$2,FALSE)</f>
        <v>#N/A</v>
      </c>
      <c r="BG25" s="7" t="e">
        <f>VLOOKUP($BA25,HAVERD!$A:$BS,BG$2,FALSE)</f>
        <v>#N/A</v>
      </c>
      <c r="BH25" s="7" t="e">
        <f>VLOOKUP($BA25,HAVERD!$A:$BS,BH$2,FALSE)</f>
        <v>#N/A</v>
      </c>
      <c r="BI25" s="7" t="e">
        <f>VLOOKUP($BA25,HAVERD!$A:$BS,BI$2,FALSE)</f>
        <v>#N/A</v>
      </c>
      <c r="BJ25" s="7" t="e">
        <f>VLOOKUP($BA25,HAVERD!$A:$BS,BJ$2,FALSE)</f>
        <v>#N/A</v>
      </c>
      <c r="BK25" s="7" t="e">
        <f>VLOOKUP($BA25,HAVERD!$A:$BS,BK$2,FALSE)</f>
        <v>#N/A</v>
      </c>
      <c r="BL25" s="7" t="e">
        <f>VLOOKUP($BA25,HAVERD!$A:$BS,BL$2,FALSE)</f>
        <v>#N/A</v>
      </c>
      <c r="BM25" s="7" t="e">
        <f>VLOOKUP($BA25,HAVERD!$A:$BS,BM$2,FALSE)</f>
        <v>#N/A</v>
      </c>
      <c r="BN25" s="7" t="e">
        <f>VLOOKUP($BA25,HAVERD!$A:$BS,BN$2,FALSE)</f>
        <v>#N/A</v>
      </c>
      <c r="BO25" s="7" t="e">
        <f>VLOOKUP($BA25,HAVERD!$A:$BS,BO$2,FALSE)</f>
        <v>#N/A</v>
      </c>
      <c r="BP25" s="7" t="e">
        <f>VLOOKUP($BA25,HAVERD!$A:$BS,BP$2,FALSE)</f>
        <v>#N/A</v>
      </c>
      <c r="BQ25" s="7" t="e">
        <f>VLOOKUP($BA25,HAVERD!$A:$BS,BQ$2,FALSE)</f>
        <v>#N/A</v>
      </c>
      <c r="BR25" s="7" t="e">
        <f>VLOOKUP($BA25,HAVERD!$A:$BS,BR$2,FALSE)</f>
        <v>#N/A</v>
      </c>
      <c r="BS25" s="7" t="e">
        <f>VLOOKUP($BA25,HAVERD!$A:$BS,BS$2,FALSE)</f>
        <v>#N/A</v>
      </c>
      <c r="BT25" s="7" t="e">
        <f>VLOOKUP($BA25,HAVERD!$A:$BS,BT$2,FALSE)</f>
        <v>#N/A</v>
      </c>
      <c r="BU25" s="7" t="e">
        <f>VLOOKUP($BA25,HAVERD!$A:$BS,BU$2,FALSE)</f>
        <v>#N/A</v>
      </c>
      <c r="BV25" s="7" t="e">
        <f>VLOOKUP($BA25,HAVERD!$A:$BS,BV$2,FALSE)</f>
        <v>#N/A</v>
      </c>
      <c r="BW25" s="7" t="e">
        <f>VLOOKUP($BA25,HAVERD!$A:$BS,BW$2,FALSE)</f>
        <v>#N/A</v>
      </c>
      <c r="BX25" s="7" t="e">
        <f>VLOOKUP($BA25,HAVERD!$A:$BS,BX$2,FALSE)</f>
        <v>#N/A</v>
      </c>
      <c r="BY25" s="7" t="e">
        <f>VLOOKUP($BA25,HAVERD!$A:$BS,BY$2,FALSE)</f>
        <v>#N/A</v>
      </c>
      <c r="BZ25" s="7" t="e">
        <f>VLOOKUP($BA25,HAVERD!$A:$BS,BZ$2,FALSE)</f>
        <v>#N/A</v>
      </c>
      <c r="CA25" s="7" t="e">
        <f>VLOOKUP($BA25,HAVERD!$A:$BS,CA$2,FALSE)</f>
        <v>#N/A</v>
      </c>
      <c r="CB25" s="7" t="e">
        <f>VLOOKUP($BA25,HAVERD!$A:$BS,CB$2,FALSE)</f>
        <v>#N/A</v>
      </c>
      <c r="CC25" s="7" t="e">
        <f>VLOOKUP($BA25,HAVERD!$A:$BS,CC$2,FALSE)</f>
        <v>#N/A</v>
      </c>
      <c r="CD25" s="7" t="e">
        <f>VLOOKUP($BA25,HAVERD!$A:$BS,CD$2,FALSE)</f>
        <v>#N/A</v>
      </c>
      <c r="CE25" s="7" t="e">
        <f>VLOOKUP($BA25,HAVERD!$A:$BS,CE$2,FALSE)</f>
        <v>#N/A</v>
      </c>
      <c r="CF25" s="7" t="e">
        <f>VLOOKUP($BA25,HAVERD!$A:$BS,CF$2,FALSE)</f>
        <v>#N/A</v>
      </c>
      <c r="CG25" s="7" t="e">
        <f>VLOOKUP($BA25,HAVERD!$A:$BS,CG$2,FALSE)</f>
        <v>#N/A</v>
      </c>
      <c r="CH25" s="7" t="e">
        <f>VLOOKUP($BA25,HAVERD!$A:$BS,CH$2,FALSE)</f>
        <v>#N/A</v>
      </c>
      <c r="CI25" s="7" t="e">
        <f>VLOOKUP($BA25,HAVERD!$A:$BS,CI$2,FALSE)</f>
        <v>#N/A</v>
      </c>
      <c r="CJ25" s="7" t="e">
        <f>VLOOKUP($BA25,HAVERD!$A:$BS,CJ$2,FALSE)</f>
        <v>#N/A</v>
      </c>
      <c r="CK25" s="7" t="e">
        <f>VLOOKUP($BA25,HAVERD!$A:$BS,CK$2,FALSE)</f>
        <v>#N/A</v>
      </c>
      <c r="CL25" s="7" t="e">
        <f>VLOOKUP($BA25,HAVERD!$A:$BS,CL$2,FALSE)</f>
        <v>#N/A</v>
      </c>
      <c r="CM25" s="7" t="e">
        <f>VLOOKUP($BA25,HAVERD!$A:$BS,CM$2,FALSE)</f>
        <v>#N/A</v>
      </c>
      <c r="CN25" s="7" t="e">
        <f>VLOOKUP($BA25,HAVERD!$A:$BS,CN$2,FALSE)</f>
        <v>#N/A</v>
      </c>
      <c r="CO25" s="7" t="e">
        <f>VLOOKUP($BA25,HAVERD!$A:$BS,CO$2,FALSE)</f>
        <v>#N/A</v>
      </c>
      <c r="CP25" s="7" t="e">
        <f>VLOOKUP($BA25,HAVERD!$A:$BS,CP$2,FALSE)</f>
        <v>#N/A</v>
      </c>
      <c r="CQ25" s="7" t="e">
        <f>VLOOKUP($BA25,HAVERD!$A:$BS,CQ$2,FALSE)</f>
        <v>#N/A</v>
      </c>
      <c r="CR25" s="7" t="e">
        <f>VLOOKUP($BA25,HAVERD!$A:$BS,CR$2,FALSE)</f>
        <v>#N/A</v>
      </c>
      <c r="CS25" s="7" t="e">
        <f>VLOOKUP($BA25,HAVERD!$A:$BS,CS$2,FALSE)</f>
        <v>#N/A</v>
      </c>
      <c r="CT25" s="7" t="e">
        <f>VLOOKUP($BA25,HAVERD!$A:$BS,CT$2,FALSE)</f>
        <v>#N/A</v>
      </c>
      <c r="CU25" s="7" t="e">
        <f>VLOOKUP($BA25,HAVERD!$A:$BS,CU$2,FALSE)</f>
        <v>#N/A</v>
      </c>
      <c r="CV25" s="7" t="e">
        <f>VLOOKUP($BA25,HAVERD!$A:$BS,CV$2,FALSE)</f>
        <v>#N/A</v>
      </c>
      <c r="CW25" s="7" t="e">
        <f>VLOOKUP($BA25,HAVERD!$A:$BS,CW$2,FALSE)</f>
        <v>#N/A</v>
      </c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</row>
    <row r="26" spans="1:113" x14ac:dyDescent="0.25">
      <c r="A26" s="6">
        <f t="shared" si="110"/>
        <v>45478</v>
      </c>
      <c r="B26" s="7">
        <f>VLOOKUP($A26,HAVERD!$A:$BS,B$2,FALSE)</f>
        <v>5.2</v>
      </c>
      <c r="C26" s="7">
        <f>VLOOKUP($A26,HAVERD!$A:$BS,C$2,FALSE)</f>
        <v>5.1110264000000001</v>
      </c>
      <c r="D26" s="7">
        <f>VLOOKUP($A26,HAVERD!$A:$BS,D$2,FALSE)</f>
        <v>5.0182523999999997</v>
      </c>
      <c r="E26" s="7">
        <f>VLOOKUP($A26,HAVERD!$A:$BS,E$2,FALSE)</f>
        <v>4.9469981000000001</v>
      </c>
      <c r="F26" s="7">
        <f>VLOOKUP($A26,HAVERD!$A:$BS,F$2,FALSE)</f>
        <v>4.8774440999999999</v>
      </c>
      <c r="G26" s="7">
        <f>VLOOKUP($A26,HAVERD!$A:$BS,G$2,FALSE)</f>
        <v>4.8016677000000003</v>
      </c>
      <c r="H26" s="7">
        <f>VLOOKUP($A26,HAVERD!$A:$BS,H$2,FALSE)</f>
        <v>4.7220228000000004</v>
      </c>
      <c r="I26" s="7">
        <f>VLOOKUP($A26,HAVERD!$A:$BS,I$2,FALSE)</f>
        <v>4.6420148000000001</v>
      </c>
      <c r="J26" s="7">
        <f>VLOOKUP($A26,HAVERD!$A:$BS,J$2,FALSE)</f>
        <v>4.5651377000000002</v>
      </c>
      <c r="K26" s="7">
        <f>VLOOKUP($A26,HAVERD!$A:$BS,K$2,FALSE)</f>
        <v>4.4937050000000003</v>
      </c>
      <c r="L26" s="7">
        <f>VLOOKUP($A26,HAVERD!$A:$BS,L$2,FALSE)</f>
        <v>4.4284971999999998</v>
      </c>
      <c r="M26" s="7">
        <f>VLOOKUP($A26,HAVERD!$A:$BS,M$2,FALSE)</f>
        <v>4.3691091000000002</v>
      </c>
      <c r="N26" s="7">
        <f>VLOOKUP($A26,HAVERD!$A:$BS,N$2,FALSE)</f>
        <v>4.3147000999999996</v>
      </c>
      <c r="O26" s="7">
        <f>VLOOKUP($A26,HAVERD!$A:$BS,O$2,FALSE)</f>
        <v>4.2633673999999999</v>
      </c>
      <c r="P26" s="7">
        <f>VLOOKUP($A26,HAVERD!$A:$BS,P$2,FALSE)</f>
        <v>4.2143600000000001</v>
      </c>
      <c r="Q26" s="7">
        <f>VLOOKUP($A26,HAVERD!$A:$BS,Q$2,FALSE)</f>
        <v>4.1673932000000002</v>
      </c>
      <c r="R26" s="7">
        <f>VLOOKUP($A26,HAVERD!$A:$BS,R$2,FALSE)</f>
        <v>4.1221806000000001</v>
      </c>
      <c r="S26" s="7">
        <f>VLOOKUP($A26,HAVERD!$A:$BS,S$2,FALSE)</f>
        <v>4.0784358000000003</v>
      </c>
      <c r="T26" s="7">
        <f>VLOOKUP($A26,HAVERD!$A:$BS,T$2,FALSE)</f>
        <v>4.0358741</v>
      </c>
      <c r="U26" s="7">
        <f>VLOOKUP($A26,HAVERD!$A:$BS,U$2,FALSE)</f>
        <v>3.9942796999999999</v>
      </c>
      <c r="V26" s="7">
        <f>VLOOKUP($A26,HAVERD!$A:$BS,V$2,FALSE)</f>
        <v>3.9537640000000001</v>
      </c>
      <c r="W26" s="7">
        <f>VLOOKUP($A26,HAVERD!$A:$BS,W$2,FALSE)</f>
        <v>3.9145348000000002</v>
      </c>
      <c r="X26" s="7">
        <f>VLOOKUP($A26,HAVERD!$A:$BS,X$2,FALSE)</f>
        <v>3.8767985</v>
      </c>
      <c r="Y26" s="7">
        <f>VLOOKUP($A26,HAVERD!$A:$BS,Y$2,FALSE)</f>
        <v>3.8407613999999999</v>
      </c>
      <c r="Z26" s="7">
        <f>VLOOKUP($A26,HAVERD!$A:$BS,Z$2,FALSE)</f>
        <v>3.8066312</v>
      </c>
      <c r="AA26" s="7">
        <f>VLOOKUP($A26,HAVERD!$A:$BS,AA$2,FALSE)</f>
        <v>3.7745712999999999</v>
      </c>
      <c r="AB26" s="7">
        <f>VLOOKUP($A26,HAVERD!$A:$BS,AB$2,FALSE)</f>
        <v>3.7445564</v>
      </c>
      <c r="AC26" s="7">
        <f>VLOOKUP($A26,HAVERD!$A:$BS,AC$2,FALSE)</f>
        <v>3.7165097999999999</v>
      </c>
      <c r="AD26" s="7">
        <f>VLOOKUP($A26,HAVERD!$A:$BS,AD$2,FALSE)</f>
        <v>3.6903537000000002</v>
      </c>
      <c r="AE26" s="7">
        <f>VLOOKUP($A26,HAVERD!$A:$BS,AE$2,FALSE)</f>
        <v>3.6660105000000001</v>
      </c>
      <c r="AF26" s="7">
        <f>VLOOKUP($A26,HAVERD!$A:$BS,AF$2,FALSE)</f>
        <v>3.6434036000000001</v>
      </c>
      <c r="AG26" s="7">
        <f>VLOOKUP($A26,HAVERD!$A:$BS,AG$2,FALSE)</f>
        <v>3.6224552000000001</v>
      </c>
      <c r="AH26" s="7">
        <f>VLOOKUP($A26,HAVERD!$A:$BS,AH$2,FALSE)</f>
        <v>3.6030878</v>
      </c>
      <c r="AI26" s="7">
        <f>VLOOKUP($A26,HAVERD!$A:$BS,AI$2,FALSE)</f>
        <v>3.5852244999999998</v>
      </c>
      <c r="AJ26" s="7">
        <f>VLOOKUP($A26,HAVERD!$A:$BS,AJ$2,FALSE)</f>
        <v>3.5687877000000001</v>
      </c>
      <c r="AK26" s="7">
        <f>VLOOKUP($A26,HAVERD!$A:$BS,AK$2,FALSE)</f>
        <v>3.5536998999999998</v>
      </c>
      <c r="AL26" s="7">
        <f>VLOOKUP($A26,HAVERD!$A:$BS,AL$2,FALSE)</f>
        <v>3.5398841000000001</v>
      </c>
      <c r="AM26" s="7">
        <f>VLOOKUP($A26,HAVERD!$A:$BS,AM$2,FALSE)</f>
        <v>3.5272671999999998</v>
      </c>
      <c r="AN26" s="7">
        <f>VLOOKUP($A26,HAVERD!$A:$BS,AN$2,FALSE)</f>
        <v>3.5157929999999999</v>
      </c>
      <c r="AO26" s="7">
        <f>VLOOKUP($A26,HAVERD!$A:$BS,AO$2,FALSE)</f>
        <v>3.5054101000000002</v>
      </c>
      <c r="AP26" s="7">
        <f>VLOOKUP($A26,HAVERD!$A:$BS,AP$2,FALSE)</f>
        <v>3.4960667999999999</v>
      </c>
      <c r="AQ26" s="7">
        <f>VLOOKUP($A26,HAVERD!$A:$BS,AQ$2,FALSE)</f>
        <v>3.4877113999999998</v>
      </c>
      <c r="AR26" s="7">
        <f>VLOOKUP($A26,HAVERD!$A:$BS,AR$2,FALSE)</f>
        <v>3.4802924000000002</v>
      </c>
      <c r="AS26" s="7">
        <f>VLOOKUP($A26,HAVERD!$A:$BS,AS$2,FALSE)</f>
        <v>3.4737580000000001</v>
      </c>
      <c r="AT26" s="7">
        <f>VLOOKUP($A26,HAVERD!$A:$BS,AT$2,FALSE)</f>
        <v>3.4680566000000002</v>
      </c>
      <c r="AU26" s="7">
        <f>VLOOKUP($A26,HAVERD!$A:$BS,AU$2,FALSE)</f>
        <v>3.4631365999999999</v>
      </c>
      <c r="AV26" s="7">
        <f>VLOOKUP($A26,HAVERD!$A:$BS,AV$2,FALSE)</f>
        <v>3.4589463999999999</v>
      </c>
      <c r="AW26" s="7">
        <f>VLOOKUP($A26,HAVERD!$A:$BS,AW$2,FALSE)</f>
        <v>3.4554342</v>
      </c>
      <c r="AX26" s="7">
        <f>VLOOKUP($A26,HAVERD!$A:$BS,AX$2,FALSE)</f>
        <v>3.4525486000000001</v>
      </c>
      <c r="BA26" s="6">
        <f t="shared" si="111"/>
        <v>45576</v>
      </c>
      <c r="BB26" s="7" t="e">
        <f>VLOOKUP($BA26,HAVERD!$A:$BS,BB$2,FALSE)</f>
        <v>#N/A</v>
      </c>
      <c r="BC26" s="7" t="e">
        <f>VLOOKUP($BA26,HAVERD!$A:$BS,BC$2,FALSE)</f>
        <v>#N/A</v>
      </c>
      <c r="BD26" s="7" t="e">
        <f>VLOOKUP($BA26,HAVERD!$A:$BS,BD$2,FALSE)</f>
        <v>#N/A</v>
      </c>
      <c r="BE26" s="7" t="e">
        <f>VLOOKUP($BA26,HAVERD!$A:$BS,BE$2,FALSE)</f>
        <v>#N/A</v>
      </c>
      <c r="BF26" s="7" t="e">
        <f>VLOOKUP($BA26,HAVERD!$A:$BS,BF$2,FALSE)</f>
        <v>#N/A</v>
      </c>
      <c r="BG26" s="7" t="e">
        <f>VLOOKUP($BA26,HAVERD!$A:$BS,BG$2,FALSE)</f>
        <v>#N/A</v>
      </c>
      <c r="BH26" s="7" t="e">
        <f>VLOOKUP($BA26,HAVERD!$A:$BS,BH$2,FALSE)</f>
        <v>#N/A</v>
      </c>
      <c r="BI26" s="7" t="e">
        <f>VLOOKUP($BA26,HAVERD!$A:$BS,BI$2,FALSE)</f>
        <v>#N/A</v>
      </c>
      <c r="BJ26" s="7" t="e">
        <f>VLOOKUP($BA26,HAVERD!$A:$BS,BJ$2,FALSE)</f>
        <v>#N/A</v>
      </c>
      <c r="BK26" s="7" t="e">
        <f>VLOOKUP($BA26,HAVERD!$A:$BS,BK$2,FALSE)</f>
        <v>#N/A</v>
      </c>
      <c r="BL26" s="7" t="e">
        <f>VLOOKUP($BA26,HAVERD!$A:$BS,BL$2,FALSE)</f>
        <v>#N/A</v>
      </c>
      <c r="BM26" s="7" t="e">
        <f>VLOOKUP($BA26,HAVERD!$A:$BS,BM$2,FALSE)</f>
        <v>#N/A</v>
      </c>
      <c r="BN26" s="7" t="e">
        <f>VLOOKUP($BA26,HAVERD!$A:$BS,BN$2,FALSE)</f>
        <v>#N/A</v>
      </c>
      <c r="BO26" s="7" t="e">
        <f>VLOOKUP($BA26,HAVERD!$A:$BS,BO$2,FALSE)</f>
        <v>#N/A</v>
      </c>
      <c r="BP26" s="7" t="e">
        <f>VLOOKUP($BA26,HAVERD!$A:$BS,BP$2,FALSE)</f>
        <v>#N/A</v>
      </c>
      <c r="BQ26" s="7" t="e">
        <f>VLOOKUP($BA26,HAVERD!$A:$BS,BQ$2,FALSE)</f>
        <v>#N/A</v>
      </c>
      <c r="BR26" s="7" t="e">
        <f>VLOOKUP($BA26,HAVERD!$A:$BS,BR$2,FALSE)</f>
        <v>#N/A</v>
      </c>
      <c r="BS26" s="7" t="e">
        <f>VLOOKUP($BA26,HAVERD!$A:$BS,BS$2,FALSE)</f>
        <v>#N/A</v>
      </c>
      <c r="BT26" s="7" t="e">
        <f>VLOOKUP($BA26,HAVERD!$A:$BS,BT$2,FALSE)</f>
        <v>#N/A</v>
      </c>
      <c r="BU26" s="7" t="e">
        <f>VLOOKUP($BA26,HAVERD!$A:$BS,BU$2,FALSE)</f>
        <v>#N/A</v>
      </c>
      <c r="BV26" s="7" t="e">
        <f>VLOOKUP($BA26,HAVERD!$A:$BS,BV$2,FALSE)</f>
        <v>#N/A</v>
      </c>
      <c r="BW26" s="7" t="e">
        <f>VLOOKUP($BA26,HAVERD!$A:$BS,BW$2,FALSE)</f>
        <v>#N/A</v>
      </c>
      <c r="BX26" s="7" t="e">
        <f>VLOOKUP($BA26,HAVERD!$A:$BS,BX$2,FALSE)</f>
        <v>#N/A</v>
      </c>
      <c r="BY26" s="7" t="e">
        <f>VLOOKUP($BA26,HAVERD!$A:$BS,BY$2,FALSE)</f>
        <v>#N/A</v>
      </c>
      <c r="BZ26" s="7" t="e">
        <f>VLOOKUP($BA26,HAVERD!$A:$BS,BZ$2,FALSE)</f>
        <v>#N/A</v>
      </c>
      <c r="CA26" s="7" t="e">
        <f>VLOOKUP($BA26,HAVERD!$A:$BS,CA$2,FALSE)</f>
        <v>#N/A</v>
      </c>
      <c r="CB26" s="7" t="e">
        <f>VLOOKUP($BA26,HAVERD!$A:$BS,CB$2,FALSE)</f>
        <v>#N/A</v>
      </c>
      <c r="CC26" s="7" t="e">
        <f>VLOOKUP($BA26,HAVERD!$A:$BS,CC$2,FALSE)</f>
        <v>#N/A</v>
      </c>
      <c r="CD26" s="7" t="e">
        <f>VLOOKUP($BA26,HAVERD!$A:$BS,CD$2,FALSE)</f>
        <v>#N/A</v>
      </c>
      <c r="CE26" s="7" t="e">
        <f>VLOOKUP($BA26,HAVERD!$A:$BS,CE$2,FALSE)</f>
        <v>#N/A</v>
      </c>
      <c r="CF26" s="7" t="e">
        <f>VLOOKUP($BA26,HAVERD!$A:$BS,CF$2,FALSE)</f>
        <v>#N/A</v>
      </c>
      <c r="CG26" s="7" t="e">
        <f>VLOOKUP($BA26,HAVERD!$A:$BS,CG$2,FALSE)</f>
        <v>#N/A</v>
      </c>
      <c r="CH26" s="7" t="e">
        <f>VLOOKUP($BA26,HAVERD!$A:$BS,CH$2,FALSE)</f>
        <v>#N/A</v>
      </c>
      <c r="CI26" s="7" t="e">
        <f>VLOOKUP($BA26,HAVERD!$A:$BS,CI$2,FALSE)</f>
        <v>#N/A</v>
      </c>
      <c r="CJ26" s="7" t="e">
        <f>VLOOKUP($BA26,HAVERD!$A:$BS,CJ$2,FALSE)</f>
        <v>#N/A</v>
      </c>
      <c r="CK26" s="7" t="e">
        <f>VLOOKUP($BA26,HAVERD!$A:$BS,CK$2,FALSE)</f>
        <v>#N/A</v>
      </c>
      <c r="CL26" s="7" t="e">
        <f>VLOOKUP($BA26,HAVERD!$A:$BS,CL$2,FALSE)</f>
        <v>#N/A</v>
      </c>
      <c r="CM26" s="7" t="e">
        <f>VLOOKUP($BA26,HAVERD!$A:$BS,CM$2,FALSE)</f>
        <v>#N/A</v>
      </c>
      <c r="CN26" s="7" t="e">
        <f>VLOOKUP($BA26,HAVERD!$A:$BS,CN$2,FALSE)</f>
        <v>#N/A</v>
      </c>
      <c r="CO26" s="7" t="e">
        <f>VLOOKUP($BA26,HAVERD!$A:$BS,CO$2,FALSE)</f>
        <v>#N/A</v>
      </c>
      <c r="CP26" s="7" t="e">
        <f>VLOOKUP($BA26,HAVERD!$A:$BS,CP$2,FALSE)</f>
        <v>#N/A</v>
      </c>
      <c r="CQ26" s="7" t="e">
        <f>VLOOKUP($BA26,HAVERD!$A:$BS,CQ$2,FALSE)</f>
        <v>#N/A</v>
      </c>
      <c r="CR26" s="7" t="e">
        <f>VLOOKUP($BA26,HAVERD!$A:$BS,CR$2,FALSE)</f>
        <v>#N/A</v>
      </c>
      <c r="CS26" s="7" t="e">
        <f>VLOOKUP($BA26,HAVERD!$A:$BS,CS$2,FALSE)</f>
        <v>#N/A</v>
      </c>
      <c r="CT26" s="7" t="e">
        <f>VLOOKUP($BA26,HAVERD!$A:$BS,CT$2,FALSE)</f>
        <v>#N/A</v>
      </c>
      <c r="CU26" s="7" t="e">
        <f>VLOOKUP($BA26,HAVERD!$A:$BS,CU$2,FALSE)</f>
        <v>#N/A</v>
      </c>
      <c r="CV26" s="7" t="e">
        <f>VLOOKUP($BA26,HAVERD!$A:$BS,CV$2,FALSE)</f>
        <v>#N/A</v>
      </c>
      <c r="CW26" s="7" t="e">
        <f>VLOOKUP($BA26,HAVERD!$A:$BS,CW$2,FALSE)</f>
        <v>#N/A</v>
      </c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</row>
    <row r="27" spans="1:113" x14ac:dyDescent="0.25">
      <c r="A27" s="6">
        <f t="shared" si="110"/>
        <v>45481</v>
      </c>
      <c r="B27" s="7">
        <f>VLOOKUP($A27,HAVERD!$A:$BS,B$2,FALSE)</f>
        <v>5.2</v>
      </c>
      <c r="C27" s="7">
        <f>VLOOKUP($A27,HAVERD!$A:$BS,C$2,FALSE)</f>
        <v>5.1003777000000001</v>
      </c>
      <c r="D27" s="7">
        <f>VLOOKUP($A27,HAVERD!$A:$BS,D$2,FALSE)</f>
        <v>5.0193512</v>
      </c>
      <c r="E27" s="7">
        <f>VLOOKUP($A27,HAVERD!$A:$BS,E$2,FALSE)</f>
        <v>4.9524208999999999</v>
      </c>
      <c r="F27" s="7">
        <f>VLOOKUP($A27,HAVERD!$A:$BS,F$2,FALSE)</f>
        <v>4.8817792000000004</v>
      </c>
      <c r="G27" s="7">
        <f>VLOOKUP($A27,HAVERD!$A:$BS,G$2,FALSE)</f>
        <v>4.8028355999999999</v>
      </c>
      <c r="H27" s="7">
        <f>VLOOKUP($A27,HAVERD!$A:$BS,H$2,FALSE)</f>
        <v>4.7200436000000003</v>
      </c>
      <c r="I27" s="7">
        <f>VLOOKUP($A27,HAVERD!$A:$BS,I$2,FALSE)</f>
        <v>4.6378883000000002</v>
      </c>
      <c r="J27" s="7">
        <f>VLOOKUP($A27,HAVERD!$A:$BS,J$2,FALSE)</f>
        <v>4.5598948000000004</v>
      </c>
      <c r="K27" s="7">
        <f>VLOOKUP($A27,HAVERD!$A:$BS,K$2,FALSE)</f>
        <v>4.4887874999999999</v>
      </c>
      <c r="L27" s="7">
        <f>VLOOKUP($A27,HAVERD!$A:$BS,L$2,FALSE)</f>
        <v>4.4249687</v>
      </c>
      <c r="M27" s="7">
        <f>VLOOKUP($A27,HAVERD!$A:$BS,M$2,FALSE)</f>
        <v>4.3681660999999998</v>
      </c>
      <c r="N27" s="7">
        <f>VLOOKUP($A27,HAVERD!$A:$BS,N$2,FALSE)</f>
        <v>4.3170773000000002</v>
      </c>
      <c r="O27" s="7">
        <f>VLOOKUP($A27,HAVERD!$A:$BS,O$2,FALSE)</f>
        <v>4.2692208999999997</v>
      </c>
      <c r="P27" s="7">
        <f>VLOOKUP($A27,HAVERD!$A:$BS,P$2,FALSE)</f>
        <v>4.2236444999999998</v>
      </c>
      <c r="Q27" s="7">
        <f>VLOOKUP($A27,HAVERD!$A:$BS,Q$2,FALSE)</f>
        <v>4.1798868000000002</v>
      </c>
      <c r="R27" s="7">
        <f>VLOOKUP($A27,HAVERD!$A:$BS,R$2,FALSE)</f>
        <v>4.1374845999999996</v>
      </c>
      <c r="S27" s="7">
        <f>VLOOKUP($A27,HAVERD!$A:$BS,S$2,FALSE)</f>
        <v>4.0959748999999999</v>
      </c>
      <c r="T27" s="7">
        <f>VLOOKUP($A27,HAVERD!$A:$BS,T$2,FALSE)</f>
        <v>4.0548960000000003</v>
      </c>
      <c r="U27" s="7">
        <f>VLOOKUP($A27,HAVERD!$A:$BS,U$2,FALSE)</f>
        <v>4.013897</v>
      </c>
      <c r="V27" s="7">
        <f>VLOOKUP($A27,HAVERD!$A:$BS,V$2,FALSE)</f>
        <v>3.9731466000000002</v>
      </c>
      <c r="W27" s="7">
        <f>VLOOKUP($A27,HAVERD!$A:$BS,W$2,FALSE)</f>
        <v>3.9329654999999999</v>
      </c>
      <c r="X27" s="7">
        <f>VLOOKUP($A27,HAVERD!$A:$BS,X$2,FALSE)</f>
        <v>3.8936731999999998</v>
      </c>
      <c r="Y27" s="7">
        <f>VLOOKUP($A27,HAVERD!$A:$BS,Y$2,FALSE)</f>
        <v>3.8555890000000002</v>
      </c>
      <c r="Z27" s="7">
        <f>VLOOKUP($A27,HAVERD!$A:$BS,Z$2,FALSE)</f>
        <v>3.8190336</v>
      </c>
      <c r="AA27" s="7">
        <f>VLOOKUP($A27,HAVERD!$A:$BS,AA$2,FALSE)</f>
        <v>3.7842665000000002</v>
      </c>
      <c r="AB27" s="7">
        <f>VLOOKUP($A27,HAVERD!$A:$BS,AB$2,FALSE)</f>
        <v>3.7513073000000001</v>
      </c>
      <c r="AC27" s="7">
        <f>VLOOKUP($A27,HAVERD!$A:$BS,AC$2,FALSE)</f>
        <v>3.7201167000000002</v>
      </c>
      <c r="AD27" s="7">
        <f>VLOOKUP($A27,HAVERD!$A:$BS,AD$2,FALSE)</f>
        <v>3.6906544000000001</v>
      </c>
      <c r="AE27" s="7">
        <f>VLOOKUP($A27,HAVERD!$A:$BS,AE$2,FALSE)</f>
        <v>3.6628799999999999</v>
      </c>
      <c r="AF27" s="7">
        <f>VLOOKUP($A27,HAVERD!$A:$BS,AF$2,FALSE)</f>
        <v>3.6367543000000002</v>
      </c>
      <c r="AG27" s="7">
        <f>VLOOKUP($A27,HAVERD!$A:$BS,AG$2,FALSE)</f>
        <v>3.6122369999999999</v>
      </c>
      <c r="AH27" s="7">
        <f>VLOOKUP($A27,HAVERD!$A:$BS,AH$2,FALSE)</f>
        <v>3.5892876999999999</v>
      </c>
      <c r="AI27" s="7">
        <f>VLOOKUP($A27,HAVERD!$A:$BS,AI$2,FALSE)</f>
        <v>3.5678671</v>
      </c>
      <c r="AJ27" s="7">
        <f>VLOOKUP($A27,HAVERD!$A:$BS,AJ$2,FALSE)</f>
        <v>3.5479349</v>
      </c>
      <c r="AK27" s="7">
        <f>VLOOKUP($A27,HAVERD!$A:$BS,AK$2,FALSE)</f>
        <v>3.5294508000000002</v>
      </c>
      <c r="AL27" s="7">
        <f>VLOOKUP($A27,HAVERD!$A:$BS,AL$2,FALSE)</f>
        <v>3.5123753999999998</v>
      </c>
      <c r="AM27" s="7">
        <f>VLOOKUP($A27,HAVERD!$A:$BS,AM$2,FALSE)</f>
        <v>3.496667</v>
      </c>
      <c r="AN27" s="7">
        <f>VLOOKUP($A27,HAVERD!$A:$BS,AN$2,FALSE)</f>
        <v>3.4822779000000001</v>
      </c>
      <c r="AO27" s="7">
        <f>VLOOKUP($A27,HAVERD!$A:$BS,AO$2,FALSE)</f>
        <v>3.4691595999999998</v>
      </c>
      <c r="AP27" s="7">
        <f>VLOOKUP($A27,HAVERD!$A:$BS,AP$2,FALSE)</f>
        <v>3.4572630000000002</v>
      </c>
      <c r="AQ27" s="7">
        <f>VLOOKUP($A27,HAVERD!$A:$BS,AQ$2,FALSE)</f>
        <v>3.4465389000000002</v>
      </c>
      <c r="AR27" s="7">
        <f>VLOOKUP($A27,HAVERD!$A:$BS,AR$2,FALSE)</f>
        <v>3.4369388000000001</v>
      </c>
      <c r="AS27" s="7">
        <f>VLOOKUP($A27,HAVERD!$A:$BS,AS$2,FALSE)</f>
        <v>3.4284135</v>
      </c>
      <c r="AT27" s="7">
        <f>VLOOKUP($A27,HAVERD!$A:$BS,AT$2,FALSE)</f>
        <v>3.4209141000000001</v>
      </c>
      <c r="AU27" s="7">
        <f>VLOOKUP($A27,HAVERD!$A:$BS,AU$2,FALSE)</f>
        <v>3.4143918000000002</v>
      </c>
      <c r="AV27" s="7">
        <f>VLOOKUP($A27,HAVERD!$A:$BS,AV$2,FALSE)</f>
        <v>3.4087976000000002</v>
      </c>
      <c r="AW27" s="7">
        <f>VLOOKUP($A27,HAVERD!$A:$BS,AW$2,FALSE)</f>
        <v>3.4040824000000001</v>
      </c>
      <c r="AX27" s="7">
        <f>VLOOKUP($A27,HAVERD!$A:$BS,AX$2,FALSE)</f>
        <v>3.4001975999999998</v>
      </c>
      <c r="BA27" s="6">
        <f t="shared" si="111"/>
        <v>45579</v>
      </c>
      <c r="BB27" s="7" t="e">
        <f>VLOOKUP($BA27,HAVERD!$A:$BS,BB$2,FALSE)</f>
        <v>#N/A</v>
      </c>
      <c r="BC27" s="7" t="e">
        <f>VLOOKUP($BA27,HAVERD!$A:$BS,BC$2,FALSE)</f>
        <v>#N/A</v>
      </c>
      <c r="BD27" s="7" t="e">
        <f>VLOOKUP($BA27,HAVERD!$A:$BS,BD$2,FALSE)</f>
        <v>#N/A</v>
      </c>
      <c r="BE27" s="7" t="e">
        <f>VLOOKUP($BA27,HAVERD!$A:$BS,BE$2,FALSE)</f>
        <v>#N/A</v>
      </c>
      <c r="BF27" s="7" t="e">
        <f>VLOOKUP($BA27,HAVERD!$A:$BS,BF$2,FALSE)</f>
        <v>#N/A</v>
      </c>
      <c r="BG27" s="7" t="e">
        <f>VLOOKUP($BA27,HAVERD!$A:$BS,BG$2,FALSE)</f>
        <v>#N/A</v>
      </c>
      <c r="BH27" s="7" t="e">
        <f>VLOOKUP($BA27,HAVERD!$A:$BS,BH$2,FALSE)</f>
        <v>#N/A</v>
      </c>
      <c r="BI27" s="7" t="e">
        <f>VLOOKUP($BA27,HAVERD!$A:$BS,BI$2,FALSE)</f>
        <v>#N/A</v>
      </c>
      <c r="BJ27" s="7" t="e">
        <f>VLOOKUP($BA27,HAVERD!$A:$BS,BJ$2,FALSE)</f>
        <v>#N/A</v>
      </c>
      <c r="BK27" s="7" t="e">
        <f>VLOOKUP($BA27,HAVERD!$A:$BS,BK$2,FALSE)</f>
        <v>#N/A</v>
      </c>
      <c r="BL27" s="7" t="e">
        <f>VLOOKUP($BA27,HAVERD!$A:$BS,BL$2,FALSE)</f>
        <v>#N/A</v>
      </c>
      <c r="BM27" s="7" t="e">
        <f>VLOOKUP($BA27,HAVERD!$A:$BS,BM$2,FALSE)</f>
        <v>#N/A</v>
      </c>
      <c r="BN27" s="7" t="e">
        <f>VLOOKUP($BA27,HAVERD!$A:$BS,BN$2,FALSE)</f>
        <v>#N/A</v>
      </c>
      <c r="BO27" s="7" t="e">
        <f>VLOOKUP($BA27,HAVERD!$A:$BS,BO$2,FALSE)</f>
        <v>#N/A</v>
      </c>
      <c r="BP27" s="7" t="e">
        <f>VLOOKUP($BA27,HAVERD!$A:$BS,BP$2,FALSE)</f>
        <v>#N/A</v>
      </c>
      <c r="BQ27" s="7" t="e">
        <f>VLOOKUP($BA27,HAVERD!$A:$BS,BQ$2,FALSE)</f>
        <v>#N/A</v>
      </c>
      <c r="BR27" s="7" t="e">
        <f>VLOOKUP($BA27,HAVERD!$A:$BS,BR$2,FALSE)</f>
        <v>#N/A</v>
      </c>
      <c r="BS27" s="7" t="e">
        <f>VLOOKUP($BA27,HAVERD!$A:$BS,BS$2,FALSE)</f>
        <v>#N/A</v>
      </c>
      <c r="BT27" s="7" t="e">
        <f>VLOOKUP($BA27,HAVERD!$A:$BS,BT$2,FALSE)</f>
        <v>#N/A</v>
      </c>
      <c r="BU27" s="7" t="e">
        <f>VLOOKUP($BA27,HAVERD!$A:$BS,BU$2,FALSE)</f>
        <v>#N/A</v>
      </c>
      <c r="BV27" s="7" t="e">
        <f>VLOOKUP($BA27,HAVERD!$A:$BS,BV$2,FALSE)</f>
        <v>#N/A</v>
      </c>
      <c r="BW27" s="7" t="e">
        <f>VLOOKUP($BA27,HAVERD!$A:$BS,BW$2,FALSE)</f>
        <v>#N/A</v>
      </c>
      <c r="BX27" s="7" t="e">
        <f>VLOOKUP($BA27,HAVERD!$A:$BS,BX$2,FALSE)</f>
        <v>#N/A</v>
      </c>
      <c r="BY27" s="7" t="e">
        <f>VLOOKUP($BA27,HAVERD!$A:$BS,BY$2,FALSE)</f>
        <v>#N/A</v>
      </c>
      <c r="BZ27" s="7" t="e">
        <f>VLOOKUP($BA27,HAVERD!$A:$BS,BZ$2,FALSE)</f>
        <v>#N/A</v>
      </c>
      <c r="CA27" s="7" t="e">
        <f>VLOOKUP($BA27,HAVERD!$A:$BS,CA$2,FALSE)</f>
        <v>#N/A</v>
      </c>
      <c r="CB27" s="7" t="e">
        <f>VLOOKUP($BA27,HAVERD!$A:$BS,CB$2,FALSE)</f>
        <v>#N/A</v>
      </c>
      <c r="CC27" s="7" t="e">
        <f>VLOOKUP($BA27,HAVERD!$A:$BS,CC$2,FALSE)</f>
        <v>#N/A</v>
      </c>
      <c r="CD27" s="7" t="e">
        <f>VLOOKUP($BA27,HAVERD!$A:$BS,CD$2,FALSE)</f>
        <v>#N/A</v>
      </c>
      <c r="CE27" s="7" t="e">
        <f>VLOOKUP($BA27,HAVERD!$A:$BS,CE$2,FALSE)</f>
        <v>#N/A</v>
      </c>
      <c r="CF27" s="7" t="e">
        <f>VLOOKUP($BA27,HAVERD!$A:$BS,CF$2,FALSE)</f>
        <v>#N/A</v>
      </c>
      <c r="CG27" s="7" t="e">
        <f>VLOOKUP($BA27,HAVERD!$A:$BS,CG$2,FALSE)</f>
        <v>#N/A</v>
      </c>
      <c r="CH27" s="7" t="e">
        <f>VLOOKUP($BA27,HAVERD!$A:$BS,CH$2,FALSE)</f>
        <v>#N/A</v>
      </c>
      <c r="CI27" s="7" t="e">
        <f>VLOOKUP($BA27,HAVERD!$A:$BS,CI$2,FALSE)</f>
        <v>#N/A</v>
      </c>
      <c r="CJ27" s="7" t="e">
        <f>VLOOKUP($BA27,HAVERD!$A:$BS,CJ$2,FALSE)</f>
        <v>#N/A</v>
      </c>
      <c r="CK27" s="7" t="e">
        <f>VLOOKUP($BA27,HAVERD!$A:$BS,CK$2,FALSE)</f>
        <v>#N/A</v>
      </c>
      <c r="CL27" s="7" t="e">
        <f>VLOOKUP($BA27,HAVERD!$A:$BS,CL$2,FALSE)</f>
        <v>#N/A</v>
      </c>
      <c r="CM27" s="7" t="e">
        <f>VLOOKUP($BA27,HAVERD!$A:$BS,CM$2,FALSE)</f>
        <v>#N/A</v>
      </c>
      <c r="CN27" s="7" t="e">
        <f>VLOOKUP($BA27,HAVERD!$A:$BS,CN$2,FALSE)</f>
        <v>#N/A</v>
      </c>
      <c r="CO27" s="7" t="e">
        <f>VLOOKUP($BA27,HAVERD!$A:$BS,CO$2,FALSE)</f>
        <v>#N/A</v>
      </c>
      <c r="CP27" s="7" t="e">
        <f>VLOOKUP($BA27,HAVERD!$A:$BS,CP$2,FALSE)</f>
        <v>#N/A</v>
      </c>
      <c r="CQ27" s="7" t="e">
        <f>VLOOKUP($BA27,HAVERD!$A:$BS,CQ$2,FALSE)</f>
        <v>#N/A</v>
      </c>
      <c r="CR27" s="7" t="e">
        <f>VLOOKUP($BA27,HAVERD!$A:$BS,CR$2,FALSE)</f>
        <v>#N/A</v>
      </c>
      <c r="CS27" s="7" t="e">
        <f>VLOOKUP($BA27,HAVERD!$A:$BS,CS$2,FALSE)</f>
        <v>#N/A</v>
      </c>
      <c r="CT27" s="7" t="e">
        <f>VLOOKUP($BA27,HAVERD!$A:$BS,CT$2,FALSE)</f>
        <v>#N/A</v>
      </c>
      <c r="CU27" s="7" t="e">
        <f>VLOOKUP($BA27,HAVERD!$A:$BS,CU$2,FALSE)</f>
        <v>#N/A</v>
      </c>
      <c r="CV27" s="7" t="e">
        <f>VLOOKUP($BA27,HAVERD!$A:$BS,CV$2,FALSE)</f>
        <v>#N/A</v>
      </c>
      <c r="CW27" s="7" t="e">
        <f>VLOOKUP($BA27,HAVERD!$A:$BS,CW$2,FALSE)</f>
        <v>#N/A</v>
      </c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</row>
    <row r="28" spans="1:113" x14ac:dyDescent="0.25">
      <c r="A28" s="6">
        <f t="shared" si="110"/>
        <v>45482</v>
      </c>
      <c r="B28" s="7">
        <f>VLOOKUP($A28,HAVERD!$A:$BS,B$2,FALSE)</f>
        <v>5.2</v>
      </c>
      <c r="C28" s="7">
        <f>VLOOKUP($A28,HAVERD!$A:$BS,C$2,FALSE)</f>
        <v>5.0965470000000002</v>
      </c>
      <c r="D28" s="7">
        <f>VLOOKUP($A28,HAVERD!$A:$BS,D$2,FALSE)</f>
        <v>5.0182862000000004</v>
      </c>
      <c r="E28" s="7">
        <f>VLOOKUP($A28,HAVERD!$A:$BS,E$2,FALSE)</f>
        <v>4.9517053000000004</v>
      </c>
      <c r="F28" s="7">
        <f>VLOOKUP($A28,HAVERD!$A:$BS,F$2,FALSE)</f>
        <v>4.8809924000000002</v>
      </c>
      <c r="G28" s="7">
        <f>VLOOKUP($A28,HAVERD!$A:$BS,G$2,FALSE)</f>
        <v>4.8026843000000001</v>
      </c>
      <c r="H28" s="7">
        <f>VLOOKUP($A28,HAVERD!$A:$BS,H$2,FALSE)</f>
        <v>4.7214162000000002</v>
      </c>
      <c r="I28" s="7">
        <f>VLOOKUP($A28,HAVERD!$A:$BS,I$2,FALSE)</f>
        <v>4.6414730000000004</v>
      </c>
      <c r="J28" s="7">
        <f>VLOOKUP($A28,HAVERD!$A:$BS,J$2,FALSE)</f>
        <v>4.5661022999999998</v>
      </c>
      <c r="K28" s="7">
        <f>VLOOKUP($A28,HAVERD!$A:$BS,K$2,FALSE)</f>
        <v>4.4975401000000002</v>
      </c>
      <c r="L28" s="7">
        <f>VLOOKUP($A28,HAVERD!$A:$BS,L$2,FALSE)</f>
        <v>4.4360973000000001</v>
      </c>
      <c r="M28" s="7">
        <f>VLOOKUP($A28,HAVERD!$A:$BS,M$2,FALSE)</f>
        <v>4.3814859000000004</v>
      </c>
      <c r="N28" s="7">
        <f>VLOOKUP($A28,HAVERD!$A:$BS,N$2,FALSE)</f>
        <v>4.3324952000000003</v>
      </c>
      <c r="O28" s="7">
        <f>VLOOKUP($A28,HAVERD!$A:$BS,O$2,FALSE)</f>
        <v>4.2867740000000003</v>
      </c>
      <c r="P28" s="7">
        <f>VLOOKUP($A28,HAVERD!$A:$BS,P$2,FALSE)</f>
        <v>4.2433668999999998</v>
      </c>
      <c r="Q28" s="7">
        <f>VLOOKUP($A28,HAVERD!$A:$BS,Q$2,FALSE)</f>
        <v>4.2017626000000003</v>
      </c>
      <c r="R28" s="7">
        <f>VLOOKUP($A28,HAVERD!$A:$BS,R$2,FALSE)</f>
        <v>4.1614483</v>
      </c>
      <c r="S28" s="7">
        <f>VLOOKUP($A28,HAVERD!$A:$BS,S$2,FALSE)</f>
        <v>4.1219115000000004</v>
      </c>
      <c r="T28" s="7">
        <f>VLOOKUP($A28,HAVERD!$A:$BS,T$2,FALSE)</f>
        <v>4.0826408000000001</v>
      </c>
      <c r="U28" s="7">
        <f>VLOOKUP($A28,HAVERD!$A:$BS,U$2,FALSE)</f>
        <v>4.0432432</v>
      </c>
      <c r="V28" s="7">
        <f>VLOOKUP($A28,HAVERD!$A:$BS,V$2,FALSE)</f>
        <v>4.0038812999999998</v>
      </c>
      <c r="W28" s="7">
        <f>VLOOKUP($A28,HAVERD!$A:$BS,W$2,FALSE)</f>
        <v>3.9648797999999998</v>
      </c>
      <c r="X28" s="7">
        <f>VLOOKUP($A28,HAVERD!$A:$BS,X$2,FALSE)</f>
        <v>3.9265620999999999</v>
      </c>
      <c r="Y28" s="7">
        <f>VLOOKUP($A28,HAVERD!$A:$BS,Y$2,FALSE)</f>
        <v>3.8892516000000001</v>
      </c>
      <c r="Z28" s="7">
        <f>VLOOKUP($A28,HAVERD!$A:$BS,Z$2,FALSE)</f>
        <v>3.8532730000000002</v>
      </c>
      <c r="AA28" s="7">
        <f>VLOOKUP($A28,HAVERD!$A:$BS,AA$2,FALSE)</f>
        <v>3.8188936</v>
      </c>
      <c r="AB28" s="7">
        <f>VLOOKUP($A28,HAVERD!$A:$BS,AB$2,FALSE)</f>
        <v>3.7861558999999998</v>
      </c>
      <c r="AC28" s="7">
        <f>VLOOKUP($A28,HAVERD!$A:$BS,AC$2,FALSE)</f>
        <v>3.7550474999999999</v>
      </c>
      <c r="AD28" s="7">
        <f>VLOOKUP($A28,HAVERD!$A:$BS,AD$2,FALSE)</f>
        <v>3.7255546000000002</v>
      </c>
      <c r="AE28" s="7">
        <f>VLOOKUP($A28,HAVERD!$A:$BS,AE$2,FALSE)</f>
        <v>3.6976637999999999</v>
      </c>
      <c r="AF28" s="7">
        <f>VLOOKUP($A28,HAVERD!$A:$BS,AF$2,FALSE)</f>
        <v>3.6713624</v>
      </c>
      <c r="AG28" s="7">
        <f>VLOOKUP($A28,HAVERD!$A:$BS,AG$2,FALSE)</f>
        <v>3.6466368999999998</v>
      </c>
      <c r="AH28" s="7">
        <f>VLOOKUP($A28,HAVERD!$A:$BS,AH$2,FALSE)</f>
        <v>3.6234738000000002</v>
      </c>
      <c r="AI28" s="7">
        <f>VLOOKUP($A28,HAVERD!$A:$BS,AI$2,FALSE)</f>
        <v>3.6018602999999998</v>
      </c>
      <c r="AJ28" s="7">
        <f>VLOOKUP($A28,HAVERD!$A:$BS,AJ$2,FALSE)</f>
        <v>3.5817828999999999</v>
      </c>
      <c r="AK28" s="7">
        <f>VLOOKUP($A28,HAVERD!$A:$BS,AK$2,FALSE)</f>
        <v>3.5632282000000002</v>
      </c>
      <c r="AL28" s="7">
        <f>VLOOKUP($A28,HAVERD!$A:$BS,AL$2,FALSE)</f>
        <v>3.5461833999999999</v>
      </c>
      <c r="AM28" s="7">
        <f>VLOOKUP($A28,HAVERD!$A:$BS,AM$2,FALSE)</f>
        <v>3.5306272000000001</v>
      </c>
      <c r="AN28" s="7">
        <f>VLOOKUP($A28,HAVERD!$A:$BS,AN$2,FALSE)</f>
        <v>3.5165068000000002</v>
      </c>
      <c r="AO28" s="7">
        <f>VLOOKUP($A28,HAVERD!$A:$BS,AO$2,FALSE)</f>
        <v>3.5037623999999998</v>
      </c>
      <c r="AP28" s="7">
        <f>VLOOKUP($A28,HAVERD!$A:$BS,AP$2,FALSE)</f>
        <v>3.4923332999999999</v>
      </c>
      <c r="AQ28" s="7">
        <f>VLOOKUP($A28,HAVERD!$A:$BS,AQ$2,FALSE)</f>
        <v>3.4821589999999998</v>
      </c>
      <c r="AR28" s="7">
        <f>VLOOKUP($A28,HAVERD!$A:$BS,AR$2,FALSE)</f>
        <v>3.4731795999999999</v>
      </c>
      <c r="AS28" s="7">
        <f>VLOOKUP($A28,HAVERD!$A:$BS,AS$2,FALSE)</f>
        <v>3.4653345</v>
      </c>
      <c r="AT28" s="7">
        <f>VLOOKUP($A28,HAVERD!$A:$BS,AT$2,FALSE)</f>
        <v>3.4585632999999998</v>
      </c>
      <c r="AU28" s="7">
        <f>VLOOKUP($A28,HAVERD!$A:$BS,AU$2,FALSE)</f>
        <v>3.4528059</v>
      </c>
      <c r="AV28" s="7">
        <f>VLOOKUP($A28,HAVERD!$A:$BS,AV$2,FALSE)</f>
        <v>3.4480016999999998</v>
      </c>
      <c r="AW28" s="7">
        <f>VLOOKUP($A28,HAVERD!$A:$BS,AW$2,FALSE)</f>
        <v>3.4440903999999999</v>
      </c>
      <c r="AX28" s="7">
        <f>VLOOKUP($A28,HAVERD!$A:$BS,AX$2,FALSE)</f>
        <v>3.4410116999999998</v>
      </c>
      <c r="BA28" s="6">
        <f t="shared" si="111"/>
        <v>45580</v>
      </c>
      <c r="BB28" s="7" t="e">
        <f>VLOOKUP($BA28,HAVERD!$A:$BS,BB$2,FALSE)</f>
        <v>#N/A</v>
      </c>
      <c r="BC28" s="7" t="e">
        <f>VLOOKUP($BA28,HAVERD!$A:$BS,BC$2,FALSE)</f>
        <v>#N/A</v>
      </c>
      <c r="BD28" s="7" t="e">
        <f>VLOOKUP($BA28,HAVERD!$A:$BS,BD$2,FALSE)</f>
        <v>#N/A</v>
      </c>
      <c r="BE28" s="7" t="e">
        <f>VLOOKUP($BA28,HAVERD!$A:$BS,BE$2,FALSE)</f>
        <v>#N/A</v>
      </c>
      <c r="BF28" s="7" t="e">
        <f>VLOOKUP($BA28,HAVERD!$A:$BS,BF$2,FALSE)</f>
        <v>#N/A</v>
      </c>
      <c r="BG28" s="7" t="e">
        <f>VLOOKUP($BA28,HAVERD!$A:$BS,BG$2,FALSE)</f>
        <v>#N/A</v>
      </c>
      <c r="BH28" s="7" t="e">
        <f>VLOOKUP($BA28,HAVERD!$A:$BS,BH$2,FALSE)</f>
        <v>#N/A</v>
      </c>
      <c r="BI28" s="7" t="e">
        <f>VLOOKUP($BA28,HAVERD!$A:$BS,BI$2,FALSE)</f>
        <v>#N/A</v>
      </c>
      <c r="BJ28" s="7" t="e">
        <f>VLOOKUP($BA28,HAVERD!$A:$BS,BJ$2,FALSE)</f>
        <v>#N/A</v>
      </c>
      <c r="BK28" s="7" t="e">
        <f>VLOOKUP($BA28,HAVERD!$A:$BS,BK$2,FALSE)</f>
        <v>#N/A</v>
      </c>
      <c r="BL28" s="7" t="e">
        <f>VLOOKUP($BA28,HAVERD!$A:$BS,BL$2,FALSE)</f>
        <v>#N/A</v>
      </c>
      <c r="BM28" s="7" t="e">
        <f>VLOOKUP($BA28,HAVERD!$A:$BS,BM$2,FALSE)</f>
        <v>#N/A</v>
      </c>
      <c r="BN28" s="7" t="e">
        <f>VLOOKUP($BA28,HAVERD!$A:$BS,BN$2,FALSE)</f>
        <v>#N/A</v>
      </c>
      <c r="BO28" s="7" t="e">
        <f>VLOOKUP($BA28,HAVERD!$A:$BS,BO$2,FALSE)</f>
        <v>#N/A</v>
      </c>
      <c r="BP28" s="7" t="e">
        <f>VLOOKUP($BA28,HAVERD!$A:$BS,BP$2,FALSE)</f>
        <v>#N/A</v>
      </c>
      <c r="BQ28" s="7" t="e">
        <f>VLOOKUP($BA28,HAVERD!$A:$BS,BQ$2,FALSE)</f>
        <v>#N/A</v>
      </c>
      <c r="BR28" s="7" t="e">
        <f>VLOOKUP($BA28,HAVERD!$A:$BS,BR$2,FALSE)</f>
        <v>#N/A</v>
      </c>
      <c r="BS28" s="7" t="e">
        <f>VLOOKUP($BA28,HAVERD!$A:$BS,BS$2,FALSE)</f>
        <v>#N/A</v>
      </c>
      <c r="BT28" s="7" t="e">
        <f>VLOOKUP($BA28,HAVERD!$A:$BS,BT$2,FALSE)</f>
        <v>#N/A</v>
      </c>
      <c r="BU28" s="7" t="e">
        <f>VLOOKUP($BA28,HAVERD!$A:$BS,BU$2,FALSE)</f>
        <v>#N/A</v>
      </c>
      <c r="BV28" s="7" t="e">
        <f>VLOOKUP($BA28,HAVERD!$A:$BS,BV$2,FALSE)</f>
        <v>#N/A</v>
      </c>
      <c r="BW28" s="7" t="e">
        <f>VLOOKUP($BA28,HAVERD!$A:$BS,BW$2,FALSE)</f>
        <v>#N/A</v>
      </c>
      <c r="BX28" s="7" t="e">
        <f>VLOOKUP($BA28,HAVERD!$A:$BS,BX$2,FALSE)</f>
        <v>#N/A</v>
      </c>
      <c r="BY28" s="7" t="e">
        <f>VLOOKUP($BA28,HAVERD!$A:$BS,BY$2,FALSE)</f>
        <v>#N/A</v>
      </c>
      <c r="BZ28" s="7" t="e">
        <f>VLOOKUP($BA28,HAVERD!$A:$BS,BZ$2,FALSE)</f>
        <v>#N/A</v>
      </c>
      <c r="CA28" s="7" t="e">
        <f>VLOOKUP($BA28,HAVERD!$A:$BS,CA$2,FALSE)</f>
        <v>#N/A</v>
      </c>
      <c r="CB28" s="7" t="e">
        <f>VLOOKUP($BA28,HAVERD!$A:$BS,CB$2,FALSE)</f>
        <v>#N/A</v>
      </c>
      <c r="CC28" s="7" t="e">
        <f>VLOOKUP($BA28,HAVERD!$A:$BS,CC$2,FALSE)</f>
        <v>#N/A</v>
      </c>
      <c r="CD28" s="7" t="e">
        <f>VLOOKUP($BA28,HAVERD!$A:$BS,CD$2,FALSE)</f>
        <v>#N/A</v>
      </c>
      <c r="CE28" s="7" t="e">
        <f>VLOOKUP($BA28,HAVERD!$A:$BS,CE$2,FALSE)</f>
        <v>#N/A</v>
      </c>
      <c r="CF28" s="7" t="e">
        <f>VLOOKUP($BA28,HAVERD!$A:$BS,CF$2,FALSE)</f>
        <v>#N/A</v>
      </c>
      <c r="CG28" s="7" t="e">
        <f>VLOOKUP($BA28,HAVERD!$A:$BS,CG$2,FALSE)</f>
        <v>#N/A</v>
      </c>
      <c r="CH28" s="7" t="e">
        <f>VLOOKUP($BA28,HAVERD!$A:$BS,CH$2,FALSE)</f>
        <v>#N/A</v>
      </c>
      <c r="CI28" s="7" t="e">
        <f>VLOOKUP($BA28,HAVERD!$A:$BS,CI$2,FALSE)</f>
        <v>#N/A</v>
      </c>
      <c r="CJ28" s="7" t="e">
        <f>VLOOKUP($BA28,HAVERD!$A:$BS,CJ$2,FALSE)</f>
        <v>#N/A</v>
      </c>
      <c r="CK28" s="7" t="e">
        <f>VLOOKUP($BA28,HAVERD!$A:$BS,CK$2,FALSE)</f>
        <v>#N/A</v>
      </c>
      <c r="CL28" s="7" t="e">
        <f>VLOOKUP($BA28,HAVERD!$A:$BS,CL$2,FALSE)</f>
        <v>#N/A</v>
      </c>
      <c r="CM28" s="7" t="e">
        <f>VLOOKUP($BA28,HAVERD!$A:$BS,CM$2,FALSE)</f>
        <v>#N/A</v>
      </c>
      <c r="CN28" s="7" t="e">
        <f>VLOOKUP($BA28,HAVERD!$A:$BS,CN$2,FALSE)</f>
        <v>#N/A</v>
      </c>
      <c r="CO28" s="7" t="e">
        <f>VLOOKUP($BA28,HAVERD!$A:$BS,CO$2,FALSE)</f>
        <v>#N/A</v>
      </c>
      <c r="CP28" s="7" t="e">
        <f>VLOOKUP($BA28,HAVERD!$A:$BS,CP$2,FALSE)</f>
        <v>#N/A</v>
      </c>
      <c r="CQ28" s="7" t="e">
        <f>VLOOKUP($BA28,HAVERD!$A:$BS,CQ$2,FALSE)</f>
        <v>#N/A</v>
      </c>
      <c r="CR28" s="7" t="e">
        <f>VLOOKUP($BA28,HAVERD!$A:$BS,CR$2,FALSE)</f>
        <v>#N/A</v>
      </c>
      <c r="CS28" s="7" t="e">
        <f>VLOOKUP($BA28,HAVERD!$A:$BS,CS$2,FALSE)</f>
        <v>#N/A</v>
      </c>
      <c r="CT28" s="7" t="e">
        <f>VLOOKUP($BA28,HAVERD!$A:$BS,CT$2,FALSE)</f>
        <v>#N/A</v>
      </c>
      <c r="CU28" s="7" t="e">
        <f>VLOOKUP($BA28,HAVERD!$A:$BS,CU$2,FALSE)</f>
        <v>#N/A</v>
      </c>
      <c r="CV28" s="7" t="e">
        <f>VLOOKUP($BA28,HAVERD!$A:$BS,CV$2,FALSE)</f>
        <v>#N/A</v>
      </c>
      <c r="CW28" s="7" t="e">
        <f>VLOOKUP($BA28,HAVERD!$A:$BS,CW$2,FALSE)</f>
        <v>#N/A</v>
      </c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</row>
    <row r="29" spans="1:113" x14ac:dyDescent="0.25">
      <c r="A29" s="6">
        <f t="shared" si="110"/>
        <v>45483</v>
      </c>
      <c r="B29" s="7">
        <f>VLOOKUP($A29,HAVERD!$A:$BS,B$2,FALSE)</f>
        <v>5.2</v>
      </c>
      <c r="C29" s="7">
        <f>VLOOKUP($A29,HAVERD!$A:$BS,C$2,FALSE)</f>
        <v>5.1042224000000003</v>
      </c>
      <c r="D29" s="7">
        <f>VLOOKUP($A29,HAVERD!$A:$BS,D$2,FALSE)</f>
        <v>5.0320985</v>
      </c>
      <c r="E29" s="7">
        <f>VLOOKUP($A29,HAVERD!$A:$BS,E$2,FALSE)</f>
        <v>4.9630141999999999</v>
      </c>
      <c r="F29" s="7">
        <f>VLOOKUP($A29,HAVERD!$A:$BS,F$2,FALSE)</f>
        <v>4.8865742000000001</v>
      </c>
      <c r="G29" s="7">
        <f>VLOOKUP($A29,HAVERD!$A:$BS,G$2,FALSE)</f>
        <v>4.8036903000000004</v>
      </c>
      <c r="H29" s="7">
        <f>VLOOKUP($A29,HAVERD!$A:$BS,H$2,FALSE)</f>
        <v>4.7199090999999997</v>
      </c>
      <c r="I29" s="7">
        <f>VLOOKUP($A29,HAVERD!$A:$BS,I$2,FALSE)</f>
        <v>4.6387821000000002</v>
      </c>
      <c r="J29" s="7">
        <f>VLOOKUP($A29,HAVERD!$A:$BS,J$2,FALSE)</f>
        <v>4.5626669</v>
      </c>
      <c r="K29" s="7">
        <f>VLOOKUP($A29,HAVERD!$A:$BS,K$2,FALSE)</f>
        <v>4.4930927000000001</v>
      </c>
      <c r="L29" s="7">
        <f>VLOOKUP($A29,HAVERD!$A:$BS,L$2,FALSE)</f>
        <v>4.4304008000000001</v>
      </c>
      <c r="M29" s="7">
        <f>VLOOKUP($A29,HAVERD!$A:$BS,M$2,FALSE)</f>
        <v>4.3741912999999997</v>
      </c>
      <c r="N29" s="7">
        <f>VLOOKUP($A29,HAVERD!$A:$BS,N$2,FALSE)</f>
        <v>4.3235083999999997</v>
      </c>
      <c r="O29" s="7">
        <f>VLOOKUP($A29,HAVERD!$A:$BS,O$2,FALSE)</f>
        <v>4.2760024000000003</v>
      </c>
      <c r="P29" s="7">
        <f>VLOOKUP($A29,HAVERD!$A:$BS,P$2,FALSE)</f>
        <v>4.2306980000000003</v>
      </c>
      <c r="Q29" s="7">
        <f>VLOOKUP($A29,HAVERD!$A:$BS,Q$2,FALSE)</f>
        <v>4.1870873</v>
      </c>
      <c r="R29" s="7">
        <f>VLOOKUP($A29,HAVERD!$A:$BS,R$2,FALSE)</f>
        <v>4.1446610000000002</v>
      </c>
      <c r="S29" s="7">
        <f>VLOOKUP($A29,HAVERD!$A:$BS,S$2,FALSE)</f>
        <v>4.1029093999999997</v>
      </c>
      <c r="T29" s="7">
        <f>VLOOKUP($A29,HAVERD!$A:$BS,T$2,FALSE)</f>
        <v>4.0613245999999998</v>
      </c>
      <c r="U29" s="7">
        <f>VLOOKUP($A29,HAVERD!$A:$BS,U$2,FALSE)</f>
        <v>4.0195029</v>
      </c>
      <c r="V29" s="7">
        <f>VLOOKUP($A29,HAVERD!$A:$BS,V$2,FALSE)</f>
        <v>3.9776387</v>
      </c>
      <c r="W29" s="7">
        <f>VLOOKUP($A29,HAVERD!$A:$BS,W$2,FALSE)</f>
        <v>3.9361388000000002</v>
      </c>
      <c r="X29" s="7">
        <f>VLOOKUP($A29,HAVERD!$A:$BS,X$2,FALSE)</f>
        <v>3.8954083000000002</v>
      </c>
      <c r="Y29" s="7">
        <f>VLOOKUP($A29,HAVERD!$A:$BS,Y$2,FALSE)</f>
        <v>3.8558526</v>
      </c>
      <c r="Z29" s="7">
        <f>VLOOKUP($A29,HAVERD!$A:$BS,Z$2,FALSE)</f>
        <v>3.8178785</v>
      </c>
      <c r="AA29" s="7">
        <f>VLOOKUP($A29,HAVERD!$A:$BS,AA$2,FALSE)</f>
        <v>3.7818185</v>
      </c>
      <c r="AB29" s="7">
        <f>VLOOKUP($A29,HAVERD!$A:$BS,AB$2,FALSE)</f>
        <v>3.7477147999999998</v>
      </c>
      <c r="AC29" s="7">
        <f>VLOOKUP($A29,HAVERD!$A:$BS,AC$2,FALSE)</f>
        <v>3.7155377000000001</v>
      </c>
      <c r="AD29" s="7">
        <f>VLOOKUP($A29,HAVERD!$A:$BS,AD$2,FALSE)</f>
        <v>3.6852564999999999</v>
      </c>
      <c r="AE29" s="7">
        <f>VLOOKUP($A29,HAVERD!$A:$BS,AE$2,FALSE)</f>
        <v>3.6568407999999999</v>
      </c>
      <c r="AF29" s="7">
        <f>VLOOKUP($A29,HAVERD!$A:$BS,AF$2,FALSE)</f>
        <v>3.6302607999999998</v>
      </c>
      <c r="AG29" s="7">
        <f>VLOOKUP($A29,HAVERD!$A:$BS,AG$2,FALSE)</f>
        <v>3.605486</v>
      </c>
      <c r="AH29" s="7">
        <f>VLOOKUP($A29,HAVERD!$A:$BS,AH$2,FALSE)</f>
        <v>3.5824856999999999</v>
      </c>
      <c r="AI29" s="7">
        <f>VLOOKUP($A29,HAVERD!$A:$BS,AI$2,FALSE)</f>
        <v>3.5612303000000001</v>
      </c>
      <c r="AJ29" s="7">
        <f>VLOOKUP($A29,HAVERD!$A:$BS,AJ$2,FALSE)</f>
        <v>3.5416891000000001</v>
      </c>
      <c r="AK29" s="7">
        <f>VLOOKUP($A29,HAVERD!$A:$BS,AK$2,FALSE)</f>
        <v>3.5238317000000001</v>
      </c>
      <c r="AL29" s="7">
        <f>VLOOKUP($A29,HAVERD!$A:$BS,AL$2,FALSE)</f>
        <v>3.5076282000000001</v>
      </c>
      <c r="AM29" s="7">
        <f>VLOOKUP($A29,HAVERD!$A:$BS,AM$2,FALSE)</f>
        <v>3.4930414000000001</v>
      </c>
      <c r="AN29" s="7">
        <f>VLOOKUP($A29,HAVERD!$A:$BS,AN$2,FALSE)</f>
        <v>3.4800011999999998</v>
      </c>
      <c r="AO29" s="7">
        <f>VLOOKUP($A29,HAVERD!$A:$BS,AO$2,FALSE)</f>
        <v>3.4684282999999998</v>
      </c>
      <c r="AP29" s="7">
        <f>VLOOKUP($A29,HAVERD!$A:$BS,AP$2,FALSE)</f>
        <v>3.4582424</v>
      </c>
      <c r="AQ29" s="7">
        <f>VLOOKUP($A29,HAVERD!$A:$BS,AQ$2,FALSE)</f>
        <v>3.4493638</v>
      </c>
      <c r="AR29" s="7">
        <f>VLOOKUP($A29,HAVERD!$A:$BS,AR$2,FALSE)</f>
        <v>3.4417127999999999</v>
      </c>
      <c r="AS29" s="7">
        <f>VLOOKUP($A29,HAVERD!$A:$BS,AS$2,FALSE)</f>
        <v>3.4352095</v>
      </c>
      <c r="AT29" s="7">
        <f>VLOOKUP($A29,HAVERD!$A:$BS,AT$2,FALSE)</f>
        <v>3.4297738999999998</v>
      </c>
      <c r="AU29" s="7">
        <f>VLOOKUP($A29,HAVERD!$A:$BS,AU$2,FALSE)</f>
        <v>3.4253263999999999</v>
      </c>
      <c r="AV29" s="7">
        <f>VLOOKUP($A29,HAVERD!$A:$BS,AV$2,FALSE)</f>
        <v>3.4217870000000001</v>
      </c>
      <c r="AW29" s="7">
        <f>VLOOKUP($A29,HAVERD!$A:$BS,AW$2,FALSE)</f>
        <v>3.4190759000000002</v>
      </c>
      <c r="AX29" s="7">
        <f>VLOOKUP($A29,HAVERD!$A:$BS,AX$2,FALSE)</f>
        <v>3.4171133999999999</v>
      </c>
      <c r="BA29" s="6">
        <f t="shared" si="111"/>
        <v>45581</v>
      </c>
      <c r="BB29" s="7" t="e">
        <f>VLOOKUP($BA29,HAVERD!$A:$BS,BB$2,FALSE)</f>
        <v>#N/A</v>
      </c>
      <c r="BC29" s="7" t="e">
        <f>VLOOKUP($BA29,HAVERD!$A:$BS,BC$2,FALSE)</f>
        <v>#N/A</v>
      </c>
      <c r="BD29" s="7" t="e">
        <f>VLOOKUP($BA29,HAVERD!$A:$BS,BD$2,FALSE)</f>
        <v>#N/A</v>
      </c>
      <c r="BE29" s="7" t="e">
        <f>VLOOKUP($BA29,HAVERD!$A:$BS,BE$2,FALSE)</f>
        <v>#N/A</v>
      </c>
      <c r="BF29" s="7" t="e">
        <f>VLOOKUP($BA29,HAVERD!$A:$BS,BF$2,FALSE)</f>
        <v>#N/A</v>
      </c>
      <c r="BG29" s="7" t="e">
        <f>VLOOKUP($BA29,HAVERD!$A:$BS,BG$2,FALSE)</f>
        <v>#N/A</v>
      </c>
      <c r="BH29" s="7" t="e">
        <f>VLOOKUP($BA29,HAVERD!$A:$BS,BH$2,FALSE)</f>
        <v>#N/A</v>
      </c>
      <c r="BI29" s="7" t="e">
        <f>VLOOKUP($BA29,HAVERD!$A:$BS,BI$2,FALSE)</f>
        <v>#N/A</v>
      </c>
      <c r="BJ29" s="7" t="e">
        <f>VLOOKUP($BA29,HAVERD!$A:$BS,BJ$2,FALSE)</f>
        <v>#N/A</v>
      </c>
      <c r="BK29" s="7" t="e">
        <f>VLOOKUP($BA29,HAVERD!$A:$BS,BK$2,FALSE)</f>
        <v>#N/A</v>
      </c>
      <c r="BL29" s="7" t="e">
        <f>VLOOKUP($BA29,HAVERD!$A:$BS,BL$2,FALSE)</f>
        <v>#N/A</v>
      </c>
      <c r="BM29" s="7" t="e">
        <f>VLOOKUP($BA29,HAVERD!$A:$BS,BM$2,FALSE)</f>
        <v>#N/A</v>
      </c>
      <c r="BN29" s="7" t="e">
        <f>VLOOKUP($BA29,HAVERD!$A:$BS,BN$2,FALSE)</f>
        <v>#N/A</v>
      </c>
      <c r="BO29" s="7" t="e">
        <f>VLOOKUP($BA29,HAVERD!$A:$BS,BO$2,FALSE)</f>
        <v>#N/A</v>
      </c>
      <c r="BP29" s="7" t="e">
        <f>VLOOKUP($BA29,HAVERD!$A:$BS,BP$2,FALSE)</f>
        <v>#N/A</v>
      </c>
      <c r="BQ29" s="7" t="e">
        <f>VLOOKUP($BA29,HAVERD!$A:$BS,BQ$2,FALSE)</f>
        <v>#N/A</v>
      </c>
      <c r="BR29" s="7" t="e">
        <f>VLOOKUP($BA29,HAVERD!$A:$BS,BR$2,FALSE)</f>
        <v>#N/A</v>
      </c>
      <c r="BS29" s="7" t="e">
        <f>VLOOKUP($BA29,HAVERD!$A:$BS,BS$2,FALSE)</f>
        <v>#N/A</v>
      </c>
      <c r="BT29" s="7" t="e">
        <f>VLOOKUP($BA29,HAVERD!$A:$BS,BT$2,FALSE)</f>
        <v>#N/A</v>
      </c>
      <c r="BU29" s="7" t="e">
        <f>VLOOKUP($BA29,HAVERD!$A:$BS,BU$2,FALSE)</f>
        <v>#N/A</v>
      </c>
      <c r="BV29" s="7" t="e">
        <f>VLOOKUP($BA29,HAVERD!$A:$BS,BV$2,FALSE)</f>
        <v>#N/A</v>
      </c>
      <c r="BW29" s="7" t="e">
        <f>VLOOKUP($BA29,HAVERD!$A:$BS,BW$2,FALSE)</f>
        <v>#N/A</v>
      </c>
      <c r="BX29" s="7" t="e">
        <f>VLOOKUP($BA29,HAVERD!$A:$BS,BX$2,FALSE)</f>
        <v>#N/A</v>
      </c>
      <c r="BY29" s="7" t="e">
        <f>VLOOKUP($BA29,HAVERD!$A:$BS,BY$2,FALSE)</f>
        <v>#N/A</v>
      </c>
      <c r="BZ29" s="7" t="e">
        <f>VLOOKUP($BA29,HAVERD!$A:$BS,BZ$2,FALSE)</f>
        <v>#N/A</v>
      </c>
      <c r="CA29" s="7" t="e">
        <f>VLOOKUP($BA29,HAVERD!$A:$BS,CA$2,FALSE)</f>
        <v>#N/A</v>
      </c>
      <c r="CB29" s="7" t="e">
        <f>VLOOKUP($BA29,HAVERD!$A:$BS,CB$2,FALSE)</f>
        <v>#N/A</v>
      </c>
      <c r="CC29" s="7" t="e">
        <f>VLOOKUP($BA29,HAVERD!$A:$BS,CC$2,FALSE)</f>
        <v>#N/A</v>
      </c>
      <c r="CD29" s="7" t="e">
        <f>VLOOKUP($BA29,HAVERD!$A:$BS,CD$2,FALSE)</f>
        <v>#N/A</v>
      </c>
      <c r="CE29" s="7" t="e">
        <f>VLOOKUP($BA29,HAVERD!$A:$BS,CE$2,FALSE)</f>
        <v>#N/A</v>
      </c>
      <c r="CF29" s="7" t="e">
        <f>VLOOKUP($BA29,HAVERD!$A:$BS,CF$2,FALSE)</f>
        <v>#N/A</v>
      </c>
      <c r="CG29" s="7" t="e">
        <f>VLOOKUP($BA29,HAVERD!$A:$BS,CG$2,FALSE)</f>
        <v>#N/A</v>
      </c>
      <c r="CH29" s="7" t="e">
        <f>VLOOKUP($BA29,HAVERD!$A:$BS,CH$2,FALSE)</f>
        <v>#N/A</v>
      </c>
      <c r="CI29" s="7" t="e">
        <f>VLOOKUP($BA29,HAVERD!$A:$BS,CI$2,FALSE)</f>
        <v>#N/A</v>
      </c>
      <c r="CJ29" s="7" t="e">
        <f>VLOOKUP($BA29,HAVERD!$A:$BS,CJ$2,FALSE)</f>
        <v>#N/A</v>
      </c>
      <c r="CK29" s="7" t="e">
        <f>VLOOKUP($BA29,HAVERD!$A:$BS,CK$2,FALSE)</f>
        <v>#N/A</v>
      </c>
      <c r="CL29" s="7" t="e">
        <f>VLOOKUP($BA29,HAVERD!$A:$BS,CL$2,FALSE)</f>
        <v>#N/A</v>
      </c>
      <c r="CM29" s="7" t="e">
        <f>VLOOKUP($BA29,HAVERD!$A:$BS,CM$2,FALSE)</f>
        <v>#N/A</v>
      </c>
      <c r="CN29" s="7" t="e">
        <f>VLOOKUP($BA29,HAVERD!$A:$BS,CN$2,FALSE)</f>
        <v>#N/A</v>
      </c>
      <c r="CO29" s="7" t="e">
        <f>VLOOKUP($BA29,HAVERD!$A:$BS,CO$2,FALSE)</f>
        <v>#N/A</v>
      </c>
      <c r="CP29" s="7" t="e">
        <f>VLOOKUP($BA29,HAVERD!$A:$BS,CP$2,FALSE)</f>
        <v>#N/A</v>
      </c>
      <c r="CQ29" s="7" t="e">
        <f>VLOOKUP($BA29,HAVERD!$A:$BS,CQ$2,FALSE)</f>
        <v>#N/A</v>
      </c>
      <c r="CR29" s="7" t="e">
        <f>VLOOKUP($BA29,HAVERD!$A:$BS,CR$2,FALSE)</f>
        <v>#N/A</v>
      </c>
      <c r="CS29" s="7" t="e">
        <f>VLOOKUP($BA29,HAVERD!$A:$BS,CS$2,FALSE)</f>
        <v>#N/A</v>
      </c>
      <c r="CT29" s="7" t="e">
        <f>VLOOKUP($BA29,HAVERD!$A:$BS,CT$2,FALSE)</f>
        <v>#N/A</v>
      </c>
      <c r="CU29" s="7" t="e">
        <f>VLOOKUP($BA29,HAVERD!$A:$BS,CU$2,FALSE)</f>
        <v>#N/A</v>
      </c>
      <c r="CV29" s="7" t="e">
        <f>VLOOKUP($BA29,HAVERD!$A:$BS,CV$2,FALSE)</f>
        <v>#N/A</v>
      </c>
      <c r="CW29" s="7" t="e">
        <f>VLOOKUP($BA29,HAVERD!$A:$BS,CW$2,FALSE)</f>
        <v>#N/A</v>
      </c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</row>
    <row r="30" spans="1:113" x14ac:dyDescent="0.25">
      <c r="A30" s="6">
        <f t="shared" si="110"/>
        <v>45484</v>
      </c>
      <c r="B30" s="7">
        <f>VLOOKUP($A30,HAVERD!$A:$BS,B$2,FALSE)</f>
        <v>5.2</v>
      </c>
      <c r="C30" s="7">
        <f>VLOOKUP($A30,HAVERD!$A:$BS,C$2,FALSE)</f>
        <v>5.0945081999999999</v>
      </c>
      <c r="D30" s="7">
        <f>VLOOKUP($A30,HAVERD!$A:$BS,D$2,FALSE)</f>
        <v>5.0217773000000001</v>
      </c>
      <c r="E30" s="7">
        <f>VLOOKUP($A30,HAVERD!$A:$BS,E$2,FALSE)</f>
        <v>4.9511234999999996</v>
      </c>
      <c r="F30" s="7">
        <f>VLOOKUP($A30,HAVERD!$A:$BS,F$2,FALSE)</f>
        <v>4.8706331</v>
      </c>
      <c r="G30" s="7">
        <f>VLOOKUP($A30,HAVERD!$A:$BS,G$2,FALSE)</f>
        <v>4.7813489000000002</v>
      </c>
      <c r="H30" s="7">
        <f>VLOOKUP($A30,HAVERD!$A:$BS,H$2,FALSE)</f>
        <v>4.6895094999999998</v>
      </c>
      <c r="I30" s="7">
        <f>VLOOKUP($A30,HAVERD!$A:$BS,I$2,FALSE)</f>
        <v>4.5990317999999997</v>
      </c>
      <c r="J30" s="7">
        <f>VLOOKUP($A30,HAVERD!$A:$BS,J$2,FALSE)</f>
        <v>4.5123877999999999</v>
      </c>
      <c r="K30" s="7">
        <f>VLOOKUP($A30,HAVERD!$A:$BS,K$2,FALSE)</f>
        <v>4.4311230000000004</v>
      </c>
      <c r="L30" s="7">
        <f>VLOOKUP($A30,HAVERD!$A:$BS,L$2,FALSE)</f>
        <v>4.355817</v>
      </c>
      <c r="M30" s="7">
        <f>VLOOKUP($A30,HAVERD!$A:$BS,M$2,FALSE)</f>
        <v>4.2867958000000002</v>
      </c>
      <c r="N30" s="7">
        <f>VLOOKUP($A30,HAVERD!$A:$BS,N$2,FALSE)</f>
        <v>4.2239363000000001</v>
      </c>
      <c r="O30" s="7">
        <f>VLOOKUP($A30,HAVERD!$A:$BS,O$2,FALSE)</f>
        <v>4.1665216999999997</v>
      </c>
      <c r="P30" s="7">
        <f>VLOOKUP($A30,HAVERD!$A:$BS,P$2,FALSE)</f>
        <v>4.1137746000000002</v>
      </c>
      <c r="Q30" s="7">
        <f>VLOOKUP($A30,HAVERD!$A:$BS,Q$2,FALSE)</f>
        <v>4.0649386999999999</v>
      </c>
      <c r="R30" s="7">
        <f>VLOOKUP($A30,HAVERD!$A:$BS,R$2,FALSE)</f>
        <v>4.0192559000000001</v>
      </c>
      <c r="S30" s="7">
        <f>VLOOKUP($A30,HAVERD!$A:$BS,S$2,FALSE)</f>
        <v>3.9759680999999998</v>
      </c>
      <c r="T30" s="7">
        <f>VLOOKUP($A30,HAVERD!$A:$BS,T$2,FALSE)</f>
        <v>3.9343186999999999</v>
      </c>
      <c r="U30" s="7">
        <f>VLOOKUP($A30,HAVERD!$A:$BS,U$2,FALSE)</f>
        <v>3.8936736999999999</v>
      </c>
      <c r="V30" s="7">
        <f>VLOOKUP($A30,HAVERD!$A:$BS,V$2,FALSE)</f>
        <v>3.8540337</v>
      </c>
      <c r="W30" s="7">
        <f>VLOOKUP($A30,HAVERD!$A:$BS,W$2,FALSE)</f>
        <v>3.8156034000000001</v>
      </c>
      <c r="X30" s="7">
        <f>VLOOKUP($A30,HAVERD!$A:$BS,X$2,FALSE)</f>
        <v>3.7785861999999999</v>
      </c>
      <c r="Y30" s="7">
        <f>VLOOKUP($A30,HAVERD!$A:$BS,Y$2,FALSE)</f>
        <v>3.7431855999999999</v>
      </c>
      <c r="Z30" s="7">
        <f>VLOOKUP($A30,HAVERD!$A:$BS,Z$2,FALSE)</f>
        <v>3.7096064000000002</v>
      </c>
      <c r="AA30" s="7">
        <f>VLOOKUP($A30,HAVERD!$A:$BS,AA$2,FALSE)</f>
        <v>3.6780164000000002</v>
      </c>
      <c r="AB30" s="7">
        <f>VLOOKUP($A30,HAVERD!$A:$BS,AB$2,FALSE)</f>
        <v>3.6484098999999999</v>
      </c>
      <c r="AC30" s="7">
        <f>VLOOKUP($A30,HAVERD!$A:$BS,AC$2,FALSE)</f>
        <v>3.6207294000000001</v>
      </c>
      <c r="AD30" s="7">
        <f>VLOOKUP($A30,HAVERD!$A:$BS,AD$2,FALSE)</f>
        <v>3.5949160999999998</v>
      </c>
      <c r="AE30" s="7">
        <f>VLOOKUP($A30,HAVERD!$A:$BS,AE$2,FALSE)</f>
        <v>3.5709118000000002</v>
      </c>
      <c r="AF30" s="7">
        <f>VLOOKUP($A30,HAVERD!$A:$BS,AF$2,FALSE)</f>
        <v>3.5486585000000002</v>
      </c>
      <c r="AG30" s="7">
        <f>VLOOKUP($A30,HAVERD!$A:$BS,AG$2,FALSE)</f>
        <v>3.5280979000000001</v>
      </c>
      <c r="AH30" s="7">
        <f>VLOOKUP($A30,HAVERD!$A:$BS,AH$2,FALSE)</f>
        <v>3.5091714000000001</v>
      </c>
      <c r="AI30" s="7">
        <f>VLOOKUP($A30,HAVERD!$A:$BS,AI$2,FALSE)</f>
        <v>3.4918212</v>
      </c>
      <c r="AJ30" s="7">
        <f>VLOOKUP($A30,HAVERD!$A:$BS,AJ$2,FALSE)</f>
        <v>3.4759888999999999</v>
      </c>
      <c r="AK30" s="7">
        <f>VLOOKUP($A30,HAVERD!$A:$BS,AK$2,FALSE)</f>
        <v>3.4616161000000001</v>
      </c>
      <c r="AL30" s="7">
        <f>VLOOKUP($A30,HAVERD!$A:$BS,AL$2,FALSE)</f>
        <v>3.4486447999999998</v>
      </c>
      <c r="AM30" s="7">
        <f>VLOOKUP($A30,HAVERD!$A:$BS,AM$2,FALSE)</f>
        <v>3.4370153999999999</v>
      </c>
      <c r="AN30" s="7">
        <f>VLOOKUP($A30,HAVERD!$A:$BS,AN$2,FALSE)</f>
        <v>3.426663</v>
      </c>
      <c r="AO30" s="7">
        <f>VLOOKUP($A30,HAVERD!$A:$BS,AO$2,FALSE)</f>
        <v>3.4175216000000002</v>
      </c>
      <c r="AP30" s="7">
        <f>VLOOKUP($A30,HAVERD!$A:$BS,AP$2,FALSE)</f>
        <v>3.4095246000000001</v>
      </c>
      <c r="AQ30" s="7">
        <f>VLOOKUP($A30,HAVERD!$A:$BS,AQ$2,FALSE)</f>
        <v>3.4026059000000002</v>
      </c>
      <c r="AR30" s="7">
        <f>VLOOKUP($A30,HAVERD!$A:$BS,AR$2,FALSE)</f>
        <v>3.3966991000000002</v>
      </c>
      <c r="AS30" s="7">
        <f>VLOOKUP($A30,HAVERD!$A:$BS,AS$2,FALSE)</f>
        <v>3.3917381</v>
      </c>
      <c r="AT30" s="7">
        <f>VLOOKUP($A30,HAVERD!$A:$BS,AT$2,FALSE)</f>
        <v>3.3876563000000002</v>
      </c>
      <c r="AU30" s="7">
        <f>VLOOKUP($A30,HAVERD!$A:$BS,AU$2,FALSE)</f>
        <v>3.3843877999999998</v>
      </c>
      <c r="AV30" s="7">
        <f>VLOOKUP($A30,HAVERD!$A:$BS,AV$2,FALSE)</f>
        <v>3.381866</v>
      </c>
      <c r="AW30" s="7">
        <f>VLOOKUP($A30,HAVERD!$A:$BS,AW$2,FALSE)</f>
        <v>3.3800246999999999</v>
      </c>
      <c r="AX30" s="7">
        <f>VLOOKUP($A30,HAVERD!$A:$BS,AX$2,FALSE)</f>
        <v>3.3787976</v>
      </c>
      <c r="BA30" s="6">
        <f t="shared" si="111"/>
        <v>45582</v>
      </c>
      <c r="BB30" s="7" t="e">
        <f>VLOOKUP($BA30,HAVERD!$A:$BS,BB$2,FALSE)</f>
        <v>#N/A</v>
      </c>
      <c r="BC30" s="7" t="e">
        <f>VLOOKUP($BA30,HAVERD!$A:$BS,BC$2,FALSE)</f>
        <v>#N/A</v>
      </c>
      <c r="BD30" s="7" t="e">
        <f>VLOOKUP($BA30,HAVERD!$A:$BS,BD$2,FALSE)</f>
        <v>#N/A</v>
      </c>
      <c r="BE30" s="7" t="e">
        <f>VLOOKUP($BA30,HAVERD!$A:$BS,BE$2,FALSE)</f>
        <v>#N/A</v>
      </c>
      <c r="BF30" s="7" t="e">
        <f>VLOOKUP($BA30,HAVERD!$A:$BS,BF$2,FALSE)</f>
        <v>#N/A</v>
      </c>
      <c r="BG30" s="7" t="e">
        <f>VLOOKUP($BA30,HAVERD!$A:$BS,BG$2,FALSE)</f>
        <v>#N/A</v>
      </c>
      <c r="BH30" s="7" t="e">
        <f>VLOOKUP($BA30,HAVERD!$A:$BS,BH$2,FALSE)</f>
        <v>#N/A</v>
      </c>
      <c r="BI30" s="7" t="e">
        <f>VLOOKUP($BA30,HAVERD!$A:$BS,BI$2,FALSE)</f>
        <v>#N/A</v>
      </c>
      <c r="BJ30" s="7" t="e">
        <f>VLOOKUP($BA30,HAVERD!$A:$BS,BJ$2,FALSE)</f>
        <v>#N/A</v>
      </c>
      <c r="BK30" s="7" t="e">
        <f>VLOOKUP($BA30,HAVERD!$A:$BS,BK$2,FALSE)</f>
        <v>#N/A</v>
      </c>
      <c r="BL30" s="7" t="e">
        <f>VLOOKUP($BA30,HAVERD!$A:$BS,BL$2,FALSE)</f>
        <v>#N/A</v>
      </c>
      <c r="BM30" s="7" t="e">
        <f>VLOOKUP($BA30,HAVERD!$A:$BS,BM$2,FALSE)</f>
        <v>#N/A</v>
      </c>
      <c r="BN30" s="7" t="e">
        <f>VLOOKUP($BA30,HAVERD!$A:$BS,BN$2,FALSE)</f>
        <v>#N/A</v>
      </c>
      <c r="BO30" s="7" t="e">
        <f>VLOOKUP($BA30,HAVERD!$A:$BS,BO$2,FALSE)</f>
        <v>#N/A</v>
      </c>
      <c r="BP30" s="7" t="e">
        <f>VLOOKUP($BA30,HAVERD!$A:$BS,BP$2,FALSE)</f>
        <v>#N/A</v>
      </c>
      <c r="BQ30" s="7" t="e">
        <f>VLOOKUP($BA30,HAVERD!$A:$BS,BQ$2,FALSE)</f>
        <v>#N/A</v>
      </c>
      <c r="BR30" s="7" t="e">
        <f>VLOOKUP($BA30,HAVERD!$A:$BS,BR$2,FALSE)</f>
        <v>#N/A</v>
      </c>
      <c r="BS30" s="7" t="e">
        <f>VLOOKUP($BA30,HAVERD!$A:$BS,BS$2,FALSE)</f>
        <v>#N/A</v>
      </c>
      <c r="BT30" s="7" t="e">
        <f>VLOOKUP($BA30,HAVERD!$A:$BS,BT$2,FALSE)</f>
        <v>#N/A</v>
      </c>
      <c r="BU30" s="7" t="e">
        <f>VLOOKUP($BA30,HAVERD!$A:$BS,BU$2,FALSE)</f>
        <v>#N/A</v>
      </c>
      <c r="BV30" s="7" t="e">
        <f>VLOOKUP($BA30,HAVERD!$A:$BS,BV$2,FALSE)</f>
        <v>#N/A</v>
      </c>
      <c r="BW30" s="7" t="e">
        <f>VLOOKUP($BA30,HAVERD!$A:$BS,BW$2,FALSE)</f>
        <v>#N/A</v>
      </c>
      <c r="BX30" s="7" t="e">
        <f>VLOOKUP($BA30,HAVERD!$A:$BS,BX$2,FALSE)</f>
        <v>#N/A</v>
      </c>
      <c r="BY30" s="7" t="e">
        <f>VLOOKUP($BA30,HAVERD!$A:$BS,BY$2,FALSE)</f>
        <v>#N/A</v>
      </c>
      <c r="BZ30" s="7" t="e">
        <f>VLOOKUP($BA30,HAVERD!$A:$BS,BZ$2,FALSE)</f>
        <v>#N/A</v>
      </c>
      <c r="CA30" s="7" t="e">
        <f>VLOOKUP($BA30,HAVERD!$A:$BS,CA$2,FALSE)</f>
        <v>#N/A</v>
      </c>
      <c r="CB30" s="7" t="e">
        <f>VLOOKUP($BA30,HAVERD!$A:$BS,CB$2,FALSE)</f>
        <v>#N/A</v>
      </c>
      <c r="CC30" s="7" t="e">
        <f>VLOOKUP($BA30,HAVERD!$A:$BS,CC$2,FALSE)</f>
        <v>#N/A</v>
      </c>
      <c r="CD30" s="7" t="e">
        <f>VLOOKUP($BA30,HAVERD!$A:$BS,CD$2,FALSE)</f>
        <v>#N/A</v>
      </c>
      <c r="CE30" s="7" t="e">
        <f>VLOOKUP($BA30,HAVERD!$A:$BS,CE$2,FALSE)</f>
        <v>#N/A</v>
      </c>
      <c r="CF30" s="7" t="e">
        <f>VLOOKUP($BA30,HAVERD!$A:$BS,CF$2,FALSE)</f>
        <v>#N/A</v>
      </c>
      <c r="CG30" s="7" t="e">
        <f>VLOOKUP($BA30,HAVERD!$A:$BS,CG$2,FALSE)</f>
        <v>#N/A</v>
      </c>
      <c r="CH30" s="7" t="e">
        <f>VLOOKUP($BA30,HAVERD!$A:$BS,CH$2,FALSE)</f>
        <v>#N/A</v>
      </c>
      <c r="CI30" s="7" t="e">
        <f>VLOOKUP($BA30,HAVERD!$A:$BS,CI$2,FALSE)</f>
        <v>#N/A</v>
      </c>
      <c r="CJ30" s="7" t="e">
        <f>VLOOKUP($BA30,HAVERD!$A:$BS,CJ$2,FALSE)</f>
        <v>#N/A</v>
      </c>
      <c r="CK30" s="7" t="e">
        <f>VLOOKUP($BA30,HAVERD!$A:$BS,CK$2,FALSE)</f>
        <v>#N/A</v>
      </c>
      <c r="CL30" s="7" t="e">
        <f>VLOOKUP($BA30,HAVERD!$A:$BS,CL$2,FALSE)</f>
        <v>#N/A</v>
      </c>
      <c r="CM30" s="7" t="e">
        <f>VLOOKUP($BA30,HAVERD!$A:$BS,CM$2,FALSE)</f>
        <v>#N/A</v>
      </c>
      <c r="CN30" s="7" t="e">
        <f>VLOOKUP($BA30,HAVERD!$A:$BS,CN$2,FALSE)</f>
        <v>#N/A</v>
      </c>
      <c r="CO30" s="7" t="e">
        <f>VLOOKUP($BA30,HAVERD!$A:$BS,CO$2,FALSE)</f>
        <v>#N/A</v>
      </c>
      <c r="CP30" s="7" t="e">
        <f>VLOOKUP($BA30,HAVERD!$A:$BS,CP$2,FALSE)</f>
        <v>#N/A</v>
      </c>
      <c r="CQ30" s="7" t="e">
        <f>VLOOKUP($BA30,HAVERD!$A:$BS,CQ$2,FALSE)</f>
        <v>#N/A</v>
      </c>
      <c r="CR30" s="7" t="e">
        <f>VLOOKUP($BA30,HAVERD!$A:$BS,CR$2,FALSE)</f>
        <v>#N/A</v>
      </c>
      <c r="CS30" s="7" t="e">
        <f>VLOOKUP($BA30,HAVERD!$A:$BS,CS$2,FALSE)</f>
        <v>#N/A</v>
      </c>
      <c r="CT30" s="7" t="e">
        <f>VLOOKUP($BA30,HAVERD!$A:$BS,CT$2,FALSE)</f>
        <v>#N/A</v>
      </c>
      <c r="CU30" s="7" t="e">
        <f>VLOOKUP($BA30,HAVERD!$A:$BS,CU$2,FALSE)</f>
        <v>#N/A</v>
      </c>
      <c r="CV30" s="7" t="e">
        <f>VLOOKUP($BA30,HAVERD!$A:$BS,CV$2,FALSE)</f>
        <v>#N/A</v>
      </c>
      <c r="CW30" s="7" t="e">
        <f>VLOOKUP($BA30,HAVERD!$A:$BS,CW$2,FALSE)</f>
        <v>#N/A</v>
      </c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</row>
    <row r="31" spans="1:113" x14ac:dyDescent="0.25">
      <c r="A31" s="6">
        <f t="shared" si="110"/>
        <v>45485</v>
      </c>
      <c r="B31" s="7">
        <f>VLOOKUP($A31,HAVERD!$A:$BS,B$2,FALSE)</f>
        <v>5.2</v>
      </c>
      <c r="C31" s="7">
        <f>VLOOKUP($A31,HAVERD!$A:$BS,C$2,FALSE)</f>
        <v>5.1031082999999997</v>
      </c>
      <c r="D31" s="7">
        <f>VLOOKUP($A31,HAVERD!$A:$BS,D$2,FALSE)</f>
        <v>5.0352072999999997</v>
      </c>
      <c r="E31" s="7">
        <f>VLOOKUP($A31,HAVERD!$A:$BS,E$2,FALSE)</f>
        <v>4.9632402999999998</v>
      </c>
      <c r="F31" s="7">
        <f>VLOOKUP($A31,HAVERD!$A:$BS,F$2,FALSE)</f>
        <v>4.8806377000000003</v>
      </c>
      <c r="G31" s="7">
        <f>VLOOKUP($A31,HAVERD!$A:$BS,G$2,FALSE)</f>
        <v>4.7906447999999999</v>
      </c>
      <c r="H31" s="7">
        <f>VLOOKUP($A31,HAVERD!$A:$BS,H$2,FALSE)</f>
        <v>4.6995386999999997</v>
      </c>
      <c r="I31" s="7">
        <f>VLOOKUP($A31,HAVERD!$A:$BS,I$2,FALSE)</f>
        <v>4.6110253999999999</v>
      </c>
      <c r="J31" s="7">
        <f>VLOOKUP($A31,HAVERD!$A:$BS,J$2,FALSE)</f>
        <v>4.5272345999999999</v>
      </c>
      <c r="K31" s="7">
        <f>VLOOKUP($A31,HAVERD!$A:$BS,K$2,FALSE)</f>
        <v>4.4491731000000003</v>
      </c>
      <c r="L31" s="7">
        <f>VLOOKUP($A31,HAVERD!$A:$BS,L$2,FALSE)</f>
        <v>4.3771108999999999</v>
      </c>
      <c r="M31" s="7">
        <f>VLOOKUP($A31,HAVERD!$A:$BS,M$2,FALSE)</f>
        <v>4.3107161999999999</v>
      </c>
      <c r="N31" s="7">
        <f>VLOOKUP($A31,HAVERD!$A:$BS,N$2,FALSE)</f>
        <v>4.2493043999999998</v>
      </c>
      <c r="O31" s="7">
        <f>VLOOKUP($A31,HAVERD!$A:$BS,O$2,FALSE)</f>
        <v>4.1910360999999998</v>
      </c>
      <c r="P31" s="7">
        <f>VLOOKUP($A31,HAVERD!$A:$BS,P$2,FALSE)</f>
        <v>4.1354389999999999</v>
      </c>
      <c r="Q31" s="7">
        <f>VLOOKUP($A31,HAVERD!$A:$BS,Q$2,FALSE)</f>
        <v>4.0825836000000004</v>
      </c>
      <c r="R31" s="7">
        <f>VLOOKUP($A31,HAVERD!$A:$BS,R$2,FALSE)</f>
        <v>4.0325385000000002</v>
      </c>
      <c r="S31" s="7">
        <f>VLOOKUP($A31,HAVERD!$A:$BS,S$2,FALSE)</f>
        <v>3.9853725</v>
      </c>
      <c r="T31" s="7">
        <f>VLOOKUP($A31,HAVERD!$A:$BS,T$2,FALSE)</f>
        <v>3.9411559999999999</v>
      </c>
      <c r="U31" s="7">
        <f>VLOOKUP($A31,HAVERD!$A:$BS,U$2,FALSE)</f>
        <v>3.8999229</v>
      </c>
      <c r="V31" s="7">
        <f>VLOOKUP($A31,HAVERD!$A:$BS,V$2,FALSE)</f>
        <v>3.8615460000000001</v>
      </c>
      <c r="W31" s="7">
        <f>VLOOKUP($A31,HAVERD!$A:$BS,W$2,FALSE)</f>
        <v>3.8258527</v>
      </c>
      <c r="X31" s="7">
        <f>VLOOKUP($A31,HAVERD!$A:$BS,X$2,FALSE)</f>
        <v>3.7926690999999999</v>
      </c>
      <c r="Y31" s="7">
        <f>VLOOKUP($A31,HAVERD!$A:$BS,Y$2,FALSE)</f>
        <v>3.7618212999999998</v>
      </c>
      <c r="Z31" s="7">
        <f>VLOOKUP($A31,HAVERD!$A:$BS,Z$2,FALSE)</f>
        <v>3.7331365000000001</v>
      </c>
      <c r="AA31" s="7">
        <f>VLOOKUP($A31,HAVERD!$A:$BS,AA$2,FALSE)</f>
        <v>3.7064520000000001</v>
      </c>
      <c r="AB31" s="7">
        <f>VLOOKUP($A31,HAVERD!$A:$BS,AB$2,FALSE)</f>
        <v>3.6816542000000001</v>
      </c>
      <c r="AC31" s="7">
        <f>VLOOKUP($A31,HAVERD!$A:$BS,AC$2,FALSE)</f>
        <v>3.6586438999999999</v>
      </c>
      <c r="AD31" s="7">
        <f>VLOOKUP($A31,HAVERD!$A:$BS,AD$2,FALSE)</f>
        <v>3.637321</v>
      </c>
      <c r="AE31" s="7">
        <f>VLOOKUP($A31,HAVERD!$A:$BS,AE$2,FALSE)</f>
        <v>3.6175856</v>
      </c>
      <c r="AF31" s="7">
        <f>VLOOKUP($A31,HAVERD!$A:$BS,AF$2,FALSE)</f>
        <v>3.5993384000000002</v>
      </c>
      <c r="AG31" s="7">
        <f>VLOOKUP($A31,HAVERD!$A:$BS,AG$2,FALSE)</f>
        <v>3.5824793000000001</v>
      </c>
      <c r="AH31" s="7">
        <f>VLOOKUP($A31,HAVERD!$A:$BS,AH$2,FALSE)</f>
        <v>3.5669084999999998</v>
      </c>
      <c r="AI31" s="7">
        <f>VLOOKUP($A31,HAVERD!$A:$BS,AI$2,FALSE)</f>
        <v>3.5525264000000001</v>
      </c>
      <c r="AJ31" s="7">
        <f>VLOOKUP($A31,HAVERD!$A:$BS,AJ$2,FALSE)</f>
        <v>3.5392332999999998</v>
      </c>
      <c r="AK31" s="7">
        <f>VLOOKUP($A31,HAVERD!$A:$BS,AK$2,FALSE)</f>
        <v>3.5269290999999998</v>
      </c>
      <c r="AL31" s="7">
        <f>VLOOKUP($A31,HAVERD!$A:$BS,AL$2,FALSE)</f>
        <v>3.5155143999999998</v>
      </c>
      <c r="AM31" s="7">
        <f>VLOOKUP($A31,HAVERD!$A:$BS,AM$2,FALSE)</f>
        <v>3.5049032000000002</v>
      </c>
      <c r="AN31" s="7">
        <f>VLOOKUP($A31,HAVERD!$A:$BS,AN$2,FALSE)</f>
        <v>3.4950646999999999</v>
      </c>
      <c r="AO31" s="7">
        <f>VLOOKUP($A31,HAVERD!$A:$BS,AO$2,FALSE)</f>
        <v>3.4859825</v>
      </c>
      <c r="AP31" s="7">
        <f>VLOOKUP($A31,HAVERD!$A:$BS,AP$2,FALSE)</f>
        <v>3.4776395999999998</v>
      </c>
      <c r="AQ31" s="7">
        <f>VLOOKUP($A31,HAVERD!$A:$BS,AQ$2,FALSE)</f>
        <v>3.4700194</v>
      </c>
      <c r="AR31" s="7">
        <f>VLOOKUP($A31,HAVERD!$A:$BS,AR$2,FALSE)</f>
        <v>3.4631050999999999</v>
      </c>
      <c r="AS31" s="7">
        <f>VLOOKUP($A31,HAVERD!$A:$BS,AS$2,FALSE)</f>
        <v>3.4568800999999998</v>
      </c>
      <c r="AT31" s="7">
        <f>VLOOKUP($A31,HAVERD!$A:$BS,AT$2,FALSE)</f>
        <v>3.4513273999999998</v>
      </c>
      <c r="AU31" s="7">
        <f>VLOOKUP($A31,HAVERD!$A:$BS,AU$2,FALSE)</f>
        <v>3.4464305999999998</v>
      </c>
      <c r="AV31" s="7">
        <f>VLOOKUP($A31,HAVERD!$A:$BS,AV$2,FALSE)</f>
        <v>3.4421727999999998</v>
      </c>
      <c r="AW31" s="7">
        <f>VLOOKUP($A31,HAVERD!$A:$BS,AW$2,FALSE)</f>
        <v>3.4385371</v>
      </c>
      <c r="AX31" s="7">
        <f>VLOOKUP($A31,HAVERD!$A:$BS,AX$2,FALSE)</f>
        <v>3.4355071000000001</v>
      </c>
      <c r="BA31" s="6">
        <f t="shared" si="111"/>
        <v>45583</v>
      </c>
      <c r="BB31" s="7" t="e">
        <f>VLOOKUP($BA31,HAVERD!$A:$BS,BB$2,FALSE)</f>
        <v>#N/A</v>
      </c>
      <c r="BC31" s="7" t="e">
        <f>VLOOKUP($BA31,HAVERD!$A:$BS,BC$2,FALSE)</f>
        <v>#N/A</v>
      </c>
      <c r="BD31" s="7" t="e">
        <f>VLOOKUP($BA31,HAVERD!$A:$BS,BD$2,FALSE)</f>
        <v>#N/A</v>
      </c>
      <c r="BE31" s="7" t="e">
        <f>VLOOKUP($BA31,HAVERD!$A:$BS,BE$2,FALSE)</f>
        <v>#N/A</v>
      </c>
      <c r="BF31" s="7" t="e">
        <f>VLOOKUP($BA31,HAVERD!$A:$BS,BF$2,FALSE)</f>
        <v>#N/A</v>
      </c>
      <c r="BG31" s="7" t="e">
        <f>VLOOKUP($BA31,HAVERD!$A:$BS,BG$2,FALSE)</f>
        <v>#N/A</v>
      </c>
      <c r="BH31" s="7" t="e">
        <f>VLOOKUP($BA31,HAVERD!$A:$BS,BH$2,FALSE)</f>
        <v>#N/A</v>
      </c>
      <c r="BI31" s="7" t="e">
        <f>VLOOKUP($BA31,HAVERD!$A:$BS,BI$2,FALSE)</f>
        <v>#N/A</v>
      </c>
      <c r="BJ31" s="7" t="e">
        <f>VLOOKUP($BA31,HAVERD!$A:$BS,BJ$2,FALSE)</f>
        <v>#N/A</v>
      </c>
      <c r="BK31" s="7" t="e">
        <f>VLOOKUP($BA31,HAVERD!$A:$BS,BK$2,FALSE)</f>
        <v>#N/A</v>
      </c>
      <c r="BL31" s="7" t="e">
        <f>VLOOKUP($BA31,HAVERD!$A:$BS,BL$2,FALSE)</f>
        <v>#N/A</v>
      </c>
      <c r="BM31" s="7" t="e">
        <f>VLOOKUP($BA31,HAVERD!$A:$BS,BM$2,FALSE)</f>
        <v>#N/A</v>
      </c>
      <c r="BN31" s="7" t="e">
        <f>VLOOKUP($BA31,HAVERD!$A:$BS,BN$2,FALSE)</f>
        <v>#N/A</v>
      </c>
      <c r="BO31" s="7" t="e">
        <f>VLOOKUP($BA31,HAVERD!$A:$BS,BO$2,FALSE)</f>
        <v>#N/A</v>
      </c>
      <c r="BP31" s="7" t="e">
        <f>VLOOKUP($BA31,HAVERD!$A:$BS,BP$2,FALSE)</f>
        <v>#N/A</v>
      </c>
      <c r="BQ31" s="7" t="e">
        <f>VLOOKUP($BA31,HAVERD!$A:$BS,BQ$2,FALSE)</f>
        <v>#N/A</v>
      </c>
      <c r="BR31" s="7" t="e">
        <f>VLOOKUP($BA31,HAVERD!$A:$BS,BR$2,FALSE)</f>
        <v>#N/A</v>
      </c>
      <c r="BS31" s="7" t="e">
        <f>VLOOKUP($BA31,HAVERD!$A:$BS,BS$2,FALSE)</f>
        <v>#N/A</v>
      </c>
      <c r="BT31" s="7" t="e">
        <f>VLOOKUP($BA31,HAVERD!$A:$BS,BT$2,FALSE)</f>
        <v>#N/A</v>
      </c>
      <c r="BU31" s="7" t="e">
        <f>VLOOKUP($BA31,HAVERD!$A:$BS,BU$2,FALSE)</f>
        <v>#N/A</v>
      </c>
      <c r="BV31" s="7" t="e">
        <f>VLOOKUP($BA31,HAVERD!$A:$BS,BV$2,FALSE)</f>
        <v>#N/A</v>
      </c>
      <c r="BW31" s="7" t="e">
        <f>VLOOKUP($BA31,HAVERD!$A:$BS,BW$2,FALSE)</f>
        <v>#N/A</v>
      </c>
      <c r="BX31" s="7" t="e">
        <f>VLOOKUP($BA31,HAVERD!$A:$BS,BX$2,FALSE)</f>
        <v>#N/A</v>
      </c>
      <c r="BY31" s="7" t="e">
        <f>VLOOKUP($BA31,HAVERD!$A:$BS,BY$2,FALSE)</f>
        <v>#N/A</v>
      </c>
      <c r="BZ31" s="7" t="e">
        <f>VLOOKUP($BA31,HAVERD!$A:$BS,BZ$2,FALSE)</f>
        <v>#N/A</v>
      </c>
      <c r="CA31" s="7" t="e">
        <f>VLOOKUP($BA31,HAVERD!$A:$BS,CA$2,FALSE)</f>
        <v>#N/A</v>
      </c>
      <c r="CB31" s="7" t="e">
        <f>VLOOKUP($BA31,HAVERD!$A:$BS,CB$2,FALSE)</f>
        <v>#N/A</v>
      </c>
      <c r="CC31" s="7" t="e">
        <f>VLOOKUP($BA31,HAVERD!$A:$BS,CC$2,FALSE)</f>
        <v>#N/A</v>
      </c>
      <c r="CD31" s="7" t="e">
        <f>VLOOKUP($BA31,HAVERD!$A:$BS,CD$2,FALSE)</f>
        <v>#N/A</v>
      </c>
      <c r="CE31" s="7" t="e">
        <f>VLOOKUP($BA31,HAVERD!$A:$BS,CE$2,FALSE)</f>
        <v>#N/A</v>
      </c>
      <c r="CF31" s="7" t="e">
        <f>VLOOKUP($BA31,HAVERD!$A:$BS,CF$2,FALSE)</f>
        <v>#N/A</v>
      </c>
      <c r="CG31" s="7" t="e">
        <f>VLOOKUP($BA31,HAVERD!$A:$BS,CG$2,FALSE)</f>
        <v>#N/A</v>
      </c>
      <c r="CH31" s="7" t="e">
        <f>VLOOKUP($BA31,HAVERD!$A:$BS,CH$2,FALSE)</f>
        <v>#N/A</v>
      </c>
      <c r="CI31" s="7" t="e">
        <f>VLOOKUP($BA31,HAVERD!$A:$BS,CI$2,FALSE)</f>
        <v>#N/A</v>
      </c>
      <c r="CJ31" s="7" t="e">
        <f>VLOOKUP($BA31,HAVERD!$A:$BS,CJ$2,FALSE)</f>
        <v>#N/A</v>
      </c>
      <c r="CK31" s="7" t="e">
        <f>VLOOKUP($BA31,HAVERD!$A:$BS,CK$2,FALSE)</f>
        <v>#N/A</v>
      </c>
      <c r="CL31" s="7" t="e">
        <f>VLOOKUP($BA31,HAVERD!$A:$BS,CL$2,FALSE)</f>
        <v>#N/A</v>
      </c>
      <c r="CM31" s="7" t="e">
        <f>VLOOKUP($BA31,HAVERD!$A:$BS,CM$2,FALSE)</f>
        <v>#N/A</v>
      </c>
      <c r="CN31" s="7" t="e">
        <f>VLOOKUP($BA31,HAVERD!$A:$BS,CN$2,FALSE)</f>
        <v>#N/A</v>
      </c>
      <c r="CO31" s="7" t="e">
        <f>VLOOKUP($BA31,HAVERD!$A:$BS,CO$2,FALSE)</f>
        <v>#N/A</v>
      </c>
      <c r="CP31" s="7" t="e">
        <f>VLOOKUP($BA31,HAVERD!$A:$BS,CP$2,FALSE)</f>
        <v>#N/A</v>
      </c>
      <c r="CQ31" s="7" t="e">
        <f>VLOOKUP($BA31,HAVERD!$A:$BS,CQ$2,FALSE)</f>
        <v>#N/A</v>
      </c>
      <c r="CR31" s="7" t="e">
        <f>VLOOKUP($BA31,HAVERD!$A:$BS,CR$2,FALSE)</f>
        <v>#N/A</v>
      </c>
      <c r="CS31" s="7" t="e">
        <f>VLOOKUP($BA31,HAVERD!$A:$BS,CS$2,FALSE)</f>
        <v>#N/A</v>
      </c>
      <c r="CT31" s="7" t="e">
        <f>VLOOKUP($BA31,HAVERD!$A:$BS,CT$2,FALSE)</f>
        <v>#N/A</v>
      </c>
      <c r="CU31" s="7" t="e">
        <f>VLOOKUP($BA31,HAVERD!$A:$BS,CU$2,FALSE)</f>
        <v>#N/A</v>
      </c>
      <c r="CV31" s="7" t="e">
        <f>VLOOKUP($BA31,HAVERD!$A:$BS,CV$2,FALSE)</f>
        <v>#N/A</v>
      </c>
      <c r="CW31" s="7" t="e">
        <f>VLOOKUP($BA31,HAVERD!$A:$BS,CW$2,FALSE)</f>
        <v>#N/A</v>
      </c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</row>
    <row r="32" spans="1:113" x14ac:dyDescent="0.25">
      <c r="A32" s="6">
        <f t="shared" si="110"/>
        <v>45488</v>
      </c>
      <c r="B32" s="7">
        <f>VLOOKUP($A32,HAVERD!$A:$BS,B$2,FALSE)</f>
        <v>5.2</v>
      </c>
      <c r="C32" s="7">
        <f>VLOOKUP($A32,HAVERD!$A:$BS,C$2,FALSE)</f>
        <v>5.0946078999999997</v>
      </c>
      <c r="D32" s="7">
        <f>VLOOKUP($A32,HAVERD!$A:$BS,D$2,FALSE)</f>
        <v>5.0373513000000001</v>
      </c>
      <c r="E32" s="7">
        <f>VLOOKUP($A32,HAVERD!$A:$BS,E$2,FALSE)</f>
        <v>4.9645256</v>
      </c>
      <c r="F32" s="7">
        <f>VLOOKUP($A32,HAVERD!$A:$BS,F$2,FALSE)</f>
        <v>4.8771414999999996</v>
      </c>
      <c r="G32" s="7">
        <f>VLOOKUP($A32,HAVERD!$A:$BS,G$2,FALSE)</f>
        <v>4.7822119000000001</v>
      </c>
      <c r="H32" s="7">
        <f>VLOOKUP($A32,HAVERD!$A:$BS,H$2,FALSE)</f>
        <v>4.6868572000000004</v>
      </c>
      <c r="I32" s="7">
        <f>VLOOKUP($A32,HAVERD!$A:$BS,I$2,FALSE)</f>
        <v>4.5953284999999999</v>
      </c>
      <c r="J32" s="7">
        <f>VLOOKUP($A32,HAVERD!$A:$BS,J$2,FALSE)</f>
        <v>4.5097901</v>
      </c>
      <c r="K32" s="7">
        <f>VLOOKUP($A32,HAVERD!$A:$BS,K$2,FALSE)</f>
        <v>4.4319245</v>
      </c>
      <c r="L32" s="7">
        <f>VLOOKUP($A32,HAVERD!$A:$BS,L$2,FALSE)</f>
        <v>4.3618367999999998</v>
      </c>
      <c r="M32" s="7">
        <f>VLOOKUP($A32,HAVERD!$A:$BS,M$2,FALSE)</f>
        <v>4.2993782999999999</v>
      </c>
      <c r="N32" s="7">
        <f>VLOOKUP($A32,HAVERD!$A:$BS,N$2,FALSE)</f>
        <v>4.2434911</v>
      </c>
      <c r="O32" s="7">
        <f>VLOOKUP($A32,HAVERD!$A:$BS,O$2,FALSE)</f>
        <v>4.1920824999999997</v>
      </c>
      <c r="P32" s="7">
        <f>VLOOKUP($A32,HAVERD!$A:$BS,P$2,FALSE)</f>
        <v>4.1442069999999998</v>
      </c>
      <c r="Q32" s="7">
        <f>VLOOKUP($A32,HAVERD!$A:$BS,Q$2,FALSE)</f>
        <v>4.0992962000000004</v>
      </c>
      <c r="R32" s="7">
        <f>VLOOKUP($A32,HAVERD!$A:$BS,R$2,FALSE)</f>
        <v>4.0567798000000002</v>
      </c>
      <c r="S32" s="7">
        <f>VLOOKUP($A32,HAVERD!$A:$BS,S$2,FALSE)</f>
        <v>4.0160875999999996</v>
      </c>
      <c r="T32" s="7">
        <f>VLOOKUP($A32,HAVERD!$A:$BS,T$2,FALSE)</f>
        <v>3.9766511000000002</v>
      </c>
      <c r="U32" s="7">
        <f>VLOOKUP($A32,HAVERD!$A:$BS,U$2,FALSE)</f>
        <v>3.9380071999999999</v>
      </c>
      <c r="V32" s="7">
        <f>VLOOKUP($A32,HAVERD!$A:$BS,V$2,FALSE)</f>
        <v>3.9001904999999999</v>
      </c>
      <c r="W32" s="7">
        <f>VLOOKUP($A32,HAVERD!$A:$BS,W$2,FALSE)</f>
        <v>3.8633812999999999</v>
      </c>
      <c r="X32" s="7">
        <f>VLOOKUP($A32,HAVERD!$A:$BS,X$2,FALSE)</f>
        <v>3.8277583000000002</v>
      </c>
      <c r="Y32" s="7">
        <f>VLOOKUP($A32,HAVERD!$A:$BS,Y$2,FALSE)</f>
        <v>3.7935004000000001</v>
      </c>
      <c r="Z32" s="7">
        <f>VLOOKUP($A32,HAVERD!$A:$BS,Z$2,FALSE)</f>
        <v>3.7607876</v>
      </c>
      <c r="AA32" s="7">
        <f>VLOOKUP($A32,HAVERD!$A:$BS,AA$2,FALSE)</f>
        <v>3.7297620999999999</v>
      </c>
      <c r="AB32" s="7">
        <f>VLOOKUP($A32,HAVERD!$A:$BS,AB$2,FALSE)</f>
        <v>3.7004193999999999</v>
      </c>
      <c r="AC32" s="7">
        <f>VLOOKUP($A32,HAVERD!$A:$BS,AC$2,FALSE)</f>
        <v>3.6727192</v>
      </c>
      <c r="AD32" s="7">
        <f>VLOOKUP($A32,HAVERD!$A:$BS,AD$2,FALSE)</f>
        <v>3.6466202999999999</v>
      </c>
      <c r="AE32" s="7">
        <f>VLOOKUP($A32,HAVERD!$A:$BS,AE$2,FALSE)</f>
        <v>3.6220816</v>
      </c>
      <c r="AF32" s="7">
        <f>VLOOKUP($A32,HAVERD!$A:$BS,AF$2,FALSE)</f>
        <v>3.5990627000000002</v>
      </c>
      <c r="AG32" s="7">
        <f>VLOOKUP($A32,HAVERD!$A:$BS,AG$2,FALSE)</f>
        <v>3.5775225000000002</v>
      </c>
      <c r="AH32" s="7">
        <f>VLOOKUP($A32,HAVERD!$A:$BS,AH$2,FALSE)</f>
        <v>3.5574199000000002</v>
      </c>
      <c r="AI32" s="7">
        <f>VLOOKUP($A32,HAVERD!$A:$BS,AI$2,FALSE)</f>
        <v>3.5387145000000002</v>
      </c>
      <c r="AJ32" s="7">
        <f>VLOOKUP($A32,HAVERD!$A:$BS,AJ$2,FALSE)</f>
        <v>3.5213651000000001</v>
      </c>
      <c r="AK32" s="7">
        <f>VLOOKUP($A32,HAVERD!$A:$BS,AK$2,FALSE)</f>
        <v>3.5053306000000002</v>
      </c>
      <c r="AL32" s="7">
        <f>VLOOKUP($A32,HAVERD!$A:$BS,AL$2,FALSE)</f>
        <v>3.4905705999999999</v>
      </c>
      <c r="AM32" s="7">
        <f>VLOOKUP($A32,HAVERD!$A:$BS,AM$2,FALSE)</f>
        <v>3.4770441000000001</v>
      </c>
      <c r="AN32" s="7">
        <f>VLOOKUP($A32,HAVERD!$A:$BS,AN$2,FALSE)</f>
        <v>3.4647103000000001</v>
      </c>
      <c r="AO32" s="7">
        <f>VLOOKUP($A32,HAVERD!$A:$BS,AO$2,FALSE)</f>
        <v>3.4535290999999999</v>
      </c>
      <c r="AP32" s="7">
        <f>VLOOKUP($A32,HAVERD!$A:$BS,AP$2,FALSE)</f>
        <v>3.4434597</v>
      </c>
      <c r="AQ32" s="7">
        <f>VLOOKUP($A32,HAVERD!$A:$BS,AQ$2,FALSE)</f>
        <v>3.4344616000000001</v>
      </c>
      <c r="AR32" s="7">
        <f>VLOOKUP($A32,HAVERD!$A:$BS,AR$2,FALSE)</f>
        <v>3.4264944000000002</v>
      </c>
      <c r="AS32" s="7">
        <f>VLOOKUP($A32,HAVERD!$A:$BS,AS$2,FALSE)</f>
        <v>3.4195175999999998</v>
      </c>
      <c r="AT32" s="7">
        <f>VLOOKUP($A32,HAVERD!$A:$BS,AT$2,FALSE)</f>
        <v>3.4134905999999998</v>
      </c>
      <c r="AU32" s="7">
        <f>VLOOKUP($A32,HAVERD!$A:$BS,AU$2,FALSE)</f>
        <v>3.4083730000000001</v>
      </c>
      <c r="AV32" s="7">
        <f>VLOOKUP($A32,HAVERD!$A:$BS,AV$2,FALSE)</f>
        <v>3.4041242</v>
      </c>
      <c r="AW32" s="7">
        <f>VLOOKUP($A32,HAVERD!$A:$BS,AW$2,FALSE)</f>
        <v>3.4007038000000001</v>
      </c>
      <c r="AX32" s="7">
        <f>VLOOKUP($A32,HAVERD!$A:$BS,AX$2,FALSE)</f>
        <v>3.3980712</v>
      </c>
      <c r="BA32" s="6">
        <f t="shared" si="111"/>
        <v>45586</v>
      </c>
      <c r="BB32" s="7" t="e">
        <f>VLOOKUP($BA32,HAVERD!$A:$BS,BB$2,FALSE)</f>
        <v>#N/A</v>
      </c>
      <c r="BC32" s="7" t="e">
        <f>VLOOKUP($BA32,HAVERD!$A:$BS,BC$2,FALSE)</f>
        <v>#N/A</v>
      </c>
      <c r="BD32" s="7" t="e">
        <f>VLOOKUP($BA32,HAVERD!$A:$BS,BD$2,FALSE)</f>
        <v>#N/A</v>
      </c>
      <c r="BE32" s="7" t="e">
        <f>VLOOKUP($BA32,HAVERD!$A:$BS,BE$2,FALSE)</f>
        <v>#N/A</v>
      </c>
      <c r="BF32" s="7" t="e">
        <f>VLOOKUP($BA32,HAVERD!$A:$BS,BF$2,FALSE)</f>
        <v>#N/A</v>
      </c>
      <c r="BG32" s="7" t="e">
        <f>VLOOKUP($BA32,HAVERD!$A:$BS,BG$2,FALSE)</f>
        <v>#N/A</v>
      </c>
      <c r="BH32" s="7" t="e">
        <f>VLOOKUP($BA32,HAVERD!$A:$BS,BH$2,FALSE)</f>
        <v>#N/A</v>
      </c>
      <c r="BI32" s="7" t="e">
        <f>VLOOKUP($BA32,HAVERD!$A:$BS,BI$2,FALSE)</f>
        <v>#N/A</v>
      </c>
      <c r="BJ32" s="7" t="e">
        <f>VLOOKUP($BA32,HAVERD!$A:$BS,BJ$2,FALSE)</f>
        <v>#N/A</v>
      </c>
      <c r="BK32" s="7" t="e">
        <f>VLOOKUP($BA32,HAVERD!$A:$BS,BK$2,FALSE)</f>
        <v>#N/A</v>
      </c>
      <c r="BL32" s="7" t="e">
        <f>VLOOKUP($BA32,HAVERD!$A:$BS,BL$2,FALSE)</f>
        <v>#N/A</v>
      </c>
      <c r="BM32" s="7" t="e">
        <f>VLOOKUP($BA32,HAVERD!$A:$BS,BM$2,FALSE)</f>
        <v>#N/A</v>
      </c>
      <c r="BN32" s="7" t="e">
        <f>VLOOKUP($BA32,HAVERD!$A:$BS,BN$2,FALSE)</f>
        <v>#N/A</v>
      </c>
      <c r="BO32" s="7" t="e">
        <f>VLOOKUP($BA32,HAVERD!$A:$BS,BO$2,FALSE)</f>
        <v>#N/A</v>
      </c>
      <c r="BP32" s="7" t="e">
        <f>VLOOKUP($BA32,HAVERD!$A:$BS,BP$2,FALSE)</f>
        <v>#N/A</v>
      </c>
      <c r="BQ32" s="7" t="e">
        <f>VLOOKUP($BA32,HAVERD!$A:$BS,BQ$2,FALSE)</f>
        <v>#N/A</v>
      </c>
      <c r="BR32" s="7" t="e">
        <f>VLOOKUP($BA32,HAVERD!$A:$BS,BR$2,FALSE)</f>
        <v>#N/A</v>
      </c>
      <c r="BS32" s="7" t="e">
        <f>VLOOKUP($BA32,HAVERD!$A:$BS,BS$2,FALSE)</f>
        <v>#N/A</v>
      </c>
      <c r="BT32" s="7" t="e">
        <f>VLOOKUP($BA32,HAVERD!$A:$BS,BT$2,FALSE)</f>
        <v>#N/A</v>
      </c>
      <c r="BU32" s="7" t="e">
        <f>VLOOKUP($BA32,HAVERD!$A:$BS,BU$2,FALSE)</f>
        <v>#N/A</v>
      </c>
      <c r="BV32" s="7" t="e">
        <f>VLOOKUP($BA32,HAVERD!$A:$BS,BV$2,FALSE)</f>
        <v>#N/A</v>
      </c>
      <c r="BW32" s="7" t="e">
        <f>VLOOKUP($BA32,HAVERD!$A:$BS,BW$2,FALSE)</f>
        <v>#N/A</v>
      </c>
      <c r="BX32" s="7" t="e">
        <f>VLOOKUP($BA32,HAVERD!$A:$BS,BX$2,FALSE)</f>
        <v>#N/A</v>
      </c>
      <c r="BY32" s="7" t="e">
        <f>VLOOKUP($BA32,HAVERD!$A:$BS,BY$2,FALSE)</f>
        <v>#N/A</v>
      </c>
      <c r="BZ32" s="7" t="e">
        <f>VLOOKUP($BA32,HAVERD!$A:$BS,BZ$2,FALSE)</f>
        <v>#N/A</v>
      </c>
      <c r="CA32" s="7" t="e">
        <f>VLOOKUP($BA32,HAVERD!$A:$BS,CA$2,FALSE)</f>
        <v>#N/A</v>
      </c>
      <c r="CB32" s="7" t="e">
        <f>VLOOKUP($BA32,HAVERD!$A:$BS,CB$2,FALSE)</f>
        <v>#N/A</v>
      </c>
      <c r="CC32" s="7" t="e">
        <f>VLOOKUP($BA32,HAVERD!$A:$BS,CC$2,FALSE)</f>
        <v>#N/A</v>
      </c>
      <c r="CD32" s="7" t="e">
        <f>VLOOKUP($BA32,HAVERD!$A:$BS,CD$2,FALSE)</f>
        <v>#N/A</v>
      </c>
      <c r="CE32" s="7" t="e">
        <f>VLOOKUP($BA32,HAVERD!$A:$BS,CE$2,FALSE)</f>
        <v>#N/A</v>
      </c>
      <c r="CF32" s="7" t="e">
        <f>VLOOKUP($BA32,HAVERD!$A:$BS,CF$2,FALSE)</f>
        <v>#N/A</v>
      </c>
      <c r="CG32" s="7" t="e">
        <f>VLOOKUP($BA32,HAVERD!$A:$BS,CG$2,FALSE)</f>
        <v>#N/A</v>
      </c>
      <c r="CH32" s="7" t="e">
        <f>VLOOKUP($BA32,HAVERD!$A:$BS,CH$2,FALSE)</f>
        <v>#N/A</v>
      </c>
      <c r="CI32" s="7" t="e">
        <f>VLOOKUP($BA32,HAVERD!$A:$BS,CI$2,FALSE)</f>
        <v>#N/A</v>
      </c>
      <c r="CJ32" s="7" t="e">
        <f>VLOOKUP($BA32,HAVERD!$A:$BS,CJ$2,FALSE)</f>
        <v>#N/A</v>
      </c>
      <c r="CK32" s="7" t="e">
        <f>VLOOKUP($BA32,HAVERD!$A:$BS,CK$2,FALSE)</f>
        <v>#N/A</v>
      </c>
      <c r="CL32" s="7" t="e">
        <f>VLOOKUP($BA32,HAVERD!$A:$BS,CL$2,FALSE)</f>
        <v>#N/A</v>
      </c>
      <c r="CM32" s="7" t="e">
        <f>VLOOKUP($BA32,HAVERD!$A:$BS,CM$2,FALSE)</f>
        <v>#N/A</v>
      </c>
      <c r="CN32" s="7" t="e">
        <f>VLOOKUP($BA32,HAVERD!$A:$BS,CN$2,FALSE)</f>
        <v>#N/A</v>
      </c>
      <c r="CO32" s="7" t="e">
        <f>VLOOKUP($BA32,HAVERD!$A:$BS,CO$2,FALSE)</f>
        <v>#N/A</v>
      </c>
      <c r="CP32" s="7" t="e">
        <f>VLOOKUP($BA32,HAVERD!$A:$BS,CP$2,FALSE)</f>
        <v>#N/A</v>
      </c>
      <c r="CQ32" s="7" t="e">
        <f>VLOOKUP($BA32,HAVERD!$A:$BS,CQ$2,FALSE)</f>
        <v>#N/A</v>
      </c>
      <c r="CR32" s="7" t="e">
        <f>VLOOKUP($BA32,HAVERD!$A:$BS,CR$2,FALSE)</f>
        <v>#N/A</v>
      </c>
      <c r="CS32" s="7" t="e">
        <f>VLOOKUP($BA32,HAVERD!$A:$BS,CS$2,FALSE)</f>
        <v>#N/A</v>
      </c>
      <c r="CT32" s="7" t="e">
        <f>VLOOKUP($BA32,HAVERD!$A:$BS,CT$2,FALSE)</f>
        <v>#N/A</v>
      </c>
      <c r="CU32" s="7" t="e">
        <f>VLOOKUP($BA32,HAVERD!$A:$BS,CU$2,FALSE)</f>
        <v>#N/A</v>
      </c>
      <c r="CV32" s="7" t="e">
        <f>VLOOKUP($BA32,HAVERD!$A:$BS,CV$2,FALSE)</f>
        <v>#N/A</v>
      </c>
      <c r="CW32" s="7" t="e">
        <f>VLOOKUP($BA32,HAVERD!$A:$BS,CW$2,FALSE)</f>
        <v>#N/A</v>
      </c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</row>
    <row r="33" spans="1:113" x14ac:dyDescent="0.25">
      <c r="A33" s="6">
        <f t="shared" si="110"/>
        <v>45489</v>
      </c>
      <c r="B33" s="7">
        <f>VLOOKUP($A33,HAVERD!$A:$BS,B$2,FALSE)</f>
        <v>5.2</v>
      </c>
      <c r="C33" s="7">
        <f>VLOOKUP($A33,HAVERD!$A:$BS,C$2,FALSE)</f>
        <v>5.0913668000000003</v>
      </c>
      <c r="D33" s="7">
        <f>VLOOKUP($A33,HAVERD!$A:$BS,D$2,FALSE)</f>
        <v>5.0388586999999996</v>
      </c>
      <c r="E33" s="7">
        <f>VLOOKUP($A33,HAVERD!$A:$BS,E$2,FALSE)</f>
        <v>4.9656485000000004</v>
      </c>
      <c r="F33" s="7">
        <f>VLOOKUP($A33,HAVERD!$A:$BS,F$2,FALSE)</f>
        <v>4.8757257000000003</v>
      </c>
      <c r="G33" s="7">
        <f>VLOOKUP($A33,HAVERD!$A:$BS,G$2,FALSE)</f>
        <v>4.7770688999999997</v>
      </c>
      <c r="H33" s="7">
        <f>VLOOKUP($A33,HAVERD!$A:$BS,H$2,FALSE)</f>
        <v>4.6770052</v>
      </c>
      <c r="I33" s="7">
        <f>VLOOKUP($A33,HAVERD!$A:$BS,I$2,FALSE)</f>
        <v>4.5801524999999996</v>
      </c>
      <c r="J33" s="7">
        <f>VLOOKUP($A33,HAVERD!$A:$BS,J$2,FALSE)</f>
        <v>4.4894210000000001</v>
      </c>
      <c r="K33" s="7">
        <f>VLOOKUP($A33,HAVERD!$A:$BS,K$2,FALSE)</f>
        <v>4.4069545000000003</v>
      </c>
      <c r="L33" s="7">
        <f>VLOOKUP($A33,HAVERD!$A:$BS,L$2,FALSE)</f>
        <v>4.3330972000000001</v>
      </c>
      <c r="M33" s="7">
        <f>VLOOKUP($A33,HAVERD!$A:$BS,M$2,FALSE)</f>
        <v>4.2676249000000004</v>
      </c>
      <c r="N33" s="7">
        <f>VLOOKUP($A33,HAVERD!$A:$BS,N$2,FALSE)</f>
        <v>4.2092828000000004</v>
      </c>
      <c r="O33" s="7">
        <f>VLOOKUP($A33,HAVERD!$A:$BS,O$2,FALSE)</f>
        <v>4.1555252999999999</v>
      </c>
      <c r="P33" s="7">
        <f>VLOOKUP($A33,HAVERD!$A:$BS,P$2,FALSE)</f>
        <v>4.1053157999999996</v>
      </c>
      <c r="Q33" s="7">
        <f>VLOOKUP($A33,HAVERD!$A:$BS,Q$2,FALSE)</f>
        <v>4.0581022999999998</v>
      </c>
      <c r="R33" s="7">
        <f>VLOOKUP($A33,HAVERD!$A:$BS,R$2,FALSE)</f>
        <v>4.0133308000000003</v>
      </c>
      <c r="S33" s="7">
        <f>VLOOKUP($A33,HAVERD!$A:$BS,S$2,FALSE)</f>
        <v>3.9704475000000001</v>
      </c>
      <c r="T33" s="7">
        <f>VLOOKUP($A33,HAVERD!$A:$BS,T$2,FALSE)</f>
        <v>3.9289002000000002</v>
      </c>
      <c r="U33" s="7">
        <f>VLOOKUP($A33,HAVERD!$A:$BS,U$2,FALSE)</f>
        <v>3.8882405000000002</v>
      </c>
      <c r="V33" s="7">
        <f>VLOOKUP($A33,HAVERD!$A:$BS,V$2,FALSE)</f>
        <v>3.8485102000000002</v>
      </c>
      <c r="W33" s="7">
        <f>VLOOKUP($A33,HAVERD!$A:$BS,W$2,FALSE)</f>
        <v>3.8098944000000001</v>
      </c>
      <c r="X33" s="7">
        <f>VLOOKUP($A33,HAVERD!$A:$BS,X$2,FALSE)</f>
        <v>3.7725765999999998</v>
      </c>
      <c r="Y33" s="7">
        <f>VLOOKUP($A33,HAVERD!$A:$BS,Y$2,FALSE)</f>
        <v>3.7367406000000001</v>
      </c>
      <c r="Z33" s="7">
        <f>VLOOKUP($A33,HAVERD!$A:$BS,Z$2,FALSE)</f>
        <v>3.7025714000000001</v>
      </c>
      <c r="AA33" s="7">
        <f>VLOOKUP($A33,HAVERD!$A:$BS,AA$2,FALSE)</f>
        <v>3.6702148000000001</v>
      </c>
      <c r="AB33" s="7">
        <f>VLOOKUP($A33,HAVERD!$A:$BS,AB$2,FALSE)</f>
        <v>3.6396655</v>
      </c>
      <c r="AC33" s="7">
        <f>VLOOKUP($A33,HAVERD!$A:$BS,AC$2,FALSE)</f>
        <v>3.6108815999999999</v>
      </c>
      <c r="AD33" s="7">
        <f>VLOOKUP($A33,HAVERD!$A:$BS,AD$2,FALSE)</f>
        <v>3.5838198000000001</v>
      </c>
      <c r="AE33" s="7">
        <f>VLOOKUP($A33,HAVERD!$A:$BS,AE$2,FALSE)</f>
        <v>3.5584370000000001</v>
      </c>
      <c r="AF33" s="7">
        <f>VLOOKUP($A33,HAVERD!$A:$BS,AF$2,FALSE)</f>
        <v>3.5346913</v>
      </c>
      <c r="AG33" s="7">
        <f>VLOOKUP($A33,HAVERD!$A:$BS,AG$2,FALSE)</f>
        <v>3.5125392999999998</v>
      </c>
      <c r="AH33" s="7">
        <f>VLOOKUP($A33,HAVERD!$A:$BS,AH$2,FALSE)</f>
        <v>3.4919383000000002</v>
      </c>
      <c r="AI33" s="7">
        <f>VLOOKUP($A33,HAVERD!$A:$BS,AI$2,FALSE)</f>
        <v>3.4728458</v>
      </c>
      <c r="AJ33" s="7">
        <f>VLOOKUP($A33,HAVERD!$A:$BS,AJ$2,FALSE)</f>
        <v>3.4552187999999999</v>
      </c>
      <c r="AK33" s="7">
        <f>VLOOKUP($A33,HAVERD!$A:$BS,AK$2,FALSE)</f>
        <v>3.4390144999999999</v>
      </c>
      <c r="AL33" s="7">
        <f>VLOOKUP($A33,HAVERD!$A:$BS,AL$2,FALSE)</f>
        <v>3.4241904000000001</v>
      </c>
      <c r="AM33" s="7">
        <f>VLOOKUP($A33,HAVERD!$A:$BS,AM$2,FALSE)</f>
        <v>3.4107018999999998</v>
      </c>
      <c r="AN33" s="7">
        <f>VLOOKUP($A33,HAVERD!$A:$BS,AN$2,FALSE)</f>
        <v>3.3984983</v>
      </c>
      <c r="AO33" s="7">
        <f>VLOOKUP($A33,HAVERD!$A:$BS,AO$2,FALSE)</f>
        <v>3.3875272999999999</v>
      </c>
      <c r="AP33" s="7">
        <f>VLOOKUP($A33,HAVERD!$A:$BS,AP$2,FALSE)</f>
        <v>3.3777365000000001</v>
      </c>
      <c r="AQ33" s="7">
        <f>VLOOKUP($A33,HAVERD!$A:$BS,AQ$2,FALSE)</f>
        <v>3.3690734999999998</v>
      </c>
      <c r="AR33" s="7">
        <f>VLOOKUP($A33,HAVERD!$A:$BS,AR$2,FALSE)</f>
        <v>3.3614861</v>
      </c>
      <c r="AS33" s="7">
        <f>VLOOKUP($A33,HAVERD!$A:$BS,AS$2,FALSE)</f>
        <v>3.3549218999999999</v>
      </c>
      <c r="AT33" s="7">
        <f>VLOOKUP($A33,HAVERD!$A:$BS,AT$2,FALSE)</f>
        <v>3.3493284000000001</v>
      </c>
      <c r="AU33" s="7">
        <f>VLOOKUP($A33,HAVERD!$A:$BS,AU$2,FALSE)</f>
        <v>3.3446533999999999</v>
      </c>
      <c r="AV33" s="7">
        <f>VLOOKUP($A33,HAVERD!$A:$BS,AV$2,FALSE)</f>
        <v>3.3408445000000002</v>
      </c>
      <c r="AW33" s="7">
        <f>VLOOKUP($A33,HAVERD!$A:$BS,AW$2,FALSE)</f>
        <v>3.3378492999999998</v>
      </c>
      <c r="AX33" s="7">
        <f>VLOOKUP($A33,HAVERD!$A:$BS,AX$2,FALSE)</f>
        <v>3.3356154999999998</v>
      </c>
      <c r="BA33" s="6">
        <f t="shared" si="111"/>
        <v>45587</v>
      </c>
      <c r="BB33" s="7" t="e">
        <f>VLOOKUP($BA33,HAVERD!$A:$BS,BB$2,FALSE)</f>
        <v>#N/A</v>
      </c>
      <c r="BC33" s="7" t="e">
        <f>VLOOKUP($BA33,HAVERD!$A:$BS,BC$2,FALSE)</f>
        <v>#N/A</v>
      </c>
      <c r="BD33" s="7" t="e">
        <f>VLOOKUP($BA33,HAVERD!$A:$BS,BD$2,FALSE)</f>
        <v>#N/A</v>
      </c>
      <c r="BE33" s="7" t="e">
        <f>VLOOKUP($BA33,HAVERD!$A:$BS,BE$2,FALSE)</f>
        <v>#N/A</v>
      </c>
      <c r="BF33" s="7" t="e">
        <f>VLOOKUP($BA33,HAVERD!$A:$BS,BF$2,FALSE)</f>
        <v>#N/A</v>
      </c>
      <c r="BG33" s="7" t="e">
        <f>VLOOKUP($BA33,HAVERD!$A:$BS,BG$2,FALSE)</f>
        <v>#N/A</v>
      </c>
      <c r="BH33" s="7" t="e">
        <f>VLOOKUP($BA33,HAVERD!$A:$BS,BH$2,FALSE)</f>
        <v>#N/A</v>
      </c>
      <c r="BI33" s="7" t="e">
        <f>VLOOKUP($BA33,HAVERD!$A:$BS,BI$2,FALSE)</f>
        <v>#N/A</v>
      </c>
      <c r="BJ33" s="7" t="e">
        <f>VLOOKUP($BA33,HAVERD!$A:$BS,BJ$2,FALSE)</f>
        <v>#N/A</v>
      </c>
      <c r="BK33" s="7" t="e">
        <f>VLOOKUP($BA33,HAVERD!$A:$BS,BK$2,FALSE)</f>
        <v>#N/A</v>
      </c>
      <c r="BL33" s="7" t="e">
        <f>VLOOKUP($BA33,HAVERD!$A:$BS,BL$2,FALSE)</f>
        <v>#N/A</v>
      </c>
      <c r="BM33" s="7" t="e">
        <f>VLOOKUP($BA33,HAVERD!$A:$BS,BM$2,FALSE)</f>
        <v>#N/A</v>
      </c>
      <c r="BN33" s="7" t="e">
        <f>VLOOKUP($BA33,HAVERD!$A:$BS,BN$2,FALSE)</f>
        <v>#N/A</v>
      </c>
      <c r="BO33" s="7" t="e">
        <f>VLOOKUP($BA33,HAVERD!$A:$BS,BO$2,FALSE)</f>
        <v>#N/A</v>
      </c>
      <c r="BP33" s="7" t="e">
        <f>VLOOKUP($BA33,HAVERD!$A:$BS,BP$2,FALSE)</f>
        <v>#N/A</v>
      </c>
      <c r="BQ33" s="7" t="e">
        <f>VLOOKUP($BA33,HAVERD!$A:$BS,BQ$2,FALSE)</f>
        <v>#N/A</v>
      </c>
      <c r="BR33" s="7" t="e">
        <f>VLOOKUP($BA33,HAVERD!$A:$BS,BR$2,FALSE)</f>
        <v>#N/A</v>
      </c>
      <c r="BS33" s="7" t="e">
        <f>VLOOKUP($BA33,HAVERD!$A:$BS,BS$2,FALSE)</f>
        <v>#N/A</v>
      </c>
      <c r="BT33" s="7" t="e">
        <f>VLOOKUP($BA33,HAVERD!$A:$BS,BT$2,FALSE)</f>
        <v>#N/A</v>
      </c>
      <c r="BU33" s="7" t="e">
        <f>VLOOKUP($BA33,HAVERD!$A:$BS,BU$2,FALSE)</f>
        <v>#N/A</v>
      </c>
      <c r="BV33" s="7" t="e">
        <f>VLOOKUP($BA33,HAVERD!$A:$BS,BV$2,FALSE)</f>
        <v>#N/A</v>
      </c>
      <c r="BW33" s="7" t="e">
        <f>VLOOKUP($BA33,HAVERD!$A:$BS,BW$2,FALSE)</f>
        <v>#N/A</v>
      </c>
      <c r="BX33" s="7" t="e">
        <f>VLOOKUP($BA33,HAVERD!$A:$BS,BX$2,FALSE)</f>
        <v>#N/A</v>
      </c>
      <c r="BY33" s="7" t="e">
        <f>VLOOKUP($BA33,HAVERD!$A:$BS,BY$2,FALSE)</f>
        <v>#N/A</v>
      </c>
      <c r="BZ33" s="7" t="e">
        <f>VLOOKUP($BA33,HAVERD!$A:$BS,BZ$2,FALSE)</f>
        <v>#N/A</v>
      </c>
      <c r="CA33" s="7" t="e">
        <f>VLOOKUP($BA33,HAVERD!$A:$BS,CA$2,FALSE)</f>
        <v>#N/A</v>
      </c>
      <c r="CB33" s="7" t="e">
        <f>VLOOKUP($BA33,HAVERD!$A:$BS,CB$2,FALSE)</f>
        <v>#N/A</v>
      </c>
      <c r="CC33" s="7" t="e">
        <f>VLOOKUP($BA33,HAVERD!$A:$BS,CC$2,FALSE)</f>
        <v>#N/A</v>
      </c>
      <c r="CD33" s="7" t="e">
        <f>VLOOKUP($BA33,HAVERD!$A:$BS,CD$2,FALSE)</f>
        <v>#N/A</v>
      </c>
      <c r="CE33" s="7" t="e">
        <f>VLOOKUP($BA33,HAVERD!$A:$BS,CE$2,FALSE)</f>
        <v>#N/A</v>
      </c>
      <c r="CF33" s="7" t="e">
        <f>VLOOKUP($BA33,HAVERD!$A:$BS,CF$2,FALSE)</f>
        <v>#N/A</v>
      </c>
      <c r="CG33" s="7" t="e">
        <f>VLOOKUP($BA33,HAVERD!$A:$BS,CG$2,FALSE)</f>
        <v>#N/A</v>
      </c>
      <c r="CH33" s="7" t="e">
        <f>VLOOKUP($BA33,HAVERD!$A:$BS,CH$2,FALSE)</f>
        <v>#N/A</v>
      </c>
      <c r="CI33" s="7" t="e">
        <f>VLOOKUP($BA33,HAVERD!$A:$BS,CI$2,FALSE)</f>
        <v>#N/A</v>
      </c>
      <c r="CJ33" s="7" t="e">
        <f>VLOOKUP($BA33,HAVERD!$A:$BS,CJ$2,FALSE)</f>
        <v>#N/A</v>
      </c>
      <c r="CK33" s="7" t="e">
        <f>VLOOKUP($BA33,HAVERD!$A:$BS,CK$2,FALSE)</f>
        <v>#N/A</v>
      </c>
      <c r="CL33" s="7" t="e">
        <f>VLOOKUP($BA33,HAVERD!$A:$BS,CL$2,FALSE)</f>
        <v>#N/A</v>
      </c>
      <c r="CM33" s="7" t="e">
        <f>VLOOKUP($BA33,HAVERD!$A:$BS,CM$2,FALSE)</f>
        <v>#N/A</v>
      </c>
      <c r="CN33" s="7" t="e">
        <f>VLOOKUP($BA33,HAVERD!$A:$BS,CN$2,FALSE)</f>
        <v>#N/A</v>
      </c>
      <c r="CO33" s="7" t="e">
        <f>VLOOKUP($BA33,HAVERD!$A:$BS,CO$2,FALSE)</f>
        <v>#N/A</v>
      </c>
      <c r="CP33" s="7" t="e">
        <f>VLOOKUP($BA33,HAVERD!$A:$BS,CP$2,FALSE)</f>
        <v>#N/A</v>
      </c>
      <c r="CQ33" s="7" t="e">
        <f>VLOOKUP($BA33,HAVERD!$A:$BS,CQ$2,FALSE)</f>
        <v>#N/A</v>
      </c>
      <c r="CR33" s="7" t="e">
        <f>VLOOKUP($BA33,HAVERD!$A:$BS,CR$2,FALSE)</f>
        <v>#N/A</v>
      </c>
      <c r="CS33" s="7" t="e">
        <f>VLOOKUP($BA33,HAVERD!$A:$BS,CS$2,FALSE)</f>
        <v>#N/A</v>
      </c>
      <c r="CT33" s="7" t="e">
        <f>VLOOKUP($BA33,HAVERD!$A:$BS,CT$2,FALSE)</f>
        <v>#N/A</v>
      </c>
      <c r="CU33" s="7" t="e">
        <f>VLOOKUP($BA33,HAVERD!$A:$BS,CU$2,FALSE)</f>
        <v>#N/A</v>
      </c>
      <c r="CV33" s="7" t="e">
        <f>VLOOKUP($BA33,HAVERD!$A:$BS,CV$2,FALSE)</f>
        <v>#N/A</v>
      </c>
      <c r="CW33" s="7" t="e">
        <f>VLOOKUP($BA33,HAVERD!$A:$BS,CW$2,FALSE)</f>
        <v>#N/A</v>
      </c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</row>
    <row r="34" spans="1:113" x14ac:dyDescent="0.25">
      <c r="A34" s="6">
        <f t="shared" si="110"/>
        <v>45490</v>
      </c>
      <c r="B34" s="7">
        <f>VLOOKUP($A34,HAVERD!$A:$BS,B$2,FALSE)</f>
        <v>5.2</v>
      </c>
      <c r="C34" s="7">
        <f>VLOOKUP($A34,HAVERD!$A:$BS,C$2,FALSE)</f>
        <v>5.1141709999999998</v>
      </c>
      <c r="D34" s="7">
        <f>VLOOKUP($A34,HAVERD!$A:$BS,D$2,FALSE)</f>
        <v>5.0628365999999998</v>
      </c>
      <c r="E34" s="7">
        <f>VLOOKUP($A34,HAVERD!$A:$BS,E$2,FALSE)</f>
        <v>4.9891877999999998</v>
      </c>
      <c r="F34" s="7">
        <f>VLOOKUP($A34,HAVERD!$A:$BS,F$2,FALSE)</f>
        <v>4.9001318999999999</v>
      </c>
      <c r="G34" s="7">
        <f>VLOOKUP($A34,HAVERD!$A:$BS,G$2,FALSE)</f>
        <v>4.8037042000000003</v>
      </c>
      <c r="H34" s="7">
        <f>VLOOKUP($A34,HAVERD!$A:$BS,H$2,FALSE)</f>
        <v>4.7062092</v>
      </c>
      <c r="I34" s="7">
        <f>VLOOKUP($A34,HAVERD!$A:$BS,I$2,FALSE)</f>
        <v>4.6115038999999998</v>
      </c>
      <c r="J34" s="7">
        <f>VLOOKUP($A34,HAVERD!$A:$BS,J$2,FALSE)</f>
        <v>4.5222566000000004</v>
      </c>
      <c r="K34" s="7">
        <f>VLOOKUP($A34,HAVERD!$A:$BS,K$2,FALSE)</f>
        <v>4.4404222000000004</v>
      </c>
      <c r="L34" s="7">
        <f>VLOOKUP($A34,HAVERD!$A:$BS,L$2,FALSE)</f>
        <v>4.3667104999999999</v>
      </c>
      <c r="M34" s="7">
        <f>VLOOKUP($A34,HAVERD!$A:$BS,M$2,FALSE)</f>
        <v>4.3008895000000003</v>
      </c>
      <c r="N34" s="7">
        <f>VLOOKUP($A34,HAVERD!$A:$BS,N$2,FALSE)</f>
        <v>4.2421351999999999</v>
      </c>
      <c r="O34" s="7">
        <f>VLOOKUP($A34,HAVERD!$A:$BS,O$2,FALSE)</f>
        <v>4.1881934999999997</v>
      </c>
      <c r="P34" s="7">
        <f>VLOOKUP($A34,HAVERD!$A:$BS,P$2,FALSE)</f>
        <v>4.1380029</v>
      </c>
      <c r="Q34" s="7">
        <f>VLOOKUP($A34,HAVERD!$A:$BS,Q$2,FALSE)</f>
        <v>4.0909233</v>
      </c>
      <c r="R34" s="7">
        <f>VLOOKUP($A34,HAVERD!$A:$BS,R$2,FALSE)</f>
        <v>4.0463129999999996</v>
      </c>
      <c r="S34" s="7">
        <f>VLOOKUP($A34,HAVERD!$A:$BS,S$2,FALSE)</f>
        <v>4.0035303999999998</v>
      </c>
      <c r="T34" s="7">
        <f>VLOOKUP($A34,HAVERD!$A:$BS,T$2,FALSE)</f>
        <v>3.9619352000000001</v>
      </c>
      <c r="U34" s="7">
        <f>VLOOKUP($A34,HAVERD!$A:$BS,U$2,FALSE)</f>
        <v>3.9209896999999998</v>
      </c>
      <c r="V34" s="7">
        <f>VLOOKUP($A34,HAVERD!$A:$BS,V$2,FALSE)</f>
        <v>3.8807450999999999</v>
      </c>
      <c r="W34" s="7">
        <f>VLOOKUP($A34,HAVERD!$A:$BS,W$2,FALSE)</f>
        <v>3.8414609999999998</v>
      </c>
      <c r="X34" s="7">
        <f>VLOOKUP($A34,HAVERD!$A:$BS,X$2,FALSE)</f>
        <v>3.8033958999999999</v>
      </c>
      <c r="Y34" s="7">
        <f>VLOOKUP($A34,HAVERD!$A:$BS,Y$2,FALSE)</f>
        <v>3.7668081999999998</v>
      </c>
      <c r="Z34" s="7">
        <f>VLOOKUP($A34,HAVERD!$A:$BS,Z$2,FALSE)</f>
        <v>3.7319578999999998</v>
      </c>
      <c r="AA34" s="7">
        <f>VLOOKUP($A34,HAVERD!$A:$BS,AA$2,FALSE)</f>
        <v>3.6990519000000002</v>
      </c>
      <c r="AB34" s="7">
        <f>VLOOKUP($A34,HAVERD!$A:$BS,AB$2,FALSE)</f>
        <v>3.6680917000000002</v>
      </c>
      <c r="AC34" s="7">
        <f>VLOOKUP($A34,HAVERD!$A:$BS,AC$2,FALSE)</f>
        <v>3.6390286000000001</v>
      </c>
      <c r="AD34" s="7">
        <f>VLOOKUP($A34,HAVERD!$A:$BS,AD$2,FALSE)</f>
        <v>3.6118127000000002</v>
      </c>
      <c r="AE34" s="7">
        <f>VLOOKUP($A34,HAVERD!$A:$BS,AE$2,FALSE)</f>
        <v>3.5863939999999999</v>
      </c>
      <c r="AF34" s="7">
        <f>VLOOKUP($A34,HAVERD!$A:$BS,AF$2,FALSE)</f>
        <v>3.5627236999999998</v>
      </c>
      <c r="AG34" s="7">
        <f>VLOOKUP($A34,HAVERD!$A:$BS,AG$2,FALSE)</f>
        <v>3.5407519000000001</v>
      </c>
      <c r="AH34" s="7">
        <f>VLOOKUP($A34,HAVERD!$A:$BS,AH$2,FALSE)</f>
        <v>3.5204289000000002</v>
      </c>
      <c r="AI34" s="7">
        <f>VLOOKUP($A34,HAVERD!$A:$BS,AI$2,FALSE)</f>
        <v>3.5017054999999999</v>
      </c>
      <c r="AJ34" s="7">
        <f>VLOOKUP($A34,HAVERD!$A:$BS,AJ$2,FALSE)</f>
        <v>3.4845320000000002</v>
      </c>
      <c r="AK34" s="7">
        <f>VLOOKUP($A34,HAVERD!$A:$BS,AK$2,FALSE)</f>
        <v>3.4688587000000002</v>
      </c>
      <c r="AL34" s="7">
        <f>VLOOKUP($A34,HAVERD!$A:$BS,AL$2,FALSE)</f>
        <v>3.4546364000000001</v>
      </c>
      <c r="AM34" s="7">
        <f>VLOOKUP($A34,HAVERD!$A:$BS,AM$2,FALSE)</f>
        <v>3.4418128000000001</v>
      </c>
      <c r="AN34" s="7">
        <f>VLOOKUP($A34,HAVERD!$A:$BS,AN$2,FALSE)</f>
        <v>3.4303238</v>
      </c>
      <c r="AO34" s="7">
        <f>VLOOKUP($A34,HAVERD!$A:$BS,AO$2,FALSE)</f>
        <v>3.4201019000000001</v>
      </c>
      <c r="AP34" s="7">
        <f>VLOOKUP($A34,HAVERD!$A:$BS,AP$2,FALSE)</f>
        <v>3.4110790999999998</v>
      </c>
      <c r="AQ34" s="7">
        <f>VLOOKUP($A34,HAVERD!$A:$BS,AQ$2,FALSE)</f>
        <v>3.4031875</v>
      </c>
      <c r="AR34" s="7">
        <f>VLOOKUP($A34,HAVERD!$A:$BS,AR$2,FALSE)</f>
        <v>3.3963597000000001</v>
      </c>
      <c r="AS34" s="7">
        <f>VLOOKUP($A34,HAVERD!$A:$BS,AS$2,FALSE)</f>
        <v>3.3905276</v>
      </c>
      <c r="AT34" s="7">
        <f>VLOOKUP($A34,HAVERD!$A:$BS,AT$2,FALSE)</f>
        <v>3.3856234999999999</v>
      </c>
      <c r="AU34" s="7">
        <f>VLOOKUP($A34,HAVERD!$A:$BS,AU$2,FALSE)</f>
        <v>3.3815797999999999</v>
      </c>
      <c r="AV34" s="7">
        <f>VLOOKUP($A34,HAVERD!$A:$BS,AV$2,FALSE)</f>
        <v>3.3783284999999998</v>
      </c>
      <c r="AW34" s="7">
        <f>VLOOKUP($A34,HAVERD!$A:$BS,AW$2,FALSE)</f>
        <v>3.3758020000000002</v>
      </c>
      <c r="AX34" s="7">
        <f>VLOOKUP($A34,HAVERD!$A:$BS,AX$2,FALSE)</f>
        <v>3.3739322999999999</v>
      </c>
      <c r="BA34" s="6">
        <f t="shared" si="111"/>
        <v>45588</v>
      </c>
      <c r="BB34" s="7" t="e">
        <f>VLOOKUP($BA34,HAVERD!$A:$BS,BB$2,FALSE)</f>
        <v>#N/A</v>
      </c>
      <c r="BC34" s="7" t="e">
        <f>VLOOKUP($BA34,HAVERD!$A:$BS,BC$2,FALSE)</f>
        <v>#N/A</v>
      </c>
      <c r="BD34" s="7" t="e">
        <f>VLOOKUP($BA34,HAVERD!$A:$BS,BD$2,FALSE)</f>
        <v>#N/A</v>
      </c>
      <c r="BE34" s="7" t="e">
        <f>VLOOKUP($BA34,HAVERD!$A:$BS,BE$2,FALSE)</f>
        <v>#N/A</v>
      </c>
      <c r="BF34" s="7" t="e">
        <f>VLOOKUP($BA34,HAVERD!$A:$BS,BF$2,FALSE)</f>
        <v>#N/A</v>
      </c>
      <c r="BG34" s="7" t="e">
        <f>VLOOKUP($BA34,HAVERD!$A:$BS,BG$2,FALSE)</f>
        <v>#N/A</v>
      </c>
      <c r="BH34" s="7" t="e">
        <f>VLOOKUP($BA34,HAVERD!$A:$BS,BH$2,FALSE)</f>
        <v>#N/A</v>
      </c>
      <c r="BI34" s="7" t="e">
        <f>VLOOKUP($BA34,HAVERD!$A:$BS,BI$2,FALSE)</f>
        <v>#N/A</v>
      </c>
      <c r="BJ34" s="7" t="e">
        <f>VLOOKUP($BA34,HAVERD!$A:$BS,BJ$2,FALSE)</f>
        <v>#N/A</v>
      </c>
      <c r="BK34" s="7" t="e">
        <f>VLOOKUP($BA34,HAVERD!$A:$BS,BK$2,FALSE)</f>
        <v>#N/A</v>
      </c>
      <c r="BL34" s="7" t="e">
        <f>VLOOKUP($BA34,HAVERD!$A:$BS,BL$2,FALSE)</f>
        <v>#N/A</v>
      </c>
      <c r="BM34" s="7" t="e">
        <f>VLOOKUP($BA34,HAVERD!$A:$BS,BM$2,FALSE)</f>
        <v>#N/A</v>
      </c>
      <c r="BN34" s="7" t="e">
        <f>VLOOKUP($BA34,HAVERD!$A:$BS,BN$2,FALSE)</f>
        <v>#N/A</v>
      </c>
      <c r="BO34" s="7" t="e">
        <f>VLOOKUP($BA34,HAVERD!$A:$BS,BO$2,FALSE)</f>
        <v>#N/A</v>
      </c>
      <c r="BP34" s="7" t="e">
        <f>VLOOKUP($BA34,HAVERD!$A:$BS,BP$2,FALSE)</f>
        <v>#N/A</v>
      </c>
      <c r="BQ34" s="7" t="e">
        <f>VLOOKUP($BA34,HAVERD!$A:$BS,BQ$2,FALSE)</f>
        <v>#N/A</v>
      </c>
      <c r="BR34" s="7" t="e">
        <f>VLOOKUP($BA34,HAVERD!$A:$BS,BR$2,FALSE)</f>
        <v>#N/A</v>
      </c>
      <c r="BS34" s="7" t="e">
        <f>VLOOKUP($BA34,HAVERD!$A:$BS,BS$2,FALSE)</f>
        <v>#N/A</v>
      </c>
      <c r="BT34" s="7" t="e">
        <f>VLOOKUP($BA34,HAVERD!$A:$BS,BT$2,FALSE)</f>
        <v>#N/A</v>
      </c>
      <c r="BU34" s="7" t="e">
        <f>VLOOKUP($BA34,HAVERD!$A:$BS,BU$2,FALSE)</f>
        <v>#N/A</v>
      </c>
      <c r="BV34" s="7" t="e">
        <f>VLOOKUP($BA34,HAVERD!$A:$BS,BV$2,FALSE)</f>
        <v>#N/A</v>
      </c>
      <c r="BW34" s="7" t="e">
        <f>VLOOKUP($BA34,HAVERD!$A:$BS,BW$2,FALSE)</f>
        <v>#N/A</v>
      </c>
      <c r="BX34" s="7" t="e">
        <f>VLOOKUP($BA34,HAVERD!$A:$BS,BX$2,FALSE)</f>
        <v>#N/A</v>
      </c>
      <c r="BY34" s="7" t="e">
        <f>VLOOKUP($BA34,HAVERD!$A:$BS,BY$2,FALSE)</f>
        <v>#N/A</v>
      </c>
      <c r="BZ34" s="7" t="e">
        <f>VLOOKUP($BA34,HAVERD!$A:$BS,BZ$2,FALSE)</f>
        <v>#N/A</v>
      </c>
      <c r="CA34" s="7" t="e">
        <f>VLOOKUP($BA34,HAVERD!$A:$BS,CA$2,FALSE)</f>
        <v>#N/A</v>
      </c>
      <c r="CB34" s="7" t="e">
        <f>VLOOKUP($BA34,HAVERD!$A:$BS,CB$2,FALSE)</f>
        <v>#N/A</v>
      </c>
      <c r="CC34" s="7" t="e">
        <f>VLOOKUP($BA34,HAVERD!$A:$BS,CC$2,FALSE)</f>
        <v>#N/A</v>
      </c>
      <c r="CD34" s="7" t="e">
        <f>VLOOKUP($BA34,HAVERD!$A:$BS,CD$2,FALSE)</f>
        <v>#N/A</v>
      </c>
      <c r="CE34" s="7" t="e">
        <f>VLOOKUP($BA34,HAVERD!$A:$BS,CE$2,FALSE)</f>
        <v>#N/A</v>
      </c>
      <c r="CF34" s="7" t="e">
        <f>VLOOKUP($BA34,HAVERD!$A:$BS,CF$2,FALSE)</f>
        <v>#N/A</v>
      </c>
      <c r="CG34" s="7" t="e">
        <f>VLOOKUP($BA34,HAVERD!$A:$BS,CG$2,FALSE)</f>
        <v>#N/A</v>
      </c>
      <c r="CH34" s="7" t="e">
        <f>VLOOKUP($BA34,HAVERD!$A:$BS,CH$2,FALSE)</f>
        <v>#N/A</v>
      </c>
      <c r="CI34" s="7" t="e">
        <f>VLOOKUP($BA34,HAVERD!$A:$BS,CI$2,FALSE)</f>
        <v>#N/A</v>
      </c>
      <c r="CJ34" s="7" t="e">
        <f>VLOOKUP($BA34,HAVERD!$A:$BS,CJ$2,FALSE)</f>
        <v>#N/A</v>
      </c>
      <c r="CK34" s="7" t="e">
        <f>VLOOKUP($BA34,HAVERD!$A:$BS,CK$2,FALSE)</f>
        <v>#N/A</v>
      </c>
      <c r="CL34" s="7" t="e">
        <f>VLOOKUP($BA34,HAVERD!$A:$BS,CL$2,FALSE)</f>
        <v>#N/A</v>
      </c>
      <c r="CM34" s="7" t="e">
        <f>VLOOKUP($BA34,HAVERD!$A:$BS,CM$2,FALSE)</f>
        <v>#N/A</v>
      </c>
      <c r="CN34" s="7" t="e">
        <f>VLOOKUP($BA34,HAVERD!$A:$BS,CN$2,FALSE)</f>
        <v>#N/A</v>
      </c>
      <c r="CO34" s="7" t="e">
        <f>VLOOKUP($BA34,HAVERD!$A:$BS,CO$2,FALSE)</f>
        <v>#N/A</v>
      </c>
      <c r="CP34" s="7" t="e">
        <f>VLOOKUP($BA34,HAVERD!$A:$BS,CP$2,FALSE)</f>
        <v>#N/A</v>
      </c>
      <c r="CQ34" s="7" t="e">
        <f>VLOOKUP($BA34,HAVERD!$A:$BS,CQ$2,FALSE)</f>
        <v>#N/A</v>
      </c>
      <c r="CR34" s="7" t="e">
        <f>VLOOKUP($BA34,HAVERD!$A:$BS,CR$2,FALSE)</f>
        <v>#N/A</v>
      </c>
      <c r="CS34" s="7" t="e">
        <f>VLOOKUP($BA34,HAVERD!$A:$BS,CS$2,FALSE)</f>
        <v>#N/A</v>
      </c>
      <c r="CT34" s="7" t="e">
        <f>VLOOKUP($BA34,HAVERD!$A:$BS,CT$2,FALSE)</f>
        <v>#N/A</v>
      </c>
      <c r="CU34" s="7" t="e">
        <f>VLOOKUP($BA34,HAVERD!$A:$BS,CU$2,FALSE)</f>
        <v>#N/A</v>
      </c>
      <c r="CV34" s="7" t="e">
        <f>VLOOKUP($BA34,HAVERD!$A:$BS,CV$2,FALSE)</f>
        <v>#N/A</v>
      </c>
      <c r="CW34" s="7" t="e">
        <f>VLOOKUP($BA34,HAVERD!$A:$BS,CW$2,FALSE)</f>
        <v>#N/A</v>
      </c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</row>
    <row r="35" spans="1:113" x14ac:dyDescent="0.25">
      <c r="A35" s="6">
        <f t="shared" si="110"/>
        <v>45491</v>
      </c>
      <c r="B35" s="7">
        <f>VLOOKUP($A35,HAVERD!$A:$BS,B$2,FALSE)</f>
        <v>5.2</v>
      </c>
      <c r="C35" s="7">
        <f>VLOOKUP($A35,HAVERD!$A:$BS,C$2,FALSE)</f>
        <v>5.0895374000000002</v>
      </c>
      <c r="D35" s="7">
        <f>VLOOKUP($A35,HAVERD!$A:$BS,D$2,FALSE)</f>
        <v>5.0419502999999999</v>
      </c>
      <c r="E35" s="7">
        <f>VLOOKUP($A35,HAVERD!$A:$BS,E$2,FALSE)</f>
        <v>4.9692084000000003</v>
      </c>
      <c r="F35" s="7">
        <f>VLOOKUP($A35,HAVERD!$A:$BS,F$2,FALSE)</f>
        <v>4.8797702000000003</v>
      </c>
      <c r="G35" s="7">
        <f>VLOOKUP($A35,HAVERD!$A:$BS,G$2,FALSE)</f>
        <v>4.7830181999999999</v>
      </c>
      <c r="H35" s="7">
        <f>VLOOKUP($A35,HAVERD!$A:$BS,H$2,FALSE)</f>
        <v>4.6851561000000004</v>
      </c>
      <c r="I35" s="7">
        <f>VLOOKUP($A35,HAVERD!$A:$BS,I$2,FALSE)</f>
        <v>4.5891197999999997</v>
      </c>
      <c r="J35" s="7">
        <f>VLOOKUP($A35,HAVERD!$A:$BS,J$2,FALSE)</f>
        <v>4.4966068000000003</v>
      </c>
      <c r="K35" s="7">
        <f>VLOOKUP($A35,HAVERD!$A:$BS,K$2,FALSE)</f>
        <v>4.4089631000000002</v>
      </c>
      <c r="L35" s="7">
        <f>VLOOKUP($A35,HAVERD!$A:$BS,L$2,FALSE)</f>
        <v>4.3275356</v>
      </c>
      <c r="M35" s="7">
        <f>VLOOKUP($A35,HAVERD!$A:$BS,M$2,FALSE)</f>
        <v>4.2528477000000002</v>
      </c>
      <c r="N35" s="7">
        <f>VLOOKUP($A35,HAVERD!$A:$BS,N$2,FALSE)</f>
        <v>4.1851558000000004</v>
      </c>
      <c r="O35" s="7">
        <f>VLOOKUP($A35,HAVERD!$A:$BS,O$2,FALSE)</f>
        <v>4.1241314999999998</v>
      </c>
      <c r="P35" s="7">
        <f>VLOOKUP($A35,HAVERD!$A:$BS,P$2,FALSE)</f>
        <v>4.0689691000000003</v>
      </c>
      <c r="Q35" s="7">
        <f>VLOOKUP($A35,HAVERD!$A:$BS,Q$2,FALSE)</f>
        <v>4.0187822000000004</v>
      </c>
      <c r="R35" s="7">
        <f>VLOOKUP($A35,HAVERD!$A:$BS,R$2,FALSE)</f>
        <v>3.9726823000000002</v>
      </c>
      <c r="S35" s="7">
        <f>VLOOKUP($A35,HAVERD!$A:$BS,S$2,FALSE)</f>
        <v>3.9297814999999998</v>
      </c>
      <c r="T35" s="7">
        <f>VLOOKUP($A35,HAVERD!$A:$BS,T$2,FALSE)</f>
        <v>3.8891928999999998</v>
      </c>
      <c r="U35" s="7">
        <f>VLOOKUP($A35,HAVERD!$A:$BS,U$2,FALSE)</f>
        <v>3.8501561999999998</v>
      </c>
      <c r="V35" s="7">
        <f>VLOOKUP($A35,HAVERD!$A:$BS,V$2,FALSE)</f>
        <v>3.8125651999999999</v>
      </c>
      <c r="W35" s="7">
        <f>VLOOKUP($A35,HAVERD!$A:$BS,W$2,FALSE)</f>
        <v>3.7765240000000002</v>
      </c>
      <c r="X35" s="7">
        <f>VLOOKUP($A35,HAVERD!$A:$BS,X$2,FALSE)</f>
        <v>3.7421356000000001</v>
      </c>
      <c r="Y35" s="7">
        <f>VLOOKUP($A35,HAVERD!$A:$BS,Y$2,FALSE)</f>
        <v>3.7095028999999999</v>
      </c>
      <c r="Z35" s="7">
        <f>VLOOKUP($A35,HAVERD!$A:$BS,Z$2,FALSE)</f>
        <v>3.6787301000000001</v>
      </c>
      <c r="AA35" s="7">
        <f>VLOOKUP($A35,HAVERD!$A:$BS,AA$2,FALSE)</f>
        <v>3.6498973000000001</v>
      </c>
      <c r="AB35" s="7">
        <f>VLOOKUP($A35,HAVERD!$A:$BS,AB$2,FALSE)</f>
        <v>3.6229729000000002</v>
      </c>
      <c r="AC35" s="7">
        <f>VLOOKUP($A35,HAVERD!$A:$BS,AC$2,FALSE)</f>
        <v>3.5978924999999999</v>
      </c>
      <c r="AD35" s="7">
        <f>VLOOKUP($A35,HAVERD!$A:$BS,AD$2,FALSE)</f>
        <v>3.5745906000000001</v>
      </c>
      <c r="AE35" s="7">
        <f>VLOOKUP($A35,HAVERD!$A:$BS,AE$2,FALSE)</f>
        <v>3.5530018999999999</v>
      </c>
      <c r="AF35" s="7">
        <f>VLOOKUP($A35,HAVERD!$A:$BS,AF$2,FALSE)</f>
        <v>3.5330615999999999</v>
      </c>
      <c r="AG35" s="7">
        <f>VLOOKUP($A35,HAVERD!$A:$BS,AG$2,FALSE)</f>
        <v>3.5147043</v>
      </c>
      <c r="AH35" s="7">
        <f>VLOOKUP($A35,HAVERD!$A:$BS,AH$2,FALSE)</f>
        <v>3.4978647999999999</v>
      </c>
      <c r="AI35" s="7">
        <f>VLOOKUP($A35,HAVERD!$A:$BS,AI$2,FALSE)</f>
        <v>3.4824784000000002</v>
      </c>
      <c r="AJ35" s="7">
        <f>VLOOKUP($A35,HAVERD!$A:$BS,AJ$2,FALSE)</f>
        <v>3.4684794999999999</v>
      </c>
      <c r="AK35" s="7">
        <f>VLOOKUP($A35,HAVERD!$A:$BS,AK$2,FALSE)</f>
        <v>3.455803</v>
      </c>
      <c r="AL35" s="7">
        <f>VLOOKUP($A35,HAVERD!$A:$BS,AL$2,FALSE)</f>
        <v>3.4443841000000002</v>
      </c>
      <c r="AM35" s="7">
        <f>VLOOKUP($A35,HAVERD!$A:$BS,AM$2,FALSE)</f>
        <v>3.4341583</v>
      </c>
      <c r="AN35" s="7">
        <f>VLOOKUP($A35,HAVERD!$A:$BS,AN$2,FALSE)</f>
        <v>3.4250657000000002</v>
      </c>
      <c r="AO35" s="7">
        <f>VLOOKUP($A35,HAVERD!$A:$BS,AO$2,FALSE)</f>
        <v>3.4170479</v>
      </c>
      <c r="AP35" s="7">
        <f>VLOOKUP($A35,HAVERD!$A:$BS,AP$2,FALSE)</f>
        <v>3.4100459999999999</v>
      </c>
      <c r="AQ35" s="7">
        <f>VLOOKUP($A35,HAVERD!$A:$BS,AQ$2,FALSE)</f>
        <v>3.4040012000000002</v>
      </c>
      <c r="AR35" s="7">
        <f>VLOOKUP($A35,HAVERD!$A:$BS,AR$2,FALSE)</f>
        <v>3.3988551</v>
      </c>
      <c r="AS35" s="7">
        <f>VLOOKUP($A35,HAVERD!$A:$BS,AS$2,FALSE)</f>
        <v>3.3945487999999999</v>
      </c>
      <c r="AT35" s="7">
        <f>VLOOKUP($A35,HAVERD!$A:$BS,AT$2,FALSE)</f>
        <v>3.3910236</v>
      </c>
      <c r="AU35" s="7">
        <f>VLOOKUP($A35,HAVERD!$A:$BS,AU$2,FALSE)</f>
        <v>3.3882208999999999</v>
      </c>
      <c r="AV35" s="7">
        <f>VLOOKUP($A35,HAVERD!$A:$BS,AV$2,FALSE)</f>
        <v>3.386082</v>
      </c>
      <c r="AW35" s="7">
        <f>VLOOKUP($A35,HAVERD!$A:$BS,AW$2,FALSE)</f>
        <v>3.3845480999999999</v>
      </c>
      <c r="AX35" s="7">
        <f>VLOOKUP($A35,HAVERD!$A:$BS,AX$2,FALSE)</f>
        <v>3.3835606</v>
      </c>
      <c r="BA35" s="6">
        <f t="shared" si="111"/>
        <v>45589</v>
      </c>
      <c r="BB35" s="7" t="e">
        <f>VLOOKUP($BA35,HAVERD!$A:$BS,BB$2,FALSE)</f>
        <v>#N/A</v>
      </c>
      <c r="BC35" s="7" t="e">
        <f>VLOOKUP($BA35,HAVERD!$A:$BS,BC$2,FALSE)</f>
        <v>#N/A</v>
      </c>
      <c r="BD35" s="7" t="e">
        <f>VLOOKUP($BA35,HAVERD!$A:$BS,BD$2,FALSE)</f>
        <v>#N/A</v>
      </c>
      <c r="BE35" s="7" t="e">
        <f>VLOOKUP($BA35,HAVERD!$A:$BS,BE$2,FALSE)</f>
        <v>#N/A</v>
      </c>
      <c r="BF35" s="7" t="e">
        <f>VLOOKUP($BA35,HAVERD!$A:$BS,BF$2,FALSE)</f>
        <v>#N/A</v>
      </c>
      <c r="BG35" s="7" t="e">
        <f>VLOOKUP($BA35,HAVERD!$A:$BS,BG$2,FALSE)</f>
        <v>#N/A</v>
      </c>
      <c r="BH35" s="7" t="e">
        <f>VLOOKUP($BA35,HAVERD!$A:$BS,BH$2,FALSE)</f>
        <v>#N/A</v>
      </c>
      <c r="BI35" s="7" t="e">
        <f>VLOOKUP($BA35,HAVERD!$A:$BS,BI$2,FALSE)</f>
        <v>#N/A</v>
      </c>
      <c r="BJ35" s="7" t="e">
        <f>VLOOKUP($BA35,HAVERD!$A:$BS,BJ$2,FALSE)</f>
        <v>#N/A</v>
      </c>
      <c r="BK35" s="7" t="e">
        <f>VLOOKUP($BA35,HAVERD!$A:$BS,BK$2,FALSE)</f>
        <v>#N/A</v>
      </c>
      <c r="BL35" s="7" t="e">
        <f>VLOOKUP($BA35,HAVERD!$A:$BS,BL$2,FALSE)</f>
        <v>#N/A</v>
      </c>
      <c r="BM35" s="7" t="e">
        <f>VLOOKUP($BA35,HAVERD!$A:$BS,BM$2,FALSE)</f>
        <v>#N/A</v>
      </c>
      <c r="BN35" s="7" t="e">
        <f>VLOOKUP($BA35,HAVERD!$A:$BS,BN$2,FALSE)</f>
        <v>#N/A</v>
      </c>
      <c r="BO35" s="7" t="e">
        <f>VLOOKUP($BA35,HAVERD!$A:$BS,BO$2,FALSE)</f>
        <v>#N/A</v>
      </c>
      <c r="BP35" s="7" t="e">
        <f>VLOOKUP($BA35,HAVERD!$A:$BS,BP$2,FALSE)</f>
        <v>#N/A</v>
      </c>
      <c r="BQ35" s="7" t="e">
        <f>VLOOKUP($BA35,HAVERD!$A:$BS,BQ$2,FALSE)</f>
        <v>#N/A</v>
      </c>
      <c r="BR35" s="7" t="e">
        <f>VLOOKUP($BA35,HAVERD!$A:$BS,BR$2,FALSE)</f>
        <v>#N/A</v>
      </c>
      <c r="BS35" s="7" t="e">
        <f>VLOOKUP($BA35,HAVERD!$A:$BS,BS$2,FALSE)</f>
        <v>#N/A</v>
      </c>
      <c r="BT35" s="7" t="e">
        <f>VLOOKUP($BA35,HAVERD!$A:$BS,BT$2,FALSE)</f>
        <v>#N/A</v>
      </c>
      <c r="BU35" s="7" t="e">
        <f>VLOOKUP($BA35,HAVERD!$A:$BS,BU$2,FALSE)</f>
        <v>#N/A</v>
      </c>
      <c r="BV35" s="7" t="e">
        <f>VLOOKUP($BA35,HAVERD!$A:$BS,BV$2,FALSE)</f>
        <v>#N/A</v>
      </c>
      <c r="BW35" s="7" t="e">
        <f>VLOOKUP($BA35,HAVERD!$A:$BS,BW$2,FALSE)</f>
        <v>#N/A</v>
      </c>
      <c r="BX35" s="7" t="e">
        <f>VLOOKUP($BA35,HAVERD!$A:$BS,BX$2,FALSE)</f>
        <v>#N/A</v>
      </c>
      <c r="BY35" s="7" t="e">
        <f>VLOOKUP($BA35,HAVERD!$A:$BS,BY$2,FALSE)</f>
        <v>#N/A</v>
      </c>
      <c r="BZ35" s="7" t="e">
        <f>VLOOKUP($BA35,HAVERD!$A:$BS,BZ$2,FALSE)</f>
        <v>#N/A</v>
      </c>
      <c r="CA35" s="7" t="e">
        <f>VLOOKUP($BA35,HAVERD!$A:$BS,CA$2,FALSE)</f>
        <v>#N/A</v>
      </c>
      <c r="CB35" s="7" t="e">
        <f>VLOOKUP($BA35,HAVERD!$A:$BS,CB$2,FALSE)</f>
        <v>#N/A</v>
      </c>
      <c r="CC35" s="7" t="e">
        <f>VLOOKUP($BA35,HAVERD!$A:$BS,CC$2,FALSE)</f>
        <v>#N/A</v>
      </c>
      <c r="CD35" s="7" t="e">
        <f>VLOOKUP($BA35,HAVERD!$A:$BS,CD$2,FALSE)</f>
        <v>#N/A</v>
      </c>
      <c r="CE35" s="7" t="e">
        <f>VLOOKUP($BA35,HAVERD!$A:$BS,CE$2,FALSE)</f>
        <v>#N/A</v>
      </c>
      <c r="CF35" s="7" t="e">
        <f>VLOOKUP($BA35,HAVERD!$A:$BS,CF$2,FALSE)</f>
        <v>#N/A</v>
      </c>
      <c r="CG35" s="7" t="e">
        <f>VLOOKUP($BA35,HAVERD!$A:$BS,CG$2,FALSE)</f>
        <v>#N/A</v>
      </c>
      <c r="CH35" s="7" t="e">
        <f>VLOOKUP($BA35,HAVERD!$A:$BS,CH$2,FALSE)</f>
        <v>#N/A</v>
      </c>
      <c r="CI35" s="7" t="e">
        <f>VLOOKUP($BA35,HAVERD!$A:$BS,CI$2,FALSE)</f>
        <v>#N/A</v>
      </c>
      <c r="CJ35" s="7" t="e">
        <f>VLOOKUP($BA35,HAVERD!$A:$BS,CJ$2,FALSE)</f>
        <v>#N/A</v>
      </c>
      <c r="CK35" s="7" t="e">
        <f>VLOOKUP($BA35,HAVERD!$A:$BS,CK$2,FALSE)</f>
        <v>#N/A</v>
      </c>
      <c r="CL35" s="7" t="e">
        <f>VLOOKUP($BA35,HAVERD!$A:$BS,CL$2,FALSE)</f>
        <v>#N/A</v>
      </c>
      <c r="CM35" s="7" t="e">
        <f>VLOOKUP($BA35,HAVERD!$A:$BS,CM$2,FALSE)</f>
        <v>#N/A</v>
      </c>
      <c r="CN35" s="7" t="e">
        <f>VLOOKUP($BA35,HAVERD!$A:$BS,CN$2,FALSE)</f>
        <v>#N/A</v>
      </c>
      <c r="CO35" s="7" t="e">
        <f>VLOOKUP($BA35,HAVERD!$A:$BS,CO$2,FALSE)</f>
        <v>#N/A</v>
      </c>
      <c r="CP35" s="7" t="e">
        <f>VLOOKUP($BA35,HAVERD!$A:$BS,CP$2,FALSE)</f>
        <v>#N/A</v>
      </c>
      <c r="CQ35" s="7" t="e">
        <f>VLOOKUP($BA35,HAVERD!$A:$BS,CQ$2,FALSE)</f>
        <v>#N/A</v>
      </c>
      <c r="CR35" s="7" t="e">
        <f>VLOOKUP($BA35,HAVERD!$A:$BS,CR$2,FALSE)</f>
        <v>#N/A</v>
      </c>
      <c r="CS35" s="7" t="e">
        <f>VLOOKUP($BA35,HAVERD!$A:$BS,CS$2,FALSE)</f>
        <v>#N/A</v>
      </c>
      <c r="CT35" s="7" t="e">
        <f>VLOOKUP($BA35,HAVERD!$A:$BS,CT$2,FALSE)</f>
        <v>#N/A</v>
      </c>
      <c r="CU35" s="7" t="e">
        <f>VLOOKUP($BA35,HAVERD!$A:$BS,CU$2,FALSE)</f>
        <v>#N/A</v>
      </c>
      <c r="CV35" s="7" t="e">
        <f>VLOOKUP($BA35,HAVERD!$A:$BS,CV$2,FALSE)</f>
        <v>#N/A</v>
      </c>
      <c r="CW35" s="7" t="e">
        <f>VLOOKUP($BA35,HAVERD!$A:$BS,CW$2,FALSE)</f>
        <v>#N/A</v>
      </c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</row>
    <row r="36" spans="1:113" x14ac:dyDescent="0.25">
      <c r="A36" s="6">
        <f t="shared" si="110"/>
        <v>45492</v>
      </c>
      <c r="B36" s="7">
        <f>VLOOKUP($A36,HAVERD!$A:$BS,B$2,FALSE)</f>
        <v>5.2</v>
      </c>
      <c r="C36" s="7">
        <f>VLOOKUP($A36,HAVERD!$A:$BS,C$2,FALSE)</f>
        <v>5.0840553999999996</v>
      </c>
      <c r="D36" s="7">
        <f>VLOOKUP($A36,HAVERD!$A:$BS,D$2,FALSE)</f>
        <v>5.0399791</v>
      </c>
      <c r="E36" s="7">
        <f>VLOOKUP($A36,HAVERD!$A:$BS,E$2,FALSE)</f>
        <v>4.9709833000000003</v>
      </c>
      <c r="F36" s="7">
        <f>VLOOKUP($A36,HAVERD!$A:$BS,F$2,FALSE)</f>
        <v>4.8852289999999998</v>
      </c>
      <c r="G36" s="7">
        <f>VLOOKUP($A36,HAVERD!$A:$BS,G$2,FALSE)</f>
        <v>4.7926137999999998</v>
      </c>
      <c r="H36" s="7">
        <f>VLOOKUP($A36,HAVERD!$A:$BS,H$2,FALSE)</f>
        <v>4.6995082999999997</v>
      </c>
      <c r="I36" s="7">
        <f>VLOOKUP($A36,HAVERD!$A:$BS,I$2,FALSE)</f>
        <v>4.6090556999999999</v>
      </c>
      <c r="J36" s="7">
        <f>VLOOKUP($A36,HAVERD!$A:$BS,J$2,FALSE)</f>
        <v>4.5228412999999996</v>
      </c>
      <c r="K36" s="7">
        <f>VLOOKUP($A36,HAVERD!$A:$BS,K$2,FALSE)</f>
        <v>4.4417489000000003</v>
      </c>
      <c r="L36" s="7">
        <f>VLOOKUP($A36,HAVERD!$A:$BS,L$2,FALSE)</f>
        <v>4.3664962999999997</v>
      </c>
      <c r="M36" s="7">
        <f>VLOOKUP($A36,HAVERD!$A:$BS,M$2,FALSE)</f>
        <v>4.2971643999999998</v>
      </c>
      <c r="N36" s="7">
        <f>VLOOKUP($A36,HAVERD!$A:$BS,N$2,FALSE)</f>
        <v>4.2334139999999998</v>
      </c>
      <c r="O36" s="7">
        <f>VLOOKUP($A36,HAVERD!$A:$BS,O$2,FALSE)</f>
        <v>4.1741448999999999</v>
      </c>
      <c r="P36" s="7">
        <f>VLOOKUP($A36,HAVERD!$A:$BS,P$2,FALSE)</f>
        <v>4.1187528999999996</v>
      </c>
      <c r="Q36" s="7">
        <f>VLOOKUP($A36,HAVERD!$A:$BS,Q$2,FALSE)</f>
        <v>4.0668604999999998</v>
      </c>
      <c r="R36" s="7">
        <f>VLOOKUP($A36,HAVERD!$A:$BS,R$2,FALSE)</f>
        <v>4.0180885000000002</v>
      </c>
      <c r="S36" s="7">
        <f>VLOOKUP($A36,HAVERD!$A:$BS,S$2,FALSE)</f>
        <v>3.9720574000000002</v>
      </c>
      <c r="T36" s="7">
        <f>VLOOKUP($A36,HAVERD!$A:$BS,T$2,FALSE)</f>
        <v>3.9283896</v>
      </c>
      <c r="U36" s="7">
        <f>VLOOKUP($A36,HAVERD!$A:$BS,U$2,FALSE)</f>
        <v>3.8867752000000002</v>
      </c>
      <c r="V36" s="7">
        <f>VLOOKUP($A36,HAVERD!$A:$BS,V$2,FALSE)</f>
        <v>3.8472265999999999</v>
      </c>
      <c r="W36" s="7">
        <f>VLOOKUP($A36,HAVERD!$A:$BS,W$2,FALSE)</f>
        <v>3.8098508999999998</v>
      </c>
      <c r="X36" s="7">
        <f>VLOOKUP($A36,HAVERD!$A:$BS,X$2,FALSE)</f>
        <v>3.7747538</v>
      </c>
      <c r="Y36" s="7">
        <f>VLOOKUP($A36,HAVERD!$A:$BS,Y$2,FALSE)</f>
        <v>3.742041</v>
      </c>
      <c r="Z36" s="7">
        <f>VLOOKUP($A36,HAVERD!$A:$BS,Z$2,FALSE)</f>
        <v>3.7118194</v>
      </c>
      <c r="AA36" s="7">
        <f>VLOOKUP($A36,HAVERD!$A:$BS,AA$2,FALSE)</f>
        <v>3.6841567</v>
      </c>
      <c r="AB36" s="7">
        <f>VLOOKUP($A36,HAVERD!$A:$BS,AB$2,FALSE)</f>
        <v>3.6589515000000001</v>
      </c>
      <c r="AC36" s="7">
        <f>VLOOKUP($A36,HAVERD!$A:$BS,AC$2,FALSE)</f>
        <v>3.6360570000000001</v>
      </c>
      <c r="AD36" s="7">
        <f>VLOOKUP($A36,HAVERD!$A:$BS,AD$2,FALSE)</f>
        <v>3.6153254000000001</v>
      </c>
      <c r="AE36" s="7">
        <f>VLOOKUP($A36,HAVERD!$A:$BS,AE$2,FALSE)</f>
        <v>3.5966090999999998</v>
      </c>
      <c r="AF36" s="7">
        <f>VLOOKUP($A36,HAVERD!$A:$BS,AF$2,FALSE)</f>
        <v>3.5797609000000001</v>
      </c>
      <c r="AG36" s="7">
        <f>VLOOKUP($A36,HAVERD!$A:$BS,AG$2,FALSE)</f>
        <v>3.5646331</v>
      </c>
      <c r="AH36" s="7">
        <f>VLOOKUP($A36,HAVERD!$A:$BS,AH$2,FALSE)</f>
        <v>3.5510780999999998</v>
      </c>
      <c r="AI36" s="7">
        <f>VLOOKUP($A36,HAVERD!$A:$BS,AI$2,FALSE)</f>
        <v>3.5389487000000002</v>
      </c>
      <c r="AJ36" s="7">
        <f>VLOOKUP($A36,HAVERD!$A:$BS,AJ$2,FALSE)</f>
        <v>3.5280973000000002</v>
      </c>
      <c r="AK36" s="7">
        <f>VLOOKUP($A36,HAVERD!$A:$BS,AK$2,FALSE)</f>
        <v>3.5183762999999999</v>
      </c>
      <c r="AL36" s="7">
        <f>VLOOKUP($A36,HAVERD!$A:$BS,AL$2,FALSE)</f>
        <v>3.5096384</v>
      </c>
      <c r="AM36" s="7">
        <f>VLOOKUP($A36,HAVERD!$A:$BS,AM$2,FALSE)</f>
        <v>3.5017537999999999</v>
      </c>
      <c r="AN36" s="7">
        <f>VLOOKUP($A36,HAVERD!$A:$BS,AN$2,FALSE)</f>
        <v>3.4946641000000001</v>
      </c>
      <c r="AO36" s="7">
        <f>VLOOKUP($A36,HAVERD!$A:$BS,AO$2,FALSE)</f>
        <v>3.4883289</v>
      </c>
      <c r="AP36" s="7">
        <f>VLOOKUP($A36,HAVERD!$A:$BS,AP$2,FALSE)</f>
        <v>3.4827075000000001</v>
      </c>
      <c r="AQ36" s="7">
        <f>VLOOKUP($A36,HAVERD!$A:$BS,AQ$2,FALSE)</f>
        <v>3.4777594000000001</v>
      </c>
      <c r="AR36" s="7">
        <f>VLOOKUP($A36,HAVERD!$A:$BS,AR$2,FALSE)</f>
        <v>3.4734440000000002</v>
      </c>
      <c r="AS36" s="7">
        <f>VLOOKUP($A36,HAVERD!$A:$BS,AS$2,FALSE)</f>
        <v>3.4697208000000002</v>
      </c>
      <c r="AT36" s="7">
        <f>VLOOKUP($A36,HAVERD!$A:$BS,AT$2,FALSE)</f>
        <v>3.4665492000000002</v>
      </c>
      <c r="AU36" s="7">
        <f>VLOOKUP($A36,HAVERD!$A:$BS,AU$2,FALSE)</f>
        <v>3.4638887</v>
      </c>
      <c r="AV36" s="7">
        <f>VLOOKUP($A36,HAVERD!$A:$BS,AV$2,FALSE)</f>
        <v>3.4616986000000001</v>
      </c>
      <c r="AW36" s="7">
        <f>VLOOKUP($A36,HAVERD!$A:$BS,AW$2,FALSE)</f>
        <v>3.4599386000000001</v>
      </c>
      <c r="AX36" s="7">
        <f>VLOOKUP($A36,HAVERD!$A:$BS,AX$2,FALSE)</f>
        <v>3.4585678999999998</v>
      </c>
      <c r="BA36" s="6">
        <f t="shared" si="111"/>
        <v>45590</v>
      </c>
      <c r="BB36" s="7" t="e">
        <f>VLOOKUP($BA36,HAVERD!$A:$BS,BB$2,FALSE)</f>
        <v>#N/A</v>
      </c>
      <c r="BC36" s="7" t="e">
        <f>VLOOKUP($BA36,HAVERD!$A:$BS,BC$2,FALSE)</f>
        <v>#N/A</v>
      </c>
      <c r="BD36" s="7" t="e">
        <f>VLOOKUP($BA36,HAVERD!$A:$BS,BD$2,FALSE)</f>
        <v>#N/A</v>
      </c>
      <c r="BE36" s="7" t="e">
        <f>VLOOKUP($BA36,HAVERD!$A:$BS,BE$2,FALSE)</f>
        <v>#N/A</v>
      </c>
      <c r="BF36" s="7" t="e">
        <f>VLOOKUP($BA36,HAVERD!$A:$BS,BF$2,FALSE)</f>
        <v>#N/A</v>
      </c>
      <c r="BG36" s="7" t="e">
        <f>VLOOKUP($BA36,HAVERD!$A:$BS,BG$2,FALSE)</f>
        <v>#N/A</v>
      </c>
      <c r="BH36" s="7" t="e">
        <f>VLOOKUP($BA36,HAVERD!$A:$BS,BH$2,FALSE)</f>
        <v>#N/A</v>
      </c>
      <c r="BI36" s="7" t="e">
        <f>VLOOKUP($BA36,HAVERD!$A:$BS,BI$2,FALSE)</f>
        <v>#N/A</v>
      </c>
      <c r="BJ36" s="7" t="e">
        <f>VLOOKUP($BA36,HAVERD!$A:$BS,BJ$2,FALSE)</f>
        <v>#N/A</v>
      </c>
      <c r="BK36" s="7" t="e">
        <f>VLOOKUP($BA36,HAVERD!$A:$BS,BK$2,FALSE)</f>
        <v>#N/A</v>
      </c>
      <c r="BL36" s="7" t="e">
        <f>VLOOKUP($BA36,HAVERD!$A:$BS,BL$2,FALSE)</f>
        <v>#N/A</v>
      </c>
      <c r="BM36" s="7" t="e">
        <f>VLOOKUP($BA36,HAVERD!$A:$BS,BM$2,FALSE)</f>
        <v>#N/A</v>
      </c>
      <c r="BN36" s="7" t="e">
        <f>VLOOKUP($BA36,HAVERD!$A:$BS,BN$2,FALSE)</f>
        <v>#N/A</v>
      </c>
      <c r="BO36" s="7" t="e">
        <f>VLOOKUP($BA36,HAVERD!$A:$BS,BO$2,FALSE)</f>
        <v>#N/A</v>
      </c>
      <c r="BP36" s="7" t="e">
        <f>VLOOKUP($BA36,HAVERD!$A:$BS,BP$2,FALSE)</f>
        <v>#N/A</v>
      </c>
      <c r="BQ36" s="7" t="e">
        <f>VLOOKUP($BA36,HAVERD!$A:$BS,BQ$2,FALSE)</f>
        <v>#N/A</v>
      </c>
      <c r="BR36" s="7" t="e">
        <f>VLOOKUP($BA36,HAVERD!$A:$BS,BR$2,FALSE)</f>
        <v>#N/A</v>
      </c>
      <c r="BS36" s="7" t="e">
        <f>VLOOKUP($BA36,HAVERD!$A:$BS,BS$2,FALSE)</f>
        <v>#N/A</v>
      </c>
      <c r="BT36" s="7" t="e">
        <f>VLOOKUP($BA36,HAVERD!$A:$BS,BT$2,FALSE)</f>
        <v>#N/A</v>
      </c>
      <c r="BU36" s="7" t="e">
        <f>VLOOKUP($BA36,HAVERD!$A:$BS,BU$2,FALSE)</f>
        <v>#N/A</v>
      </c>
      <c r="BV36" s="7" t="e">
        <f>VLOOKUP($BA36,HAVERD!$A:$BS,BV$2,FALSE)</f>
        <v>#N/A</v>
      </c>
      <c r="BW36" s="7" t="e">
        <f>VLOOKUP($BA36,HAVERD!$A:$BS,BW$2,FALSE)</f>
        <v>#N/A</v>
      </c>
      <c r="BX36" s="7" t="e">
        <f>VLOOKUP($BA36,HAVERD!$A:$BS,BX$2,FALSE)</f>
        <v>#N/A</v>
      </c>
      <c r="BY36" s="7" t="e">
        <f>VLOOKUP($BA36,HAVERD!$A:$BS,BY$2,FALSE)</f>
        <v>#N/A</v>
      </c>
      <c r="BZ36" s="7" t="e">
        <f>VLOOKUP($BA36,HAVERD!$A:$BS,BZ$2,FALSE)</f>
        <v>#N/A</v>
      </c>
      <c r="CA36" s="7" t="e">
        <f>VLOOKUP($BA36,HAVERD!$A:$BS,CA$2,FALSE)</f>
        <v>#N/A</v>
      </c>
      <c r="CB36" s="7" t="e">
        <f>VLOOKUP($BA36,HAVERD!$A:$BS,CB$2,FALSE)</f>
        <v>#N/A</v>
      </c>
      <c r="CC36" s="7" t="e">
        <f>VLOOKUP($BA36,HAVERD!$A:$BS,CC$2,FALSE)</f>
        <v>#N/A</v>
      </c>
      <c r="CD36" s="7" t="e">
        <f>VLOOKUP($BA36,HAVERD!$A:$BS,CD$2,FALSE)</f>
        <v>#N/A</v>
      </c>
      <c r="CE36" s="7" t="e">
        <f>VLOOKUP($BA36,HAVERD!$A:$BS,CE$2,FALSE)</f>
        <v>#N/A</v>
      </c>
      <c r="CF36" s="7" t="e">
        <f>VLOOKUP($BA36,HAVERD!$A:$BS,CF$2,FALSE)</f>
        <v>#N/A</v>
      </c>
      <c r="CG36" s="7" t="e">
        <f>VLOOKUP($BA36,HAVERD!$A:$BS,CG$2,FALSE)</f>
        <v>#N/A</v>
      </c>
      <c r="CH36" s="7" t="e">
        <f>VLOOKUP($BA36,HAVERD!$A:$BS,CH$2,FALSE)</f>
        <v>#N/A</v>
      </c>
      <c r="CI36" s="7" t="e">
        <f>VLOOKUP($BA36,HAVERD!$A:$BS,CI$2,FALSE)</f>
        <v>#N/A</v>
      </c>
      <c r="CJ36" s="7" t="e">
        <f>VLOOKUP($BA36,HAVERD!$A:$BS,CJ$2,FALSE)</f>
        <v>#N/A</v>
      </c>
      <c r="CK36" s="7" t="e">
        <f>VLOOKUP($BA36,HAVERD!$A:$BS,CK$2,FALSE)</f>
        <v>#N/A</v>
      </c>
      <c r="CL36" s="7" t="e">
        <f>VLOOKUP($BA36,HAVERD!$A:$BS,CL$2,FALSE)</f>
        <v>#N/A</v>
      </c>
      <c r="CM36" s="7" t="e">
        <f>VLOOKUP($BA36,HAVERD!$A:$BS,CM$2,FALSE)</f>
        <v>#N/A</v>
      </c>
      <c r="CN36" s="7" t="e">
        <f>VLOOKUP($BA36,HAVERD!$A:$BS,CN$2,FALSE)</f>
        <v>#N/A</v>
      </c>
      <c r="CO36" s="7" t="e">
        <f>VLOOKUP($BA36,HAVERD!$A:$BS,CO$2,FALSE)</f>
        <v>#N/A</v>
      </c>
      <c r="CP36" s="7" t="e">
        <f>VLOOKUP($BA36,HAVERD!$A:$BS,CP$2,FALSE)</f>
        <v>#N/A</v>
      </c>
      <c r="CQ36" s="7" t="e">
        <f>VLOOKUP($BA36,HAVERD!$A:$BS,CQ$2,FALSE)</f>
        <v>#N/A</v>
      </c>
      <c r="CR36" s="7" t="e">
        <f>VLOOKUP($BA36,HAVERD!$A:$BS,CR$2,FALSE)</f>
        <v>#N/A</v>
      </c>
      <c r="CS36" s="7" t="e">
        <f>VLOOKUP($BA36,HAVERD!$A:$BS,CS$2,FALSE)</f>
        <v>#N/A</v>
      </c>
      <c r="CT36" s="7" t="e">
        <f>VLOOKUP($BA36,HAVERD!$A:$BS,CT$2,FALSE)</f>
        <v>#N/A</v>
      </c>
      <c r="CU36" s="7" t="e">
        <f>VLOOKUP($BA36,HAVERD!$A:$BS,CU$2,FALSE)</f>
        <v>#N/A</v>
      </c>
      <c r="CV36" s="7" t="e">
        <f>VLOOKUP($BA36,HAVERD!$A:$BS,CV$2,FALSE)</f>
        <v>#N/A</v>
      </c>
      <c r="CW36" s="7" t="e">
        <f>VLOOKUP($BA36,HAVERD!$A:$BS,CW$2,FALSE)</f>
        <v>#N/A</v>
      </c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</row>
    <row r="37" spans="1:113" x14ac:dyDescent="0.25">
      <c r="A37" s="6">
        <f t="shared" si="110"/>
        <v>45495</v>
      </c>
      <c r="B37" s="7">
        <f>VLOOKUP($A37,HAVERD!$A:$BS,B$2,FALSE)</f>
        <v>5.2</v>
      </c>
      <c r="C37" s="7">
        <f>VLOOKUP($A37,HAVERD!$A:$BS,C$2,FALSE)</f>
        <v>5.0981736</v>
      </c>
      <c r="D37" s="7">
        <f>VLOOKUP($A37,HAVERD!$A:$BS,D$2,FALSE)</f>
        <v>5.0525574000000004</v>
      </c>
      <c r="E37" s="7">
        <f>VLOOKUP($A37,HAVERD!$A:$BS,E$2,FALSE)</f>
        <v>4.9866557</v>
      </c>
      <c r="F37" s="7">
        <f>VLOOKUP($A37,HAVERD!$A:$BS,F$2,FALSE)</f>
        <v>4.9069105999999998</v>
      </c>
      <c r="G37" s="7">
        <f>VLOOKUP($A37,HAVERD!$A:$BS,G$2,FALSE)</f>
        <v>4.8212351</v>
      </c>
      <c r="H37" s="7">
        <f>VLOOKUP($A37,HAVERD!$A:$BS,H$2,FALSE)</f>
        <v>4.7344873999999999</v>
      </c>
      <c r="I37" s="7">
        <f>VLOOKUP($A37,HAVERD!$A:$BS,I$2,FALSE)</f>
        <v>4.6498897000000001</v>
      </c>
      <c r="J37" s="7">
        <f>VLOOKUP($A37,HAVERD!$A:$BS,J$2,FALSE)</f>
        <v>4.5696813000000001</v>
      </c>
      <c r="K37" s="7">
        <f>VLOOKUP($A37,HAVERD!$A:$BS,K$2,FALSE)</f>
        <v>4.4956427999999997</v>
      </c>
      <c r="L37" s="7">
        <f>VLOOKUP($A37,HAVERD!$A:$BS,L$2,FALSE)</f>
        <v>4.4282447999999999</v>
      </c>
      <c r="M37" s="7">
        <f>VLOOKUP($A37,HAVERD!$A:$BS,M$2,FALSE)</f>
        <v>4.3676342000000004</v>
      </c>
      <c r="N37" s="7">
        <f>VLOOKUP($A37,HAVERD!$A:$BS,N$2,FALSE)</f>
        <v>4.3129939000000004</v>
      </c>
      <c r="O37" s="7">
        <f>VLOOKUP($A37,HAVERD!$A:$BS,O$2,FALSE)</f>
        <v>4.2625419000000004</v>
      </c>
      <c r="P37" s="7">
        <f>VLOOKUP($A37,HAVERD!$A:$BS,P$2,FALSE)</f>
        <v>4.2154197</v>
      </c>
      <c r="Q37" s="7">
        <f>VLOOKUP($A37,HAVERD!$A:$BS,Q$2,FALSE)</f>
        <v>4.1710788000000001</v>
      </c>
      <c r="R37" s="7">
        <f>VLOOKUP($A37,HAVERD!$A:$BS,R$2,FALSE)</f>
        <v>4.1289690999999999</v>
      </c>
      <c r="S37" s="7">
        <f>VLOOKUP($A37,HAVERD!$A:$BS,S$2,FALSE)</f>
        <v>4.0885404000000003</v>
      </c>
      <c r="T37" s="7">
        <f>VLOOKUP($A37,HAVERD!$A:$BS,T$2,FALSE)</f>
        <v>4.0492441000000001</v>
      </c>
      <c r="U37" s="7">
        <f>VLOOKUP($A37,HAVERD!$A:$BS,U$2,FALSE)</f>
        <v>4.0106386000000001</v>
      </c>
      <c r="V37" s="7">
        <f>VLOOKUP($A37,HAVERD!$A:$BS,V$2,FALSE)</f>
        <v>3.9727855999999999</v>
      </c>
      <c r="W37" s="7">
        <f>VLOOKUP($A37,HAVERD!$A:$BS,W$2,FALSE)</f>
        <v>3.9358938999999999</v>
      </c>
      <c r="X37" s="7">
        <f>VLOOKUP($A37,HAVERD!$A:$BS,X$2,FALSE)</f>
        <v>3.9001709999999998</v>
      </c>
      <c r="Y37" s="7">
        <f>VLOOKUP($A37,HAVERD!$A:$BS,Y$2,FALSE)</f>
        <v>3.8658242</v>
      </c>
      <c r="Z37" s="7">
        <f>VLOOKUP($A37,HAVERD!$A:$BS,Z$2,FALSE)</f>
        <v>3.8330625</v>
      </c>
      <c r="AA37" s="7">
        <f>VLOOKUP($A37,HAVERD!$A:$BS,AA$2,FALSE)</f>
        <v>3.8020501000000002</v>
      </c>
      <c r="AB37" s="7">
        <f>VLOOKUP($A37,HAVERD!$A:$BS,AB$2,FALSE)</f>
        <v>3.7727794000000001</v>
      </c>
      <c r="AC37" s="7">
        <f>VLOOKUP($A37,HAVERD!$A:$BS,AC$2,FALSE)</f>
        <v>3.7452005000000002</v>
      </c>
      <c r="AD37" s="7">
        <f>VLOOKUP($A37,HAVERD!$A:$BS,AD$2,FALSE)</f>
        <v>3.7192625000000001</v>
      </c>
      <c r="AE37" s="7">
        <f>VLOOKUP($A37,HAVERD!$A:$BS,AE$2,FALSE)</f>
        <v>3.6949147</v>
      </c>
      <c r="AF37" s="7">
        <f>VLOOKUP($A37,HAVERD!$A:$BS,AF$2,FALSE)</f>
        <v>3.6721070999999998</v>
      </c>
      <c r="AG37" s="7">
        <f>VLOOKUP($A37,HAVERD!$A:$BS,AG$2,FALSE)</f>
        <v>3.6507887999999999</v>
      </c>
      <c r="AH37" s="7">
        <f>VLOOKUP($A37,HAVERD!$A:$BS,AH$2,FALSE)</f>
        <v>3.6309092000000001</v>
      </c>
      <c r="AI37" s="7">
        <f>VLOOKUP($A37,HAVERD!$A:$BS,AI$2,FALSE)</f>
        <v>3.6124182</v>
      </c>
      <c r="AJ37" s="7">
        <f>VLOOKUP($A37,HAVERD!$A:$BS,AJ$2,FALSE)</f>
        <v>3.5952651000000002</v>
      </c>
      <c r="AK37" s="7">
        <f>VLOOKUP($A37,HAVERD!$A:$BS,AK$2,FALSE)</f>
        <v>3.5793990999999998</v>
      </c>
      <c r="AL37" s="7">
        <f>VLOOKUP($A37,HAVERD!$A:$BS,AL$2,FALSE)</f>
        <v>3.5647701000000001</v>
      </c>
      <c r="AM37" s="7">
        <f>VLOOKUP($A37,HAVERD!$A:$BS,AM$2,FALSE)</f>
        <v>3.5513294000000002</v>
      </c>
      <c r="AN37" s="7">
        <f>VLOOKUP($A37,HAVERD!$A:$BS,AN$2,FALSE)</f>
        <v>3.5390364000000001</v>
      </c>
      <c r="AO37" s="7">
        <f>VLOOKUP($A37,HAVERD!$A:$BS,AO$2,FALSE)</f>
        <v>3.5278526000000001</v>
      </c>
      <c r="AP37" s="7">
        <f>VLOOKUP($A37,HAVERD!$A:$BS,AP$2,FALSE)</f>
        <v>3.5177394999999998</v>
      </c>
      <c r="AQ37" s="7">
        <f>VLOOKUP($A37,HAVERD!$A:$BS,AQ$2,FALSE)</f>
        <v>3.5086583</v>
      </c>
      <c r="AR37" s="7">
        <f>VLOOKUP($A37,HAVERD!$A:$BS,AR$2,FALSE)</f>
        <v>3.5005706000000001</v>
      </c>
      <c r="AS37" s="7">
        <f>VLOOKUP($A37,HAVERD!$A:$BS,AS$2,FALSE)</f>
        <v>3.4934379</v>
      </c>
      <c r="AT37" s="7">
        <f>VLOOKUP($A37,HAVERD!$A:$BS,AT$2,FALSE)</f>
        <v>3.4872215</v>
      </c>
      <c r="AU37" s="7">
        <f>VLOOKUP($A37,HAVERD!$A:$BS,AU$2,FALSE)</f>
        <v>3.4818829</v>
      </c>
      <c r="AV37" s="7">
        <f>VLOOKUP($A37,HAVERD!$A:$BS,AV$2,FALSE)</f>
        <v>3.4773836</v>
      </c>
      <c r="AW37" s="7">
        <f>VLOOKUP($A37,HAVERD!$A:$BS,AW$2,FALSE)</f>
        <v>3.4736848</v>
      </c>
      <c r="AX37" s="7">
        <f>VLOOKUP($A37,HAVERD!$A:$BS,AX$2,FALSE)</f>
        <v>3.4707482000000001</v>
      </c>
      <c r="BA37" s="6">
        <f t="shared" si="111"/>
        <v>45593</v>
      </c>
      <c r="BB37" s="7" t="e">
        <f>VLOOKUP($BA37,HAVERD!$A:$BS,BB$2,FALSE)</f>
        <v>#N/A</v>
      </c>
      <c r="BC37" s="7" t="e">
        <f>VLOOKUP($BA37,HAVERD!$A:$BS,BC$2,FALSE)</f>
        <v>#N/A</v>
      </c>
      <c r="BD37" s="7" t="e">
        <f>VLOOKUP($BA37,HAVERD!$A:$BS,BD$2,FALSE)</f>
        <v>#N/A</v>
      </c>
      <c r="BE37" s="7" t="e">
        <f>VLOOKUP($BA37,HAVERD!$A:$BS,BE$2,FALSE)</f>
        <v>#N/A</v>
      </c>
      <c r="BF37" s="7" t="e">
        <f>VLOOKUP($BA37,HAVERD!$A:$BS,BF$2,FALSE)</f>
        <v>#N/A</v>
      </c>
      <c r="BG37" s="7" t="e">
        <f>VLOOKUP($BA37,HAVERD!$A:$BS,BG$2,FALSE)</f>
        <v>#N/A</v>
      </c>
      <c r="BH37" s="7" t="e">
        <f>VLOOKUP($BA37,HAVERD!$A:$BS,BH$2,FALSE)</f>
        <v>#N/A</v>
      </c>
      <c r="BI37" s="7" t="e">
        <f>VLOOKUP($BA37,HAVERD!$A:$BS,BI$2,FALSE)</f>
        <v>#N/A</v>
      </c>
      <c r="BJ37" s="7" t="e">
        <f>VLOOKUP($BA37,HAVERD!$A:$BS,BJ$2,FALSE)</f>
        <v>#N/A</v>
      </c>
      <c r="BK37" s="7" t="e">
        <f>VLOOKUP($BA37,HAVERD!$A:$BS,BK$2,FALSE)</f>
        <v>#N/A</v>
      </c>
      <c r="BL37" s="7" t="e">
        <f>VLOOKUP($BA37,HAVERD!$A:$BS,BL$2,FALSE)</f>
        <v>#N/A</v>
      </c>
      <c r="BM37" s="7" t="e">
        <f>VLOOKUP($BA37,HAVERD!$A:$BS,BM$2,FALSE)</f>
        <v>#N/A</v>
      </c>
      <c r="BN37" s="7" t="e">
        <f>VLOOKUP($BA37,HAVERD!$A:$BS,BN$2,FALSE)</f>
        <v>#N/A</v>
      </c>
      <c r="BO37" s="7" t="e">
        <f>VLOOKUP($BA37,HAVERD!$A:$BS,BO$2,FALSE)</f>
        <v>#N/A</v>
      </c>
      <c r="BP37" s="7" t="e">
        <f>VLOOKUP($BA37,HAVERD!$A:$BS,BP$2,FALSE)</f>
        <v>#N/A</v>
      </c>
      <c r="BQ37" s="7" t="e">
        <f>VLOOKUP($BA37,HAVERD!$A:$BS,BQ$2,FALSE)</f>
        <v>#N/A</v>
      </c>
      <c r="BR37" s="7" t="e">
        <f>VLOOKUP($BA37,HAVERD!$A:$BS,BR$2,FALSE)</f>
        <v>#N/A</v>
      </c>
      <c r="BS37" s="7" t="e">
        <f>VLOOKUP($BA37,HAVERD!$A:$BS,BS$2,FALSE)</f>
        <v>#N/A</v>
      </c>
      <c r="BT37" s="7" t="e">
        <f>VLOOKUP($BA37,HAVERD!$A:$BS,BT$2,FALSE)</f>
        <v>#N/A</v>
      </c>
      <c r="BU37" s="7" t="e">
        <f>VLOOKUP($BA37,HAVERD!$A:$BS,BU$2,FALSE)</f>
        <v>#N/A</v>
      </c>
      <c r="BV37" s="7" t="e">
        <f>VLOOKUP($BA37,HAVERD!$A:$BS,BV$2,FALSE)</f>
        <v>#N/A</v>
      </c>
      <c r="BW37" s="7" t="e">
        <f>VLOOKUP($BA37,HAVERD!$A:$BS,BW$2,FALSE)</f>
        <v>#N/A</v>
      </c>
      <c r="BX37" s="7" t="e">
        <f>VLOOKUP($BA37,HAVERD!$A:$BS,BX$2,FALSE)</f>
        <v>#N/A</v>
      </c>
      <c r="BY37" s="7" t="e">
        <f>VLOOKUP($BA37,HAVERD!$A:$BS,BY$2,FALSE)</f>
        <v>#N/A</v>
      </c>
      <c r="BZ37" s="7" t="e">
        <f>VLOOKUP($BA37,HAVERD!$A:$BS,BZ$2,FALSE)</f>
        <v>#N/A</v>
      </c>
      <c r="CA37" s="7" t="e">
        <f>VLOOKUP($BA37,HAVERD!$A:$BS,CA$2,FALSE)</f>
        <v>#N/A</v>
      </c>
      <c r="CB37" s="7" t="e">
        <f>VLOOKUP($BA37,HAVERD!$A:$BS,CB$2,FALSE)</f>
        <v>#N/A</v>
      </c>
      <c r="CC37" s="7" t="e">
        <f>VLOOKUP($BA37,HAVERD!$A:$BS,CC$2,FALSE)</f>
        <v>#N/A</v>
      </c>
      <c r="CD37" s="7" t="e">
        <f>VLOOKUP($BA37,HAVERD!$A:$BS,CD$2,FALSE)</f>
        <v>#N/A</v>
      </c>
      <c r="CE37" s="7" t="e">
        <f>VLOOKUP($BA37,HAVERD!$A:$BS,CE$2,FALSE)</f>
        <v>#N/A</v>
      </c>
      <c r="CF37" s="7" t="e">
        <f>VLOOKUP($BA37,HAVERD!$A:$BS,CF$2,FALSE)</f>
        <v>#N/A</v>
      </c>
      <c r="CG37" s="7" t="e">
        <f>VLOOKUP($BA37,HAVERD!$A:$BS,CG$2,FALSE)</f>
        <v>#N/A</v>
      </c>
      <c r="CH37" s="7" t="e">
        <f>VLOOKUP($BA37,HAVERD!$A:$BS,CH$2,FALSE)</f>
        <v>#N/A</v>
      </c>
      <c r="CI37" s="7" t="e">
        <f>VLOOKUP($BA37,HAVERD!$A:$BS,CI$2,FALSE)</f>
        <v>#N/A</v>
      </c>
      <c r="CJ37" s="7" t="e">
        <f>VLOOKUP($BA37,HAVERD!$A:$BS,CJ$2,FALSE)</f>
        <v>#N/A</v>
      </c>
      <c r="CK37" s="7" t="e">
        <f>VLOOKUP($BA37,HAVERD!$A:$BS,CK$2,FALSE)</f>
        <v>#N/A</v>
      </c>
      <c r="CL37" s="7" t="e">
        <f>VLOOKUP($BA37,HAVERD!$A:$BS,CL$2,FALSE)</f>
        <v>#N/A</v>
      </c>
      <c r="CM37" s="7" t="e">
        <f>VLOOKUP($BA37,HAVERD!$A:$BS,CM$2,FALSE)</f>
        <v>#N/A</v>
      </c>
      <c r="CN37" s="7" t="e">
        <f>VLOOKUP($BA37,HAVERD!$A:$BS,CN$2,FALSE)</f>
        <v>#N/A</v>
      </c>
      <c r="CO37" s="7" t="e">
        <f>VLOOKUP($BA37,HAVERD!$A:$BS,CO$2,FALSE)</f>
        <v>#N/A</v>
      </c>
      <c r="CP37" s="7" t="e">
        <f>VLOOKUP($BA37,HAVERD!$A:$BS,CP$2,FALSE)</f>
        <v>#N/A</v>
      </c>
      <c r="CQ37" s="7" t="e">
        <f>VLOOKUP($BA37,HAVERD!$A:$BS,CQ$2,FALSE)</f>
        <v>#N/A</v>
      </c>
      <c r="CR37" s="7" t="e">
        <f>VLOOKUP($BA37,HAVERD!$A:$BS,CR$2,FALSE)</f>
        <v>#N/A</v>
      </c>
      <c r="CS37" s="7" t="e">
        <f>VLOOKUP($BA37,HAVERD!$A:$BS,CS$2,FALSE)</f>
        <v>#N/A</v>
      </c>
      <c r="CT37" s="7" t="e">
        <f>VLOOKUP($BA37,HAVERD!$A:$BS,CT$2,FALSE)</f>
        <v>#N/A</v>
      </c>
      <c r="CU37" s="7" t="e">
        <f>VLOOKUP($BA37,HAVERD!$A:$BS,CU$2,FALSE)</f>
        <v>#N/A</v>
      </c>
      <c r="CV37" s="7" t="e">
        <f>VLOOKUP($BA37,HAVERD!$A:$BS,CV$2,FALSE)</f>
        <v>#N/A</v>
      </c>
      <c r="CW37" s="7" t="e">
        <f>VLOOKUP($BA37,HAVERD!$A:$BS,CW$2,FALSE)</f>
        <v>#N/A</v>
      </c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</row>
    <row r="38" spans="1:113" x14ac:dyDescent="0.25">
      <c r="A38" s="6"/>
      <c r="BA38" s="6"/>
    </row>
    <row r="39" spans="1:113" x14ac:dyDescent="0.25">
      <c r="A39" s="11" t="s">
        <v>953</v>
      </c>
      <c r="BA39" s="11" t="s">
        <v>953</v>
      </c>
    </row>
    <row r="40" spans="1:113" x14ac:dyDescent="0.25">
      <c r="A40" s="6" t="s">
        <v>954</v>
      </c>
      <c r="B40">
        <f>MONTH(B20)</f>
        <v>7</v>
      </c>
      <c r="C40">
        <f t="shared" ref="C40:AX40" si="112">MONTH(C20)</f>
        <v>8</v>
      </c>
      <c r="D40">
        <f t="shared" si="112"/>
        <v>9</v>
      </c>
      <c r="E40">
        <f t="shared" si="112"/>
        <v>10</v>
      </c>
      <c r="F40">
        <f t="shared" si="112"/>
        <v>11</v>
      </c>
      <c r="G40">
        <f t="shared" si="112"/>
        <v>12</v>
      </c>
      <c r="H40">
        <f t="shared" si="112"/>
        <v>1</v>
      </c>
      <c r="I40">
        <f t="shared" si="112"/>
        <v>2</v>
      </c>
      <c r="J40">
        <f t="shared" si="112"/>
        <v>3</v>
      </c>
      <c r="K40">
        <f t="shared" si="112"/>
        <v>4</v>
      </c>
      <c r="L40">
        <f t="shared" si="112"/>
        <v>5</v>
      </c>
      <c r="M40">
        <f t="shared" si="112"/>
        <v>6</v>
      </c>
      <c r="N40">
        <f t="shared" si="112"/>
        <v>7</v>
      </c>
      <c r="O40">
        <f t="shared" si="112"/>
        <v>8</v>
      </c>
      <c r="P40">
        <f t="shared" si="112"/>
        <v>9</v>
      </c>
      <c r="Q40">
        <f t="shared" si="112"/>
        <v>10</v>
      </c>
      <c r="R40">
        <f t="shared" si="112"/>
        <v>11</v>
      </c>
      <c r="S40">
        <f t="shared" si="112"/>
        <v>12</v>
      </c>
      <c r="T40">
        <f t="shared" si="112"/>
        <v>1</v>
      </c>
      <c r="U40">
        <f t="shared" si="112"/>
        <v>2</v>
      </c>
      <c r="V40">
        <f t="shared" si="112"/>
        <v>3</v>
      </c>
      <c r="W40">
        <f t="shared" si="112"/>
        <v>4</v>
      </c>
      <c r="X40">
        <f t="shared" si="112"/>
        <v>5</v>
      </c>
      <c r="Y40">
        <f t="shared" si="112"/>
        <v>6</v>
      </c>
      <c r="Z40">
        <f t="shared" si="112"/>
        <v>7</v>
      </c>
      <c r="AA40">
        <f t="shared" si="112"/>
        <v>8</v>
      </c>
      <c r="AB40">
        <f t="shared" si="112"/>
        <v>9</v>
      </c>
      <c r="AC40">
        <f t="shared" si="112"/>
        <v>10</v>
      </c>
      <c r="AD40">
        <f t="shared" si="112"/>
        <v>11</v>
      </c>
      <c r="AE40">
        <f t="shared" si="112"/>
        <v>12</v>
      </c>
      <c r="AF40">
        <f t="shared" si="112"/>
        <v>1</v>
      </c>
      <c r="AG40">
        <f t="shared" si="112"/>
        <v>2</v>
      </c>
      <c r="AH40">
        <f t="shared" si="112"/>
        <v>3</v>
      </c>
      <c r="AI40">
        <f t="shared" si="112"/>
        <v>4</v>
      </c>
      <c r="AJ40">
        <f t="shared" si="112"/>
        <v>5</v>
      </c>
      <c r="AK40">
        <f t="shared" si="112"/>
        <v>6</v>
      </c>
      <c r="AL40">
        <f t="shared" si="112"/>
        <v>7</v>
      </c>
      <c r="AM40">
        <f t="shared" si="112"/>
        <v>8</v>
      </c>
      <c r="AN40">
        <f t="shared" si="112"/>
        <v>9</v>
      </c>
      <c r="AO40">
        <f t="shared" si="112"/>
        <v>10</v>
      </c>
      <c r="AP40">
        <f t="shared" si="112"/>
        <v>11</v>
      </c>
      <c r="AQ40">
        <f t="shared" si="112"/>
        <v>12</v>
      </c>
      <c r="AR40">
        <f t="shared" si="112"/>
        <v>1</v>
      </c>
      <c r="AS40">
        <f t="shared" si="112"/>
        <v>2</v>
      </c>
      <c r="AT40">
        <f t="shared" si="112"/>
        <v>3</v>
      </c>
      <c r="AU40">
        <f t="shared" si="112"/>
        <v>4</v>
      </c>
      <c r="AV40">
        <f t="shared" si="112"/>
        <v>5</v>
      </c>
      <c r="AW40">
        <f t="shared" si="112"/>
        <v>6</v>
      </c>
      <c r="AX40">
        <f t="shared" si="112"/>
        <v>7</v>
      </c>
      <c r="BA40" s="6" t="s">
        <v>954</v>
      </c>
      <c r="BB40">
        <f>MONTH(BB20)</f>
        <v>10</v>
      </c>
      <c r="BC40">
        <f t="shared" ref="BC40:CW40" si="113">MONTH(BC20)</f>
        <v>11</v>
      </c>
      <c r="BD40">
        <f t="shared" si="113"/>
        <v>12</v>
      </c>
      <c r="BE40">
        <f t="shared" si="113"/>
        <v>1</v>
      </c>
      <c r="BF40">
        <f t="shared" si="113"/>
        <v>2</v>
      </c>
      <c r="BG40">
        <f t="shared" si="113"/>
        <v>3</v>
      </c>
      <c r="BH40">
        <f t="shared" si="113"/>
        <v>4</v>
      </c>
      <c r="BI40">
        <f t="shared" si="113"/>
        <v>5</v>
      </c>
      <c r="BJ40">
        <f t="shared" si="113"/>
        <v>6</v>
      </c>
      <c r="BK40">
        <f t="shared" si="113"/>
        <v>7</v>
      </c>
      <c r="BL40">
        <f t="shared" si="113"/>
        <v>8</v>
      </c>
      <c r="BM40">
        <f t="shared" si="113"/>
        <v>9</v>
      </c>
      <c r="BN40">
        <f t="shared" si="113"/>
        <v>10</v>
      </c>
      <c r="BO40">
        <f t="shared" si="113"/>
        <v>11</v>
      </c>
      <c r="BP40">
        <f t="shared" si="113"/>
        <v>12</v>
      </c>
      <c r="BQ40">
        <f t="shared" si="113"/>
        <v>1</v>
      </c>
      <c r="BR40">
        <f t="shared" si="113"/>
        <v>2</v>
      </c>
      <c r="BS40">
        <f t="shared" si="113"/>
        <v>3</v>
      </c>
      <c r="BT40">
        <f t="shared" si="113"/>
        <v>4</v>
      </c>
      <c r="BU40">
        <f t="shared" si="113"/>
        <v>5</v>
      </c>
      <c r="BV40">
        <f t="shared" si="113"/>
        <v>6</v>
      </c>
      <c r="BW40">
        <f t="shared" si="113"/>
        <v>7</v>
      </c>
      <c r="BX40">
        <f t="shared" si="113"/>
        <v>8</v>
      </c>
      <c r="BY40">
        <f t="shared" si="113"/>
        <v>9</v>
      </c>
      <c r="BZ40">
        <f t="shared" si="113"/>
        <v>10</v>
      </c>
      <c r="CA40">
        <f t="shared" si="113"/>
        <v>11</v>
      </c>
      <c r="CB40">
        <f t="shared" si="113"/>
        <v>12</v>
      </c>
      <c r="CC40">
        <f t="shared" si="113"/>
        <v>1</v>
      </c>
      <c r="CD40">
        <f t="shared" si="113"/>
        <v>2</v>
      </c>
      <c r="CE40">
        <f t="shared" si="113"/>
        <v>3</v>
      </c>
      <c r="CF40">
        <f t="shared" si="113"/>
        <v>4</v>
      </c>
      <c r="CG40">
        <f t="shared" si="113"/>
        <v>5</v>
      </c>
      <c r="CH40">
        <f t="shared" si="113"/>
        <v>6</v>
      </c>
      <c r="CI40">
        <f t="shared" si="113"/>
        <v>7</v>
      </c>
      <c r="CJ40">
        <f t="shared" si="113"/>
        <v>8</v>
      </c>
      <c r="CK40">
        <f t="shared" si="113"/>
        <v>9</v>
      </c>
      <c r="CL40">
        <f t="shared" si="113"/>
        <v>10</v>
      </c>
      <c r="CM40">
        <f t="shared" si="113"/>
        <v>11</v>
      </c>
      <c r="CN40">
        <f t="shared" si="113"/>
        <v>12</v>
      </c>
      <c r="CO40">
        <f t="shared" si="113"/>
        <v>1</v>
      </c>
      <c r="CP40">
        <f t="shared" si="113"/>
        <v>2</v>
      </c>
      <c r="CQ40">
        <f t="shared" si="113"/>
        <v>3</v>
      </c>
      <c r="CR40">
        <f t="shared" si="113"/>
        <v>4</v>
      </c>
      <c r="CS40">
        <f t="shared" si="113"/>
        <v>5</v>
      </c>
      <c r="CT40">
        <f t="shared" si="113"/>
        <v>6</v>
      </c>
      <c r="CU40">
        <f t="shared" si="113"/>
        <v>7</v>
      </c>
      <c r="CV40">
        <f t="shared" si="113"/>
        <v>8</v>
      </c>
      <c r="CW40">
        <f t="shared" si="113"/>
        <v>9</v>
      </c>
    </row>
    <row r="41" spans="1:113" x14ac:dyDescent="0.25">
      <c r="A41" s="6" t="s">
        <v>955</v>
      </c>
      <c r="B41">
        <f>YEAR(B20)</f>
        <v>2024</v>
      </c>
      <c r="C41">
        <f t="shared" ref="C41:AX41" si="114">YEAR(C20)</f>
        <v>2024</v>
      </c>
      <c r="D41">
        <f t="shared" si="114"/>
        <v>2024</v>
      </c>
      <c r="E41">
        <f t="shared" si="114"/>
        <v>2024</v>
      </c>
      <c r="F41">
        <f t="shared" si="114"/>
        <v>2024</v>
      </c>
      <c r="G41">
        <f t="shared" si="114"/>
        <v>2024</v>
      </c>
      <c r="H41">
        <f t="shared" si="114"/>
        <v>2025</v>
      </c>
      <c r="I41">
        <f t="shared" si="114"/>
        <v>2025</v>
      </c>
      <c r="J41">
        <f t="shared" si="114"/>
        <v>2025</v>
      </c>
      <c r="K41">
        <f t="shared" si="114"/>
        <v>2025</v>
      </c>
      <c r="L41">
        <f t="shared" si="114"/>
        <v>2025</v>
      </c>
      <c r="M41">
        <f t="shared" si="114"/>
        <v>2025</v>
      </c>
      <c r="N41">
        <f t="shared" si="114"/>
        <v>2025</v>
      </c>
      <c r="O41">
        <f t="shared" si="114"/>
        <v>2025</v>
      </c>
      <c r="P41">
        <f t="shared" si="114"/>
        <v>2025</v>
      </c>
      <c r="Q41">
        <f t="shared" si="114"/>
        <v>2025</v>
      </c>
      <c r="R41">
        <f t="shared" si="114"/>
        <v>2025</v>
      </c>
      <c r="S41">
        <f t="shared" si="114"/>
        <v>2025</v>
      </c>
      <c r="T41">
        <f t="shared" si="114"/>
        <v>2026</v>
      </c>
      <c r="U41">
        <f t="shared" si="114"/>
        <v>2026</v>
      </c>
      <c r="V41">
        <f t="shared" si="114"/>
        <v>2026</v>
      </c>
      <c r="W41">
        <f t="shared" si="114"/>
        <v>2026</v>
      </c>
      <c r="X41">
        <f t="shared" si="114"/>
        <v>2026</v>
      </c>
      <c r="Y41">
        <f t="shared" si="114"/>
        <v>2026</v>
      </c>
      <c r="Z41">
        <f t="shared" si="114"/>
        <v>2026</v>
      </c>
      <c r="AA41">
        <f t="shared" si="114"/>
        <v>2026</v>
      </c>
      <c r="AB41">
        <f t="shared" si="114"/>
        <v>2026</v>
      </c>
      <c r="AC41">
        <f t="shared" si="114"/>
        <v>2026</v>
      </c>
      <c r="AD41">
        <f t="shared" si="114"/>
        <v>2026</v>
      </c>
      <c r="AE41">
        <f t="shared" si="114"/>
        <v>2026</v>
      </c>
      <c r="AF41">
        <f t="shared" si="114"/>
        <v>2027</v>
      </c>
      <c r="AG41">
        <f t="shared" si="114"/>
        <v>2027</v>
      </c>
      <c r="AH41">
        <f t="shared" si="114"/>
        <v>2027</v>
      </c>
      <c r="AI41">
        <f t="shared" si="114"/>
        <v>2027</v>
      </c>
      <c r="AJ41">
        <f t="shared" si="114"/>
        <v>2027</v>
      </c>
      <c r="AK41">
        <f t="shared" si="114"/>
        <v>2027</v>
      </c>
      <c r="AL41">
        <f t="shared" si="114"/>
        <v>2027</v>
      </c>
      <c r="AM41">
        <f t="shared" si="114"/>
        <v>2027</v>
      </c>
      <c r="AN41">
        <f t="shared" si="114"/>
        <v>2027</v>
      </c>
      <c r="AO41">
        <f t="shared" si="114"/>
        <v>2027</v>
      </c>
      <c r="AP41">
        <f t="shared" si="114"/>
        <v>2027</v>
      </c>
      <c r="AQ41">
        <f t="shared" si="114"/>
        <v>2027</v>
      </c>
      <c r="AR41">
        <f t="shared" si="114"/>
        <v>2028</v>
      </c>
      <c r="AS41">
        <f t="shared" si="114"/>
        <v>2028</v>
      </c>
      <c r="AT41">
        <f t="shared" si="114"/>
        <v>2028</v>
      </c>
      <c r="AU41">
        <f t="shared" si="114"/>
        <v>2028</v>
      </c>
      <c r="AV41">
        <f t="shared" si="114"/>
        <v>2028</v>
      </c>
      <c r="AW41">
        <f t="shared" si="114"/>
        <v>2028</v>
      </c>
      <c r="AX41">
        <f t="shared" si="114"/>
        <v>2028</v>
      </c>
      <c r="BA41" s="6" t="s">
        <v>955</v>
      </c>
      <c r="BB41">
        <f>YEAR(BB20)</f>
        <v>2024</v>
      </c>
      <c r="BC41">
        <f t="shared" ref="BC41:CW41" si="115">YEAR(BC20)</f>
        <v>2024</v>
      </c>
      <c r="BD41">
        <f t="shared" si="115"/>
        <v>2024</v>
      </c>
      <c r="BE41">
        <f t="shared" si="115"/>
        <v>2025</v>
      </c>
      <c r="BF41">
        <f t="shared" si="115"/>
        <v>2025</v>
      </c>
      <c r="BG41">
        <f t="shared" si="115"/>
        <v>2025</v>
      </c>
      <c r="BH41">
        <f t="shared" si="115"/>
        <v>2025</v>
      </c>
      <c r="BI41">
        <f t="shared" si="115"/>
        <v>2025</v>
      </c>
      <c r="BJ41">
        <f t="shared" si="115"/>
        <v>2025</v>
      </c>
      <c r="BK41">
        <f t="shared" si="115"/>
        <v>2025</v>
      </c>
      <c r="BL41">
        <f t="shared" si="115"/>
        <v>2025</v>
      </c>
      <c r="BM41">
        <f t="shared" si="115"/>
        <v>2025</v>
      </c>
      <c r="BN41">
        <f t="shared" si="115"/>
        <v>2025</v>
      </c>
      <c r="BO41">
        <f t="shared" si="115"/>
        <v>2025</v>
      </c>
      <c r="BP41">
        <f t="shared" si="115"/>
        <v>2025</v>
      </c>
      <c r="BQ41">
        <f t="shared" si="115"/>
        <v>2026</v>
      </c>
      <c r="BR41">
        <f t="shared" si="115"/>
        <v>2026</v>
      </c>
      <c r="BS41">
        <f t="shared" si="115"/>
        <v>2026</v>
      </c>
      <c r="BT41">
        <f t="shared" si="115"/>
        <v>2026</v>
      </c>
      <c r="BU41">
        <f t="shared" si="115"/>
        <v>2026</v>
      </c>
      <c r="BV41">
        <f t="shared" si="115"/>
        <v>2026</v>
      </c>
      <c r="BW41">
        <f t="shared" si="115"/>
        <v>2026</v>
      </c>
      <c r="BX41">
        <f t="shared" si="115"/>
        <v>2026</v>
      </c>
      <c r="BY41">
        <f t="shared" si="115"/>
        <v>2026</v>
      </c>
      <c r="BZ41">
        <f t="shared" si="115"/>
        <v>2026</v>
      </c>
      <c r="CA41">
        <f t="shared" si="115"/>
        <v>2026</v>
      </c>
      <c r="CB41">
        <f t="shared" si="115"/>
        <v>2026</v>
      </c>
      <c r="CC41">
        <f t="shared" si="115"/>
        <v>2027</v>
      </c>
      <c r="CD41">
        <f t="shared" si="115"/>
        <v>2027</v>
      </c>
      <c r="CE41">
        <f t="shared" si="115"/>
        <v>2027</v>
      </c>
      <c r="CF41">
        <f t="shared" si="115"/>
        <v>2027</v>
      </c>
      <c r="CG41">
        <f t="shared" si="115"/>
        <v>2027</v>
      </c>
      <c r="CH41">
        <f t="shared" si="115"/>
        <v>2027</v>
      </c>
      <c r="CI41">
        <f t="shared" si="115"/>
        <v>2027</v>
      </c>
      <c r="CJ41">
        <f t="shared" si="115"/>
        <v>2027</v>
      </c>
      <c r="CK41">
        <f t="shared" si="115"/>
        <v>2027</v>
      </c>
      <c r="CL41">
        <f t="shared" si="115"/>
        <v>2027</v>
      </c>
      <c r="CM41">
        <f t="shared" si="115"/>
        <v>2027</v>
      </c>
      <c r="CN41">
        <f t="shared" si="115"/>
        <v>2027</v>
      </c>
      <c r="CO41">
        <f t="shared" si="115"/>
        <v>2028</v>
      </c>
      <c r="CP41">
        <f t="shared" si="115"/>
        <v>2028</v>
      </c>
      <c r="CQ41">
        <f t="shared" si="115"/>
        <v>2028</v>
      </c>
      <c r="CR41">
        <f t="shared" si="115"/>
        <v>2028</v>
      </c>
      <c r="CS41">
        <f t="shared" si="115"/>
        <v>2028</v>
      </c>
      <c r="CT41">
        <f t="shared" si="115"/>
        <v>2028</v>
      </c>
      <c r="CU41">
        <f t="shared" si="115"/>
        <v>2028</v>
      </c>
      <c r="CV41">
        <f t="shared" si="115"/>
        <v>2028</v>
      </c>
      <c r="CW41">
        <f t="shared" si="115"/>
        <v>2028</v>
      </c>
    </row>
    <row r="42" spans="1:113" x14ac:dyDescent="0.25">
      <c r="A42" s="6" t="s">
        <v>956</v>
      </c>
      <c r="B42">
        <f>B41*100+B40</f>
        <v>202407</v>
      </c>
      <c r="C42">
        <f t="shared" ref="C42:AX42" si="116">C41*100+C40</f>
        <v>202408</v>
      </c>
      <c r="D42">
        <f t="shared" si="116"/>
        <v>202409</v>
      </c>
      <c r="E42">
        <f t="shared" si="116"/>
        <v>202410</v>
      </c>
      <c r="F42">
        <f t="shared" si="116"/>
        <v>202411</v>
      </c>
      <c r="G42">
        <f t="shared" si="116"/>
        <v>202412</v>
      </c>
      <c r="H42">
        <f t="shared" si="116"/>
        <v>202501</v>
      </c>
      <c r="I42">
        <f t="shared" si="116"/>
        <v>202502</v>
      </c>
      <c r="J42">
        <f t="shared" si="116"/>
        <v>202503</v>
      </c>
      <c r="K42">
        <f t="shared" si="116"/>
        <v>202504</v>
      </c>
      <c r="L42">
        <f t="shared" si="116"/>
        <v>202505</v>
      </c>
      <c r="M42">
        <f t="shared" si="116"/>
        <v>202506</v>
      </c>
      <c r="N42">
        <f t="shared" si="116"/>
        <v>202507</v>
      </c>
      <c r="O42">
        <f t="shared" si="116"/>
        <v>202508</v>
      </c>
      <c r="P42">
        <f t="shared" si="116"/>
        <v>202509</v>
      </c>
      <c r="Q42">
        <f t="shared" si="116"/>
        <v>202510</v>
      </c>
      <c r="R42">
        <f t="shared" si="116"/>
        <v>202511</v>
      </c>
      <c r="S42">
        <f t="shared" si="116"/>
        <v>202512</v>
      </c>
      <c r="T42">
        <f t="shared" si="116"/>
        <v>202601</v>
      </c>
      <c r="U42">
        <f t="shared" si="116"/>
        <v>202602</v>
      </c>
      <c r="V42">
        <f t="shared" si="116"/>
        <v>202603</v>
      </c>
      <c r="W42">
        <f t="shared" si="116"/>
        <v>202604</v>
      </c>
      <c r="X42">
        <f t="shared" si="116"/>
        <v>202605</v>
      </c>
      <c r="Y42">
        <f t="shared" si="116"/>
        <v>202606</v>
      </c>
      <c r="Z42">
        <f t="shared" si="116"/>
        <v>202607</v>
      </c>
      <c r="AA42">
        <f t="shared" si="116"/>
        <v>202608</v>
      </c>
      <c r="AB42">
        <f t="shared" si="116"/>
        <v>202609</v>
      </c>
      <c r="AC42">
        <f t="shared" si="116"/>
        <v>202610</v>
      </c>
      <c r="AD42">
        <f t="shared" si="116"/>
        <v>202611</v>
      </c>
      <c r="AE42">
        <f t="shared" si="116"/>
        <v>202612</v>
      </c>
      <c r="AF42">
        <f t="shared" si="116"/>
        <v>202701</v>
      </c>
      <c r="AG42">
        <f t="shared" si="116"/>
        <v>202702</v>
      </c>
      <c r="AH42">
        <f t="shared" si="116"/>
        <v>202703</v>
      </c>
      <c r="AI42">
        <f t="shared" si="116"/>
        <v>202704</v>
      </c>
      <c r="AJ42">
        <f t="shared" si="116"/>
        <v>202705</v>
      </c>
      <c r="AK42">
        <f t="shared" si="116"/>
        <v>202706</v>
      </c>
      <c r="AL42">
        <f t="shared" si="116"/>
        <v>202707</v>
      </c>
      <c r="AM42">
        <f t="shared" si="116"/>
        <v>202708</v>
      </c>
      <c r="AN42">
        <f t="shared" si="116"/>
        <v>202709</v>
      </c>
      <c r="AO42">
        <f t="shared" si="116"/>
        <v>202710</v>
      </c>
      <c r="AP42">
        <f t="shared" si="116"/>
        <v>202711</v>
      </c>
      <c r="AQ42">
        <f t="shared" si="116"/>
        <v>202712</v>
      </c>
      <c r="AR42">
        <f t="shared" si="116"/>
        <v>202801</v>
      </c>
      <c r="AS42">
        <f t="shared" si="116"/>
        <v>202802</v>
      </c>
      <c r="AT42">
        <f t="shared" si="116"/>
        <v>202803</v>
      </c>
      <c r="AU42">
        <f t="shared" si="116"/>
        <v>202804</v>
      </c>
      <c r="AV42">
        <f t="shared" si="116"/>
        <v>202805</v>
      </c>
      <c r="AW42">
        <f t="shared" si="116"/>
        <v>202806</v>
      </c>
      <c r="AX42">
        <f t="shared" si="116"/>
        <v>202807</v>
      </c>
      <c r="BA42" s="6" t="s">
        <v>956</v>
      </c>
      <c r="BB42">
        <f>BB41*100+BB40</f>
        <v>202410</v>
      </c>
      <c r="BC42">
        <f t="shared" ref="BC42" si="117">BC41*100+BC40</f>
        <v>202411</v>
      </c>
      <c r="BD42">
        <f t="shared" ref="BD42" si="118">BD41*100+BD40</f>
        <v>202412</v>
      </c>
      <c r="BE42">
        <f t="shared" ref="BE42" si="119">BE41*100+BE40</f>
        <v>202501</v>
      </c>
      <c r="BF42">
        <f t="shared" ref="BF42" si="120">BF41*100+BF40</f>
        <v>202502</v>
      </c>
      <c r="BG42">
        <f t="shared" ref="BG42" si="121">BG41*100+BG40</f>
        <v>202503</v>
      </c>
      <c r="BH42">
        <f t="shared" ref="BH42" si="122">BH41*100+BH40</f>
        <v>202504</v>
      </c>
      <c r="BI42">
        <f t="shared" ref="BI42" si="123">BI41*100+BI40</f>
        <v>202505</v>
      </c>
      <c r="BJ42">
        <f t="shared" ref="BJ42" si="124">BJ41*100+BJ40</f>
        <v>202506</v>
      </c>
      <c r="BK42">
        <f t="shared" ref="BK42" si="125">BK41*100+BK40</f>
        <v>202507</v>
      </c>
      <c r="BL42">
        <f t="shared" ref="BL42" si="126">BL41*100+BL40</f>
        <v>202508</v>
      </c>
      <c r="BM42">
        <f t="shared" ref="BM42" si="127">BM41*100+BM40</f>
        <v>202509</v>
      </c>
      <c r="BN42">
        <f t="shared" ref="BN42" si="128">BN41*100+BN40</f>
        <v>202510</v>
      </c>
      <c r="BO42">
        <f t="shared" ref="BO42" si="129">BO41*100+BO40</f>
        <v>202511</v>
      </c>
      <c r="BP42">
        <f t="shared" ref="BP42" si="130">BP41*100+BP40</f>
        <v>202512</v>
      </c>
      <c r="BQ42">
        <f t="shared" ref="BQ42" si="131">BQ41*100+BQ40</f>
        <v>202601</v>
      </c>
      <c r="BR42">
        <f t="shared" ref="BR42" si="132">BR41*100+BR40</f>
        <v>202602</v>
      </c>
      <c r="BS42">
        <f t="shared" ref="BS42" si="133">BS41*100+BS40</f>
        <v>202603</v>
      </c>
      <c r="BT42">
        <f t="shared" ref="BT42" si="134">BT41*100+BT40</f>
        <v>202604</v>
      </c>
      <c r="BU42">
        <f t="shared" ref="BU42" si="135">BU41*100+BU40</f>
        <v>202605</v>
      </c>
      <c r="BV42">
        <f t="shared" ref="BV42" si="136">BV41*100+BV40</f>
        <v>202606</v>
      </c>
      <c r="BW42">
        <f t="shared" ref="BW42" si="137">BW41*100+BW40</f>
        <v>202607</v>
      </c>
      <c r="BX42">
        <f t="shared" ref="BX42" si="138">BX41*100+BX40</f>
        <v>202608</v>
      </c>
      <c r="BY42">
        <f t="shared" ref="BY42" si="139">BY41*100+BY40</f>
        <v>202609</v>
      </c>
      <c r="BZ42">
        <f t="shared" ref="BZ42" si="140">BZ41*100+BZ40</f>
        <v>202610</v>
      </c>
      <c r="CA42">
        <f t="shared" ref="CA42" si="141">CA41*100+CA40</f>
        <v>202611</v>
      </c>
      <c r="CB42">
        <f t="shared" ref="CB42" si="142">CB41*100+CB40</f>
        <v>202612</v>
      </c>
      <c r="CC42">
        <f t="shared" ref="CC42" si="143">CC41*100+CC40</f>
        <v>202701</v>
      </c>
      <c r="CD42">
        <f t="shared" ref="CD42" si="144">CD41*100+CD40</f>
        <v>202702</v>
      </c>
      <c r="CE42">
        <f t="shared" ref="CE42" si="145">CE41*100+CE40</f>
        <v>202703</v>
      </c>
      <c r="CF42">
        <f t="shared" ref="CF42" si="146">CF41*100+CF40</f>
        <v>202704</v>
      </c>
      <c r="CG42">
        <f t="shared" ref="CG42" si="147">CG41*100+CG40</f>
        <v>202705</v>
      </c>
      <c r="CH42">
        <f t="shared" ref="CH42" si="148">CH41*100+CH40</f>
        <v>202706</v>
      </c>
      <c r="CI42">
        <f t="shared" ref="CI42" si="149">CI41*100+CI40</f>
        <v>202707</v>
      </c>
      <c r="CJ42">
        <f t="shared" ref="CJ42" si="150">CJ41*100+CJ40</f>
        <v>202708</v>
      </c>
      <c r="CK42">
        <f t="shared" ref="CK42" si="151">CK41*100+CK40</f>
        <v>202709</v>
      </c>
      <c r="CL42">
        <f t="shared" ref="CL42" si="152">CL41*100+CL40</f>
        <v>202710</v>
      </c>
      <c r="CM42">
        <f t="shared" ref="CM42" si="153">CM41*100+CM40</f>
        <v>202711</v>
      </c>
      <c r="CN42">
        <f t="shared" ref="CN42" si="154">CN41*100+CN40</f>
        <v>202712</v>
      </c>
      <c r="CO42">
        <f t="shared" ref="CO42" si="155">CO41*100+CO40</f>
        <v>202801</v>
      </c>
      <c r="CP42">
        <f t="shared" ref="CP42" si="156">CP41*100+CP40</f>
        <v>202802</v>
      </c>
      <c r="CQ42">
        <f t="shared" ref="CQ42" si="157">CQ41*100+CQ40</f>
        <v>202803</v>
      </c>
      <c r="CR42">
        <f t="shared" ref="CR42" si="158">CR41*100+CR40</f>
        <v>202804</v>
      </c>
      <c r="CS42">
        <f t="shared" ref="CS42" si="159">CS41*100+CS40</f>
        <v>202805</v>
      </c>
      <c r="CT42">
        <f t="shared" ref="CT42" si="160">CT41*100+CT40</f>
        <v>202806</v>
      </c>
      <c r="CU42">
        <f t="shared" ref="CU42" si="161">CU41*100+CU40</f>
        <v>202807</v>
      </c>
      <c r="CV42">
        <f t="shared" ref="CV42" si="162">CV41*100+CV40</f>
        <v>202808</v>
      </c>
      <c r="CW42">
        <f t="shared" ref="CW42" si="163">CW41*100+CW40</f>
        <v>202809</v>
      </c>
    </row>
    <row r="43" spans="1:113" x14ac:dyDescent="0.25">
      <c r="A43" s="6" t="s">
        <v>957</v>
      </c>
      <c r="B43">
        <f>IF(B40&lt;4,1,IF(B40&lt;7,2,IF(B40&lt;10,3,4)))</f>
        <v>3</v>
      </c>
      <c r="C43">
        <f t="shared" ref="C43:AX43" si="164">IF(C40&lt;4,1,IF(C40&lt;7,2,IF(C40&lt;10,3,4)))</f>
        <v>3</v>
      </c>
      <c r="D43">
        <f t="shared" si="164"/>
        <v>3</v>
      </c>
      <c r="E43">
        <f t="shared" si="164"/>
        <v>4</v>
      </c>
      <c r="F43">
        <f t="shared" si="164"/>
        <v>4</v>
      </c>
      <c r="G43">
        <f t="shared" si="164"/>
        <v>4</v>
      </c>
      <c r="H43">
        <f t="shared" si="164"/>
        <v>1</v>
      </c>
      <c r="I43">
        <f t="shared" si="164"/>
        <v>1</v>
      </c>
      <c r="J43">
        <f t="shared" si="164"/>
        <v>1</v>
      </c>
      <c r="K43">
        <f t="shared" si="164"/>
        <v>2</v>
      </c>
      <c r="L43">
        <f t="shared" si="164"/>
        <v>2</v>
      </c>
      <c r="M43">
        <f t="shared" si="164"/>
        <v>2</v>
      </c>
      <c r="N43">
        <f t="shared" si="164"/>
        <v>3</v>
      </c>
      <c r="O43">
        <f t="shared" si="164"/>
        <v>3</v>
      </c>
      <c r="P43">
        <f t="shared" si="164"/>
        <v>3</v>
      </c>
      <c r="Q43">
        <f t="shared" si="164"/>
        <v>4</v>
      </c>
      <c r="R43">
        <f t="shared" si="164"/>
        <v>4</v>
      </c>
      <c r="S43">
        <f t="shared" si="164"/>
        <v>4</v>
      </c>
      <c r="T43">
        <f t="shared" si="164"/>
        <v>1</v>
      </c>
      <c r="U43">
        <f t="shared" si="164"/>
        <v>1</v>
      </c>
      <c r="V43">
        <f t="shared" si="164"/>
        <v>1</v>
      </c>
      <c r="W43">
        <f t="shared" si="164"/>
        <v>2</v>
      </c>
      <c r="X43">
        <f t="shared" si="164"/>
        <v>2</v>
      </c>
      <c r="Y43">
        <f t="shared" si="164"/>
        <v>2</v>
      </c>
      <c r="Z43">
        <f t="shared" si="164"/>
        <v>3</v>
      </c>
      <c r="AA43">
        <f t="shared" si="164"/>
        <v>3</v>
      </c>
      <c r="AB43">
        <f t="shared" si="164"/>
        <v>3</v>
      </c>
      <c r="AC43">
        <f t="shared" si="164"/>
        <v>4</v>
      </c>
      <c r="AD43">
        <f t="shared" si="164"/>
        <v>4</v>
      </c>
      <c r="AE43">
        <f t="shared" si="164"/>
        <v>4</v>
      </c>
      <c r="AF43">
        <f t="shared" si="164"/>
        <v>1</v>
      </c>
      <c r="AG43">
        <f t="shared" si="164"/>
        <v>1</v>
      </c>
      <c r="AH43">
        <f t="shared" si="164"/>
        <v>1</v>
      </c>
      <c r="AI43">
        <f t="shared" si="164"/>
        <v>2</v>
      </c>
      <c r="AJ43">
        <f t="shared" si="164"/>
        <v>2</v>
      </c>
      <c r="AK43">
        <f t="shared" si="164"/>
        <v>2</v>
      </c>
      <c r="AL43">
        <f t="shared" si="164"/>
        <v>3</v>
      </c>
      <c r="AM43">
        <f t="shared" si="164"/>
        <v>3</v>
      </c>
      <c r="AN43">
        <f t="shared" si="164"/>
        <v>3</v>
      </c>
      <c r="AO43">
        <f t="shared" si="164"/>
        <v>4</v>
      </c>
      <c r="AP43">
        <f t="shared" si="164"/>
        <v>4</v>
      </c>
      <c r="AQ43">
        <f t="shared" si="164"/>
        <v>4</v>
      </c>
      <c r="AR43">
        <f t="shared" si="164"/>
        <v>1</v>
      </c>
      <c r="AS43">
        <f t="shared" si="164"/>
        <v>1</v>
      </c>
      <c r="AT43">
        <f t="shared" si="164"/>
        <v>1</v>
      </c>
      <c r="AU43">
        <f t="shared" si="164"/>
        <v>2</v>
      </c>
      <c r="AV43">
        <f t="shared" si="164"/>
        <v>2</v>
      </c>
      <c r="AW43">
        <f t="shared" si="164"/>
        <v>2</v>
      </c>
      <c r="AX43">
        <f t="shared" si="164"/>
        <v>3</v>
      </c>
      <c r="BA43" s="6" t="s">
        <v>957</v>
      </c>
      <c r="BB43">
        <f>IF(BB40&lt;4,1,IF(BB40&lt;7,2,IF(BB40&lt;10,3,4)))</f>
        <v>4</v>
      </c>
      <c r="BC43">
        <f t="shared" ref="BC43:CW43" si="165">IF(BC40&lt;4,1,IF(BC40&lt;7,2,IF(BC40&lt;10,3,4)))</f>
        <v>4</v>
      </c>
      <c r="BD43">
        <f t="shared" si="165"/>
        <v>4</v>
      </c>
      <c r="BE43">
        <f t="shared" si="165"/>
        <v>1</v>
      </c>
      <c r="BF43">
        <f t="shared" si="165"/>
        <v>1</v>
      </c>
      <c r="BG43">
        <f t="shared" si="165"/>
        <v>1</v>
      </c>
      <c r="BH43">
        <f t="shared" si="165"/>
        <v>2</v>
      </c>
      <c r="BI43">
        <f t="shared" si="165"/>
        <v>2</v>
      </c>
      <c r="BJ43">
        <f t="shared" si="165"/>
        <v>2</v>
      </c>
      <c r="BK43">
        <f t="shared" si="165"/>
        <v>3</v>
      </c>
      <c r="BL43">
        <f t="shared" si="165"/>
        <v>3</v>
      </c>
      <c r="BM43">
        <f t="shared" si="165"/>
        <v>3</v>
      </c>
      <c r="BN43">
        <f t="shared" si="165"/>
        <v>4</v>
      </c>
      <c r="BO43">
        <f t="shared" si="165"/>
        <v>4</v>
      </c>
      <c r="BP43">
        <f t="shared" si="165"/>
        <v>4</v>
      </c>
      <c r="BQ43">
        <f t="shared" si="165"/>
        <v>1</v>
      </c>
      <c r="BR43">
        <f t="shared" si="165"/>
        <v>1</v>
      </c>
      <c r="BS43">
        <f t="shared" si="165"/>
        <v>1</v>
      </c>
      <c r="BT43">
        <f t="shared" si="165"/>
        <v>2</v>
      </c>
      <c r="BU43">
        <f t="shared" si="165"/>
        <v>2</v>
      </c>
      <c r="BV43">
        <f t="shared" si="165"/>
        <v>2</v>
      </c>
      <c r="BW43">
        <f t="shared" si="165"/>
        <v>3</v>
      </c>
      <c r="BX43">
        <f t="shared" si="165"/>
        <v>3</v>
      </c>
      <c r="BY43">
        <f t="shared" si="165"/>
        <v>3</v>
      </c>
      <c r="BZ43">
        <f t="shared" si="165"/>
        <v>4</v>
      </c>
      <c r="CA43">
        <f t="shared" si="165"/>
        <v>4</v>
      </c>
      <c r="CB43">
        <f t="shared" si="165"/>
        <v>4</v>
      </c>
      <c r="CC43">
        <f t="shared" si="165"/>
        <v>1</v>
      </c>
      <c r="CD43">
        <f t="shared" si="165"/>
        <v>1</v>
      </c>
      <c r="CE43">
        <f t="shared" si="165"/>
        <v>1</v>
      </c>
      <c r="CF43">
        <f t="shared" si="165"/>
        <v>2</v>
      </c>
      <c r="CG43">
        <f t="shared" si="165"/>
        <v>2</v>
      </c>
      <c r="CH43">
        <f t="shared" si="165"/>
        <v>2</v>
      </c>
      <c r="CI43">
        <f t="shared" si="165"/>
        <v>3</v>
      </c>
      <c r="CJ43">
        <f t="shared" si="165"/>
        <v>3</v>
      </c>
      <c r="CK43">
        <f t="shared" si="165"/>
        <v>3</v>
      </c>
      <c r="CL43">
        <f t="shared" si="165"/>
        <v>4</v>
      </c>
      <c r="CM43">
        <f t="shared" si="165"/>
        <v>4</v>
      </c>
      <c r="CN43">
        <f t="shared" si="165"/>
        <v>4</v>
      </c>
      <c r="CO43">
        <f t="shared" si="165"/>
        <v>1</v>
      </c>
      <c r="CP43">
        <f t="shared" si="165"/>
        <v>1</v>
      </c>
      <c r="CQ43">
        <f t="shared" si="165"/>
        <v>1</v>
      </c>
      <c r="CR43">
        <f t="shared" si="165"/>
        <v>2</v>
      </c>
      <c r="CS43">
        <f t="shared" si="165"/>
        <v>2</v>
      </c>
      <c r="CT43">
        <f t="shared" si="165"/>
        <v>2</v>
      </c>
      <c r="CU43">
        <f t="shared" si="165"/>
        <v>3</v>
      </c>
      <c r="CV43">
        <f t="shared" si="165"/>
        <v>3</v>
      </c>
      <c r="CW43">
        <f t="shared" si="165"/>
        <v>3</v>
      </c>
    </row>
    <row r="44" spans="1:113" x14ac:dyDescent="0.25">
      <c r="A44" s="6" t="s">
        <v>958</v>
      </c>
      <c r="B44">
        <f>B41*100+B43</f>
        <v>202403</v>
      </c>
      <c r="C44">
        <f t="shared" ref="C44:AX44" si="166">C41*100+C43</f>
        <v>202403</v>
      </c>
      <c r="D44">
        <f t="shared" si="166"/>
        <v>202403</v>
      </c>
      <c r="E44">
        <f t="shared" si="166"/>
        <v>202404</v>
      </c>
      <c r="F44">
        <f t="shared" si="166"/>
        <v>202404</v>
      </c>
      <c r="G44">
        <f t="shared" si="166"/>
        <v>202404</v>
      </c>
      <c r="H44">
        <f t="shared" si="166"/>
        <v>202501</v>
      </c>
      <c r="I44">
        <f t="shared" si="166"/>
        <v>202501</v>
      </c>
      <c r="J44">
        <f t="shared" si="166"/>
        <v>202501</v>
      </c>
      <c r="K44">
        <f t="shared" si="166"/>
        <v>202502</v>
      </c>
      <c r="L44">
        <f t="shared" si="166"/>
        <v>202502</v>
      </c>
      <c r="M44">
        <f t="shared" si="166"/>
        <v>202502</v>
      </c>
      <c r="N44">
        <f t="shared" si="166"/>
        <v>202503</v>
      </c>
      <c r="O44">
        <f t="shared" si="166"/>
        <v>202503</v>
      </c>
      <c r="P44">
        <f t="shared" si="166"/>
        <v>202503</v>
      </c>
      <c r="Q44">
        <f t="shared" si="166"/>
        <v>202504</v>
      </c>
      <c r="R44">
        <f t="shared" si="166"/>
        <v>202504</v>
      </c>
      <c r="S44">
        <f t="shared" si="166"/>
        <v>202504</v>
      </c>
      <c r="T44">
        <f t="shared" si="166"/>
        <v>202601</v>
      </c>
      <c r="U44">
        <f t="shared" si="166"/>
        <v>202601</v>
      </c>
      <c r="V44">
        <f t="shared" si="166"/>
        <v>202601</v>
      </c>
      <c r="W44">
        <f t="shared" si="166"/>
        <v>202602</v>
      </c>
      <c r="X44">
        <f t="shared" si="166"/>
        <v>202602</v>
      </c>
      <c r="Y44">
        <f t="shared" si="166"/>
        <v>202602</v>
      </c>
      <c r="Z44">
        <f t="shared" si="166"/>
        <v>202603</v>
      </c>
      <c r="AA44">
        <f t="shared" si="166"/>
        <v>202603</v>
      </c>
      <c r="AB44">
        <f t="shared" si="166"/>
        <v>202603</v>
      </c>
      <c r="AC44">
        <f t="shared" si="166"/>
        <v>202604</v>
      </c>
      <c r="AD44">
        <f t="shared" si="166"/>
        <v>202604</v>
      </c>
      <c r="AE44">
        <f t="shared" si="166"/>
        <v>202604</v>
      </c>
      <c r="AF44">
        <f t="shared" si="166"/>
        <v>202701</v>
      </c>
      <c r="AG44">
        <f t="shared" si="166"/>
        <v>202701</v>
      </c>
      <c r="AH44">
        <f t="shared" si="166"/>
        <v>202701</v>
      </c>
      <c r="AI44">
        <f t="shared" si="166"/>
        <v>202702</v>
      </c>
      <c r="AJ44">
        <f t="shared" si="166"/>
        <v>202702</v>
      </c>
      <c r="AK44">
        <f t="shared" si="166"/>
        <v>202702</v>
      </c>
      <c r="AL44">
        <f t="shared" si="166"/>
        <v>202703</v>
      </c>
      <c r="AM44">
        <f t="shared" si="166"/>
        <v>202703</v>
      </c>
      <c r="AN44">
        <f t="shared" si="166"/>
        <v>202703</v>
      </c>
      <c r="AO44">
        <f t="shared" si="166"/>
        <v>202704</v>
      </c>
      <c r="AP44">
        <f t="shared" si="166"/>
        <v>202704</v>
      </c>
      <c r="AQ44">
        <f t="shared" si="166"/>
        <v>202704</v>
      </c>
      <c r="AR44">
        <f t="shared" si="166"/>
        <v>202801</v>
      </c>
      <c r="AS44">
        <f t="shared" si="166"/>
        <v>202801</v>
      </c>
      <c r="AT44">
        <f t="shared" si="166"/>
        <v>202801</v>
      </c>
      <c r="AU44">
        <f t="shared" si="166"/>
        <v>202802</v>
      </c>
      <c r="AV44">
        <f t="shared" si="166"/>
        <v>202802</v>
      </c>
      <c r="AW44">
        <f t="shared" si="166"/>
        <v>202802</v>
      </c>
      <c r="AX44">
        <f t="shared" si="166"/>
        <v>202803</v>
      </c>
      <c r="BA44" s="6" t="s">
        <v>958</v>
      </c>
      <c r="BB44">
        <f>BB41*100+BB43</f>
        <v>202404</v>
      </c>
      <c r="BC44">
        <f t="shared" ref="BC44" si="167">BC41*100+BC43</f>
        <v>202404</v>
      </c>
      <c r="BD44">
        <f t="shared" ref="BD44" si="168">BD41*100+BD43</f>
        <v>202404</v>
      </c>
      <c r="BE44">
        <f t="shared" ref="BE44" si="169">BE41*100+BE43</f>
        <v>202501</v>
      </c>
      <c r="BF44">
        <f t="shared" ref="BF44" si="170">BF41*100+BF43</f>
        <v>202501</v>
      </c>
      <c r="BG44">
        <f t="shared" ref="BG44" si="171">BG41*100+BG43</f>
        <v>202501</v>
      </c>
      <c r="BH44">
        <f t="shared" ref="BH44" si="172">BH41*100+BH43</f>
        <v>202502</v>
      </c>
      <c r="BI44">
        <f t="shared" ref="BI44" si="173">BI41*100+BI43</f>
        <v>202502</v>
      </c>
      <c r="BJ44">
        <f t="shared" ref="BJ44" si="174">BJ41*100+BJ43</f>
        <v>202502</v>
      </c>
      <c r="BK44">
        <f t="shared" ref="BK44" si="175">BK41*100+BK43</f>
        <v>202503</v>
      </c>
      <c r="BL44">
        <f t="shared" ref="BL44" si="176">BL41*100+BL43</f>
        <v>202503</v>
      </c>
      <c r="BM44">
        <f t="shared" ref="BM44" si="177">BM41*100+BM43</f>
        <v>202503</v>
      </c>
      <c r="BN44">
        <f t="shared" ref="BN44" si="178">BN41*100+BN43</f>
        <v>202504</v>
      </c>
      <c r="BO44">
        <f t="shared" ref="BO44" si="179">BO41*100+BO43</f>
        <v>202504</v>
      </c>
      <c r="BP44">
        <f t="shared" ref="BP44" si="180">BP41*100+BP43</f>
        <v>202504</v>
      </c>
      <c r="BQ44">
        <f t="shared" ref="BQ44" si="181">BQ41*100+BQ43</f>
        <v>202601</v>
      </c>
      <c r="BR44">
        <f t="shared" ref="BR44" si="182">BR41*100+BR43</f>
        <v>202601</v>
      </c>
      <c r="BS44">
        <f t="shared" ref="BS44" si="183">BS41*100+BS43</f>
        <v>202601</v>
      </c>
      <c r="BT44">
        <f t="shared" ref="BT44" si="184">BT41*100+BT43</f>
        <v>202602</v>
      </c>
      <c r="BU44">
        <f t="shared" ref="BU44" si="185">BU41*100+BU43</f>
        <v>202602</v>
      </c>
      <c r="BV44">
        <f t="shared" ref="BV44" si="186">BV41*100+BV43</f>
        <v>202602</v>
      </c>
      <c r="BW44">
        <f t="shared" ref="BW44" si="187">BW41*100+BW43</f>
        <v>202603</v>
      </c>
      <c r="BX44">
        <f t="shared" ref="BX44" si="188">BX41*100+BX43</f>
        <v>202603</v>
      </c>
      <c r="BY44">
        <f t="shared" ref="BY44" si="189">BY41*100+BY43</f>
        <v>202603</v>
      </c>
      <c r="BZ44">
        <f t="shared" ref="BZ44" si="190">BZ41*100+BZ43</f>
        <v>202604</v>
      </c>
      <c r="CA44">
        <f t="shared" ref="CA44" si="191">CA41*100+CA43</f>
        <v>202604</v>
      </c>
      <c r="CB44">
        <f t="shared" ref="CB44" si="192">CB41*100+CB43</f>
        <v>202604</v>
      </c>
      <c r="CC44">
        <f t="shared" ref="CC44" si="193">CC41*100+CC43</f>
        <v>202701</v>
      </c>
      <c r="CD44">
        <f t="shared" ref="CD44" si="194">CD41*100+CD43</f>
        <v>202701</v>
      </c>
      <c r="CE44">
        <f t="shared" ref="CE44" si="195">CE41*100+CE43</f>
        <v>202701</v>
      </c>
      <c r="CF44">
        <f t="shared" ref="CF44" si="196">CF41*100+CF43</f>
        <v>202702</v>
      </c>
      <c r="CG44">
        <f t="shared" ref="CG44" si="197">CG41*100+CG43</f>
        <v>202702</v>
      </c>
      <c r="CH44">
        <f t="shared" ref="CH44" si="198">CH41*100+CH43</f>
        <v>202702</v>
      </c>
      <c r="CI44">
        <f t="shared" ref="CI44" si="199">CI41*100+CI43</f>
        <v>202703</v>
      </c>
      <c r="CJ44">
        <f t="shared" ref="CJ44" si="200">CJ41*100+CJ43</f>
        <v>202703</v>
      </c>
      <c r="CK44">
        <f t="shared" ref="CK44" si="201">CK41*100+CK43</f>
        <v>202703</v>
      </c>
      <c r="CL44">
        <f t="shared" ref="CL44" si="202">CL41*100+CL43</f>
        <v>202704</v>
      </c>
      <c r="CM44">
        <f t="shared" ref="CM44" si="203">CM41*100+CM43</f>
        <v>202704</v>
      </c>
      <c r="CN44">
        <f t="shared" ref="CN44" si="204">CN41*100+CN43</f>
        <v>202704</v>
      </c>
      <c r="CO44">
        <f t="shared" ref="CO44" si="205">CO41*100+CO43</f>
        <v>202801</v>
      </c>
      <c r="CP44">
        <f t="shared" ref="CP44" si="206">CP41*100+CP43</f>
        <v>202801</v>
      </c>
      <c r="CQ44">
        <f t="shared" ref="CQ44" si="207">CQ41*100+CQ43</f>
        <v>202801</v>
      </c>
      <c r="CR44">
        <f t="shared" ref="CR44" si="208">CR41*100+CR43</f>
        <v>202802</v>
      </c>
      <c r="CS44">
        <f t="shared" ref="CS44" si="209">CS41*100+CS43</f>
        <v>202802</v>
      </c>
      <c r="CT44">
        <f t="shared" ref="CT44" si="210">CT41*100+CT43</f>
        <v>202802</v>
      </c>
      <c r="CU44">
        <f t="shared" ref="CU44" si="211">CU41*100+CU43</f>
        <v>202803</v>
      </c>
      <c r="CV44">
        <f t="shared" ref="CV44" si="212">CV41*100+CV43</f>
        <v>202803</v>
      </c>
      <c r="CW44">
        <f t="shared" ref="CW44" si="213">CW41*100+CW43</f>
        <v>202803</v>
      </c>
    </row>
    <row r="45" spans="1:113" x14ac:dyDescent="0.25">
      <c r="A45" t="s">
        <v>953</v>
      </c>
      <c r="B45" s="7">
        <f>AVERAGE(B23:B37)</f>
        <v>5.2000000000000011</v>
      </c>
      <c r="C45" s="7">
        <f t="shared" ref="C45:AX45" si="214">AVERAGE(C23:C37)</f>
        <v>5.1041256133333333</v>
      </c>
      <c r="D45" s="7">
        <f t="shared" si="214"/>
        <v>5.035519813333333</v>
      </c>
      <c r="E45" s="7">
        <f t="shared" si="214"/>
        <v>4.966102993333334</v>
      </c>
      <c r="F45" s="7">
        <f t="shared" si="214"/>
        <v>4.8887191999999997</v>
      </c>
      <c r="G45" s="7">
        <f t="shared" si="214"/>
        <v>4.8042127733333331</v>
      </c>
      <c r="H45" s="7">
        <f t="shared" si="214"/>
        <v>4.7174628600000004</v>
      </c>
      <c r="I45" s="7">
        <f t="shared" si="214"/>
        <v>4.6322333066666674</v>
      </c>
      <c r="J45" s="7">
        <f t="shared" si="214"/>
        <v>4.5512973533333341</v>
      </c>
      <c r="K45" s="7">
        <f t="shared" si="214"/>
        <v>4.4765760400000003</v>
      </c>
      <c r="L45" s="7">
        <f t="shared" si="214"/>
        <v>4.4086221933333327</v>
      </c>
      <c r="M45" s="7">
        <f t="shared" si="214"/>
        <v>4.3472860066666668</v>
      </c>
      <c r="N45" s="7">
        <f t="shared" si="214"/>
        <v>4.2917538866666662</v>
      </c>
      <c r="O45" s="7">
        <f t="shared" si="214"/>
        <v>4.240146713333333</v>
      </c>
      <c r="P45" s="7">
        <f t="shared" si="214"/>
        <v>4.1916074733333328</v>
      </c>
      <c r="Q45" s="7">
        <f t="shared" si="214"/>
        <v>4.1456403866666669</v>
      </c>
      <c r="R45" s="7">
        <f t="shared" si="214"/>
        <v>4.1017479333333329</v>
      </c>
      <c r="S45" s="7">
        <f t="shared" si="214"/>
        <v>4.0594326533333325</v>
      </c>
      <c r="T45" s="7">
        <f t="shared" si="214"/>
        <v>4.0181985866666663</v>
      </c>
      <c r="U45" s="7">
        <f t="shared" si="214"/>
        <v>3.9776455533333337</v>
      </c>
      <c r="V45" s="7">
        <f t="shared" si="214"/>
        <v>3.9378576733333333</v>
      </c>
      <c r="W45" s="7">
        <f t="shared" si="214"/>
        <v>3.8990718333333336</v>
      </c>
      <c r="X45" s="7">
        <f t="shared" si="214"/>
        <v>3.8615235733333324</v>
      </c>
      <c r="Y45" s="7">
        <f t="shared" si="214"/>
        <v>3.8254484399999997</v>
      </c>
      <c r="Z45" s="7">
        <f t="shared" si="214"/>
        <v>3.7910833266666666</v>
      </c>
      <c r="AA45" s="7">
        <f t="shared" si="214"/>
        <v>3.7586178533333334</v>
      </c>
      <c r="AB45" s="7">
        <f t="shared" si="214"/>
        <v>3.7280493933333334</v>
      </c>
      <c r="AC45" s="7">
        <f t="shared" si="214"/>
        <v>3.6993257866666673</v>
      </c>
      <c r="AD45" s="7">
        <f t="shared" si="214"/>
        <v>3.6723937000000006</v>
      </c>
      <c r="AE45" s="7">
        <f t="shared" si="214"/>
        <v>3.6471999999999998</v>
      </c>
      <c r="AF45" s="7">
        <f t="shared" si="214"/>
        <v>3.6236923533333325</v>
      </c>
      <c r="AG45" s="7">
        <f t="shared" si="214"/>
        <v>3.6018175533333334</v>
      </c>
      <c r="AH45" s="7">
        <f t="shared" si="214"/>
        <v>3.5815224666666663</v>
      </c>
      <c r="AI45" s="7">
        <f t="shared" si="214"/>
        <v>3.5627546466666664</v>
      </c>
      <c r="AJ45" s="7">
        <f t="shared" si="214"/>
        <v>3.5454609599999998</v>
      </c>
      <c r="AK45" s="7">
        <f t="shared" si="214"/>
        <v>3.5295883200000002</v>
      </c>
      <c r="AL45" s="7">
        <f t="shared" si="214"/>
        <v>3.5150841933333328</v>
      </c>
      <c r="AM45" s="7">
        <f t="shared" si="214"/>
        <v>3.5018952400000005</v>
      </c>
      <c r="AN45" s="7">
        <f t="shared" si="214"/>
        <v>3.4899661733333338</v>
      </c>
      <c r="AO45" s="7">
        <f t="shared" si="214"/>
        <v>3.4792412866666664</v>
      </c>
      <c r="AP45" s="7">
        <f t="shared" si="214"/>
        <v>3.4696644066666669</v>
      </c>
      <c r="AQ45" s="7">
        <f t="shared" si="214"/>
        <v>3.4611794933333333</v>
      </c>
      <c r="AR45" s="7">
        <f t="shared" si="214"/>
        <v>3.4537307466666665</v>
      </c>
      <c r="AS45" s="7">
        <f t="shared" si="214"/>
        <v>3.447262086666667</v>
      </c>
      <c r="AT45" s="7">
        <f t="shared" si="214"/>
        <v>3.4417174533333332</v>
      </c>
      <c r="AU45" s="7">
        <f t="shared" si="214"/>
        <v>3.4370410266666664</v>
      </c>
      <c r="AV45" s="7">
        <f t="shared" si="214"/>
        <v>3.4331767066666665</v>
      </c>
      <c r="AW45" s="7">
        <f t="shared" si="214"/>
        <v>3.4300684866666673</v>
      </c>
      <c r="AX45" s="7">
        <f t="shared" si="214"/>
        <v>3.4276604733333338</v>
      </c>
      <c r="BA45" t="s">
        <v>953</v>
      </c>
      <c r="BB45" s="7" t="e">
        <f>AVERAGE(BB23:BB37)</f>
        <v>#N/A</v>
      </c>
      <c r="BC45" s="7" t="e">
        <f t="shared" ref="BC45:CW45" si="215">AVERAGE(BC23:BC37)</f>
        <v>#N/A</v>
      </c>
      <c r="BD45" s="7" t="e">
        <f t="shared" si="215"/>
        <v>#N/A</v>
      </c>
      <c r="BE45" s="7" t="e">
        <f t="shared" si="215"/>
        <v>#N/A</v>
      </c>
      <c r="BF45" s="7" t="e">
        <f t="shared" si="215"/>
        <v>#N/A</v>
      </c>
      <c r="BG45" s="7" t="e">
        <f t="shared" si="215"/>
        <v>#N/A</v>
      </c>
      <c r="BH45" s="7" t="e">
        <f t="shared" si="215"/>
        <v>#N/A</v>
      </c>
      <c r="BI45" s="7" t="e">
        <f t="shared" si="215"/>
        <v>#N/A</v>
      </c>
      <c r="BJ45" s="7" t="e">
        <f t="shared" si="215"/>
        <v>#N/A</v>
      </c>
      <c r="BK45" s="7" t="e">
        <f t="shared" si="215"/>
        <v>#N/A</v>
      </c>
      <c r="BL45" s="7" t="e">
        <f t="shared" si="215"/>
        <v>#N/A</v>
      </c>
      <c r="BM45" s="7" t="e">
        <f t="shared" si="215"/>
        <v>#N/A</v>
      </c>
      <c r="BN45" s="7" t="e">
        <f t="shared" si="215"/>
        <v>#N/A</v>
      </c>
      <c r="BO45" s="7" t="e">
        <f t="shared" si="215"/>
        <v>#N/A</v>
      </c>
      <c r="BP45" s="7" t="e">
        <f t="shared" si="215"/>
        <v>#N/A</v>
      </c>
      <c r="BQ45" s="7" t="e">
        <f t="shared" si="215"/>
        <v>#N/A</v>
      </c>
      <c r="BR45" s="7" t="e">
        <f t="shared" si="215"/>
        <v>#N/A</v>
      </c>
      <c r="BS45" s="7" t="e">
        <f t="shared" si="215"/>
        <v>#N/A</v>
      </c>
      <c r="BT45" s="7" t="e">
        <f t="shared" si="215"/>
        <v>#N/A</v>
      </c>
      <c r="BU45" s="7" t="e">
        <f t="shared" si="215"/>
        <v>#N/A</v>
      </c>
      <c r="BV45" s="7" t="e">
        <f t="shared" si="215"/>
        <v>#N/A</v>
      </c>
      <c r="BW45" s="7" t="e">
        <f t="shared" si="215"/>
        <v>#N/A</v>
      </c>
      <c r="BX45" s="7" t="e">
        <f t="shared" si="215"/>
        <v>#N/A</v>
      </c>
      <c r="BY45" s="7" t="e">
        <f t="shared" si="215"/>
        <v>#N/A</v>
      </c>
      <c r="BZ45" s="7" t="e">
        <f t="shared" si="215"/>
        <v>#N/A</v>
      </c>
      <c r="CA45" s="7" t="e">
        <f t="shared" si="215"/>
        <v>#N/A</v>
      </c>
      <c r="CB45" s="7" t="e">
        <f t="shared" si="215"/>
        <v>#N/A</v>
      </c>
      <c r="CC45" s="7" t="e">
        <f t="shared" si="215"/>
        <v>#N/A</v>
      </c>
      <c r="CD45" s="7" t="e">
        <f t="shared" si="215"/>
        <v>#N/A</v>
      </c>
      <c r="CE45" s="7" t="e">
        <f t="shared" si="215"/>
        <v>#N/A</v>
      </c>
      <c r="CF45" s="7" t="e">
        <f t="shared" si="215"/>
        <v>#N/A</v>
      </c>
      <c r="CG45" s="7" t="e">
        <f t="shared" si="215"/>
        <v>#N/A</v>
      </c>
      <c r="CH45" s="7" t="e">
        <f t="shared" si="215"/>
        <v>#N/A</v>
      </c>
      <c r="CI45" s="7" t="e">
        <f t="shared" si="215"/>
        <v>#N/A</v>
      </c>
      <c r="CJ45" s="7" t="e">
        <f t="shared" si="215"/>
        <v>#N/A</v>
      </c>
      <c r="CK45" s="7" t="e">
        <f t="shared" si="215"/>
        <v>#N/A</v>
      </c>
      <c r="CL45" s="7" t="e">
        <f t="shared" si="215"/>
        <v>#N/A</v>
      </c>
      <c r="CM45" s="7" t="e">
        <f t="shared" si="215"/>
        <v>#N/A</v>
      </c>
      <c r="CN45" s="7" t="e">
        <f t="shared" si="215"/>
        <v>#N/A</v>
      </c>
      <c r="CO45" s="7" t="e">
        <f t="shared" si="215"/>
        <v>#N/A</v>
      </c>
      <c r="CP45" s="7" t="e">
        <f t="shared" si="215"/>
        <v>#N/A</v>
      </c>
      <c r="CQ45" s="7" t="e">
        <f t="shared" si="215"/>
        <v>#N/A</v>
      </c>
      <c r="CR45" s="7" t="e">
        <f t="shared" si="215"/>
        <v>#N/A</v>
      </c>
      <c r="CS45" s="7" t="e">
        <f t="shared" si="215"/>
        <v>#N/A</v>
      </c>
      <c r="CT45" s="7" t="e">
        <f t="shared" si="215"/>
        <v>#N/A</v>
      </c>
      <c r="CU45" s="7" t="e">
        <f t="shared" si="215"/>
        <v>#N/A</v>
      </c>
      <c r="CV45" s="7" t="e">
        <f t="shared" si="215"/>
        <v>#N/A</v>
      </c>
      <c r="CW45" s="7" t="e">
        <f t="shared" si="215"/>
        <v>#N/A</v>
      </c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</row>
    <row r="47" spans="1:113" x14ac:dyDescent="0.25">
      <c r="A47" s="11" t="s">
        <v>959</v>
      </c>
      <c r="BA47" s="11" t="s">
        <v>959</v>
      </c>
    </row>
    <row r="48" spans="1:113" x14ac:dyDescent="0.25">
      <c r="B48">
        <f>B44</f>
        <v>202403</v>
      </c>
      <c r="C48">
        <f>IF(RIGHT(B48)="4",B48+97,B48+1)</f>
        <v>202404</v>
      </c>
      <c r="D48">
        <f t="shared" ref="D48:R48" si="216">IF(RIGHT(C48)="4",C48+97,C48+1)</f>
        <v>202501</v>
      </c>
      <c r="E48">
        <f t="shared" si="216"/>
        <v>202502</v>
      </c>
      <c r="F48">
        <f t="shared" si="216"/>
        <v>202503</v>
      </c>
      <c r="G48">
        <f t="shared" si="216"/>
        <v>202504</v>
      </c>
      <c r="H48">
        <f t="shared" si="216"/>
        <v>202601</v>
      </c>
      <c r="I48">
        <f t="shared" si="216"/>
        <v>202602</v>
      </c>
      <c r="J48">
        <f t="shared" si="216"/>
        <v>202603</v>
      </c>
      <c r="K48">
        <f t="shared" si="216"/>
        <v>202604</v>
      </c>
      <c r="L48">
        <f t="shared" si="216"/>
        <v>202701</v>
      </c>
      <c r="M48">
        <f t="shared" si="216"/>
        <v>202702</v>
      </c>
      <c r="N48">
        <f t="shared" si="216"/>
        <v>202703</v>
      </c>
      <c r="O48">
        <f t="shared" si="216"/>
        <v>202704</v>
      </c>
      <c r="P48">
        <f t="shared" si="216"/>
        <v>202801</v>
      </c>
      <c r="Q48">
        <f t="shared" si="216"/>
        <v>202802</v>
      </c>
      <c r="R48">
        <f t="shared" si="216"/>
        <v>202803</v>
      </c>
      <c r="BB48">
        <f>BB44</f>
        <v>202404</v>
      </c>
      <c r="BC48">
        <f>IF(RIGHT(BB48)="4",BB48+97,BB48+1)</f>
        <v>202501</v>
      </c>
      <c r="BD48">
        <f t="shared" ref="BD48:BQ48" si="217">IF(RIGHT(BC48)="4",BC48+97,BC48+1)</f>
        <v>202502</v>
      </c>
      <c r="BE48">
        <f t="shared" si="217"/>
        <v>202503</v>
      </c>
      <c r="BF48">
        <f t="shared" si="217"/>
        <v>202504</v>
      </c>
      <c r="BG48">
        <f t="shared" si="217"/>
        <v>202601</v>
      </c>
      <c r="BH48">
        <f t="shared" si="217"/>
        <v>202602</v>
      </c>
      <c r="BI48">
        <f t="shared" si="217"/>
        <v>202603</v>
      </c>
      <c r="BJ48">
        <f t="shared" si="217"/>
        <v>202604</v>
      </c>
      <c r="BK48">
        <f t="shared" si="217"/>
        <v>202701</v>
      </c>
      <c r="BL48">
        <f t="shared" si="217"/>
        <v>202702</v>
      </c>
      <c r="BM48">
        <f t="shared" si="217"/>
        <v>202703</v>
      </c>
      <c r="BN48">
        <f t="shared" si="217"/>
        <v>202704</v>
      </c>
      <c r="BO48">
        <f t="shared" si="217"/>
        <v>202801</v>
      </c>
      <c r="BP48">
        <f t="shared" si="217"/>
        <v>202802</v>
      </c>
      <c r="BQ48">
        <f t="shared" si="217"/>
        <v>202803</v>
      </c>
    </row>
    <row r="49" spans="1:113" x14ac:dyDescent="0.25">
      <c r="A49" t="str">
        <f>A1</f>
        <v>August MPR</v>
      </c>
      <c r="B49" s="7">
        <f t="shared" ref="B49:R49" si="218">AVERAGEIF($B$44:$AX$44,B48,$B$45:$AX$45)</f>
        <v>5.1132151422222227</v>
      </c>
      <c r="C49" s="7">
        <f t="shared" si="218"/>
        <v>4.8863449888888892</v>
      </c>
      <c r="D49" s="7">
        <f t="shared" si="218"/>
        <v>4.6336645066666673</v>
      </c>
      <c r="E49" s="7">
        <f t="shared" si="218"/>
        <v>4.4108280800000008</v>
      </c>
      <c r="F49" s="7">
        <f t="shared" si="218"/>
        <v>4.2411693577777774</v>
      </c>
      <c r="G49" s="7">
        <f t="shared" si="218"/>
        <v>4.1022736577777765</v>
      </c>
      <c r="H49" s="7">
        <f t="shared" si="218"/>
        <v>3.9779006044444443</v>
      </c>
      <c r="I49" s="7">
        <f t="shared" si="218"/>
        <v>3.8620146155555553</v>
      </c>
      <c r="J49" s="7">
        <f t="shared" si="218"/>
        <v>3.7592501911111107</v>
      </c>
      <c r="K49" s="7">
        <f t="shared" si="218"/>
        <v>3.6729731622222226</v>
      </c>
      <c r="L49" s="7">
        <f t="shared" si="218"/>
        <v>3.6023441244444441</v>
      </c>
      <c r="M49" s="7">
        <f t="shared" si="218"/>
        <v>3.5459346422222224</v>
      </c>
      <c r="N49" s="7">
        <f t="shared" si="218"/>
        <v>3.5023152022222224</v>
      </c>
      <c r="O49" s="7">
        <f t="shared" si="218"/>
        <v>3.4700283955555555</v>
      </c>
      <c r="P49" s="7">
        <f t="shared" si="218"/>
        <v>3.4475700955555553</v>
      </c>
      <c r="Q49" s="7">
        <f t="shared" si="218"/>
        <v>3.4334287400000001</v>
      </c>
      <c r="R49" s="7">
        <f t="shared" si="218"/>
        <v>3.4276604733333338</v>
      </c>
      <c r="S49" s="7"/>
      <c r="T49" s="7"/>
      <c r="U49" s="7"/>
      <c r="BA49" t="str">
        <f>BA1</f>
        <v>November MPR</v>
      </c>
      <c r="BB49" s="7" t="e">
        <f>AVERAGEIF($BB$44:$CW$44,BB48,$BB$45:$CW$45)</f>
        <v>#N/A</v>
      </c>
      <c r="BC49" s="7" t="e">
        <f t="shared" ref="BC49:BQ49" si="219">AVERAGEIF($BB$44:$CW$44,BC48,$BB$45:$CW$45)</f>
        <v>#N/A</v>
      </c>
      <c r="BD49" s="7" t="e">
        <f t="shared" si="219"/>
        <v>#N/A</v>
      </c>
      <c r="BE49" s="7" t="e">
        <f t="shared" si="219"/>
        <v>#N/A</v>
      </c>
      <c r="BF49" s="7" t="e">
        <f t="shared" si="219"/>
        <v>#N/A</v>
      </c>
      <c r="BG49" s="7" t="e">
        <f t="shared" si="219"/>
        <v>#N/A</v>
      </c>
      <c r="BH49" s="7" t="e">
        <f t="shared" si="219"/>
        <v>#N/A</v>
      </c>
      <c r="BI49" s="7" t="e">
        <f t="shared" si="219"/>
        <v>#N/A</v>
      </c>
      <c r="BJ49" s="7" t="e">
        <f t="shared" si="219"/>
        <v>#N/A</v>
      </c>
      <c r="BK49" s="7" t="e">
        <f t="shared" si="219"/>
        <v>#N/A</v>
      </c>
      <c r="BL49" s="7" t="e">
        <f t="shared" si="219"/>
        <v>#N/A</v>
      </c>
      <c r="BM49" s="7" t="e">
        <f t="shared" si="219"/>
        <v>#N/A</v>
      </c>
      <c r="BN49" s="7" t="e">
        <f t="shared" si="219"/>
        <v>#N/A</v>
      </c>
      <c r="BO49" s="7" t="e">
        <f t="shared" si="219"/>
        <v>#N/A</v>
      </c>
      <c r="BP49" s="7" t="e">
        <f t="shared" si="219"/>
        <v>#N/A</v>
      </c>
      <c r="BQ49" s="7" t="e">
        <f t="shared" si="219"/>
        <v>#N/A</v>
      </c>
      <c r="BR49" s="7"/>
      <c r="BS49" s="7"/>
      <c r="BT49" s="7"/>
      <c r="BU49" s="7"/>
    </row>
    <row r="51" spans="1:113" x14ac:dyDescent="0.25">
      <c r="BA51" s="8" t="s">
        <v>963</v>
      </c>
    </row>
    <row r="52" spans="1:113" x14ac:dyDescent="0.25">
      <c r="BA52" s="8"/>
      <c r="BB52" s="6">
        <v>44927</v>
      </c>
      <c r="BC52" s="6">
        <v>44958</v>
      </c>
      <c r="BD52" s="6">
        <v>44986</v>
      </c>
      <c r="BE52" s="6">
        <v>45017</v>
      </c>
      <c r="BF52" s="6">
        <v>45047</v>
      </c>
      <c r="BG52" s="6">
        <v>45078</v>
      </c>
      <c r="BH52" s="6">
        <v>45108</v>
      </c>
      <c r="BI52" s="6">
        <v>45139</v>
      </c>
      <c r="BJ52" s="6">
        <v>45170</v>
      </c>
      <c r="BK52" s="6">
        <v>45200</v>
      </c>
      <c r="BL52" s="6">
        <v>45231</v>
      </c>
      <c r="BM52" s="6">
        <v>45261</v>
      </c>
      <c r="BN52" s="6">
        <v>45292</v>
      </c>
      <c r="BO52" s="6">
        <v>45323</v>
      </c>
      <c r="BP52" s="6">
        <v>45352</v>
      </c>
      <c r="BQ52" s="6">
        <v>45383</v>
      </c>
      <c r="BR52" s="6">
        <v>45413</v>
      </c>
      <c r="BS52" s="6">
        <v>45444</v>
      </c>
      <c r="BT52" s="6">
        <v>45474</v>
      </c>
      <c r="BU52" s="6">
        <v>45505</v>
      </c>
      <c r="BV52" s="6">
        <v>45536</v>
      </c>
      <c r="BW52" s="6">
        <v>45566</v>
      </c>
      <c r="BX52" s="6">
        <v>45597</v>
      </c>
      <c r="BY52" s="6">
        <v>45627</v>
      </c>
      <c r="BZ52" s="6">
        <v>45658</v>
      </c>
      <c r="CA52" s="6">
        <v>45689</v>
      </c>
      <c r="CB52" s="6">
        <v>45717</v>
      </c>
      <c r="CC52" s="6">
        <v>45748</v>
      </c>
      <c r="CD52" s="6">
        <v>45778</v>
      </c>
      <c r="CE52" s="6">
        <v>45809</v>
      </c>
      <c r="CF52" s="6">
        <v>45839</v>
      </c>
      <c r="CG52" s="6">
        <v>45870</v>
      </c>
      <c r="CH52" s="6">
        <v>45901</v>
      </c>
      <c r="CI52" s="6">
        <v>45931</v>
      </c>
      <c r="CJ52" s="6">
        <v>45962</v>
      </c>
      <c r="CK52" s="6">
        <v>45992</v>
      </c>
      <c r="CL52" s="6">
        <v>46023</v>
      </c>
      <c r="CM52" s="6">
        <v>46054</v>
      </c>
      <c r="CN52" s="6">
        <v>46082</v>
      </c>
      <c r="CO52" s="6">
        <v>46113</v>
      </c>
      <c r="CP52" s="6">
        <v>46143</v>
      </c>
      <c r="CQ52" s="6">
        <v>46174</v>
      </c>
      <c r="CR52" s="6">
        <v>46204</v>
      </c>
      <c r="CS52" s="6">
        <v>46235</v>
      </c>
      <c r="CT52" s="6">
        <v>46266</v>
      </c>
      <c r="CU52" s="6">
        <v>46296</v>
      </c>
      <c r="CV52" s="6">
        <v>46327</v>
      </c>
      <c r="CW52" s="6">
        <v>46357</v>
      </c>
      <c r="CX52" s="6">
        <v>46388</v>
      </c>
      <c r="CY52" s="6">
        <v>46419</v>
      </c>
      <c r="CZ52" s="6">
        <v>46447</v>
      </c>
      <c r="DA52" s="6">
        <v>46478</v>
      </c>
      <c r="DB52" s="6">
        <v>46508</v>
      </c>
      <c r="DC52" s="6">
        <v>46539</v>
      </c>
      <c r="DD52" s="6">
        <v>46569</v>
      </c>
      <c r="DE52" s="6">
        <v>46600</v>
      </c>
      <c r="DF52" s="6">
        <v>46631</v>
      </c>
      <c r="DG52" s="6">
        <v>46661</v>
      </c>
      <c r="DH52" s="6">
        <v>46692</v>
      </c>
      <c r="DI52" s="6">
        <v>46722</v>
      </c>
    </row>
    <row r="53" spans="1:113" x14ac:dyDescent="0.25">
      <c r="BA53" s="8"/>
      <c r="BB53" s="13">
        <f>MONTH(BB52)</f>
        <v>1</v>
      </c>
      <c r="BC53" s="13">
        <f>MONTH(BC52)</f>
        <v>2</v>
      </c>
      <c r="BD53" s="13">
        <f t="shared" ref="BD53:DI53" si="220">MONTH(BD52)</f>
        <v>3</v>
      </c>
      <c r="BE53" s="13">
        <f t="shared" si="220"/>
        <v>4</v>
      </c>
      <c r="BF53" s="13">
        <f t="shared" si="220"/>
        <v>5</v>
      </c>
      <c r="BG53" s="13">
        <f t="shared" si="220"/>
        <v>6</v>
      </c>
      <c r="BH53" s="13">
        <f t="shared" si="220"/>
        <v>7</v>
      </c>
      <c r="BI53" s="13">
        <f t="shared" si="220"/>
        <v>8</v>
      </c>
      <c r="BJ53" s="13">
        <f t="shared" si="220"/>
        <v>9</v>
      </c>
      <c r="BK53" s="13">
        <f t="shared" si="220"/>
        <v>10</v>
      </c>
      <c r="BL53" s="13">
        <f t="shared" si="220"/>
        <v>11</v>
      </c>
      <c r="BM53" s="13">
        <f t="shared" si="220"/>
        <v>12</v>
      </c>
      <c r="BN53" s="14">
        <f t="shared" si="220"/>
        <v>1</v>
      </c>
      <c r="BO53" s="13">
        <f t="shared" si="220"/>
        <v>2</v>
      </c>
      <c r="BP53" s="13">
        <f t="shared" si="220"/>
        <v>3</v>
      </c>
      <c r="BQ53" s="13">
        <f t="shared" si="220"/>
        <v>4</v>
      </c>
      <c r="BR53" s="13">
        <f t="shared" si="220"/>
        <v>5</v>
      </c>
      <c r="BS53" s="13">
        <f t="shared" si="220"/>
        <v>6</v>
      </c>
      <c r="BT53" s="13">
        <f t="shared" si="220"/>
        <v>7</v>
      </c>
      <c r="BU53" s="13">
        <f t="shared" si="220"/>
        <v>8</v>
      </c>
      <c r="BV53" s="13">
        <f t="shared" si="220"/>
        <v>9</v>
      </c>
      <c r="BW53" s="13">
        <f t="shared" si="220"/>
        <v>10</v>
      </c>
      <c r="BX53" s="13">
        <f t="shared" si="220"/>
        <v>11</v>
      </c>
      <c r="BY53" s="13">
        <f t="shared" si="220"/>
        <v>12</v>
      </c>
      <c r="BZ53" s="13">
        <f t="shared" si="220"/>
        <v>1</v>
      </c>
      <c r="CA53" s="13">
        <f t="shared" si="220"/>
        <v>2</v>
      </c>
      <c r="CB53" s="13">
        <f t="shared" si="220"/>
        <v>3</v>
      </c>
      <c r="CC53" s="13">
        <f t="shared" si="220"/>
        <v>4</v>
      </c>
      <c r="CD53" s="13">
        <f t="shared" si="220"/>
        <v>5</v>
      </c>
      <c r="CE53" s="13">
        <f t="shared" si="220"/>
        <v>6</v>
      </c>
      <c r="CF53" s="13">
        <f t="shared" si="220"/>
        <v>7</v>
      </c>
      <c r="CG53" s="13">
        <f t="shared" si="220"/>
        <v>8</v>
      </c>
      <c r="CH53" s="13">
        <f t="shared" si="220"/>
        <v>9</v>
      </c>
      <c r="CI53" s="13">
        <f t="shared" si="220"/>
        <v>10</v>
      </c>
      <c r="CJ53" s="13">
        <f t="shared" si="220"/>
        <v>11</v>
      </c>
      <c r="CK53" s="13">
        <f t="shared" si="220"/>
        <v>12</v>
      </c>
      <c r="CL53" s="13">
        <f t="shared" si="220"/>
        <v>1</v>
      </c>
      <c r="CM53" s="13">
        <f t="shared" si="220"/>
        <v>2</v>
      </c>
      <c r="CN53" s="13">
        <f t="shared" si="220"/>
        <v>3</v>
      </c>
      <c r="CO53" s="13">
        <f t="shared" si="220"/>
        <v>4</v>
      </c>
      <c r="CP53" s="13">
        <f t="shared" si="220"/>
        <v>5</v>
      </c>
      <c r="CQ53" s="13">
        <f t="shared" si="220"/>
        <v>6</v>
      </c>
      <c r="CR53" s="13">
        <f t="shared" si="220"/>
        <v>7</v>
      </c>
      <c r="CS53" s="13">
        <f t="shared" si="220"/>
        <v>8</v>
      </c>
      <c r="CT53" s="13">
        <f t="shared" si="220"/>
        <v>9</v>
      </c>
      <c r="CU53" s="13">
        <f t="shared" si="220"/>
        <v>10</v>
      </c>
      <c r="CV53" s="13">
        <f t="shared" si="220"/>
        <v>11</v>
      </c>
      <c r="CW53" s="13">
        <f t="shared" si="220"/>
        <v>12</v>
      </c>
      <c r="CX53" s="13">
        <f t="shared" si="220"/>
        <v>1</v>
      </c>
      <c r="CY53" s="13">
        <f t="shared" si="220"/>
        <v>2</v>
      </c>
      <c r="CZ53" s="13">
        <f t="shared" si="220"/>
        <v>3</v>
      </c>
      <c r="DA53" s="13">
        <f t="shared" si="220"/>
        <v>4</v>
      </c>
      <c r="DB53" s="13">
        <f t="shared" si="220"/>
        <v>5</v>
      </c>
      <c r="DC53" s="13">
        <f t="shared" si="220"/>
        <v>6</v>
      </c>
      <c r="DD53" s="13">
        <f t="shared" si="220"/>
        <v>7</v>
      </c>
      <c r="DE53" s="13">
        <f t="shared" si="220"/>
        <v>8</v>
      </c>
      <c r="DF53" s="13">
        <f t="shared" si="220"/>
        <v>9</v>
      </c>
      <c r="DG53" s="13">
        <f t="shared" si="220"/>
        <v>10</v>
      </c>
      <c r="DH53" s="13">
        <f t="shared" si="220"/>
        <v>11</v>
      </c>
      <c r="DI53" s="13">
        <f t="shared" si="220"/>
        <v>12</v>
      </c>
    </row>
    <row r="54" spans="1:113" x14ac:dyDescent="0.25">
      <c r="BB54">
        <v>202301</v>
      </c>
      <c r="BC54">
        <f t="shared" ref="BC54:BM54" si="221">IF(BC53=1,BB54+89,BB54+1)</f>
        <v>202302</v>
      </c>
      <c r="BD54">
        <f t="shared" si="221"/>
        <v>202303</v>
      </c>
      <c r="BE54">
        <f t="shared" si="221"/>
        <v>202304</v>
      </c>
      <c r="BF54">
        <f t="shared" si="221"/>
        <v>202305</v>
      </c>
      <c r="BG54">
        <f t="shared" si="221"/>
        <v>202306</v>
      </c>
      <c r="BH54">
        <f t="shared" si="221"/>
        <v>202307</v>
      </c>
      <c r="BI54">
        <f t="shared" si="221"/>
        <v>202308</v>
      </c>
      <c r="BJ54">
        <f t="shared" si="221"/>
        <v>202309</v>
      </c>
      <c r="BK54">
        <f t="shared" si="221"/>
        <v>202310</v>
      </c>
      <c r="BL54">
        <f t="shared" si="221"/>
        <v>202311</v>
      </c>
      <c r="BM54">
        <f t="shared" si="221"/>
        <v>202312</v>
      </c>
      <c r="BN54">
        <f>IF(BN53=1,BM54+89,BM54+1)</f>
        <v>202401</v>
      </c>
      <c r="BO54">
        <f t="shared" ref="BO54:DI54" si="222">IF(BO53=1,BN54+89,BN54+1)</f>
        <v>202402</v>
      </c>
      <c r="BP54">
        <f t="shared" si="222"/>
        <v>202403</v>
      </c>
      <c r="BQ54">
        <f t="shared" si="222"/>
        <v>202404</v>
      </c>
      <c r="BR54">
        <f t="shared" si="222"/>
        <v>202405</v>
      </c>
      <c r="BS54">
        <f t="shared" si="222"/>
        <v>202406</v>
      </c>
      <c r="BT54">
        <f t="shared" si="222"/>
        <v>202407</v>
      </c>
      <c r="BU54">
        <f t="shared" si="222"/>
        <v>202408</v>
      </c>
      <c r="BV54">
        <f t="shared" si="222"/>
        <v>202409</v>
      </c>
      <c r="BW54">
        <f t="shared" si="222"/>
        <v>202410</v>
      </c>
      <c r="BX54">
        <f t="shared" si="222"/>
        <v>202411</v>
      </c>
      <c r="BY54">
        <f t="shared" si="222"/>
        <v>202412</v>
      </c>
      <c r="BZ54">
        <f t="shared" si="222"/>
        <v>202501</v>
      </c>
      <c r="CA54">
        <f t="shared" si="222"/>
        <v>202502</v>
      </c>
      <c r="CB54">
        <f t="shared" si="222"/>
        <v>202503</v>
      </c>
      <c r="CC54">
        <f t="shared" si="222"/>
        <v>202504</v>
      </c>
      <c r="CD54">
        <f t="shared" si="222"/>
        <v>202505</v>
      </c>
      <c r="CE54">
        <f t="shared" si="222"/>
        <v>202506</v>
      </c>
      <c r="CF54">
        <f t="shared" si="222"/>
        <v>202507</v>
      </c>
      <c r="CG54">
        <f t="shared" si="222"/>
        <v>202508</v>
      </c>
      <c r="CH54">
        <f t="shared" si="222"/>
        <v>202509</v>
      </c>
      <c r="CI54">
        <f t="shared" si="222"/>
        <v>202510</v>
      </c>
      <c r="CJ54">
        <f t="shared" si="222"/>
        <v>202511</v>
      </c>
      <c r="CK54">
        <f t="shared" si="222"/>
        <v>202512</v>
      </c>
      <c r="CL54">
        <f t="shared" si="222"/>
        <v>202601</v>
      </c>
      <c r="CM54">
        <f t="shared" si="222"/>
        <v>202602</v>
      </c>
      <c r="CN54">
        <f t="shared" si="222"/>
        <v>202603</v>
      </c>
      <c r="CO54">
        <f t="shared" si="222"/>
        <v>202604</v>
      </c>
      <c r="CP54">
        <f t="shared" si="222"/>
        <v>202605</v>
      </c>
      <c r="CQ54">
        <f t="shared" si="222"/>
        <v>202606</v>
      </c>
      <c r="CR54">
        <f t="shared" si="222"/>
        <v>202607</v>
      </c>
      <c r="CS54">
        <f t="shared" si="222"/>
        <v>202608</v>
      </c>
      <c r="CT54">
        <f t="shared" si="222"/>
        <v>202609</v>
      </c>
      <c r="CU54">
        <f t="shared" si="222"/>
        <v>202610</v>
      </c>
      <c r="CV54">
        <f t="shared" si="222"/>
        <v>202611</v>
      </c>
      <c r="CW54">
        <f t="shared" si="222"/>
        <v>202612</v>
      </c>
      <c r="CX54">
        <f t="shared" si="222"/>
        <v>202701</v>
      </c>
      <c r="CY54">
        <f t="shared" si="222"/>
        <v>202702</v>
      </c>
      <c r="CZ54">
        <f t="shared" si="222"/>
        <v>202703</v>
      </c>
      <c r="DA54">
        <f t="shared" si="222"/>
        <v>202704</v>
      </c>
      <c r="DB54">
        <f t="shared" si="222"/>
        <v>202705</v>
      </c>
      <c r="DC54">
        <f t="shared" si="222"/>
        <v>202706</v>
      </c>
      <c r="DD54">
        <f t="shared" si="222"/>
        <v>202707</v>
      </c>
      <c r="DE54">
        <f t="shared" si="222"/>
        <v>202708</v>
      </c>
      <c r="DF54">
        <f t="shared" si="222"/>
        <v>202709</v>
      </c>
      <c r="DG54">
        <f t="shared" si="222"/>
        <v>202710</v>
      </c>
      <c r="DH54">
        <f t="shared" si="222"/>
        <v>202711</v>
      </c>
      <c r="DI54">
        <f t="shared" si="222"/>
        <v>202712</v>
      </c>
    </row>
    <row r="55" spans="1:113" x14ac:dyDescent="0.25">
      <c r="BA55" t="s">
        <v>944</v>
      </c>
      <c r="BB55" s="7">
        <f>AVERAGEIF(HAVERD!$D:$D,'Market expectations'!BB54,HAVERD!$H:$H)</f>
        <v>3.5</v>
      </c>
      <c r="BC55" s="7">
        <f>AVERAGEIF(HAVERD!$D:$D,'Market expectations'!BC54,HAVERD!$H:$H)</f>
        <v>3.9750000000000001</v>
      </c>
      <c r="BD55" s="7">
        <f>AVERAGEIF(HAVERD!$D:$D,'Market expectations'!BD54,HAVERD!$H:$H)</f>
        <v>4.0760869565217392</v>
      </c>
      <c r="BE55" s="7">
        <f>AVERAGEIF(HAVERD!$D:$D,'Market expectations'!BE54,HAVERD!$H:$H)</f>
        <v>4.25</v>
      </c>
      <c r="BF55" s="7">
        <f>AVERAGEIF(HAVERD!$D:$D,'Market expectations'!BF54,HAVERD!$H:$H)</f>
        <v>4.4130434782608692</v>
      </c>
      <c r="BG55" s="7">
        <f>AVERAGEIF(HAVERD!$D:$D,'Market expectations'!BG54,HAVERD!$H:$H)</f>
        <v>4.6590909090909092</v>
      </c>
      <c r="BH55" s="7">
        <f>AVERAGEIF(HAVERD!$D:$D,'Market expectations'!BH54,HAVERD!$H:$H)</f>
        <v>5</v>
      </c>
      <c r="BI55" s="7">
        <f>AVERAGEIF(HAVERD!$D:$D,'Market expectations'!BI54,HAVERD!$H:$H)</f>
        <v>5.2282608695652177</v>
      </c>
      <c r="BJ55" s="7">
        <f>AVERAGEIF(HAVERD!$D:$D,'Market expectations'!BJ54,HAVERD!$H:$H)</f>
        <v>5.25</v>
      </c>
      <c r="BK55" s="7">
        <f>AVERAGEIF(HAVERD!$D:$D,'Market expectations'!BK54,HAVERD!$H:$H)</f>
        <v>5.25</v>
      </c>
      <c r="BL55" s="7">
        <f>AVERAGEIF(HAVERD!$D:$D,'Market expectations'!BL54,HAVERD!$H:$H)</f>
        <v>5.25</v>
      </c>
      <c r="BM55" s="7">
        <f>AVERAGEIF(HAVERD!$D:$D,'Market expectations'!BM54,HAVERD!$H:$H)</f>
        <v>5.25</v>
      </c>
      <c r="BN55" s="7">
        <f>AVERAGEIF(HAVERD!$D:$D,'Market expectations'!BN54,HAVERD!$H:$H)</f>
        <v>5.25</v>
      </c>
      <c r="BO55" s="7">
        <f>AVERAGEIF(HAVERD!$D:$D,'Market expectations'!BO54,HAVERD!$H:$H)</f>
        <v>5.25</v>
      </c>
      <c r="BP55" s="7">
        <f>AVERAGEIF(HAVERD!$D:$D,'Market expectations'!BP54,HAVERD!$H:$H)</f>
        <v>5.25</v>
      </c>
      <c r="BQ55" s="7">
        <f>AVERAGEIF(HAVERD!$D:$D,'Market expectations'!BQ54,HAVERD!$H:$H)</f>
        <v>5.25</v>
      </c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</row>
    <row r="56" spans="1:113" x14ac:dyDescent="0.25">
      <c r="BA56" t="str">
        <f>A49</f>
        <v>August MPR</v>
      </c>
      <c r="BB56" s="7" t="e">
        <f>HLOOKUP(BB$54,$B$42:$AX$45,4,FALSE)</f>
        <v>#N/A</v>
      </c>
      <c r="BC56" s="7" t="e">
        <f t="shared" ref="BC56:DI56" si="223">HLOOKUP(BC$54,$B$42:$AX$45,4,FALSE)</f>
        <v>#N/A</v>
      </c>
      <c r="BD56" s="7" t="e">
        <f t="shared" si="223"/>
        <v>#N/A</v>
      </c>
      <c r="BE56" s="7" t="e">
        <f t="shared" si="223"/>
        <v>#N/A</v>
      </c>
      <c r="BF56" s="7" t="e">
        <f t="shared" si="223"/>
        <v>#N/A</v>
      </c>
      <c r="BG56" s="7" t="e">
        <f t="shared" si="223"/>
        <v>#N/A</v>
      </c>
      <c r="BH56" s="7" t="e">
        <f t="shared" si="223"/>
        <v>#N/A</v>
      </c>
      <c r="BI56" s="7" t="e">
        <f t="shared" si="223"/>
        <v>#N/A</v>
      </c>
      <c r="BJ56" s="7" t="e">
        <f t="shared" si="223"/>
        <v>#N/A</v>
      </c>
      <c r="BK56" s="7" t="e">
        <f t="shared" si="223"/>
        <v>#N/A</v>
      </c>
      <c r="BL56" s="7" t="e">
        <f t="shared" si="223"/>
        <v>#N/A</v>
      </c>
      <c r="BM56" s="7" t="e">
        <f t="shared" si="223"/>
        <v>#N/A</v>
      </c>
      <c r="BN56" s="7" t="e">
        <f t="shared" si="223"/>
        <v>#N/A</v>
      </c>
      <c r="BO56" s="7" t="e">
        <f t="shared" si="223"/>
        <v>#N/A</v>
      </c>
      <c r="BP56" s="7" t="e">
        <f t="shared" si="223"/>
        <v>#N/A</v>
      </c>
      <c r="BQ56" s="7" t="e">
        <f t="shared" si="223"/>
        <v>#N/A</v>
      </c>
      <c r="BR56" s="7" t="e">
        <f t="shared" si="223"/>
        <v>#N/A</v>
      </c>
      <c r="BS56" s="7" t="e">
        <f t="shared" si="223"/>
        <v>#N/A</v>
      </c>
      <c r="BT56" s="7">
        <f t="shared" si="223"/>
        <v>5.2000000000000011</v>
      </c>
      <c r="BU56" s="7">
        <f t="shared" si="223"/>
        <v>5.1041256133333333</v>
      </c>
      <c r="BV56" s="7">
        <f t="shared" si="223"/>
        <v>5.035519813333333</v>
      </c>
      <c r="BW56" s="7">
        <f t="shared" si="223"/>
        <v>4.966102993333334</v>
      </c>
      <c r="BX56" s="7">
        <f t="shared" si="223"/>
        <v>4.8887191999999997</v>
      </c>
      <c r="BY56" s="7">
        <f t="shared" si="223"/>
        <v>4.8042127733333331</v>
      </c>
      <c r="BZ56" s="7">
        <f t="shared" si="223"/>
        <v>4.7174628600000004</v>
      </c>
      <c r="CA56" s="7">
        <f t="shared" si="223"/>
        <v>4.6322333066666674</v>
      </c>
      <c r="CB56" s="7">
        <f t="shared" si="223"/>
        <v>4.5512973533333341</v>
      </c>
      <c r="CC56" s="7">
        <f t="shared" si="223"/>
        <v>4.4765760400000003</v>
      </c>
      <c r="CD56" s="7">
        <f t="shared" si="223"/>
        <v>4.4086221933333327</v>
      </c>
      <c r="CE56" s="7">
        <f t="shared" si="223"/>
        <v>4.3472860066666668</v>
      </c>
      <c r="CF56" s="7">
        <f t="shared" si="223"/>
        <v>4.2917538866666662</v>
      </c>
      <c r="CG56" s="7">
        <f t="shared" si="223"/>
        <v>4.240146713333333</v>
      </c>
      <c r="CH56" s="7">
        <f t="shared" si="223"/>
        <v>4.1916074733333328</v>
      </c>
      <c r="CI56" s="7">
        <f t="shared" si="223"/>
        <v>4.1456403866666669</v>
      </c>
      <c r="CJ56" s="7">
        <f t="shared" si="223"/>
        <v>4.1017479333333329</v>
      </c>
      <c r="CK56" s="7">
        <f t="shared" si="223"/>
        <v>4.0594326533333325</v>
      </c>
      <c r="CL56" s="7">
        <f t="shared" si="223"/>
        <v>4.0181985866666663</v>
      </c>
      <c r="CM56" s="7">
        <f t="shared" si="223"/>
        <v>3.9776455533333337</v>
      </c>
      <c r="CN56" s="7">
        <f t="shared" si="223"/>
        <v>3.9378576733333333</v>
      </c>
      <c r="CO56" s="7">
        <f t="shared" si="223"/>
        <v>3.8990718333333336</v>
      </c>
      <c r="CP56" s="7">
        <f t="shared" si="223"/>
        <v>3.8615235733333324</v>
      </c>
      <c r="CQ56" s="7">
        <f t="shared" si="223"/>
        <v>3.8254484399999997</v>
      </c>
      <c r="CR56" s="7">
        <f t="shared" si="223"/>
        <v>3.7910833266666666</v>
      </c>
      <c r="CS56" s="7">
        <f t="shared" si="223"/>
        <v>3.7586178533333334</v>
      </c>
      <c r="CT56" s="7">
        <f t="shared" si="223"/>
        <v>3.7280493933333334</v>
      </c>
      <c r="CU56" s="7">
        <f t="shared" si="223"/>
        <v>3.6993257866666673</v>
      </c>
      <c r="CV56" s="7">
        <f t="shared" si="223"/>
        <v>3.6723937000000006</v>
      </c>
      <c r="CW56" s="7">
        <f t="shared" si="223"/>
        <v>3.6471999999999998</v>
      </c>
      <c r="CX56" s="7">
        <f t="shared" si="223"/>
        <v>3.6236923533333325</v>
      </c>
      <c r="CY56" s="7">
        <f t="shared" si="223"/>
        <v>3.6018175533333334</v>
      </c>
      <c r="CZ56" s="7">
        <f t="shared" si="223"/>
        <v>3.5815224666666663</v>
      </c>
      <c r="DA56" s="7">
        <f t="shared" si="223"/>
        <v>3.5627546466666664</v>
      </c>
      <c r="DB56" s="7">
        <f t="shared" si="223"/>
        <v>3.5454609599999998</v>
      </c>
      <c r="DC56" s="7">
        <f t="shared" si="223"/>
        <v>3.5295883200000002</v>
      </c>
      <c r="DD56" s="7">
        <f t="shared" si="223"/>
        <v>3.5150841933333328</v>
      </c>
      <c r="DE56" s="7">
        <f t="shared" si="223"/>
        <v>3.5018952400000005</v>
      </c>
      <c r="DF56" s="7">
        <f t="shared" si="223"/>
        <v>3.4899661733333338</v>
      </c>
      <c r="DG56" s="7">
        <f t="shared" si="223"/>
        <v>3.4792412866666664</v>
      </c>
      <c r="DH56" s="7">
        <f t="shared" si="223"/>
        <v>3.4696644066666669</v>
      </c>
      <c r="DI56" s="7">
        <f t="shared" si="223"/>
        <v>3.4611794933333333</v>
      </c>
    </row>
    <row r="57" spans="1:113" x14ac:dyDescent="0.25">
      <c r="BA57" t="str">
        <f>BA49</f>
        <v>November MPR</v>
      </c>
      <c r="BB57" s="7" t="e">
        <f>HLOOKUP(BB$54,$BB$42:$CW$45,4,FALSE)</f>
        <v>#N/A</v>
      </c>
      <c r="BC57" s="7" t="e">
        <f t="shared" ref="BC57:DI57" si="224">HLOOKUP(BC$54,$BB$42:$CW$45,4,FALSE)</f>
        <v>#N/A</v>
      </c>
      <c r="BD57" s="7" t="e">
        <f t="shared" si="224"/>
        <v>#N/A</v>
      </c>
      <c r="BE57" s="7" t="e">
        <f t="shared" si="224"/>
        <v>#N/A</v>
      </c>
      <c r="BF57" s="7" t="e">
        <f t="shared" si="224"/>
        <v>#N/A</v>
      </c>
      <c r="BG57" s="7" t="e">
        <f t="shared" si="224"/>
        <v>#N/A</v>
      </c>
      <c r="BH57" s="7" t="e">
        <f t="shared" si="224"/>
        <v>#N/A</v>
      </c>
      <c r="BI57" s="7" t="e">
        <f t="shared" si="224"/>
        <v>#N/A</v>
      </c>
      <c r="BJ57" s="7" t="e">
        <f t="shared" si="224"/>
        <v>#N/A</v>
      </c>
      <c r="BK57" s="7" t="e">
        <f t="shared" si="224"/>
        <v>#N/A</v>
      </c>
      <c r="BL57" s="7" t="e">
        <f t="shared" si="224"/>
        <v>#N/A</v>
      </c>
      <c r="BM57" s="7" t="e">
        <f t="shared" si="224"/>
        <v>#N/A</v>
      </c>
      <c r="BN57" s="7" t="e">
        <f t="shared" si="224"/>
        <v>#N/A</v>
      </c>
      <c r="BO57" s="7" t="e">
        <f t="shared" si="224"/>
        <v>#N/A</v>
      </c>
      <c r="BP57" s="7" t="e">
        <f t="shared" si="224"/>
        <v>#N/A</v>
      </c>
      <c r="BQ57" s="7" t="e">
        <f t="shared" si="224"/>
        <v>#N/A</v>
      </c>
      <c r="BR57" s="7" t="e">
        <f t="shared" si="224"/>
        <v>#N/A</v>
      </c>
      <c r="BS57" s="7" t="e">
        <f t="shared" si="224"/>
        <v>#N/A</v>
      </c>
      <c r="BT57" s="7" t="e">
        <f t="shared" si="224"/>
        <v>#N/A</v>
      </c>
      <c r="BU57" s="7" t="e">
        <f t="shared" si="224"/>
        <v>#N/A</v>
      </c>
      <c r="BV57" s="7" t="e">
        <f t="shared" si="224"/>
        <v>#N/A</v>
      </c>
      <c r="BW57" s="7" t="e">
        <f t="shared" si="224"/>
        <v>#N/A</v>
      </c>
      <c r="BX57" s="7" t="e">
        <f t="shared" si="224"/>
        <v>#N/A</v>
      </c>
      <c r="BY57" s="7" t="e">
        <f t="shared" si="224"/>
        <v>#N/A</v>
      </c>
      <c r="BZ57" s="7" t="e">
        <f t="shared" si="224"/>
        <v>#N/A</v>
      </c>
      <c r="CA57" s="7" t="e">
        <f t="shared" si="224"/>
        <v>#N/A</v>
      </c>
      <c r="CB57" s="7" t="e">
        <f t="shared" si="224"/>
        <v>#N/A</v>
      </c>
      <c r="CC57" s="7" t="e">
        <f t="shared" si="224"/>
        <v>#N/A</v>
      </c>
      <c r="CD57" s="7" t="e">
        <f t="shared" si="224"/>
        <v>#N/A</v>
      </c>
      <c r="CE57" s="7" t="e">
        <f t="shared" si="224"/>
        <v>#N/A</v>
      </c>
      <c r="CF57" s="7" t="e">
        <f t="shared" si="224"/>
        <v>#N/A</v>
      </c>
      <c r="CG57" s="7" t="e">
        <f t="shared" si="224"/>
        <v>#N/A</v>
      </c>
      <c r="CH57" s="7" t="e">
        <f t="shared" si="224"/>
        <v>#N/A</v>
      </c>
      <c r="CI57" s="7" t="e">
        <f t="shared" si="224"/>
        <v>#N/A</v>
      </c>
      <c r="CJ57" s="7" t="e">
        <f t="shared" si="224"/>
        <v>#N/A</v>
      </c>
      <c r="CK57" s="7" t="e">
        <f t="shared" si="224"/>
        <v>#N/A</v>
      </c>
      <c r="CL57" s="7" t="e">
        <f t="shared" si="224"/>
        <v>#N/A</v>
      </c>
      <c r="CM57" s="7" t="e">
        <f t="shared" si="224"/>
        <v>#N/A</v>
      </c>
      <c r="CN57" s="7" t="e">
        <f t="shared" si="224"/>
        <v>#N/A</v>
      </c>
      <c r="CO57" s="7" t="e">
        <f t="shared" si="224"/>
        <v>#N/A</v>
      </c>
      <c r="CP57" s="7" t="e">
        <f t="shared" si="224"/>
        <v>#N/A</v>
      </c>
      <c r="CQ57" s="7" t="e">
        <f t="shared" si="224"/>
        <v>#N/A</v>
      </c>
      <c r="CR57" s="7" t="e">
        <f t="shared" si="224"/>
        <v>#N/A</v>
      </c>
      <c r="CS57" s="7" t="e">
        <f t="shared" si="224"/>
        <v>#N/A</v>
      </c>
      <c r="CT57" s="7" t="e">
        <f t="shared" si="224"/>
        <v>#N/A</v>
      </c>
      <c r="CU57" s="7" t="e">
        <f t="shared" si="224"/>
        <v>#N/A</v>
      </c>
      <c r="CV57" s="7" t="e">
        <f t="shared" si="224"/>
        <v>#N/A</v>
      </c>
      <c r="CW57" s="7" t="e">
        <f t="shared" si="224"/>
        <v>#N/A</v>
      </c>
      <c r="CX57" s="7" t="e">
        <f t="shared" si="224"/>
        <v>#N/A</v>
      </c>
      <c r="CY57" s="7" t="e">
        <f t="shared" si="224"/>
        <v>#N/A</v>
      </c>
      <c r="CZ57" s="7" t="e">
        <f t="shared" si="224"/>
        <v>#N/A</v>
      </c>
      <c r="DA57" s="7" t="e">
        <f t="shared" si="224"/>
        <v>#N/A</v>
      </c>
      <c r="DB57" s="7" t="e">
        <f t="shared" si="224"/>
        <v>#N/A</v>
      </c>
      <c r="DC57" s="7" t="e">
        <f t="shared" si="224"/>
        <v>#N/A</v>
      </c>
      <c r="DD57" s="7" t="e">
        <f t="shared" si="224"/>
        <v>#N/A</v>
      </c>
      <c r="DE57" s="7" t="e">
        <f t="shared" si="224"/>
        <v>#N/A</v>
      </c>
      <c r="DF57" s="7" t="e">
        <f t="shared" si="224"/>
        <v>#N/A</v>
      </c>
      <c r="DG57" s="7" t="e">
        <f t="shared" si="224"/>
        <v>#N/A</v>
      </c>
      <c r="DH57" s="7" t="e">
        <f t="shared" si="224"/>
        <v>#N/A</v>
      </c>
      <c r="DI57" s="7" t="e">
        <f t="shared" si="224"/>
        <v>#N/A</v>
      </c>
    </row>
    <row r="58" spans="1:113" x14ac:dyDescent="0.25">
      <c r="BA58" t="s">
        <v>960</v>
      </c>
      <c r="BQ58" s="7" t="e">
        <f>BQ57-BQ56</f>
        <v>#N/A</v>
      </c>
      <c r="BR58" s="7" t="e">
        <f t="shared" ref="BR58:DI58" si="225">BR57-BR56</f>
        <v>#N/A</v>
      </c>
      <c r="BS58" s="7" t="e">
        <f t="shared" si="225"/>
        <v>#N/A</v>
      </c>
      <c r="BT58" s="7" t="e">
        <f t="shared" si="225"/>
        <v>#N/A</v>
      </c>
      <c r="BU58" s="7" t="e">
        <f t="shared" si="225"/>
        <v>#N/A</v>
      </c>
      <c r="BV58" s="7" t="e">
        <f t="shared" si="225"/>
        <v>#N/A</v>
      </c>
      <c r="BW58" s="7" t="e">
        <f t="shared" si="225"/>
        <v>#N/A</v>
      </c>
      <c r="BX58" s="7" t="e">
        <f t="shared" si="225"/>
        <v>#N/A</v>
      </c>
      <c r="BY58" s="7" t="e">
        <f t="shared" si="225"/>
        <v>#N/A</v>
      </c>
      <c r="BZ58" s="7" t="e">
        <f t="shared" si="225"/>
        <v>#N/A</v>
      </c>
      <c r="CA58" s="7" t="e">
        <f t="shared" si="225"/>
        <v>#N/A</v>
      </c>
      <c r="CB58" s="7" t="e">
        <f t="shared" si="225"/>
        <v>#N/A</v>
      </c>
      <c r="CC58" s="7" t="e">
        <f t="shared" si="225"/>
        <v>#N/A</v>
      </c>
      <c r="CD58" s="7" t="e">
        <f t="shared" si="225"/>
        <v>#N/A</v>
      </c>
      <c r="CE58" s="7" t="e">
        <f t="shared" si="225"/>
        <v>#N/A</v>
      </c>
      <c r="CF58" s="7" t="e">
        <f t="shared" si="225"/>
        <v>#N/A</v>
      </c>
      <c r="CG58" s="7" t="e">
        <f t="shared" si="225"/>
        <v>#N/A</v>
      </c>
      <c r="CH58" s="7" t="e">
        <f t="shared" si="225"/>
        <v>#N/A</v>
      </c>
      <c r="CI58" s="7" t="e">
        <f t="shared" si="225"/>
        <v>#N/A</v>
      </c>
      <c r="CJ58" s="7" t="e">
        <f t="shared" si="225"/>
        <v>#N/A</v>
      </c>
      <c r="CK58" s="7" t="e">
        <f t="shared" si="225"/>
        <v>#N/A</v>
      </c>
      <c r="CL58" s="7" t="e">
        <f t="shared" si="225"/>
        <v>#N/A</v>
      </c>
      <c r="CM58" s="7" t="e">
        <f t="shared" si="225"/>
        <v>#N/A</v>
      </c>
      <c r="CN58" s="7" t="e">
        <f t="shared" si="225"/>
        <v>#N/A</v>
      </c>
      <c r="CO58" s="7" t="e">
        <f t="shared" si="225"/>
        <v>#N/A</v>
      </c>
      <c r="CP58" s="7" t="e">
        <f t="shared" si="225"/>
        <v>#N/A</v>
      </c>
      <c r="CQ58" s="7" t="e">
        <f t="shared" si="225"/>
        <v>#N/A</v>
      </c>
      <c r="CR58" s="7" t="e">
        <f t="shared" si="225"/>
        <v>#N/A</v>
      </c>
      <c r="CS58" s="7" t="e">
        <f t="shared" si="225"/>
        <v>#N/A</v>
      </c>
      <c r="CT58" s="7" t="e">
        <f t="shared" si="225"/>
        <v>#N/A</v>
      </c>
      <c r="CU58" s="7" t="e">
        <f t="shared" si="225"/>
        <v>#N/A</v>
      </c>
      <c r="CV58" s="7" t="e">
        <f t="shared" si="225"/>
        <v>#N/A</v>
      </c>
      <c r="CW58" s="7" t="e">
        <f t="shared" si="225"/>
        <v>#N/A</v>
      </c>
      <c r="CX58" s="7" t="e">
        <f t="shared" si="225"/>
        <v>#N/A</v>
      </c>
      <c r="CY58" s="7" t="e">
        <f t="shared" si="225"/>
        <v>#N/A</v>
      </c>
      <c r="CZ58" s="7" t="e">
        <f t="shared" si="225"/>
        <v>#N/A</v>
      </c>
      <c r="DA58" s="7" t="e">
        <f t="shared" si="225"/>
        <v>#N/A</v>
      </c>
      <c r="DB58" s="7" t="e">
        <f t="shared" si="225"/>
        <v>#N/A</v>
      </c>
      <c r="DC58" s="7" t="e">
        <f t="shared" si="225"/>
        <v>#N/A</v>
      </c>
      <c r="DD58" s="7" t="e">
        <f t="shared" si="225"/>
        <v>#N/A</v>
      </c>
      <c r="DE58" s="7" t="e">
        <f t="shared" si="225"/>
        <v>#N/A</v>
      </c>
      <c r="DF58" s="7" t="e">
        <f t="shared" si="225"/>
        <v>#N/A</v>
      </c>
      <c r="DG58" s="7" t="e">
        <f t="shared" si="225"/>
        <v>#N/A</v>
      </c>
      <c r="DH58" s="7" t="e">
        <f t="shared" si="225"/>
        <v>#N/A</v>
      </c>
      <c r="DI58" s="7" t="e">
        <f t="shared" si="225"/>
        <v>#N/A</v>
      </c>
    </row>
    <row r="59" spans="1:113" x14ac:dyDescent="0.25">
      <c r="BA59" t="s">
        <v>961</v>
      </c>
      <c r="CZ59" s="7" t="e">
        <f>AVERAGE(BQ58:CZ58)</f>
        <v>#N/A</v>
      </c>
    </row>
    <row r="61" spans="1:113" x14ac:dyDescent="0.25">
      <c r="BA61" s="8" t="s">
        <v>962</v>
      </c>
    </row>
    <row r="62" spans="1:113" x14ac:dyDescent="0.25">
      <c r="BA62" s="8"/>
      <c r="BB62" s="6">
        <v>44927</v>
      </c>
      <c r="BC62" s="6">
        <v>45017</v>
      </c>
      <c r="BD62" s="6">
        <v>45108</v>
      </c>
      <c r="BE62" s="6">
        <v>45200</v>
      </c>
      <c r="BF62" s="6">
        <v>45292</v>
      </c>
      <c r="BG62" s="6">
        <v>45383</v>
      </c>
      <c r="BH62" s="6">
        <v>45474</v>
      </c>
      <c r="BI62" s="6">
        <v>45566</v>
      </c>
      <c r="BJ62" s="6">
        <v>45658</v>
      </c>
      <c r="BK62" s="6">
        <v>45748</v>
      </c>
      <c r="BL62" s="6">
        <v>45839</v>
      </c>
      <c r="BM62" s="6">
        <v>45931</v>
      </c>
      <c r="BN62" s="6">
        <v>46023</v>
      </c>
      <c r="BO62" s="6">
        <v>46113</v>
      </c>
      <c r="BP62" s="6">
        <v>46204</v>
      </c>
      <c r="BQ62" s="6">
        <v>46296</v>
      </c>
      <c r="BR62" s="6">
        <v>46388</v>
      </c>
      <c r="BS62" s="6">
        <v>46478</v>
      </c>
      <c r="BT62" s="6">
        <v>46569</v>
      </c>
      <c r="BU62" s="6">
        <v>46661</v>
      </c>
    </row>
    <row r="63" spans="1:113" x14ac:dyDescent="0.25">
      <c r="BB63">
        <v>202301</v>
      </c>
      <c r="BC63">
        <f>IF(RIGHT(BB63)="4",BB63+97,BB63+1)</f>
        <v>202302</v>
      </c>
      <c r="BD63">
        <f t="shared" ref="BD63:BU63" si="226">IF(RIGHT(BC63)="4",BC63+97,BC63+1)</f>
        <v>202303</v>
      </c>
      <c r="BE63">
        <f t="shared" si="226"/>
        <v>202304</v>
      </c>
      <c r="BF63">
        <f t="shared" si="226"/>
        <v>202401</v>
      </c>
      <c r="BG63">
        <f t="shared" si="226"/>
        <v>202402</v>
      </c>
      <c r="BH63">
        <f t="shared" si="226"/>
        <v>202403</v>
      </c>
      <c r="BI63">
        <f t="shared" si="226"/>
        <v>202404</v>
      </c>
      <c r="BJ63">
        <f t="shared" si="226"/>
        <v>202501</v>
      </c>
      <c r="BK63">
        <f t="shared" si="226"/>
        <v>202502</v>
      </c>
      <c r="BL63">
        <f t="shared" si="226"/>
        <v>202503</v>
      </c>
      <c r="BM63">
        <f t="shared" si="226"/>
        <v>202504</v>
      </c>
      <c r="BN63">
        <f t="shared" si="226"/>
        <v>202601</v>
      </c>
      <c r="BO63">
        <f>IF(RIGHT(BN63)="4",BN63+97,BN63+1)</f>
        <v>202602</v>
      </c>
      <c r="BP63">
        <f t="shared" si="226"/>
        <v>202603</v>
      </c>
      <c r="BQ63">
        <f t="shared" si="226"/>
        <v>202604</v>
      </c>
      <c r="BR63">
        <f t="shared" si="226"/>
        <v>202701</v>
      </c>
      <c r="BS63">
        <f t="shared" si="226"/>
        <v>202702</v>
      </c>
      <c r="BT63">
        <f t="shared" si="226"/>
        <v>202703</v>
      </c>
      <c r="BU63">
        <f t="shared" si="226"/>
        <v>202704</v>
      </c>
    </row>
    <row r="64" spans="1:113" x14ac:dyDescent="0.25">
      <c r="BA64" t="s">
        <v>944</v>
      </c>
      <c r="BB64" s="7">
        <f>AVERAGEIF(HAVERD!$F:$F,'Market expectations'!BB63,HAVERD!$H:$H)</f>
        <v>3.85</v>
      </c>
      <c r="BC64" s="7">
        <f>AVERAGEIF(HAVERD!$F:$F,'Market expectations'!BC63,HAVERD!$H:$H)</f>
        <v>4.4461538461538463</v>
      </c>
      <c r="BD64" s="7">
        <f>AVERAGEIF(HAVERD!$F:$F,'Market expectations'!BD63,HAVERD!$H:$H)</f>
        <v>5.1615384615384619</v>
      </c>
      <c r="BE64" s="7">
        <f>AVERAGEIF(HAVERD!$F:$F,'Market expectations'!BE63,HAVERD!$H:$H)</f>
        <v>5.25</v>
      </c>
      <c r="BF64" s="7">
        <f>AVERAGEIF(HAVERD!$F:$F,'Market expectations'!BF63,HAVERD!$H:$H)</f>
        <v>5.25</v>
      </c>
      <c r="BG64" s="7">
        <f>AVERAGEIF(HAVERD!$F:$F,'Market expectations'!BG63,HAVERD!$H:$H)</f>
        <v>5.25</v>
      </c>
      <c r="BH64" s="7"/>
    </row>
    <row r="65" spans="53:73" x14ac:dyDescent="0.25">
      <c r="BA65" t="str">
        <f>A49</f>
        <v>August MPR</v>
      </c>
      <c r="BB65" s="7" t="e">
        <f t="shared" ref="BB65:BU65" si="227">HLOOKUP(BB$63,$B$48:$R$49,2,FALSE)</f>
        <v>#N/A</v>
      </c>
      <c r="BC65" s="7" t="e">
        <f t="shared" si="227"/>
        <v>#N/A</v>
      </c>
      <c r="BD65" s="7" t="e">
        <f t="shared" si="227"/>
        <v>#N/A</v>
      </c>
      <c r="BE65" s="7" t="e">
        <f t="shared" si="227"/>
        <v>#N/A</v>
      </c>
      <c r="BF65" s="26">
        <f>BF64</f>
        <v>5.25</v>
      </c>
      <c r="BG65" s="7" t="e">
        <f t="shared" si="227"/>
        <v>#N/A</v>
      </c>
      <c r="BH65" s="7">
        <f t="shared" si="227"/>
        <v>5.1132151422222227</v>
      </c>
      <c r="BI65" s="7">
        <f t="shared" si="227"/>
        <v>4.8863449888888892</v>
      </c>
      <c r="BJ65" s="7">
        <f t="shared" si="227"/>
        <v>4.6336645066666673</v>
      </c>
      <c r="BK65" s="7">
        <f t="shared" si="227"/>
        <v>4.4108280800000008</v>
      </c>
      <c r="BL65" s="7">
        <f t="shared" si="227"/>
        <v>4.2411693577777774</v>
      </c>
      <c r="BM65" s="7">
        <f t="shared" si="227"/>
        <v>4.1022736577777765</v>
      </c>
      <c r="BN65" s="7">
        <f t="shared" si="227"/>
        <v>3.9779006044444443</v>
      </c>
      <c r="BO65" s="7">
        <f t="shared" si="227"/>
        <v>3.8620146155555553</v>
      </c>
      <c r="BP65" s="7">
        <f t="shared" si="227"/>
        <v>3.7592501911111107</v>
      </c>
      <c r="BQ65" s="7">
        <f t="shared" si="227"/>
        <v>3.6729731622222226</v>
      </c>
      <c r="BR65" s="7">
        <f t="shared" si="227"/>
        <v>3.6023441244444441</v>
      </c>
      <c r="BS65" s="7">
        <f t="shared" si="227"/>
        <v>3.5459346422222224</v>
      </c>
      <c r="BT65" s="7">
        <f t="shared" si="227"/>
        <v>3.5023152022222224</v>
      </c>
      <c r="BU65" s="7">
        <f t="shared" si="227"/>
        <v>3.4700283955555555</v>
      </c>
    </row>
    <row r="66" spans="53:73" x14ac:dyDescent="0.25">
      <c r="BA66" t="str">
        <f>BA49</f>
        <v>November MPR</v>
      </c>
      <c r="BB66" s="7" t="e">
        <f t="shared" ref="BB66:BU66" si="228">HLOOKUP(BB$63,$BB$48:$BR$49,2,FALSE)</f>
        <v>#N/A</v>
      </c>
      <c r="BC66" s="7" t="e">
        <f t="shared" si="228"/>
        <v>#N/A</v>
      </c>
      <c r="BD66" s="7" t="e">
        <f t="shared" si="228"/>
        <v>#N/A</v>
      </c>
      <c r="BE66" s="7" t="e">
        <f t="shared" si="228"/>
        <v>#N/A</v>
      </c>
      <c r="BF66" s="7" t="e">
        <f t="shared" si="228"/>
        <v>#N/A</v>
      </c>
      <c r="BG66" s="26">
        <f>BG64</f>
        <v>5.25</v>
      </c>
      <c r="BH66" s="7" t="e">
        <f t="shared" si="228"/>
        <v>#N/A</v>
      </c>
      <c r="BI66" s="7" t="e">
        <f t="shared" si="228"/>
        <v>#N/A</v>
      </c>
      <c r="BJ66" s="7" t="e">
        <f t="shared" si="228"/>
        <v>#N/A</v>
      </c>
      <c r="BK66" s="7" t="e">
        <f t="shared" si="228"/>
        <v>#N/A</v>
      </c>
      <c r="BL66" s="7" t="e">
        <f t="shared" si="228"/>
        <v>#N/A</v>
      </c>
      <c r="BM66" s="7" t="e">
        <f t="shared" si="228"/>
        <v>#N/A</v>
      </c>
      <c r="BN66" s="7" t="e">
        <f t="shared" si="228"/>
        <v>#N/A</v>
      </c>
      <c r="BO66" s="7" t="e">
        <f t="shared" si="228"/>
        <v>#N/A</v>
      </c>
      <c r="BP66" s="7" t="e">
        <f t="shared" si="228"/>
        <v>#N/A</v>
      </c>
      <c r="BQ66" s="7" t="e">
        <f t="shared" si="228"/>
        <v>#N/A</v>
      </c>
      <c r="BR66" s="7" t="e">
        <f t="shared" si="228"/>
        <v>#N/A</v>
      </c>
      <c r="BS66" s="7" t="e">
        <f t="shared" si="228"/>
        <v>#N/A</v>
      </c>
      <c r="BT66" s="7" t="e">
        <f t="shared" si="228"/>
        <v>#N/A</v>
      </c>
      <c r="BU66" s="7" t="e">
        <f t="shared" si="228"/>
        <v>#N/A</v>
      </c>
    </row>
    <row r="67" spans="53:73" x14ac:dyDescent="0.25">
      <c r="BA67" t="s">
        <v>960</v>
      </c>
      <c r="BH67" s="7" t="e">
        <f>BH66-BH65</f>
        <v>#N/A</v>
      </c>
      <c r="BI67" s="7" t="e">
        <f t="shared" ref="BI67:BU67" si="229">BI66-BI65</f>
        <v>#N/A</v>
      </c>
      <c r="BJ67" s="7" t="e">
        <f t="shared" si="229"/>
        <v>#N/A</v>
      </c>
      <c r="BK67" s="7" t="e">
        <f t="shared" si="229"/>
        <v>#N/A</v>
      </c>
      <c r="BL67" s="7" t="e">
        <f t="shared" si="229"/>
        <v>#N/A</v>
      </c>
      <c r="BM67" s="7" t="e">
        <f t="shared" si="229"/>
        <v>#N/A</v>
      </c>
      <c r="BN67" s="7" t="e">
        <f t="shared" si="229"/>
        <v>#N/A</v>
      </c>
      <c r="BO67" s="7" t="e">
        <f t="shared" si="229"/>
        <v>#N/A</v>
      </c>
      <c r="BP67" s="7" t="e">
        <f t="shared" si="229"/>
        <v>#N/A</v>
      </c>
      <c r="BQ67" s="7" t="e">
        <f t="shared" si="229"/>
        <v>#N/A</v>
      </c>
      <c r="BR67" s="7" t="e">
        <f t="shared" si="229"/>
        <v>#N/A</v>
      </c>
      <c r="BS67" s="7" t="e">
        <f t="shared" si="229"/>
        <v>#N/A</v>
      </c>
      <c r="BT67" s="7" t="e">
        <f t="shared" si="229"/>
        <v>#N/A</v>
      </c>
      <c r="BU67" s="7" t="e">
        <f t="shared" si="229"/>
        <v>#N/A</v>
      </c>
    </row>
    <row r="68" spans="53:73" x14ac:dyDescent="0.25">
      <c r="BA68" t="s">
        <v>961</v>
      </c>
      <c r="BS68" s="7" t="e">
        <f>AVERAGE(BH67:BS67)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9636-D319-41C4-BEAE-30B87769AD64}">
  <dimension ref="A1:N60"/>
  <sheetViews>
    <sheetView workbookViewId="0">
      <pane xSplit="1" ySplit="6" topLeftCell="B39" activePane="bottomRight" state="frozen"/>
      <selection pane="topRight" activeCell="B1" sqref="B1"/>
      <selection pane="bottomLeft" activeCell="A7" sqref="A7"/>
      <selection pane="bottomRight" activeCell="C48" sqref="C48"/>
    </sheetView>
  </sheetViews>
  <sheetFormatPr defaultColWidth="9.140625" defaultRowHeight="15" x14ac:dyDescent="0.25"/>
  <cols>
    <col min="1" max="1" width="22.85546875" style="19" customWidth="1"/>
    <col min="2" max="6" width="14.5703125" style="19" customWidth="1"/>
    <col min="7" max="7" width="5.140625" style="19" customWidth="1"/>
    <col min="8" max="13" width="14.5703125" style="19" customWidth="1"/>
    <col min="14" max="16384" width="9.140625" style="19"/>
  </cols>
  <sheetData>
    <row r="1" spans="1:14" x14ac:dyDescent="0.25">
      <c r="A1" s="18" t="s">
        <v>0</v>
      </c>
    </row>
    <row r="2" spans="1:14" x14ac:dyDescent="0.25">
      <c r="A2" s="20"/>
    </row>
    <row r="3" spans="1:14" x14ac:dyDescent="0.25">
      <c r="A3" s="21" t="s">
        <v>1401</v>
      </c>
    </row>
    <row r="4" spans="1:14" x14ac:dyDescent="0.25">
      <c r="A4" s="21"/>
    </row>
    <row r="5" spans="1:14" x14ac:dyDescent="0.25">
      <c r="B5" s="103" t="s">
        <v>770</v>
      </c>
      <c r="C5" s="103"/>
      <c r="D5" s="103"/>
      <c r="E5" s="103"/>
      <c r="F5" s="103"/>
      <c r="H5" s="103" t="s">
        <v>771</v>
      </c>
      <c r="I5" s="103"/>
      <c r="J5" s="103"/>
      <c r="K5" s="103"/>
      <c r="L5" s="103"/>
      <c r="M5" s="103"/>
    </row>
    <row r="6" spans="1:14" ht="33" customHeight="1" x14ac:dyDescent="0.25">
      <c r="A6" s="22" t="s">
        <v>1</v>
      </c>
      <c r="B6" s="25" t="s">
        <v>772</v>
      </c>
      <c r="C6" s="25" t="s">
        <v>1402</v>
      </c>
      <c r="D6" s="25" t="s">
        <v>2</v>
      </c>
      <c r="E6" s="25" t="s">
        <v>3</v>
      </c>
      <c r="F6" s="25" t="s">
        <v>4</v>
      </c>
      <c r="H6" s="25" t="s">
        <v>772</v>
      </c>
      <c r="I6" s="25" t="s">
        <v>1402</v>
      </c>
      <c r="J6" s="25" t="s">
        <v>2</v>
      </c>
      <c r="K6" s="25" t="s">
        <v>3</v>
      </c>
      <c r="L6" s="25" t="s">
        <v>4</v>
      </c>
      <c r="M6" s="25" t="s">
        <v>1457</v>
      </c>
    </row>
    <row r="7" spans="1:14" x14ac:dyDescent="0.25">
      <c r="A7" s="1">
        <v>44227</v>
      </c>
      <c r="B7" s="23">
        <v>-0.1</v>
      </c>
      <c r="C7" s="23">
        <v>-0.3</v>
      </c>
      <c r="D7" s="23">
        <v>-0.3</v>
      </c>
      <c r="E7" s="23">
        <v>0.4</v>
      </c>
      <c r="F7" s="23">
        <v>0.8</v>
      </c>
      <c r="H7" s="23">
        <v>-0.7</v>
      </c>
      <c r="I7" s="23">
        <v>-8.4</v>
      </c>
      <c r="J7" s="23">
        <v>-8.1999999999999993</v>
      </c>
      <c r="K7" s="23">
        <v>1.4</v>
      </c>
      <c r="L7" s="23">
        <v>1.7</v>
      </c>
      <c r="M7" s="23">
        <v>0.7</v>
      </c>
      <c r="N7" s="24"/>
    </row>
    <row r="8" spans="1:14" x14ac:dyDescent="0.25">
      <c r="A8" s="1">
        <v>44255</v>
      </c>
      <c r="B8" s="23">
        <v>0</v>
      </c>
      <c r="C8" s="23">
        <v>-0.3</v>
      </c>
      <c r="D8" s="23">
        <v>-0.1</v>
      </c>
      <c r="E8" s="23">
        <v>0.1</v>
      </c>
      <c r="F8" s="23">
        <v>0.7</v>
      </c>
      <c r="H8" s="23">
        <v>-0.6</v>
      </c>
      <c r="I8" s="23">
        <v>-7.9</v>
      </c>
      <c r="J8" s="23">
        <v>-3.5</v>
      </c>
      <c r="K8" s="23">
        <v>0.5</v>
      </c>
      <c r="L8" s="23">
        <v>1.5</v>
      </c>
      <c r="M8" s="23">
        <v>0.4</v>
      </c>
      <c r="N8" s="24"/>
    </row>
    <row r="9" spans="1:14" x14ac:dyDescent="0.25">
      <c r="A9" s="1">
        <v>44286</v>
      </c>
      <c r="B9" s="23">
        <v>-0.1</v>
      </c>
      <c r="C9" s="23">
        <v>-0.2</v>
      </c>
      <c r="D9" s="23">
        <v>0.1</v>
      </c>
      <c r="E9" s="23">
        <v>0.3</v>
      </c>
      <c r="F9" s="23">
        <v>0.7</v>
      </c>
      <c r="H9" s="23">
        <v>-1.4</v>
      </c>
      <c r="I9" s="23">
        <v>-7.3</v>
      </c>
      <c r="J9" s="23">
        <v>3.5</v>
      </c>
      <c r="K9" s="23">
        <v>0.9</v>
      </c>
      <c r="L9" s="23">
        <v>1.5</v>
      </c>
      <c r="M9" s="23">
        <v>0.7</v>
      </c>
      <c r="N9" s="24"/>
    </row>
    <row r="10" spans="1:14" x14ac:dyDescent="0.25">
      <c r="A10" s="1">
        <v>44316</v>
      </c>
      <c r="B10" s="23">
        <v>0</v>
      </c>
      <c r="C10" s="23">
        <v>0.1</v>
      </c>
      <c r="D10" s="23">
        <v>0.4</v>
      </c>
      <c r="E10" s="23">
        <v>0.4</v>
      </c>
      <c r="F10" s="23">
        <v>0.7</v>
      </c>
      <c r="H10" s="23">
        <v>-0.4</v>
      </c>
      <c r="I10" s="23">
        <v>2.4</v>
      </c>
      <c r="J10" s="23">
        <v>13.6</v>
      </c>
      <c r="K10" s="23">
        <v>1.2</v>
      </c>
      <c r="L10" s="23">
        <v>1.6</v>
      </c>
      <c r="M10" s="23">
        <v>1.5</v>
      </c>
      <c r="N10" s="24"/>
    </row>
    <row r="11" spans="1:14" x14ac:dyDescent="0.25">
      <c r="A11" s="1">
        <v>44347</v>
      </c>
      <c r="B11" s="23">
        <v>-0.1</v>
      </c>
      <c r="C11" s="23">
        <v>0.1</v>
      </c>
      <c r="D11" s="23">
        <v>0.5</v>
      </c>
      <c r="E11" s="23">
        <v>0.8</v>
      </c>
      <c r="F11" s="23">
        <v>0.9</v>
      </c>
      <c r="H11" s="23">
        <v>-1.3</v>
      </c>
      <c r="I11" s="23">
        <v>2.6</v>
      </c>
      <c r="J11" s="23">
        <v>17.899999999999999</v>
      </c>
      <c r="K11" s="23">
        <v>2.2000000000000002</v>
      </c>
      <c r="L11" s="23">
        <v>1.9</v>
      </c>
      <c r="M11" s="23">
        <v>2.1</v>
      </c>
      <c r="N11" s="24"/>
    </row>
    <row r="12" spans="1:14" x14ac:dyDescent="0.25">
      <c r="A12" s="1">
        <v>44377</v>
      </c>
      <c r="B12" s="23">
        <v>0</v>
      </c>
      <c r="C12" s="23">
        <v>0.1</v>
      </c>
      <c r="D12" s="23">
        <v>0.5</v>
      </c>
      <c r="E12" s="23">
        <v>1</v>
      </c>
      <c r="F12" s="23">
        <v>0.9</v>
      </c>
      <c r="H12" s="23">
        <v>-0.6</v>
      </c>
      <c r="I12" s="23">
        <v>2.5</v>
      </c>
      <c r="J12" s="23">
        <v>20.3</v>
      </c>
      <c r="K12" s="23">
        <v>2.7</v>
      </c>
      <c r="L12" s="23">
        <v>2.1</v>
      </c>
      <c r="M12" s="23">
        <v>2.5</v>
      </c>
      <c r="N12" s="24"/>
    </row>
    <row r="13" spans="1:14" x14ac:dyDescent="0.25">
      <c r="A13" s="1">
        <v>44408</v>
      </c>
      <c r="B13" s="23">
        <v>-0.1</v>
      </c>
      <c r="C13" s="23">
        <v>0.1</v>
      </c>
      <c r="D13" s="23">
        <v>0.5</v>
      </c>
      <c r="E13" s="23">
        <v>0.8</v>
      </c>
      <c r="F13" s="23">
        <v>0.7</v>
      </c>
      <c r="H13" s="23">
        <v>-0.6</v>
      </c>
      <c r="I13" s="23">
        <v>2.6</v>
      </c>
      <c r="J13" s="23">
        <v>17.7</v>
      </c>
      <c r="K13" s="23">
        <v>2.2999999999999998</v>
      </c>
      <c r="L13" s="23">
        <v>1.6</v>
      </c>
      <c r="M13" s="23">
        <v>2</v>
      </c>
      <c r="N13" s="24"/>
    </row>
    <row r="14" spans="1:14" x14ac:dyDescent="0.25">
      <c r="A14" s="1">
        <v>44439</v>
      </c>
      <c r="B14" s="23">
        <v>0.1</v>
      </c>
      <c r="C14" s="23">
        <v>0.1</v>
      </c>
      <c r="D14" s="23">
        <v>0.5</v>
      </c>
      <c r="E14" s="23">
        <v>1.2</v>
      </c>
      <c r="F14" s="23">
        <v>1.4</v>
      </c>
      <c r="H14" s="23">
        <v>0.3</v>
      </c>
      <c r="I14" s="23">
        <v>2.6</v>
      </c>
      <c r="J14" s="23">
        <v>17.7</v>
      </c>
      <c r="K14" s="23">
        <v>3.2</v>
      </c>
      <c r="L14" s="23">
        <v>3</v>
      </c>
      <c r="M14" s="23">
        <v>3.2</v>
      </c>
      <c r="N14" s="24"/>
    </row>
    <row r="15" spans="1:14" x14ac:dyDescent="0.25">
      <c r="A15" s="1">
        <v>44469</v>
      </c>
      <c r="B15" s="23">
        <v>0.1</v>
      </c>
      <c r="C15" s="23">
        <v>0.1</v>
      </c>
      <c r="D15" s="23">
        <v>0.5</v>
      </c>
      <c r="E15" s="23">
        <v>1.3</v>
      </c>
      <c r="F15" s="23">
        <v>1.1000000000000001</v>
      </c>
      <c r="H15" s="23">
        <v>0.8</v>
      </c>
      <c r="I15" s="23">
        <v>2.8</v>
      </c>
      <c r="J15" s="23">
        <v>17.8</v>
      </c>
      <c r="K15" s="23">
        <v>3.3</v>
      </c>
      <c r="L15" s="23">
        <v>2.6</v>
      </c>
      <c r="M15" s="23">
        <v>3.1</v>
      </c>
      <c r="N15" s="24"/>
    </row>
    <row r="16" spans="1:14" x14ac:dyDescent="0.25">
      <c r="A16" s="1">
        <v>44500</v>
      </c>
      <c r="B16" s="23">
        <v>0.2</v>
      </c>
      <c r="C16" s="23">
        <v>0.8</v>
      </c>
      <c r="D16" s="23">
        <v>0.6</v>
      </c>
      <c r="E16" s="23">
        <v>1.3</v>
      </c>
      <c r="F16" s="23">
        <v>1.4</v>
      </c>
      <c r="H16" s="23">
        <v>1.2</v>
      </c>
      <c r="I16" s="23">
        <v>22.9</v>
      </c>
      <c r="J16" s="23">
        <v>21.5</v>
      </c>
      <c r="K16" s="23">
        <v>3.4</v>
      </c>
      <c r="L16" s="23">
        <v>3.2</v>
      </c>
      <c r="M16" s="23">
        <v>4.2</v>
      </c>
      <c r="N16" s="24"/>
    </row>
    <row r="17" spans="1:14" x14ac:dyDescent="0.25">
      <c r="A17" s="1">
        <v>44530</v>
      </c>
      <c r="B17" s="23">
        <v>0.3</v>
      </c>
      <c r="C17" s="23">
        <v>0.8</v>
      </c>
      <c r="D17" s="23">
        <v>0.7</v>
      </c>
      <c r="E17" s="23">
        <v>1.9</v>
      </c>
      <c r="F17" s="23">
        <v>1.5</v>
      </c>
      <c r="H17" s="23">
        <v>2.5</v>
      </c>
      <c r="I17" s="23">
        <v>23.2</v>
      </c>
      <c r="J17" s="23">
        <v>28.5</v>
      </c>
      <c r="K17" s="23">
        <v>4.8</v>
      </c>
      <c r="L17" s="23">
        <v>3.3</v>
      </c>
      <c r="M17" s="23">
        <v>5.0999999999999996</v>
      </c>
      <c r="N17" s="24"/>
    </row>
    <row r="18" spans="1:14" x14ac:dyDescent="0.25">
      <c r="A18" s="1">
        <v>44561</v>
      </c>
      <c r="B18" s="23">
        <v>0.5</v>
      </c>
      <c r="C18" s="23">
        <v>0.7</v>
      </c>
      <c r="D18" s="23">
        <v>0.7</v>
      </c>
      <c r="E18" s="23">
        <v>2</v>
      </c>
      <c r="F18" s="23">
        <v>1.5</v>
      </c>
      <c r="H18" s="23">
        <v>4.2</v>
      </c>
      <c r="I18" s="23">
        <v>22.7</v>
      </c>
      <c r="J18" s="23">
        <v>26.8</v>
      </c>
      <c r="K18" s="23">
        <v>5</v>
      </c>
      <c r="L18" s="23">
        <v>3.4</v>
      </c>
      <c r="M18" s="23">
        <v>5.4</v>
      </c>
      <c r="N18" s="24"/>
    </row>
    <row r="19" spans="1:14" x14ac:dyDescent="0.25">
      <c r="A19" s="1">
        <v>44592</v>
      </c>
      <c r="B19" s="23">
        <v>0.5</v>
      </c>
      <c r="C19" s="23">
        <v>0.8</v>
      </c>
      <c r="D19" s="23">
        <v>0.6</v>
      </c>
      <c r="E19" s="23">
        <v>2.2000000000000002</v>
      </c>
      <c r="F19" s="23">
        <v>1.4</v>
      </c>
      <c r="H19" s="23">
        <v>4.3</v>
      </c>
      <c r="I19" s="23">
        <v>22.9</v>
      </c>
      <c r="J19" s="23">
        <v>23.6</v>
      </c>
      <c r="K19" s="23">
        <v>5.5</v>
      </c>
      <c r="L19" s="23">
        <v>3.2</v>
      </c>
      <c r="M19" s="23">
        <v>5.5</v>
      </c>
      <c r="N19" s="24"/>
    </row>
    <row r="20" spans="1:14" x14ac:dyDescent="0.25">
      <c r="A20" s="1">
        <v>44620</v>
      </c>
      <c r="B20" s="23">
        <v>0.6</v>
      </c>
      <c r="C20" s="23">
        <v>0.8</v>
      </c>
      <c r="D20" s="23">
        <v>0.6</v>
      </c>
      <c r="E20" s="23">
        <v>2.7</v>
      </c>
      <c r="F20" s="23">
        <v>1.5</v>
      </c>
      <c r="H20" s="23">
        <v>5.0999999999999996</v>
      </c>
      <c r="I20" s="23">
        <v>23.1</v>
      </c>
      <c r="J20" s="23">
        <v>22.3</v>
      </c>
      <c r="K20" s="23">
        <v>6.9</v>
      </c>
      <c r="L20" s="23">
        <v>3.5</v>
      </c>
      <c r="M20" s="23">
        <v>6.2</v>
      </c>
      <c r="N20" s="24"/>
    </row>
    <row r="21" spans="1:14" x14ac:dyDescent="0.25">
      <c r="A21" s="1">
        <v>44651</v>
      </c>
      <c r="B21" s="23">
        <v>0.7</v>
      </c>
      <c r="C21" s="23">
        <v>0.8</v>
      </c>
      <c r="D21" s="23">
        <v>0.9</v>
      </c>
      <c r="E21" s="23">
        <v>2.9</v>
      </c>
      <c r="F21" s="23">
        <v>1.8</v>
      </c>
      <c r="H21" s="23">
        <v>5.9</v>
      </c>
      <c r="I21" s="23">
        <v>24.8</v>
      </c>
      <c r="J21" s="23">
        <v>30.7</v>
      </c>
      <c r="K21" s="23">
        <v>7.5</v>
      </c>
      <c r="L21" s="23">
        <v>4</v>
      </c>
      <c r="M21" s="23">
        <v>7</v>
      </c>
      <c r="N21" s="24"/>
    </row>
    <row r="22" spans="1:14" x14ac:dyDescent="0.25">
      <c r="A22" s="1">
        <v>44681</v>
      </c>
      <c r="B22" s="23">
        <v>0.8</v>
      </c>
      <c r="C22" s="23">
        <v>2.2999999999999998</v>
      </c>
      <c r="D22" s="23">
        <v>0.9</v>
      </c>
      <c r="E22" s="23">
        <v>2.9</v>
      </c>
      <c r="F22" s="23">
        <v>2.1</v>
      </c>
      <c r="H22" s="23">
        <v>6.7</v>
      </c>
      <c r="I22" s="23">
        <v>69.599999999999994</v>
      </c>
      <c r="J22" s="23">
        <v>31.4</v>
      </c>
      <c r="K22" s="23">
        <v>7.6</v>
      </c>
      <c r="L22" s="23">
        <v>4.7</v>
      </c>
      <c r="M22" s="23">
        <v>9</v>
      </c>
      <c r="N22" s="24"/>
    </row>
    <row r="23" spans="1:14" x14ac:dyDescent="0.25">
      <c r="A23" s="1">
        <v>44712</v>
      </c>
      <c r="B23" s="23">
        <v>1</v>
      </c>
      <c r="C23" s="23">
        <v>2.2999999999999998</v>
      </c>
      <c r="D23" s="23">
        <v>0.9</v>
      </c>
      <c r="E23" s="23">
        <v>2.7</v>
      </c>
      <c r="F23" s="23">
        <v>2.1</v>
      </c>
      <c r="H23" s="23">
        <v>8.6</v>
      </c>
      <c r="I23" s="23">
        <v>69.900000000000006</v>
      </c>
      <c r="J23" s="23">
        <v>32.799999999999997</v>
      </c>
      <c r="K23" s="23">
        <v>6.9</v>
      </c>
      <c r="L23" s="23">
        <v>4.9000000000000004</v>
      </c>
      <c r="M23" s="23">
        <v>9.1</v>
      </c>
      <c r="N23" s="24"/>
    </row>
    <row r="24" spans="1:14" x14ac:dyDescent="0.25">
      <c r="A24" s="1">
        <v>44742</v>
      </c>
      <c r="B24" s="23">
        <v>1.1000000000000001</v>
      </c>
      <c r="C24" s="23">
        <v>2.2999999999999998</v>
      </c>
      <c r="D24" s="23">
        <v>1.2</v>
      </c>
      <c r="E24" s="23">
        <v>2.4</v>
      </c>
      <c r="F24" s="23">
        <v>2.2999999999999998</v>
      </c>
      <c r="H24" s="23">
        <v>9.8000000000000007</v>
      </c>
      <c r="I24" s="23">
        <v>70.2</v>
      </c>
      <c r="J24" s="23">
        <v>42.3</v>
      </c>
      <c r="K24" s="23">
        <v>6.3</v>
      </c>
      <c r="L24" s="23">
        <v>5.2</v>
      </c>
      <c r="M24" s="23">
        <v>9.4</v>
      </c>
      <c r="N24" s="24"/>
    </row>
    <row r="25" spans="1:14" x14ac:dyDescent="0.25">
      <c r="A25" s="1">
        <v>44773</v>
      </c>
      <c r="B25" s="23">
        <v>1.4</v>
      </c>
      <c r="C25" s="23">
        <v>2.2999999999999998</v>
      </c>
      <c r="D25" s="23">
        <v>1.3</v>
      </c>
      <c r="E25" s="23">
        <v>2.5</v>
      </c>
      <c r="F25" s="23">
        <v>2.5</v>
      </c>
      <c r="H25" s="23">
        <v>12.6</v>
      </c>
      <c r="I25" s="23">
        <v>70.3</v>
      </c>
      <c r="J25" s="23">
        <v>43.7</v>
      </c>
      <c r="K25" s="23">
        <v>6.5</v>
      </c>
      <c r="L25" s="23">
        <v>5.7</v>
      </c>
      <c r="M25" s="23">
        <v>10.1</v>
      </c>
      <c r="N25" s="24"/>
    </row>
    <row r="26" spans="1:14" x14ac:dyDescent="0.25">
      <c r="A26" s="1">
        <v>44804</v>
      </c>
      <c r="B26" s="23">
        <v>1.5</v>
      </c>
      <c r="C26" s="23">
        <v>2.2999999999999998</v>
      </c>
      <c r="D26" s="23">
        <v>1</v>
      </c>
      <c r="E26" s="23">
        <v>2.5</v>
      </c>
      <c r="F26" s="23">
        <v>2.6</v>
      </c>
      <c r="H26" s="23">
        <v>13.1</v>
      </c>
      <c r="I26" s="23">
        <v>69.7</v>
      </c>
      <c r="J26" s="23">
        <v>32.1</v>
      </c>
      <c r="K26" s="23">
        <v>6.5</v>
      </c>
      <c r="L26" s="23">
        <v>5.9</v>
      </c>
      <c r="M26" s="23">
        <v>9.9</v>
      </c>
      <c r="N26" s="24"/>
    </row>
    <row r="27" spans="1:14" x14ac:dyDescent="0.25">
      <c r="A27" s="1">
        <v>44834</v>
      </c>
      <c r="B27" s="23">
        <v>1.7</v>
      </c>
      <c r="C27" s="23">
        <v>2.2999999999999998</v>
      </c>
      <c r="D27" s="23">
        <v>0.8</v>
      </c>
      <c r="E27" s="23">
        <v>2.6</v>
      </c>
      <c r="F27" s="23">
        <v>2.7</v>
      </c>
      <c r="H27" s="23">
        <v>14.5</v>
      </c>
      <c r="I27" s="23">
        <v>70.099999999999994</v>
      </c>
      <c r="J27" s="23">
        <v>26.5</v>
      </c>
      <c r="K27" s="23">
        <v>6.8</v>
      </c>
      <c r="L27" s="23">
        <v>6.1</v>
      </c>
      <c r="M27" s="23">
        <v>10.1</v>
      </c>
      <c r="N27" s="24"/>
    </row>
    <row r="28" spans="1:14" x14ac:dyDescent="0.25">
      <c r="A28" s="1">
        <v>44865</v>
      </c>
      <c r="B28" s="23">
        <v>1.8</v>
      </c>
      <c r="C28" s="23">
        <v>3.2</v>
      </c>
      <c r="D28" s="23">
        <v>0.7</v>
      </c>
      <c r="E28" s="23">
        <v>2.5</v>
      </c>
      <c r="F28" s="23">
        <v>2.8</v>
      </c>
      <c r="H28" s="23">
        <v>16.2</v>
      </c>
      <c r="I28" s="23">
        <v>89.7</v>
      </c>
      <c r="J28" s="23">
        <v>22.2</v>
      </c>
      <c r="K28" s="23">
        <v>6.6</v>
      </c>
      <c r="L28" s="23">
        <v>6.3</v>
      </c>
      <c r="M28" s="23">
        <v>11.1</v>
      </c>
      <c r="N28" s="24"/>
    </row>
    <row r="29" spans="1:14" x14ac:dyDescent="0.25">
      <c r="A29" s="1">
        <v>44895</v>
      </c>
      <c r="B29" s="23">
        <v>1.9</v>
      </c>
      <c r="C29" s="23">
        <v>3.2</v>
      </c>
      <c r="D29" s="23">
        <v>0.5</v>
      </c>
      <c r="E29" s="23">
        <v>2.2999999999999998</v>
      </c>
      <c r="F29" s="23">
        <v>2.8</v>
      </c>
      <c r="H29" s="23">
        <v>16.399999999999999</v>
      </c>
      <c r="I29" s="23">
        <v>89</v>
      </c>
      <c r="J29" s="23">
        <v>17.2</v>
      </c>
      <c r="K29" s="23">
        <v>6</v>
      </c>
      <c r="L29" s="23">
        <v>6.3</v>
      </c>
      <c r="M29" s="23">
        <v>10.7</v>
      </c>
      <c r="N29" s="24"/>
    </row>
    <row r="30" spans="1:14" x14ac:dyDescent="0.25">
      <c r="A30" s="1">
        <v>44926</v>
      </c>
      <c r="B30" s="23">
        <v>1.9</v>
      </c>
      <c r="C30" s="23">
        <v>3.2</v>
      </c>
      <c r="D30" s="23">
        <v>0.4</v>
      </c>
      <c r="E30" s="23">
        <v>2.1</v>
      </c>
      <c r="F30" s="23">
        <v>3</v>
      </c>
      <c r="H30" s="23">
        <v>16.8</v>
      </c>
      <c r="I30" s="23">
        <v>88.7</v>
      </c>
      <c r="J30" s="23">
        <v>11.5</v>
      </c>
      <c r="K30" s="23">
        <v>5.5</v>
      </c>
      <c r="L30" s="23">
        <v>6.8</v>
      </c>
      <c r="M30" s="23">
        <v>10.5</v>
      </c>
      <c r="N30" s="24"/>
    </row>
    <row r="31" spans="1:14" x14ac:dyDescent="0.25">
      <c r="A31" s="1">
        <v>44957</v>
      </c>
      <c r="B31" s="23">
        <v>1.9</v>
      </c>
      <c r="C31" s="23">
        <v>3.2</v>
      </c>
      <c r="D31" s="23">
        <v>0.2</v>
      </c>
      <c r="E31" s="23">
        <v>2.1</v>
      </c>
      <c r="F31" s="23">
        <v>2.6</v>
      </c>
      <c r="H31" s="23">
        <v>16.7</v>
      </c>
      <c r="I31" s="23">
        <v>89.5</v>
      </c>
      <c r="J31" s="23">
        <v>7.7</v>
      </c>
      <c r="K31" s="23">
        <v>5.5</v>
      </c>
      <c r="L31" s="23">
        <v>6</v>
      </c>
      <c r="M31" s="23">
        <v>10.1</v>
      </c>
      <c r="N31" s="24"/>
    </row>
    <row r="32" spans="1:14" x14ac:dyDescent="0.25">
      <c r="A32" s="1">
        <v>44985</v>
      </c>
      <c r="B32" s="23">
        <v>2.1</v>
      </c>
      <c r="C32" s="23">
        <v>3.2</v>
      </c>
      <c r="D32" s="23">
        <v>0.1</v>
      </c>
      <c r="E32" s="23">
        <v>2.1</v>
      </c>
      <c r="F32" s="23">
        <v>2.9</v>
      </c>
      <c r="H32" s="23">
        <v>18</v>
      </c>
      <c r="I32" s="23">
        <v>88.6</v>
      </c>
      <c r="J32" s="23">
        <v>4.5999999999999996</v>
      </c>
      <c r="K32" s="23">
        <v>5.7</v>
      </c>
      <c r="L32" s="23">
        <v>6.6</v>
      </c>
      <c r="M32" s="23">
        <v>10.4</v>
      </c>
      <c r="N32" s="24"/>
    </row>
    <row r="33" spans="1:14" x14ac:dyDescent="0.25">
      <c r="A33" s="1">
        <v>45016</v>
      </c>
      <c r="B33" s="23">
        <v>2.2000000000000002</v>
      </c>
      <c r="C33" s="23">
        <v>3.1</v>
      </c>
      <c r="D33" s="23">
        <v>-0.2</v>
      </c>
      <c r="E33" s="23">
        <v>2.1</v>
      </c>
      <c r="F33" s="23">
        <v>2.9</v>
      </c>
      <c r="H33" s="23">
        <v>19.100000000000001</v>
      </c>
      <c r="I33" s="23">
        <v>85.6</v>
      </c>
      <c r="J33" s="23">
        <v>-5.9</v>
      </c>
      <c r="K33" s="23">
        <v>5.6</v>
      </c>
      <c r="L33" s="23">
        <v>6.6</v>
      </c>
      <c r="M33" s="23">
        <v>10.1</v>
      </c>
      <c r="N33" s="24"/>
    </row>
    <row r="34" spans="1:14" x14ac:dyDescent="0.25">
      <c r="A34" s="1">
        <v>45046</v>
      </c>
      <c r="B34" s="23">
        <v>2.1</v>
      </c>
      <c r="C34" s="23">
        <v>1.3</v>
      </c>
      <c r="D34" s="23">
        <v>-0.3</v>
      </c>
      <c r="E34" s="23">
        <v>2.5</v>
      </c>
      <c r="F34" s="23">
        <v>3.1</v>
      </c>
      <c r="H34" s="23">
        <v>19</v>
      </c>
      <c r="I34" s="23">
        <v>24.3</v>
      </c>
      <c r="J34" s="23">
        <v>-8.9</v>
      </c>
      <c r="K34" s="23">
        <v>6.9</v>
      </c>
      <c r="L34" s="23">
        <v>6.9</v>
      </c>
      <c r="M34" s="23">
        <v>8.6999999999999993</v>
      </c>
      <c r="N34" s="24"/>
    </row>
    <row r="35" spans="1:14" x14ac:dyDescent="0.25">
      <c r="A35" s="1">
        <v>45077</v>
      </c>
      <c r="B35" s="23">
        <v>2.1</v>
      </c>
      <c r="C35" s="23">
        <v>1.2</v>
      </c>
      <c r="D35" s="23">
        <v>-0.5</v>
      </c>
      <c r="E35" s="23">
        <v>2.5</v>
      </c>
      <c r="F35" s="23">
        <v>3.3</v>
      </c>
      <c r="H35" s="23">
        <v>18.3</v>
      </c>
      <c r="I35" s="23">
        <v>23.7</v>
      </c>
      <c r="J35" s="23">
        <v>-13.1</v>
      </c>
      <c r="K35" s="23">
        <v>7.1</v>
      </c>
      <c r="L35" s="23">
        <v>7.4</v>
      </c>
      <c r="M35" s="23">
        <v>8.6999999999999993</v>
      </c>
      <c r="N35" s="24"/>
    </row>
    <row r="36" spans="1:14" x14ac:dyDescent="0.25">
      <c r="A36" s="1">
        <v>45107</v>
      </c>
      <c r="B36" s="23">
        <v>2</v>
      </c>
      <c r="C36" s="23">
        <v>1.2</v>
      </c>
      <c r="D36" s="23">
        <v>-0.9</v>
      </c>
      <c r="E36" s="23">
        <v>2.4</v>
      </c>
      <c r="F36" s="23">
        <v>3.2</v>
      </c>
      <c r="H36" s="23">
        <v>17.3</v>
      </c>
      <c r="I36" s="23">
        <v>23.3</v>
      </c>
      <c r="J36" s="23">
        <v>-22.7</v>
      </c>
      <c r="K36" s="23">
        <v>6.8</v>
      </c>
      <c r="L36" s="23">
        <v>7.2</v>
      </c>
      <c r="M36" s="23">
        <v>7.9</v>
      </c>
      <c r="N36" s="24"/>
    </row>
    <row r="37" spans="1:14" x14ac:dyDescent="0.25">
      <c r="A37" s="1">
        <v>45138</v>
      </c>
      <c r="B37" s="23">
        <v>1.7</v>
      </c>
      <c r="C37" s="23">
        <v>0.4</v>
      </c>
      <c r="D37" s="23">
        <v>-1</v>
      </c>
      <c r="E37" s="23">
        <v>2.2000000000000002</v>
      </c>
      <c r="F37" s="23">
        <v>3.4</v>
      </c>
      <c r="H37" s="23">
        <v>14.8</v>
      </c>
      <c r="I37" s="23">
        <v>4.5</v>
      </c>
      <c r="J37" s="23">
        <v>-24.9</v>
      </c>
      <c r="K37" s="23">
        <v>6.3</v>
      </c>
      <c r="L37" s="23">
        <v>7.4</v>
      </c>
      <c r="M37" s="23">
        <v>6.8</v>
      </c>
      <c r="N37" s="24"/>
    </row>
    <row r="38" spans="1:14" x14ac:dyDescent="0.25">
      <c r="A38" s="1">
        <v>45169</v>
      </c>
      <c r="B38" s="23">
        <v>1.6</v>
      </c>
      <c r="C38" s="23">
        <v>0.5</v>
      </c>
      <c r="D38" s="23">
        <v>-0.6</v>
      </c>
      <c r="E38" s="23">
        <v>2</v>
      </c>
      <c r="F38" s="23">
        <v>3.2</v>
      </c>
      <c r="H38" s="23">
        <v>13.6</v>
      </c>
      <c r="I38" s="23">
        <v>5.3</v>
      </c>
      <c r="J38" s="23">
        <v>-16.399999999999999</v>
      </c>
      <c r="K38" s="23">
        <v>5.8</v>
      </c>
      <c r="L38" s="23">
        <v>6.8</v>
      </c>
      <c r="M38" s="23">
        <v>6.7</v>
      </c>
      <c r="N38" s="24"/>
    </row>
    <row r="39" spans="1:14" x14ac:dyDescent="0.25">
      <c r="A39" s="1">
        <v>45199</v>
      </c>
      <c r="B39" s="23">
        <v>1.4</v>
      </c>
      <c r="C39" s="23">
        <v>0.5</v>
      </c>
      <c r="D39" s="23">
        <v>-0.3</v>
      </c>
      <c r="E39" s="23">
        <v>1.9</v>
      </c>
      <c r="F39" s="23">
        <v>3.2</v>
      </c>
      <c r="H39" s="23">
        <v>12.1</v>
      </c>
      <c r="I39" s="23">
        <v>5</v>
      </c>
      <c r="J39" s="23">
        <v>-9.6999999999999993</v>
      </c>
      <c r="K39" s="23">
        <v>5.5</v>
      </c>
      <c r="L39" s="23">
        <v>6.9</v>
      </c>
      <c r="M39" s="23">
        <v>6.7</v>
      </c>
      <c r="N39" s="24"/>
    </row>
    <row r="40" spans="1:14" x14ac:dyDescent="0.25">
      <c r="A40" s="1">
        <v>45200</v>
      </c>
      <c r="B40" s="23">
        <v>1.2</v>
      </c>
      <c r="C40" s="23">
        <v>-1.1000000000000001</v>
      </c>
      <c r="D40" s="23">
        <v>-0.3</v>
      </c>
      <c r="E40" s="23">
        <v>1.7</v>
      </c>
      <c r="F40" s="23">
        <v>3</v>
      </c>
      <c r="H40" s="23">
        <v>10.1</v>
      </c>
      <c r="I40" s="23">
        <v>-21.6</v>
      </c>
      <c r="J40" s="23">
        <v>-7.6</v>
      </c>
      <c r="K40" s="23">
        <v>5.0999999999999996</v>
      </c>
      <c r="L40" s="23">
        <v>6.6</v>
      </c>
      <c r="M40" s="23">
        <v>4.5999999999999996</v>
      </c>
      <c r="N40" s="24"/>
    </row>
    <row r="41" spans="1:14" x14ac:dyDescent="0.25">
      <c r="A41" s="1">
        <v>45231</v>
      </c>
      <c r="B41" s="23">
        <v>1.1000000000000001</v>
      </c>
      <c r="C41" s="23">
        <v>-1.1000000000000001</v>
      </c>
      <c r="D41" s="23">
        <v>-0.4</v>
      </c>
      <c r="E41" s="23">
        <v>1.4</v>
      </c>
      <c r="F41" s="23">
        <v>2.9</v>
      </c>
      <c r="H41" s="23">
        <v>9.1999999999999993</v>
      </c>
      <c r="I41" s="23">
        <v>-21.6</v>
      </c>
      <c r="J41" s="23">
        <v>-10.6</v>
      </c>
      <c r="K41" s="23">
        <v>4.0999999999999996</v>
      </c>
      <c r="L41" s="23">
        <v>6.3</v>
      </c>
      <c r="M41" s="23">
        <v>3.9</v>
      </c>
      <c r="N41" s="24"/>
    </row>
    <row r="42" spans="1:14" x14ac:dyDescent="0.25">
      <c r="A42" s="1">
        <v>45261</v>
      </c>
      <c r="B42" s="23">
        <v>0.9</v>
      </c>
      <c r="C42" s="23">
        <v>-1</v>
      </c>
      <c r="D42" s="23">
        <v>-0.3</v>
      </c>
      <c r="E42" s="23">
        <v>1.4</v>
      </c>
      <c r="F42" s="23">
        <v>3</v>
      </c>
      <c r="H42" s="23">
        <v>8</v>
      </c>
      <c r="I42" s="23">
        <v>-21.5</v>
      </c>
      <c r="J42" s="23">
        <v>-10.8</v>
      </c>
      <c r="K42" s="23">
        <v>4.3</v>
      </c>
      <c r="L42" s="23">
        <v>6.4</v>
      </c>
      <c r="M42" s="23">
        <v>4</v>
      </c>
      <c r="N42" s="24"/>
    </row>
    <row r="43" spans="1:14" x14ac:dyDescent="0.25">
      <c r="A43" s="1">
        <v>45292</v>
      </c>
      <c r="B43" s="23">
        <v>0.8</v>
      </c>
      <c r="C43" s="23">
        <v>-0.9</v>
      </c>
      <c r="D43" s="23">
        <v>-0.3</v>
      </c>
      <c r="E43" s="23">
        <v>1.3</v>
      </c>
      <c r="F43" s="23">
        <v>3</v>
      </c>
      <c r="H43" s="23">
        <v>6.9</v>
      </c>
      <c r="I43" s="23">
        <v>-18.3</v>
      </c>
      <c r="J43" s="23">
        <v>-9.1999999999999993</v>
      </c>
      <c r="K43" s="23">
        <v>3.8</v>
      </c>
      <c r="L43" s="23">
        <v>6.5</v>
      </c>
      <c r="M43" s="23">
        <v>4</v>
      </c>
      <c r="N43" s="24"/>
    </row>
    <row r="44" spans="1:14" x14ac:dyDescent="0.25">
      <c r="A44" s="1">
        <v>45323</v>
      </c>
      <c r="B44" s="23">
        <v>0.6</v>
      </c>
      <c r="C44" s="23">
        <v>-0.9</v>
      </c>
      <c r="D44" s="23">
        <v>-0.2</v>
      </c>
      <c r="E44" s="23">
        <v>1.1000000000000001</v>
      </c>
      <c r="F44" s="23">
        <v>2.8</v>
      </c>
      <c r="H44" s="23">
        <v>5</v>
      </c>
      <c r="I44" s="23">
        <v>-18.2</v>
      </c>
      <c r="J44" s="23">
        <v>-6.5</v>
      </c>
      <c r="K44" s="23">
        <v>3.1</v>
      </c>
      <c r="L44" s="23">
        <v>6.1</v>
      </c>
      <c r="M44" s="23">
        <v>3.4</v>
      </c>
      <c r="N44" s="24"/>
    </row>
    <row r="45" spans="1:14" x14ac:dyDescent="0.25">
      <c r="A45" s="1">
        <v>45352</v>
      </c>
      <c r="B45" s="23">
        <v>0.5</v>
      </c>
      <c r="C45" s="23">
        <v>-0.9</v>
      </c>
      <c r="D45" s="23">
        <v>-0.1</v>
      </c>
      <c r="E45" s="23">
        <v>0.9</v>
      </c>
      <c r="F45" s="23">
        <v>2.8</v>
      </c>
      <c r="H45" s="23">
        <v>4</v>
      </c>
      <c r="I45" s="23">
        <v>-18.2</v>
      </c>
      <c r="J45" s="23">
        <v>-3.7</v>
      </c>
      <c r="K45" s="23">
        <v>2.7</v>
      </c>
      <c r="L45" s="23">
        <v>6</v>
      </c>
      <c r="M45" s="23">
        <v>3.2</v>
      </c>
      <c r="N45" s="24"/>
    </row>
    <row r="46" spans="1:14" x14ac:dyDescent="0.25">
      <c r="A46" s="1">
        <v>45383</v>
      </c>
      <c r="B46" s="23">
        <v>0.3</v>
      </c>
      <c r="C46" s="23">
        <v>-1.3</v>
      </c>
      <c r="D46" s="23">
        <v>0</v>
      </c>
      <c r="E46" s="23">
        <v>0.5</v>
      </c>
      <c r="F46" s="23">
        <v>2.8</v>
      </c>
      <c r="H46" s="23">
        <v>2.9</v>
      </c>
      <c r="I46" s="23">
        <v>-27.1</v>
      </c>
      <c r="J46" s="23">
        <v>-0.3</v>
      </c>
      <c r="K46" s="23">
        <v>1.5</v>
      </c>
      <c r="L46" s="23">
        <v>5.9</v>
      </c>
      <c r="M46" s="23">
        <v>2.2999999999999998</v>
      </c>
    </row>
    <row r="47" spans="1:14" x14ac:dyDescent="0.25">
      <c r="A47" s="1">
        <v>45413</v>
      </c>
      <c r="B47" s="23">
        <v>0.2</v>
      </c>
      <c r="C47" s="23">
        <v>-1.3</v>
      </c>
      <c r="D47" s="23">
        <v>0.1</v>
      </c>
      <c r="E47" s="23">
        <v>0.3</v>
      </c>
      <c r="F47" s="23">
        <v>2.7</v>
      </c>
      <c r="H47" s="23">
        <v>1.7</v>
      </c>
      <c r="I47" s="23">
        <v>-27.1</v>
      </c>
      <c r="J47" s="23">
        <v>2.2999999999999998</v>
      </c>
      <c r="K47" s="23">
        <v>0.9</v>
      </c>
      <c r="L47" s="23">
        <v>5.7</v>
      </c>
      <c r="M47" s="23">
        <v>2</v>
      </c>
    </row>
    <row r="48" spans="1:14" x14ac:dyDescent="0.25">
      <c r="A48" s="1">
        <v>45444</v>
      </c>
      <c r="B48" s="23">
        <v>0.2</v>
      </c>
      <c r="C48" s="23">
        <v>-1.3</v>
      </c>
      <c r="D48" s="23">
        <v>0.1</v>
      </c>
      <c r="E48" s="23">
        <v>0.3</v>
      </c>
      <c r="F48" s="23">
        <v>2.7</v>
      </c>
      <c r="H48" s="23">
        <v>1.5</v>
      </c>
      <c r="I48" s="23">
        <v>-27.2</v>
      </c>
      <c r="J48" s="23">
        <v>2.6</v>
      </c>
      <c r="K48" s="23">
        <v>0.8</v>
      </c>
      <c r="L48" s="23">
        <v>5.7</v>
      </c>
      <c r="M48" s="23">
        <v>2</v>
      </c>
    </row>
    <row r="49" spans="1:13" ht="30" x14ac:dyDescent="0.25">
      <c r="A49" s="27" t="s">
        <v>1458</v>
      </c>
      <c r="B49" s="23">
        <v>0.159</v>
      </c>
      <c r="C49" s="23">
        <v>-0.82799999999999996</v>
      </c>
      <c r="D49" s="23">
        <v>5.3999999999999999E-2</v>
      </c>
      <c r="E49" s="23">
        <v>0.28100000000000003</v>
      </c>
      <c r="F49" s="23">
        <v>2.7</v>
      </c>
      <c r="H49" s="23">
        <v>1.31</v>
      </c>
      <c r="I49" s="23">
        <v>-20.122</v>
      </c>
      <c r="J49" s="23">
        <v>1.8939999999999999</v>
      </c>
      <c r="K49" s="23">
        <v>0.83099999999999996</v>
      </c>
      <c r="L49" s="23">
        <v>5.5629999999999997</v>
      </c>
      <c r="M49" s="23">
        <v>2.3660000000000001</v>
      </c>
    </row>
    <row r="50" spans="1:13" ht="30" x14ac:dyDescent="0.25">
      <c r="A50" s="27" t="s">
        <v>1459</v>
      </c>
      <c r="B50" s="23">
        <v>0.156</v>
      </c>
      <c r="C50" s="23">
        <v>-0.83799999999999997</v>
      </c>
      <c r="D50" s="23">
        <v>-2.4E-2</v>
      </c>
      <c r="E50" s="23">
        <v>0.245</v>
      </c>
      <c r="F50" s="23">
        <v>2.827</v>
      </c>
      <c r="H50" s="23">
        <v>1.3129999999999999</v>
      </c>
      <c r="I50" s="23">
        <v>-20.372</v>
      </c>
      <c r="J50" s="23">
        <v>-1.018</v>
      </c>
      <c r="K50" s="23">
        <v>0.73499999999999999</v>
      </c>
      <c r="L50" s="23">
        <v>5.84</v>
      </c>
      <c r="M50" s="23">
        <v>2.367</v>
      </c>
    </row>
    <row r="51" spans="1:13" ht="30" x14ac:dyDescent="0.25">
      <c r="A51" s="27" t="s">
        <v>1460</v>
      </c>
      <c r="B51" s="23">
        <v>0.14199999999999999</v>
      </c>
      <c r="C51" s="23">
        <v>-0.84</v>
      </c>
      <c r="D51" s="23">
        <v>-8.5999999999999993E-2</v>
      </c>
      <c r="E51" s="23">
        <v>0.21</v>
      </c>
      <c r="F51" s="23">
        <v>2.67</v>
      </c>
      <c r="H51" s="23">
        <v>1.1910000000000001</v>
      </c>
      <c r="I51" s="23">
        <v>-20.501999999999999</v>
      </c>
      <c r="J51" s="23">
        <v>-3.2850000000000001</v>
      </c>
      <c r="K51" s="23">
        <v>0.64700000000000002</v>
      </c>
      <c r="L51" s="23">
        <v>5.52</v>
      </c>
      <c r="M51" s="23">
        <v>2.097</v>
      </c>
    </row>
    <row r="52" spans="1:13" ht="30" x14ac:dyDescent="0.25">
      <c r="A52" s="27" t="s">
        <v>1461</v>
      </c>
      <c r="B52" s="23">
        <v>0.112</v>
      </c>
      <c r="C52" s="23">
        <v>-0.32900000000000001</v>
      </c>
      <c r="D52" s="23">
        <v>-0.109</v>
      </c>
      <c r="E52" s="23">
        <v>0.249</v>
      </c>
      <c r="F52" s="23">
        <v>2.6749999999999998</v>
      </c>
      <c r="H52" s="23">
        <v>0.92800000000000005</v>
      </c>
      <c r="I52" s="23">
        <v>-8.4659999999999993</v>
      </c>
      <c r="J52" s="23">
        <v>-4.125</v>
      </c>
      <c r="K52" s="23">
        <v>0.76800000000000002</v>
      </c>
      <c r="L52" s="23">
        <v>5.5019999999999998</v>
      </c>
      <c r="M52" s="23">
        <v>2.6</v>
      </c>
    </row>
    <row r="53" spans="1:13" ht="30" x14ac:dyDescent="0.25">
      <c r="A53" s="27" t="s">
        <v>1462</v>
      </c>
      <c r="B53" s="23">
        <v>9.0999999999999998E-2</v>
      </c>
      <c r="C53" s="23">
        <v>-0.32400000000000001</v>
      </c>
      <c r="D53" s="23">
        <v>-2.5000000000000001E-2</v>
      </c>
      <c r="E53" s="23">
        <v>0.39600000000000002</v>
      </c>
      <c r="F53" s="23">
        <v>2.625</v>
      </c>
      <c r="H53" s="23">
        <v>0.76400000000000001</v>
      </c>
      <c r="I53" s="23">
        <v>-8.3290000000000006</v>
      </c>
      <c r="J53" s="23">
        <v>-1.3680000000000001</v>
      </c>
      <c r="K53" s="23">
        <v>1.2070000000000001</v>
      </c>
      <c r="L53" s="23">
        <v>5.3949999999999996</v>
      </c>
      <c r="M53" s="23">
        <v>2.7629999999999999</v>
      </c>
    </row>
    <row r="54" spans="1:13" ht="30" x14ac:dyDescent="0.25">
      <c r="A54" s="27" t="s">
        <v>1463</v>
      </c>
      <c r="B54" s="23">
        <v>8.1000000000000003E-2</v>
      </c>
      <c r="C54" s="23">
        <v>-0.32</v>
      </c>
      <c r="D54" s="23">
        <v>0.13200000000000001</v>
      </c>
      <c r="E54" s="23">
        <v>0.31</v>
      </c>
      <c r="F54" s="23">
        <v>2.5960000000000001</v>
      </c>
      <c r="H54" s="23">
        <v>0.71899999999999997</v>
      </c>
      <c r="I54" s="23">
        <v>-8.2490000000000006</v>
      </c>
      <c r="J54" s="23">
        <v>4.2249999999999996</v>
      </c>
      <c r="K54" s="23">
        <v>0.95299999999999996</v>
      </c>
      <c r="L54" s="23">
        <v>5.2859999999999996</v>
      </c>
      <c r="M54" s="23">
        <v>2.8</v>
      </c>
    </row>
    <row r="55" spans="1:13" x14ac:dyDescent="0.25">
      <c r="A55" s="27"/>
    </row>
    <row r="56" spans="1:13" ht="30" x14ac:dyDescent="0.25">
      <c r="A56" s="27" t="s">
        <v>1464</v>
      </c>
      <c r="B56" s="28" t="s">
        <v>1465</v>
      </c>
      <c r="C56" s="28" t="s">
        <v>1465</v>
      </c>
      <c r="D56" s="28" t="s">
        <v>1465</v>
      </c>
      <c r="E56" s="28" t="s">
        <v>1465</v>
      </c>
      <c r="F56" s="28" t="s">
        <v>1465</v>
      </c>
      <c r="G56" s="29"/>
      <c r="H56" s="28" t="s">
        <v>1465</v>
      </c>
      <c r="I56" s="28" t="s">
        <v>1465</v>
      </c>
      <c r="J56" s="28" t="s">
        <v>1465</v>
      </c>
      <c r="K56" s="28" t="s">
        <v>1465</v>
      </c>
      <c r="L56" s="28" t="s">
        <v>1465</v>
      </c>
      <c r="M56" s="23">
        <v>2.67</v>
      </c>
    </row>
    <row r="57" spans="1:13" x14ac:dyDescent="0.25">
      <c r="A57" s="1"/>
    </row>
    <row r="58" spans="1:13" x14ac:dyDescent="0.25">
      <c r="A58" s="1"/>
    </row>
    <row r="59" spans="1:13" x14ac:dyDescent="0.25">
      <c r="A59" s="1"/>
    </row>
    <row r="60" spans="1:13" x14ac:dyDescent="0.25">
      <c r="A60" s="1"/>
    </row>
  </sheetData>
  <mergeCells count="2">
    <mergeCell ref="B5:F5"/>
    <mergeCell ref="H5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D293E-F2A1-41C0-BAC0-4C128F1B8267}">
  <dimension ref="A1:I125"/>
  <sheetViews>
    <sheetView workbookViewId="0">
      <pane ySplit="6" topLeftCell="A19" activePane="bottomLeft" state="frozen"/>
      <selection pane="bottomLeft" activeCell="B32" sqref="B32"/>
    </sheetView>
  </sheetViews>
  <sheetFormatPr defaultColWidth="9.85546875" defaultRowHeight="15" x14ac:dyDescent="0.25"/>
  <cols>
    <col min="1" max="1" width="22" style="31" customWidth="1"/>
    <col min="2" max="3" width="18" style="31" customWidth="1"/>
    <col min="4" max="5" width="10" style="31" customWidth="1"/>
    <col min="6" max="6" width="21.140625" style="31" customWidth="1"/>
    <col min="7" max="9" width="18" style="33" customWidth="1"/>
    <col min="10" max="16384" width="9.85546875" style="31"/>
  </cols>
  <sheetData>
    <row r="1" spans="1:9" x14ac:dyDescent="0.25">
      <c r="A1" s="18" t="s">
        <v>0</v>
      </c>
      <c r="B1" s="30"/>
      <c r="F1" s="32"/>
    </row>
    <row r="2" spans="1:9" x14ac:dyDescent="0.25">
      <c r="A2" s="20"/>
      <c r="B2" s="30"/>
    </row>
    <row r="3" spans="1:9" x14ac:dyDescent="0.25">
      <c r="A3" s="21" t="s">
        <v>1466</v>
      </c>
      <c r="B3" s="30"/>
      <c r="D3" s="34"/>
      <c r="E3" s="34"/>
    </row>
    <row r="4" spans="1:9" x14ac:dyDescent="0.25">
      <c r="B4" s="30"/>
    </row>
    <row r="5" spans="1:9" x14ac:dyDescent="0.25">
      <c r="B5" s="104" t="s">
        <v>1467</v>
      </c>
      <c r="C5" s="104"/>
      <c r="F5" s="104" t="s">
        <v>1468</v>
      </c>
      <c r="G5" s="104"/>
      <c r="H5" s="104"/>
      <c r="I5" s="104"/>
    </row>
    <row r="6" spans="1:9" ht="55.5" customHeight="1" x14ac:dyDescent="0.25">
      <c r="A6" s="35" t="s">
        <v>1</v>
      </c>
      <c r="B6" s="36" t="s">
        <v>1469</v>
      </c>
      <c r="C6" s="36" t="s">
        <v>1470</v>
      </c>
      <c r="E6" s="35" t="s">
        <v>1</v>
      </c>
      <c r="F6" s="36" t="s">
        <v>1471</v>
      </c>
      <c r="G6" s="37" t="s">
        <v>1472</v>
      </c>
      <c r="H6" s="37" t="s">
        <v>1473</v>
      </c>
      <c r="I6" s="37" t="s">
        <v>1474</v>
      </c>
    </row>
    <row r="7" spans="1:9" x14ac:dyDescent="0.25">
      <c r="A7" s="38" t="s">
        <v>1209</v>
      </c>
      <c r="B7" s="39">
        <v>3</v>
      </c>
      <c r="C7" s="39">
        <v>2.9</v>
      </c>
      <c r="D7" s="39"/>
      <c r="E7" s="38">
        <v>43131</v>
      </c>
      <c r="F7" s="39">
        <v>2.7</v>
      </c>
      <c r="G7" s="33" t="s">
        <v>1475</v>
      </c>
      <c r="H7" s="40">
        <v>3.1</v>
      </c>
      <c r="I7" s="40" t="s">
        <v>1465</v>
      </c>
    </row>
    <row r="8" spans="1:9" x14ac:dyDescent="0.25">
      <c r="A8" s="38" t="s">
        <v>1210</v>
      </c>
      <c r="B8" s="39">
        <v>2.8</v>
      </c>
      <c r="C8" s="39">
        <v>3</v>
      </c>
      <c r="D8" s="39"/>
      <c r="E8" s="38">
        <v>43159</v>
      </c>
      <c r="F8" s="39">
        <v>2.9</v>
      </c>
      <c r="H8" s="40">
        <v>3.2</v>
      </c>
      <c r="I8" s="40" t="s">
        <v>1465</v>
      </c>
    </row>
    <row r="9" spans="1:9" x14ac:dyDescent="0.25">
      <c r="A9" s="38" t="s">
        <v>1211</v>
      </c>
      <c r="B9" s="39">
        <v>3.3</v>
      </c>
      <c r="C9" s="39">
        <v>3.2</v>
      </c>
      <c r="D9" s="39"/>
      <c r="E9" s="38">
        <v>43190</v>
      </c>
      <c r="F9" s="39">
        <v>3</v>
      </c>
      <c r="H9" s="40">
        <v>3.2</v>
      </c>
      <c r="I9" s="40" t="s">
        <v>1465</v>
      </c>
    </row>
    <row r="10" spans="1:9" x14ac:dyDescent="0.25">
      <c r="A10" s="38" t="s">
        <v>1212</v>
      </c>
      <c r="B10" s="39">
        <v>3.5</v>
      </c>
      <c r="C10" s="39">
        <v>3.4</v>
      </c>
      <c r="D10" s="39"/>
      <c r="E10" s="38">
        <v>43220</v>
      </c>
      <c r="F10" s="39">
        <v>3</v>
      </c>
      <c r="H10" s="40">
        <v>3</v>
      </c>
      <c r="I10" s="40" t="s">
        <v>1465</v>
      </c>
    </row>
    <row r="11" spans="1:9" x14ac:dyDescent="0.25">
      <c r="A11" s="38" t="s">
        <v>1213</v>
      </c>
      <c r="B11" s="39">
        <v>3.6</v>
      </c>
      <c r="C11" s="39">
        <v>3.4</v>
      </c>
      <c r="D11" s="39"/>
      <c r="E11" s="38">
        <v>43251</v>
      </c>
      <c r="F11" s="39">
        <v>2.9</v>
      </c>
      <c r="H11" s="40">
        <v>3.2</v>
      </c>
      <c r="I11" s="40" t="s">
        <v>1465</v>
      </c>
    </row>
    <row r="12" spans="1:9" x14ac:dyDescent="0.25">
      <c r="A12" s="38" t="s">
        <v>1214</v>
      </c>
      <c r="B12" s="39">
        <v>3.9</v>
      </c>
      <c r="C12" s="39">
        <v>3.5</v>
      </c>
      <c r="D12" s="39"/>
      <c r="E12" s="38">
        <v>43281</v>
      </c>
      <c r="F12" s="39">
        <v>2.8</v>
      </c>
      <c r="H12" s="40">
        <v>3.4</v>
      </c>
      <c r="I12" s="40" t="s">
        <v>1465</v>
      </c>
    </row>
    <row r="13" spans="1:9" x14ac:dyDescent="0.25">
      <c r="A13" s="38" t="s">
        <v>1215</v>
      </c>
      <c r="B13" s="39">
        <v>3.7</v>
      </c>
      <c r="C13" s="39">
        <v>3.4</v>
      </c>
      <c r="D13" s="39"/>
      <c r="E13" s="38">
        <v>43312</v>
      </c>
      <c r="F13" s="39">
        <v>3</v>
      </c>
      <c r="H13" s="40">
        <v>3.7</v>
      </c>
      <c r="I13" s="40" t="s">
        <v>1465</v>
      </c>
    </row>
    <row r="14" spans="1:9" x14ac:dyDescent="0.25">
      <c r="A14" s="38" t="s">
        <v>1216</v>
      </c>
      <c r="B14" s="39">
        <v>3.2</v>
      </c>
      <c r="C14" s="39">
        <v>3.2</v>
      </c>
      <c r="D14" s="39"/>
      <c r="E14" s="38">
        <v>43343</v>
      </c>
      <c r="F14" s="39">
        <v>3.2</v>
      </c>
      <c r="H14" s="40">
        <v>3.9</v>
      </c>
      <c r="I14" s="40" t="s">
        <v>1465</v>
      </c>
    </row>
    <row r="15" spans="1:9" x14ac:dyDescent="0.25">
      <c r="A15" s="38" t="s">
        <v>1217</v>
      </c>
      <c r="B15" s="39">
        <v>2.5</v>
      </c>
      <c r="C15" s="39">
        <v>3</v>
      </c>
      <c r="D15" s="39"/>
      <c r="E15" s="38">
        <v>43373</v>
      </c>
      <c r="F15" s="39">
        <v>3.3</v>
      </c>
      <c r="H15" s="40">
        <v>3.8</v>
      </c>
      <c r="I15" s="40" t="s">
        <v>1465</v>
      </c>
    </row>
    <row r="16" spans="1:9" x14ac:dyDescent="0.25">
      <c r="A16" s="38" t="s">
        <v>1218</v>
      </c>
      <c r="B16" s="39">
        <v>-1.2</v>
      </c>
      <c r="C16" s="39">
        <v>2.2000000000000002</v>
      </c>
      <c r="D16" s="39"/>
      <c r="E16" s="38">
        <v>43404</v>
      </c>
      <c r="F16" s="39">
        <v>3.4</v>
      </c>
      <c r="H16" s="40">
        <v>3.8</v>
      </c>
      <c r="I16" s="40" t="s">
        <v>1465</v>
      </c>
    </row>
    <row r="17" spans="1:9" x14ac:dyDescent="0.25">
      <c r="A17" s="38" t="s">
        <v>1219</v>
      </c>
      <c r="B17" s="39">
        <v>1.4</v>
      </c>
      <c r="C17" s="39">
        <v>1.4</v>
      </c>
      <c r="D17" s="39"/>
      <c r="E17" s="38">
        <v>43434</v>
      </c>
      <c r="F17" s="39">
        <v>3.4</v>
      </c>
      <c r="H17" s="40">
        <v>3.7</v>
      </c>
      <c r="I17" s="40" t="s">
        <v>1465</v>
      </c>
    </row>
    <row r="18" spans="1:9" x14ac:dyDescent="0.25">
      <c r="A18" s="38" t="s">
        <v>1220</v>
      </c>
      <c r="B18" s="39">
        <v>4</v>
      </c>
      <c r="C18" s="39">
        <v>1.3</v>
      </c>
      <c r="D18" s="39"/>
      <c r="E18" s="38">
        <v>43465</v>
      </c>
      <c r="F18" s="39">
        <v>3.5</v>
      </c>
      <c r="H18" s="40">
        <v>3.7</v>
      </c>
      <c r="I18" s="40" t="s">
        <v>1465</v>
      </c>
    </row>
    <row r="19" spans="1:9" x14ac:dyDescent="0.25">
      <c r="A19" s="38" t="s">
        <v>1221</v>
      </c>
      <c r="B19" s="39">
        <v>4.3</v>
      </c>
      <c r="C19" s="39">
        <v>1.1000000000000001</v>
      </c>
      <c r="E19" s="38">
        <v>43496</v>
      </c>
      <c r="F19" s="39">
        <v>3.6</v>
      </c>
      <c r="H19" s="40">
        <v>3.7</v>
      </c>
      <c r="I19" s="40" t="s">
        <v>1465</v>
      </c>
    </row>
    <row r="20" spans="1:9" x14ac:dyDescent="0.25">
      <c r="A20" s="38" t="s">
        <v>1222</v>
      </c>
      <c r="B20" s="39">
        <v>8.4</v>
      </c>
      <c r="C20" s="39">
        <v>1.6</v>
      </c>
      <c r="E20" s="38">
        <v>43524</v>
      </c>
      <c r="F20" s="39">
        <v>3.6</v>
      </c>
      <c r="H20" s="40">
        <v>3.6</v>
      </c>
      <c r="I20" s="40" t="s">
        <v>1465</v>
      </c>
    </row>
    <row r="21" spans="1:9" x14ac:dyDescent="0.25">
      <c r="A21" s="38" t="s">
        <v>1223</v>
      </c>
      <c r="B21" s="39">
        <v>5.5</v>
      </c>
      <c r="C21" s="39">
        <v>2.6</v>
      </c>
      <c r="E21" s="38">
        <v>43555</v>
      </c>
      <c r="F21" s="39">
        <v>3.6</v>
      </c>
      <c r="H21" s="40">
        <v>3.7</v>
      </c>
      <c r="I21" s="40" t="s">
        <v>1465</v>
      </c>
    </row>
    <row r="22" spans="1:9" x14ac:dyDescent="0.25">
      <c r="A22" s="38" t="s">
        <v>1224</v>
      </c>
      <c r="B22" s="39">
        <v>3.9</v>
      </c>
      <c r="C22" s="39">
        <v>3.1</v>
      </c>
      <c r="E22" s="38">
        <v>43585</v>
      </c>
      <c r="F22" s="39">
        <v>3.6</v>
      </c>
      <c r="H22" s="40">
        <v>3.8</v>
      </c>
      <c r="I22" s="40" t="s">
        <v>1465</v>
      </c>
    </row>
    <row r="23" spans="1:9" x14ac:dyDescent="0.25">
      <c r="A23" s="38" t="s">
        <v>1225</v>
      </c>
      <c r="B23" s="39">
        <v>4.9000000000000004</v>
      </c>
      <c r="C23" s="39">
        <v>4</v>
      </c>
      <c r="E23" s="38">
        <v>43616</v>
      </c>
      <c r="F23" s="39">
        <v>3.7</v>
      </c>
      <c r="H23" s="40">
        <v>3.8</v>
      </c>
      <c r="I23" s="40" t="s">
        <v>1465</v>
      </c>
    </row>
    <row r="24" spans="1:9" x14ac:dyDescent="0.25">
      <c r="A24" s="38" t="s">
        <v>1226</v>
      </c>
      <c r="B24" s="39">
        <v>5.4</v>
      </c>
      <c r="C24" s="39">
        <v>4.7</v>
      </c>
      <c r="E24" s="38">
        <v>43646</v>
      </c>
      <c r="F24" s="39">
        <v>3.9</v>
      </c>
      <c r="H24" s="40">
        <v>3.5</v>
      </c>
      <c r="I24" s="40" t="s">
        <v>1465</v>
      </c>
    </row>
    <row r="25" spans="1:9" x14ac:dyDescent="0.25">
      <c r="A25" s="38" t="s">
        <v>1227</v>
      </c>
      <c r="B25" s="39">
        <v>6.6</v>
      </c>
      <c r="C25" s="39">
        <v>5.5</v>
      </c>
      <c r="E25" s="38">
        <v>43677</v>
      </c>
      <c r="F25" s="39">
        <v>4</v>
      </c>
      <c r="H25" s="40">
        <v>3.4</v>
      </c>
      <c r="I25" s="40" t="s">
        <v>1465</v>
      </c>
    </row>
    <row r="26" spans="1:9" x14ac:dyDescent="0.25">
      <c r="A26" s="38" t="s">
        <v>1228</v>
      </c>
      <c r="B26" s="39">
        <v>7.3</v>
      </c>
      <c r="C26" s="39">
        <v>6.1</v>
      </c>
      <c r="E26" s="38">
        <v>43708</v>
      </c>
      <c r="F26" s="39">
        <v>3.9</v>
      </c>
      <c r="H26" s="40">
        <v>3.3</v>
      </c>
      <c r="I26" s="40" t="s">
        <v>1465</v>
      </c>
    </row>
    <row r="27" spans="1:9" x14ac:dyDescent="0.25">
      <c r="A27" s="38" t="s">
        <v>1229</v>
      </c>
      <c r="B27" s="39">
        <v>7.2</v>
      </c>
      <c r="C27" s="39">
        <v>6.3</v>
      </c>
      <c r="E27" s="38">
        <v>43738</v>
      </c>
      <c r="F27" s="39">
        <v>3.7</v>
      </c>
      <c r="H27" s="40">
        <v>3.4</v>
      </c>
      <c r="I27" s="40" t="s">
        <v>1465</v>
      </c>
    </row>
    <row r="28" spans="1:9" x14ac:dyDescent="0.25">
      <c r="A28" s="38" t="s">
        <v>1230</v>
      </c>
      <c r="B28" s="39">
        <v>8.1</v>
      </c>
      <c r="C28" s="39">
        <v>6.5</v>
      </c>
      <c r="E28" s="38">
        <v>43769</v>
      </c>
      <c r="F28" s="39">
        <v>3.5</v>
      </c>
      <c r="H28" s="40">
        <v>3.2</v>
      </c>
      <c r="I28" s="40" t="s">
        <v>1465</v>
      </c>
    </row>
    <row r="29" spans="1:9" x14ac:dyDescent="0.25">
      <c r="A29" s="38" t="s">
        <v>1231</v>
      </c>
      <c r="B29" s="39">
        <v>7.9</v>
      </c>
      <c r="C29" s="39">
        <v>6.4</v>
      </c>
      <c r="E29" s="38">
        <v>43799</v>
      </c>
      <c r="F29" s="39">
        <v>3.3</v>
      </c>
      <c r="H29" s="40">
        <v>3.1</v>
      </c>
      <c r="I29" s="40" t="s">
        <v>1465</v>
      </c>
    </row>
    <row r="30" spans="1:9" x14ac:dyDescent="0.25">
      <c r="A30" s="38" t="s">
        <v>1232</v>
      </c>
      <c r="B30" s="39">
        <v>6.2</v>
      </c>
      <c r="C30" s="39">
        <v>5.9</v>
      </c>
      <c r="E30" s="38">
        <v>43830</v>
      </c>
      <c r="F30" s="39">
        <v>3.2</v>
      </c>
      <c r="H30" s="40">
        <v>3.1</v>
      </c>
      <c r="I30" s="40" t="s">
        <v>1465</v>
      </c>
    </row>
    <row r="31" spans="1:9" x14ac:dyDescent="0.25">
      <c r="A31" s="38" t="s">
        <v>1233</v>
      </c>
      <c r="B31" s="39">
        <v>5.9</v>
      </c>
      <c r="C31" s="39">
        <v>5.6</v>
      </c>
      <c r="E31" s="38">
        <v>43861</v>
      </c>
      <c r="F31" s="39">
        <v>3</v>
      </c>
      <c r="H31" s="40">
        <v>3.3</v>
      </c>
      <c r="I31" s="40" t="s">
        <v>1465</v>
      </c>
    </row>
    <row r="32" spans="1:9" ht="30" x14ac:dyDescent="0.25">
      <c r="A32" s="41" t="s">
        <v>1476</v>
      </c>
      <c r="B32" s="39">
        <v>5.141</v>
      </c>
      <c r="C32" s="39" t="s">
        <v>1465</v>
      </c>
      <c r="E32" s="38">
        <v>43890</v>
      </c>
      <c r="F32" s="39">
        <v>2.9</v>
      </c>
      <c r="H32" s="40">
        <v>3.7</v>
      </c>
      <c r="I32" s="40" t="s">
        <v>1465</v>
      </c>
    </row>
    <row r="33" spans="1:9" ht="30" x14ac:dyDescent="0.25">
      <c r="A33" s="41" t="s">
        <v>1477</v>
      </c>
      <c r="B33" s="39">
        <v>4.83</v>
      </c>
      <c r="C33" s="39" t="s">
        <v>1465</v>
      </c>
      <c r="E33" s="38">
        <v>43921</v>
      </c>
      <c r="F33" s="39">
        <v>2.5</v>
      </c>
      <c r="H33" s="40">
        <v>3.2</v>
      </c>
      <c r="I33" s="40" t="s">
        <v>1465</v>
      </c>
    </row>
    <row r="34" spans="1:9" x14ac:dyDescent="0.25">
      <c r="E34" s="38">
        <v>43951</v>
      </c>
      <c r="F34" s="39">
        <v>1.3</v>
      </c>
      <c r="H34" s="40">
        <v>1.2</v>
      </c>
      <c r="I34" s="40">
        <v>5.5</v>
      </c>
    </row>
    <row r="35" spans="1:9" x14ac:dyDescent="0.25">
      <c r="E35" s="38">
        <v>43982</v>
      </c>
      <c r="F35" s="39">
        <v>-0.1</v>
      </c>
      <c r="H35" s="40">
        <v>-1</v>
      </c>
      <c r="I35" s="40">
        <v>4.5999999999999996</v>
      </c>
    </row>
    <row r="36" spans="1:9" x14ac:dyDescent="0.25">
      <c r="E36" s="38">
        <v>44012</v>
      </c>
      <c r="F36" s="39">
        <v>-1.2</v>
      </c>
      <c r="H36" s="40">
        <v>-1.8</v>
      </c>
      <c r="I36" s="40">
        <v>3.8</v>
      </c>
    </row>
    <row r="37" spans="1:9" x14ac:dyDescent="0.25">
      <c r="E37" s="38">
        <v>44043</v>
      </c>
      <c r="F37" s="39">
        <v>-0.8</v>
      </c>
      <c r="H37" s="40">
        <v>-0.6</v>
      </c>
      <c r="I37" s="40">
        <v>3.5</v>
      </c>
    </row>
    <row r="38" spans="1:9" x14ac:dyDescent="0.25">
      <c r="E38" s="38">
        <v>44074</v>
      </c>
      <c r="F38" s="39">
        <v>0.1</v>
      </c>
      <c r="H38" s="40">
        <v>1.2</v>
      </c>
      <c r="I38" s="40">
        <v>3.2</v>
      </c>
    </row>
    <row r="39" spans="1:9" x14ac:dyDescent="0.25">
      <c r="E39" s="38">
        <v>44104</v>
      </c>
      <c r="F39" s="39">
        <v>1.4</v>
      </c>
      <c r="H39" s="40">
        <v>2.7</v>
      </c>
      <c r="I39" s="40">
        <v>3.2</v>
      </c>
    </row>
    <row r="40" spans="1:9" x14ac:dyDescent="0.25">
      <c r="E40" s="38">
        <v>44135</v>
      </c>
      <c r="F40" s="39">
        <v>2.5</v>
      </c>
      <c r="H40" s="40">
        <v>3.7</v>
      </c>
      <c r="I40" s="40">
        <v>3.2</v>
      </c>
    </row>
    <row r="41" spans="1:9" x14ac:dyDescent="0.25">
      <c r="E41" s="38">
        <v>44165</v>
      </c>
      <c r="F41" s="39">
        <v>3.3</v>
      </c>
      <c r="H41" s="40">
        <v>4.3</v>
      </c>
      <c r="I41" s="40">
        <v>3.2</v>
      </c>
    </row>
    <row r="42" spans="1:9" x14ac:dyDescent="0.25">
      <c r="E42" s="38">
        <v>44196</v>
      </c>
      <c r="F42" s="39">
        <v>4</v>
      </c>
      <c r="H42" s="40">
        <v>4.5</v>
      </c>
      <c r="I42" s="40">
        <v>3.4</v>
      </c>
    </row>
    <row r="43" spans="1:9" x14ac:dyDescent="0.25">
      <c r="E43" s="38">
        <v>44227</v>
      </c>
      <c r="F43" s="39">
        <v>4.0999999999999996</v>
      </c>
      <c r="H43" s="40">
        <v>4.3</v>
      </c>
      <c r="I43" s="40">
        <v>3.6</v>
      </c>
    </row>
    <row r="44" spans="1:9" x14ac:dyDescent="0.25">
      <c r="E44" s="38">
        <v>44255</v>
      </c>
      <c r="F44" s="39">
        <v>4.2</v>
      </c>
      <c r="H44" s="40">
        <v>4</v>
      </c>
      <c r="I44" s="40">
        <v>3.3</v>
      </c>
    </row>
    <row r="45" spans="1:9" x14ac:dyDescent="0.25">
      <c r="E45" s="38">
        <v>44286</v>
      </c>
      <c r="F45" s="39">
        <v>4.3</v>
      </c>
      <c r="H45" s="40">
        <v>4.5</v>
      </c>
      <c r="I45" s="40">
        <v>2.8</v>
      </c>
    </row>
    <row r="46" spans="1:9" x14ac:dyDescent="0.25">
      <c r="E46" s="38">
        <v>44316</v>
      </c>
      <c r="F46" s="39">
        <v>5.7</v>
      </c>
      <c r="H46" s="40">
        <v>7</v>
      </c>
      <c r="I46" s="40">
        <v>0.3</v>
      </c>
    </row>
    <row r="47" spans="1:9" x14ac:dyDescent="0.25">
      <c r="E47" s="38">
        <v>44347</v>
      </c>
      <c r="F47" s="39">
        <v>7.2</v>
      </c>
      <c r="H47" s="40">
        <v>9.4</v>
      </c>
      <c r="I47" s="40">
        <v>1.3</v>
      </c>
    </row>
    <row r="48" spans="1:9" x14ac:dyDescent="0.25">
      <c r="E48" s="38">
        <v>44377</v>
      </c>
      <c r="F48" s="39">
        <v>8.4</v>
      </c>
      <c r="H48" s="40">
        <v>10.8</v>
      </c>
      <c r="I48" s="40">
        <v>2.5</v>
      </c>
    </row>
    <row r="49" spans="5:9" x14ac:dyDescent="0.25">
      <c r="E49" s="38">
        <v>44408</v>
      </c>
      <c r="F49" s="39">
        <v>7.8</v>
      </c>
      <c r="H49" s="40">
        <v>9.5</v>
      </c>
      <c r="I49" s="40">
        <v>3.4</v>
      </c>
    </row>
    <row r="50" spans="5:9" x14ac:dyDescent="0.25">
      <c r="E50" s="38">
        <v>44439</v>
      </c>
      <c r="F50" s="39">
        <v>6.7</v>
      </c>
      <c r="H50" s="40">
        <v>7.9</v>
      </c>
      <c r="I50" s="40">
        <v>3.7</v>
      </c>
    </row>
    <row r="51" spans="5:9" x14ac:dyDescent="0.25">
      <c r="E51" s="38">
        <v>44469</v>
      </c>
      <c r="F51" s="39">
        <v>5.5</v>
      </c>
      <c r="H51" s="40">
        <v>6.5</v>
      </c>
      <c r="I51" s="40">
        <v>3.7</v>
      </c>
    </row>
    <row r="52" spans="5:9" x14ac:dyDescent="0.25">
      <c r="E52" s="38">
        <v>44500</v>
      </c>
      <c r="F52" s="39">
        <v>4.5999999999999996</v>
      </c>
      <c r="H52" s="40">
        <v>6</v>
      </c>
      <c r="I52" s="40">
        <v>3.9</v>
      </c>
    </row>
    <row r="53" spans="5:9" x14ac:dyDescent="0.25">
      <c r="E53" s="38">
        <v>44530</v>
      </c>
      <c r="F53" s="39">
        <v>4.0999999999999996</v>
      </c>
      <c r="H53" s="40">
        <v>6.1</v>
      </c>
      <c r="I53" s="40">
        <v>4</v>
      </c>
    </row>
    <row r="54" spans="5:9" x14ac:dyDescent="0.25">
      <c r="E54" s="38">
        <v>44561</v>
      </c>
      <c r="F54" s="39">
        <v>3.9</v>
      </c>
      <c r="H54" s="40">
        <v>6.3</v>
      </c>
      <c r="I54" s="40">
        <v>4</v>
      </c>
    </row>
    <row r="55" spans="5:9" x14ac:dyDescent="0.25">
      <c r="E55" s="38">
        <v>44592</v>
      </c>
      <c r="F55" s="39">
        <v>4.2</v>
      </c>
      <c r="H55" s="40">
        <v>6.5</v>
      </c>
      <c r="I55" s="40">
        <v>4.0999999999999996</v>
      </c>
    </row>
    <row r="56" spans="5:9" x14ac:dyDescent="0.25">
      <c r="E56" s="38">
        <v>44620</v>
      </c>
      <c r="F56" s="39">
        <v>4.5999999999999996</v>
      </c>
      <c r="H56" s="40">
        <v>6.6</v>
      </c>
      <c r="I56" s="40">
        <v>4.4000000000000004</v>
      </c>
    </row>
    <row r="57" spans="5:9" x14ac:dyDescent="0.25">
      <c r="E57" s="38">
        <v>44651</v>
      </c>
      <c r="F57" s="39">
        <v>4.9000000000000004</v>
      </c>
      <c r="H57" s="40">
        <v>6.7</v>
      </c>
      <c r="I57" s="40">
        <v>5.6</v>
      </c>
    </row>
    <row r="58" spans="5:9" x14ac:dyDescent="0.25">
      <c r="E58" s="38">
        <v>44681</v>
      </c>
      <c r="F58" s="39">
        <v>4.8</v>
      </c>
      <c r="H58" s="40">
        <v>6.6</v>
      </c>
      <c r="I58" s="40">
        <v>6.5</v>
      </c>
    </row>
    <row r="59" spans="5:9" x14ac:dyDescent="0.25">
      <c r="E59" s="38">
        <v>44712</v>
      </c>
      <c r="F59" s="39">
        <v>5.0999999999999996</v>
      </c>
      <c r="H59" s="40">
        <v>6.7</v>
      </c>
      <c r="I59" s="40">
        <v>6.5</v>
      </c>
    </row>
    <row r="60" spans="5:9" x14ac:dyDescent="0.25">
      <c r="E60" s="38">
        <v>44742</v>
      </c>
      <c r="F60" s="39">
        <v>5.4</v>
      </c>
      <c r="H60" s="40">
        <v>6.8</v>
      </c>
      <c r="I60" s="40">
        <v>6.4</v>
      </c>
    </row>
    <row r="61" spans="5:9" x14ac:dyDescent="0.25">
      <c r="E61" s="38">
        <v>44773</v>
      </c>
      <c r="F61" s="39">
        <v>6</v>
      </c>
      <c r="H61" s="40">
        <v>7.1</v>
      </c>
      <c r="I61" s="40">
        <v>6.1</v>
      </c>
    </row>
    <row r="62" spans="5:9" x14ac:dyDescent="0.25">
      <c r="E62" s="38">
        <v>44804</v>
      </c>
      <c r="F62" s="39">
        <v>6.2</v>
      </c>
      <c r="H62" s="40">
        <v>7.1</v>
      </c>
      <c r="I62" s="40">
        <v>6.3</v>
      </c>
    </row>
    <row r="63" spans="5:9" x14ac:dyDescent="0.25">
      <c r="E63" s="38">
        <v>44834</v>
      </c>
      <c r="F63" s="39">
        <v>6.6</v>
      </c>
      <c r="H63" s="40">
        <v>7.1</v>
      </c>
      <c r="I63" s="40">
        <v>6.1</v>
      </c>
    </row>
    <row r="64" spans="5:9" x14ac:dyDescent="0.25">
      <c r="E64" s="38">
        <v>44865</v>
      </c>
      <c r="F64" s="39">
        <v>6.9</v>
      </c>
      <c r="H64" s="40">
        <v>7</v>
      </c>
      <c r="I64" s="40">
        <v>6.3</v>
      </c>
    </row>
    <row r="65" spans="5:9" x14ac:dyDescent="0.25">
      <c r="E65" s="38">
        <v>44895</v>
      </c>
      <c r="F65" s="39">
        <v>7.3</v>
      </c>
      <c r="H65" s="40">
        <v>6.9</v>
      </c>
      <c r="I65" s="40">
        <v>6.1</v>
      </c>
    </row>
    <row r="66" spans="5:9" x14ac:dyDescent="0.25">
      <c r="E66" s="38">
        <v>44926</v>
      </c>
      <c r="F66" s="39">
        <v>7.3</v>
      </c>
      <c r="H66" s="40">
        <v>6.9</v>
      </c>
      <c r="I66" s="40">
        <v>6.1</v>
      </c>
    </row>
    <row r="67" spans="5:9" x14ac:dyDescent="0.25">
      <c r="E67" s="38">
        <v>44957</v>
      </c>
      <c r="F67" s="39">
        <v>7.1</v>
      </c>
      <c r="H67" s="40">
        <v>7.1</v>
      </c>
      <c r="I67" s="40">
        <v>6.3</v>
      </c>
    </row>
    <row r="68" spans="5:9" x14ac:dyDescent="0.25">
      <c r="E68" s="38">
        <v>44985</v>
      </c>
      <c r="F68" s="39">
        <v>7.1</v>
      </c>
      <c r="H68" s="40">
        <v>7.3</v>
      </c>
      <c r="I68" s="40">
        <v>6.5</v>
      </c>
    </row>
    <row r="69" spans="5:9" x14ac:dyDescent="0.25">
      <c r="E69" s="38">
        <v>45016</v>
      </c>
      <c r="F69" s="39">
        <v>7.2</v>
      </c>
      <c r="H69" s="40">
        <v>7.4</v>
      </c>
      <c r="I69" s="40">
        <v>6.7</v>
      </c>
    </row>
    <row r="70" spans="5:9" x14ac:dyDescent="0.25">
      <c r="E70" s="38">
        <v>45046</v>
      </c>
      <c r="F70" s="39">
        <v>7.7</v>
      </c>
      <c r="H70" s="40">
        <v>7.3</v>
      </c>
      <c r="I70" s="40">
        <v>7.1</v>
      </c>
    </row>
    <row r="71" spans="5:9" x14ac:dyDescent="0.25">
      <c r="E71" s="38">
        <v>45077</v>
      </c>
      <c r="F71" s="39">
        <v>7.9</v>
      </c>
      <c r="H71" s="40">
        <v>7.2</v>
      </c>
      <c r="I71" s="40">
        <v>7</v>
      </c>
    </row>
    <row r="72" spans="5:9" x14ac:dyDescent="0.25">
      <c r="E72" s="38">
        <v>45107</v>
      </c>
      <c r="F72" s="39">
        <v>8.1</v>
      </c>
      <c r="H72" s="40">
        <v>7.1</v>
      </c>
      <c r="I72" s="40">
        <v>7.1</v>
      </c>
    </row>
    <row r="73" spans="5:9" x14ac:dyDescent="0.25">
      <c r="E73" s="38">
        <v>45138</v>
      </c>
      <c r="F73" s="39">
        <v>8.1</v>
      </c>
      <c r="H73" s="40">
        <v>7</v>
      </c>
      <c r="I73" s="40">
        <v>7.2</v>
      </c>
    </row>
    <row r="74" spans="5:9" x14ac:dyDescent="0.25">
      <c r="E74" s="38">
        <v>45169</v>
      </c>
      <c r="F74" s="39">
        <v>8.1</v>
      </c>
      <c r="H74" s="40">
        <v>7</v>
      </c>
      <c r="I74" s="40">
        <v>7</v>
      </c>
    </row>
    <row r="75" spans="5:9" x14ac:dyDescent="0.25">
      <c r="E75" s="38">
        <v>45199</v>
      </c>
      <c r="F75" s="39">
        <v>7.9</v>
      </c>
      <c r="H75" s="40">
        <v>7</v>
      </c>
      <c r="I75" s="40">
        <v>6.9</v>
      </c>
    </row>
    <row r="76" spans="5:9" x14ac:dyDescent="0.25">
      <c r="E76" s="38">
        <v>45230</v>
      </c>
      <c r="F76" s="39">
        <v>7.2</v>
      </c>
      <c r="H76" s="40">
        <v>6.7</v>
      </c>
      <c r="I76" s="40">
        <v>6.6</v>
      </c>
    </row>
    <row r="77" spans="5:9" x14ac:dyDescent="0.25">
      <c r="E77" s="38">
        <v>45260</v>
      </c>
      <c r="F77" s="39">
        <v>6.6</v>
      </c>
      <c r="H77" s="40">
        <v>6.4</v>
      </c>
      <c r="I77" s="40">
        <v>6.6</v>
      </c>
    </row>
    <row r="78" spans="5:9" x14ac:dyDescent="0.25">
      <c r="E78" s="38">
        <v>45291</v>
      </c>
      <c r="F78" s="39">
        <v>6.2</v>
      </c>
      <c r="H78" s="40">
        <v>6.1</v>
      </c>
      <c r="I78" s="40">
        <v>6.4</v>
      </c>
    </row>
    <row r="79" spans="5:9" x14ac:dyDescent="0.25">
      <c r="E79" s="38">
        <v>45322</v>
      </c>
      <c r="F79" s="39">
        <v>6.1</v>
      </c>
      <c r="H79" s="40">
        <v>6.1</v>
      </c>
      <c r="I79" s="40">
        <v>6.4</v>
      </c>
    </row>
    <row r="80" spans="5:9" x14ac:dyDescent="0.25">
      <c r="E80" s="38">
        <v>45351</v>
      </c>
      <c r="F80" s="39">
        <v>6</v>
      </c>
      <c r="H80" s="40">
        <v>6</v>
      </c>
      <c r="I80" s="40">
        <v>6.2</v>
      </c>
    </row>
    <row r="81" spans="5:9" x14ac:dyDescent="0.25">
      <c r="E81" s="38">
        <v>45382</v>
      </c>
      <c r="F81" s="39">
        <v>5.9</v>
      </c>
      <c r="H81" s="40">
        <v>6.1</v>
      </c>
      <c r="I81" s="40">
        <v>6.6</v>
      </c>
    </row>
    <row r="82" spans="5:9" x14ac:dyDescent="0.25">
      <c r="E82" s="38">
        <v>45412</v>
      </c>
      <c r="F82" s="39">
        <v>5.9</v>
      </c>
      <c r="H82" s="40">
        <v>6.2</v>
      </c>
      <c r="I82" s="40">
        <v>7.1</v>
      </c>
    </row>
    <row r="83" spans="5:9" x14ac:dyDescent="0.25">
      <c r="E83" s="38">
        <v>45443</v>
      </c>
      <c r="F83" s="39">
        <v>5.6</v>
      </c>
      <c r="H83" s="40">
        <v>6.3</v>
      </c>
      <c r="I83" s="40">
        <v>6.9</v>
      </c>
    </row>
    <row r="84" spans="5:9" x14ac:dyDescent="0.25">
      <c r="E84" s="38">
        <v>45473</v>
      </c>
      <c r="F84" s="39" t="s">
        <v>1465</v>
      </c>
      <c r="G84" s="39"/>
      <c r="H84" s="40">
        <v>6.2</v>
      </c>
      <c r="I84" s="40">
        <v>6.8</v>
      </c>
    </row>
    <row r="85" spans="5:9" x14ac:dyDescent="0.25">
      <c r="E85" s="38"/>
    </row>
    <row r="86" spans="5:9" x14ac:dyDescent="0.25">
      <c r="E86" s="38"/>
    </row>
    <row r="87" spans="5:9" x14ac:dyDescent="0.25">
      <c r="E87" s="38"/>
    </row>
    <row r="88" spans="5:9" x14ac:dyDescent="0.25">
      <c r="E88" s="38"/>
    </row>
    <row r="89" spans="5:9" x14ac:dyDescent="0.25">
      <c r="E89" s="38"/>
    </row>
    <row r="90" spans="5:9" x14ac:dyDescent="0.25">
      <c r="E90" s="38"/>
    </row>
    <row r="91" spans="5:9" x14ac:dyDescent="0.25">
      <c r="E91" s="38"/>
    </row>
    <row r="92" spans="5:9" x14ac:dyDescent="0.25">
      <c r="E92" s="38"/>
    </row>
    <row r="93" spans="5:9" x14ac:dyDescent="0.25">
      <c r="E93" s="38"/>
    </row>
    <row r="94" spans="5:9" x14ac:dyDescent="0.25">
      <c r="E94" s="38"/>
    </row>
    <row r="95" spans="5:9" x14ac:dyDescent="0.25">
      <c r="E95" s="38"/>
    </row>
    <row r="96" spans="5:9" x14ac:dyDescent="0.25">
      <c r="E96" s="38"/>
    </row>
    <row r="97" spans="5:5" x14ac:dyDescent="0.25">
      <c r="E97" s="38"/>
    </row>
    <row r="98" spans="5:5" x14ac:dyDescent="0.25">
      <c r="E98" s="38"/>
    </row>
    <row r="99" spans="5:5" x14ac:dyDescent="0.25">
      <c r="E99" s="38"/>
    </row>
    <row r="100" spans="5:5" x14ac:dyDescent="0.25">
      <c r="E100" s="38"/>
    </row>
    <row r="101" spans="5:5" x14ac:dyDescent="0.25">
      <c r="E101" s="38"/>
    </row>
    <row r="102" spans="5:5" x14ac:dyDescent="0.25">
      <c r="E102" s="38"/>
    </row>
    <row r="103" spans="5:5" x14ac:dyDescent="0.25">
      <c r="E103" s="38"/>
    </row>
    <row r="104" spans="5:5" x14ac:dyDescent="0.25">
      <c r="E104" s="38"/>
    </row>
    <row r="105" spans="5:5" x14ac:dyDescent="0.25">
      <c r="E105" s="38"/>
    </row>
    <row r="106" spans="5:5" x14ac:dyDescent="0.25">
      <c r="E106" s="38"/>
    </row>
    <row r="107" spans="5:5" x14ac:dyDescent="0.25">
      <c r="E107" s="38"/>
    </row>
    <row r="108" spans="5:5" x14ac:dyDescent="0.25">
      <c r="E108" s="38"/>
    </row>
    <row r="109" spans="5:5" x14ac:dyDescent="0.25">
      <c r="E109" s="38"/>
    </row>
    <row r="110" spans="5:5" x14ac:dyDescent="0.25">
      <c r="E110" s="38"/>
    </row>
    <row r="111" spans="5:5" x14ac:dyDescent="0.25">
      <c r="E111" s="38"/>
    </row>
    <row r="112" spans="5:5" x14ac:dyDescent="0.25">
      <c r="E112" s="38"/>
    </row>
    <row r="113" spans="5:5" x14ac:dyDescent="0.25">
      <c r="E113" s="38"/>
    </row>
    <row r="114" spans="5:5" x14ac:dyDescent="0.25">
      <c r="E114" s="38"/>
    </row>
    <row r="115" spans="5:5" x14ac:dyDescent="0.25">
      <c r="E115" s="38"/>
    </row>
    <row r="116" spans="5:5" x14ac:dyDescent="0.25">
      <c r="E116" s="38"/>
    </row>
    <row r="117" spans="5:5" x14ac:dyDescent="0.25">
      <c r="E117" s="38"/>
    </row>
    <row r="118" spans="5:5" x14ac:dyDescent="0.25">
      <c r="E118" s="38"/>
    </row>
    <row r="119" spans="5:5" x14ac:dyDescent="0.25">
      <c r="E119" s="38"/>
    </row>
    <row r="120" spans="5:5" x14ac:dyDescent="0.25">
      <c r="E120" s="38"/>
    </row>
    <row r="121" spans="5:5" x14ac:dyDescent="0.25">
      <c r="E121" s="38"/>
    </row>
    <row r="122" spans="5:5" x14ac:dyDescent="0.25">
      <c r="E122" s="38"/>
    </row>
    <row r="123" spans="5:5" x14ac:dyDescent="0.25">
      <c r="E123" s="38"/>
    </row>
    <row r="124" spans="5:5" x14ac:dyDescent="0.25">
      <c r="E124" s="38"/>
    </row>
    <row r="125" spans="5:5" x14ac:dyDescent="0.25">
      <c r="E125" s="38"/>
    </row>
  </sheetData>
  <mergeCells count="2">
    <mergeCell ref="B5:C5"/>
    <mergeCell ref="F5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3680-1A78-4E11-8674-1917A03D8274}">
  <dimension ref="A1:O182"/>
  <sheetViews>
    <sheetView workbookViewId="0">
      <pane xSplit="1" ySplit="6" topLeftCell="B109" activePane="bottomRight" state="frozen"/>
      <selection pane="topRight" activeCell="B1" sqref="B1"/>
      <selection pane="bottomLeft" activeCell="A7" sqref="A7"/>
      <selection pane="bottomRight" activeCell="E115" sqref="E115"/>
    </sheetView>
  </sheetViews>
  <sheetFormatPr defaultRowHeight="15" x14ac:dyDescent="0.25"/>
  <cols>
    <col min="2" max="15" width="17.7109375" customWidth="1"/>
  </cols>
  <sheetData>
    <row r="1" spans="1:15" x14ac:dyDescent="0.25">
      <c r="A1" s="3" t="s">
        <v>7</v>
      </c>
      <c r="B1" s="2" t="s">
        <v>5</v>
      </c>
      <c r="C1" s="2" t="s">
        <v>184</v>
      </c>
      <c r="D1" s="2" t="s">
        <v>6</v>
      </c>
      <c r="E1" s="2" t="s">
        <v>1522</v>
      </c>
      <c r="F1" s="2" t="s">
        <v>1523</v>
      </c>
      <c r="G1" s="2" t="s">
        <v>1524</v>
      </c>
      <c r="H1" s="2" t="s">
        <v>1525</v>
      </c>
      <c r="I1" s="2" t="s">
        <v>1526</v>
      </c>
      <c r="J1" s="2" t="s">
        <v>1527</v>
      </c>
      <c r="K1" s="2" t="s">
        <v>1528</v>
      </c>
      <c r="L1" s="2" t="s">
        <v>1529</v>
      </c>
      <c r="M1" s="2"/>
      <c r="N1" s="2"/>
      <c r="O1" s="2"/>
    </row>
    <row r="2" spans="1:15" s="5" customFormat="1" ht="90" x14ac:dyDescent="0.25">
      <c r="A2" s="5" t="s">
        <v>13</v>
      </c>
      <c r="B2" s="5" t="s">
        <v>16</v>
      </c>
      <c r="C2" s="5" t="s">
        <v>185</v>
      </c>
      <c r="D2" s="5" t="s">
        <v>18</v>
      </c>
      <c r="E2" s="5" t="s">
        <v>1533</v>
      </c>
      <c r="F2" s="5" t="s">
        <v>1534</v>
      </c>
      <c r="G2" s="5" t="s">
        <v>1536</v>
      </c>
      <c r="H2" s="5" t="s">
        <v>1538</v>
      </c>
      <c r="I2" s="5" t="s">
        <v>1539</v>
      </c>
      <c r="J2" s="5" t="s">
        <v>1540</v>
      </c>
      <c r="K2" s="5" t="s">
        <v>1541</v>
      </c>
      <c r="L2" s="5" t="s">
        <v>1542</v>
      </c>
    </row>
    <row r="3" spans="1:15" x14ac:dyDescent="0.25">
      <c r="A3" t="s">
        <v>12</v>
      </c>
      <c r="B3" t="s">
        <v>15</v>
      </c>
      <c r="C3" t="s">
        <v>15</v>
      </c>
      <c r="D3" t="s">
        <v>17</v>
      </c>
      <c r="E3" t="s">
        <v>1532</v>
      </c>
      <c r="F3" t="s">
        <v>1532</v>
      </c>
      <c r="G3" t="s">
        <v>1535</v>
      </c>
      <c r="H3" t="s">
        <v>1535</v>
      </c>
      <c r="I3" t="s">
        <v>1532</v>
      </c>
      <c r="J3" t="s">
        <v>1532</v>
      </c>
      <c r="K3" t="s">
        <v>1535</v>
      </c>
      <c r="L3" t="s">
        <v>1535</v>
      </c>
    </row>
    <row r="4" spans="1:15" x14ac:dyDescent="0.25">
      <c r="A4" t="s">
        <v>11</v>
      </c>
      <c r="B4" t="s">
        <v>1486</v>
      </c>
      <c r="C4" t="s">
        <v>1486</v>
      </c>
      <c r="D4" t="s">
        <v>1433</v>
      </c>
      <c r="E4" t="s">
        <v>1531</v>
      </c>
      <c r="F4" t="s">
        <v>1531</v>
      </c>
      <c r="G4" t="s">
        <v>1531</v>
      </c>
      <c r="H4" t="s">
        <v>1531</v>
      </c>
      <c r="I4" t="s">
        <v>1531</v>
      </c>
      <c r="J4" t="s">
        <v>1531</v>
      </c>
      <c r="K4" t="s">
        <v>1531</v>
      </c>
      <c r="L4" t="s">
        <v>1531</v>
      </c>
    </row>
    <row r="5" spans="1:15" x14ac:dyDescent="0.25">
      <c r="A5" t="s">
        <v>10</v>
      </c>
      <c r="B5" t="s">
        <v>14</v>
      </c>
      <c r="C5" t="s">
        <v>14</v>
      </c>
      <c r="D5" t="s">
        <v>14</v>
      </c>
      <c r="E5" t="s">
        <v>874</v>
      </c>
      <c r="F5" t="s">
        <v>874</v>
      </c>
      <c r="G5" t="s">
        <v>874</v>
      </c>
      <c r="H5" t="s">
        <v>874</v>
      </c>
      <c r="I5" t="s">
        <v>874</v>
      </c>
      <c r="J5" t="s">
        <v>874</v>
      </c>
      <c r="K5" t="s">
        <v>874</v>
      </c>
      <c r="L5" t="s">
        <v>874</v>
      </c>
    </row>
    <row r="6" spans="1:15" x14ac:dyDescent="0.25">
      <c r="A6" t="s">
        <v>9</v>
      </c>
      <c r="B6" t="s">
        <v>1485</v>
      </c>
      <c r="C6" t="s">
        <v>1485</v>
      </c>
      <c r="D6" t="s">
        <v>1487</v>
      </c>
      <c r="E6" t="s">
        <v>1530</v>
      </c>
      <c r="F6" t="s">
        <v>1530</v>
      </c>
      <c r="G6" t="s">
        <v>1530</v>
      </c>
      <c r="H6" t="s">
        <v>1530</v>
      </c>
      <c r="I6" t="s">
        <v>1530</v>
      </c>
      <c r="J6" t="s">
        <v>1530</v>
      </c>
      <c r="K6" t="s">
        <v>1530</v>
      </c>
      <c r="L6" t="s">
        <v>1530</v>
      </c>
    </row>
    <row r="7" spans="1:15" x14ac:dyDescent="0.25">
      <c r="A7" t="s">
        <v>8</v>
      </c>
      <c r="B7" s="4">
        <v>87.8</v>
      </c>
      <c r="C7" s="4">
        <v>83.9</v>
      </c>
      <c r="D7" s="4">
        <v>0.5</v>
      </c>
      <c r="E7" s="42" t="e">
        <v>#N/A</v>
      </c>
      <c r="F7" s="42" t="e">
        <v>#N/A</v>
      </c>
      <c r="G7" s="4" t="e">
        <v>#N/A</v>
      </c>
      <c r="H7" s="4" t="e">
        <v>#N/A</v>
      </c>
      <c r="I7" s="42" t="e">
        <v>#N/A</v>
      </c>
      <c r="J7" s="42" t="e">
        <v>#N/A</v>
      </c>
      <c r="K7" s="42" t="e">
        <v>#N/A</v>
      </c>
      <c r="L7" s="42" t="e">
        <v>#N/A</v>
      </c>
      <c r="M7" s="4"/>
      <c r="N7" s="4"/>
      <c r="O7" s="4"/>
    </row>
    <row r="8" spans="1:15" x14ac:dyDescent="0.25">
      <c r="A8" t="s">
        <v>19</v>
      </c>
      <c r="B8" s="4">
        <v>88.2</v>
      </c>
      <c r="C8" s="4">
        <v>84.1</v>
      </c>
      <c r="D8" s="4">
        <v>0.7</v>
      </c>
      <c r="E8" s="42" t="e">
        <v>#N/A</v>
      </c>
      <c r="F8" s="42" t="e">
        <v>#N/A</v>
      </c>
      <c r="G8" s="4" t="e">
        <v>#N/A</v>
      </c>
      <c r="H8" s="4" t="e">
        <v>#N/A</v>
      </c>
      <c r="I8" s="42" t="e">
        <v>#N/A</v>
      </c>
      <c r="J8" s="42" t="e">
        <v>#N/A</v>
      </c>
      <c r="K8" s="42" t="e">
        <v>#N/A</v>
      </c>
      <c r="L8" s="42" t="e">
        <v>#N/A</v>
      </c>
      <c r="M8" s="4"/>
      <c r="N8" s="4"/>
      <c r="O8" s="4"/>
    </row>
    <row r="9" spans="1:15" x14ac:dyDescent="0.25">
      <c r="A9" t="s">
        <v>20</v>
      </c>
      <c r="B9" s="4">
        <v>88.7</v>
      </c>
      <c r="C9" s="4">
        <v>84.4</v>
      </c>
      <c r="D9" s="4">
        <v>1</v>
      </c>
      <c r="E9" s="42" t="e">
        <v>#N/A</v>
      </c>
      <c r="F9" s="42" t="e">
        <v>#N/A</v>
      </c>
      <c r="G9" s="4" t="e">
        <v>#N/A</v>
      </c>
      <c r="H9" s="4" t="e">
        <v>#N/A</v>
      </c>
      <c r="I9" s="42" t="e">
        <v>#N/A</v>
      </c>
      <c r="J9" s="42" t="e">
        <v>#N/A</v>
      </c>
      <c r="K9" s="42" t="e">
        <v>#N/A</v>
      </c>
      <c r="L9" s="42" t="e">
        <v>#N/A</v>
      </c>
      <c r="M9" s="4"/>
      <c r="N9" s="4"/>
      <c r="O9" s="4"/>
    </row>
    <row r="10" spans="1:15" x14ac:dyDescent="0.25">
      <c r="A10" t="s">
        <v>21</v>
      </c>
      <c r="B10" s="4">
        <v>89.2</v>
      </c>
      <c r="C10" s="4">
        <v>84.9</v>
      </c>
      <c r="D10" s="4">
        <v>0.9</v>
      </c>
      <c r="E10" s="42" t="e">
        <v>#N/A</v>
      </c>
      <c r="F10" s="42" t="e">
        <v>#N/A</v>
      </c>
      <c r="G10" s="4" t="e">
        <v>#N/A</v>
      </c>
      <c r="H10" s="4" t="e">
        <v>#N/A</v>
      </c>
      <c r="I10" s="42" t="e">
        <v>#N/A</v>
      </c>
      <c r="J10" s="42" t="e">
        <v>#N/A</v>
      </c>
      <c r="K10" s="42" t="e">
        <v>#N/A</v>
      </c>
      <c r="L10" s="42" t="e">
        <v>#N/A</v>
      </c>
      <c r="M10" s="4"/>
      <c r="N10" s="4"/>
      <c r="O10" s="4"/>
    </row>
    <row r="11" spans="1:15" x14ac:dyDescent="0.25">
      <c r="A11" t="s">
        <v>22</v>
      </c>
      <c r="B11" s="4">
        <v>89.4</v>
      </c>
      <c r="C11" s="4">
        <v>85.2</v>
      </c>
      <c r="D11" s="4">
        <v>0.8</v>
      </c>
      <c r="E11" s="42" t="e">
        <v>#N/A</v>
      </c>
      <c r="F11" s="42" t="e">
        <v>#N/A</v>
      </c>
      <c r="G11" s="4" t="e">
        <v>#N/A</v>
      </c>
      <c r="H11" s="4" t="e">
        <v>#N/A</v>
      </c>
      <c r="I11" s="42" t="e">
        <v>#N/A</v>
      </c>
      <c r="J11" s="42" t="e">
        <v>#N/A</v>
      </c>
      <c r="K11" s="42" t="e">
        <v>#N/A</v>
      </c>
      <c r="L11" s="42" t="e">
        <v>#N/A</v>
      </c>
      <c r="M11" s="4"/>
      <c r="N11" s="4"/>
      <c r="O11" s="4"/>
    </row>
    <row r="12" spans="1:15" x14ac:dyDescent="0.25">
      <c r="A12" t="s">
        <v>23</v>
      </c>
      <c r="B12" s="4">
        <v>89.5</v>
      </c>
      <c r="C12" s="4">
        <v>85.7</v>
      </c>
      <c r="D12" s="4">
        <v>0.6</v>
      </c>
      <c r="E12" s="42" t="e">
        <v>#N/A</v>
      </c>
      <c r="F12" s="42" t="e">
        <v>#N/A</v>
      </c>
      <c r="G12" s="4" t="e">
        <v>#N/A</v>
      </c>
      <c r="H12" s="4" t="e">
        <v>#N/A</v>
      </c>
      <c r="I12" s="42" t="e">
        <v>#N/A</v>
      </c>
      <c r="J12" s="42" t="e">
        <v>#N/A</v>
      </c>
      <c r="K12" s="42" t="e">
        <v>#N/A</v>
      </c>
      <c r="L12" s="42" t="e">
        <v>#N/A</v>
      </c>
      <c r="M12" s="4"/>
      <c r="N12" s="4"/>
      <c r="O12" s="4"/>
    </row>
    <row r="13" spans="1:15" x14ac:dyDescent="0.25">
      <c r="A13" t="s">
        <v>24</v>
      </c>
      <c r="B13" s="4">
        <v>89.3</v>
      </c>
      <c r="C13" s="4">
        <v>86.1</v>
      </c>
      <c r="D13" s="4">
        <v>1</v>
      </c>
      <c r="E13" s="42" t="e">
        <v>#N/A</v>
      </c>
      <c r="F13" s="42" t="e">
        <v>#N/A</v>
      </c>
      <c r="G13" s="4" t="e">
        <v>#N/A</v>
      </c>
      <c r="H13" s="4" t="e">
        <v>#N/A</v>
      </c>
      <c r="I13" s="42" t="e">
        <v>#N/A</v>
      </c>
      <c r="J13" s="42" t="e">
        <v>#N/A</v>
      </c>
      <c r="K13" s="42" t="e">
        <v>#N/A</v>
      </c>
      <c r="L13" s="42" t="e">
        <v>#N/A</v>
      </c>
      <c r="M13" s="4"/>
      <c r="N13" s="4"/>
      <c r="O13" s="4"/>
    </row>
    <row r="14" spans="1:15" x14ac:dyDescent="0.25">
      <c r="A14" t="s">
        <v>25</v>
      </c>
      <c r="B14" s="4">
        <v>89.8</v>
      </c>
      <c r="C14" s="4">
        <v>86.7</v>
      </c>
      <c r="D14" s="4">
        <v>1.6</v>
      </c>
      <c r="E14" s="42" t="e">
        <v>#N/A</v>
      </c>
      <c r="F14" s="42" t="e">
        <v>#N/A</v>
      </c>
      <c r="G14" s="4" t="e">
        <v>#N/A</v>
      </c>
      <c r="H14" s="4" t="e">
        <v>#N/A</v>
      </c>
      <c r="I14" s="42" t="e">
        <v>#N/A</v>
      </c>
      <c r="J14" s="42" t="e">
        <v>#N/A</v>
      </c>
      <c r="K14" s="42" t="e">
        <v>#N/A</v>
      </c>
      <c r="L14" s="42" t="e">
        <v>#N/A</v>
      </c>
      <c r="M14" s="4"/>
      <c r="N14" s="4"/>
      <c r="O14" s="4"/>
    </row>
    <row r="15" spans="1:15" x14ac:dyDescent="0.25">
      <c r="A15" t="s">
        <v>26</v>
      </c>
      <c r="B15" s="4">
        <v>89.8</v>
      </c>
      <c r="C15" s="4">
        <v>85.9</v>
      </c>
      <c r="D15" s="4">
        <v>2</v>
      </c>
      <c r="E15" s="42" t="e">
        <v>#N/A</v>
      </c>
      <c r="F15" s="42" t="e">
        <v>#N/A</v>
      </c>
      <c r="G15" s="4" t="e">
        <v>#N/A</v>
      </c>
      <c r="H15" s="4" t="e">
        <v>#N/A</v>
      </c>
      <c r="I15" s="42" t="e">
        <v>#N/A</v>
      </c>
      <c r="J15" s="42" t="e">
        <v>#N/A</v>
      </c>
      <c r="K15" s="42" t="e">
        <v>#N/A</v>
      </c>
      <c r="L15" s="42" t="e">
        <v>#N/A</v>
      </c>
      <c r="M15" s="4"/>
      <c r="N15" s="4"/>
      <c r="O15" s="4"/>
    </row>
    <row r="16" spans="1:15" x14ac:dyDescent="0.25">
      <c r="A16" t="s">
        <v>27</v>
      </c>
      <c r="B16" s="4">
        <v>90</v>
      </c>
      <c r="C16" s="4">
        <v>86.3</v>
      </c>
      <c r="D16" s="4">
        <v>2</v>
      </c>
      <c r="E16" s="42" t="e">
        <v>#N/A</v>
      </c>
      <c r="F16" s="42" t="e">
        <v>#N/A</v>
      </c>
      <c r="G16" s="4" t="e">
        <v>#N/A</v>
      </c>
      <c r="H16" s="4" t="e">
        <v>#N/A</v>
      </c>
      <c r="I16" s="42" t="e">
        <v>#N/A</v>
      </c>
      <c r="J16" s="42" t="e">
        <v>#N/A</v>
      </c>
      <c r="K16" s="42" t="e">
        <v>#N/A</v>
      </c>
      <c r="L16" s="42" t="e">
        <v>#N/A</v>
      </c>
      <c r="M16" s="4"/>
      <c r="N16" s="4"/>
      <c r="O16" s="4"/>
    </row>
    <row r="17" spans="1:15" x14ac:dyDescent="0.25">
      <c r="A17" t="s">
        <v>28</v>
      </c>
      <c r="B17" s="4">
        <v>90.3</v>
      </c>
      <c r="C17" s="4">
        <v>86.1</v>
      </c>
      <c r="D17" s="4">
        <v>2</v>
      </c>
      <c r="E17" s="42" t="e">
        <v>#N/A</v>
      </c>
      <c r="F17" s="42" t="e">
        <v>#N/A</v>
      </c>
      <c r="G17" s="4" t="e">
        <v>#N/A</v>
      </c>
      <c r="H17" s="4" t="e">
        <v>#N/A</v>
      </c>
      <c r="I17" s="42" t="e">
        <v>#N/A</v>
      </c>
      <c r="J17" s="42" t="e">
        <v>#N/A</v>
      </c>
      <c r="K17" s="42" t="e">
        <v>#N/A</v>
      </c>
      <c r="L17" s="42" t="e">
        <v>#N/A</v>
      </c>
      <c r="M17" s="4"/>
      <c r="N17" s="4"/>
      <c r="O17" s="4"/>
    </row>
    <row r="18" spans="1:15" x14ac:dyDescent="0.25">
      <c r="A18" t="s">
        <v>29</v>
      </c>
      <c r="B18" s="4">
        <v>91.2</v>
      </c>
      <c r="C18" s="4">
        <v>87.2</v>
      </c>
      <c r="D18" s="4">
        <v>1.9</v>
      </c>
      <c r="E18" s="42" t="e">
        <v>#N/A</v>
      </c>
      <c r="F18" s="42" t="e">
        <v>#N/A</v>
      </c>
      <c r="G18" s="4" t="e">
        <v>#N/A</v>
      </c>
      <c r="H18" s="4" t="e">
        <v>#N/A</v>
      </c>
      <c r="I18" s="42" t="e">
        <v>#N/A</v>
      </c>
      <c r="J18" s="42" t="e">
        <v>#N/A</v>
      </c>
      <c r="K18" s="42" t="e">
        <v>#N/A</v>
      </c>
      <c r="L18" s="42" t="e">
        <v>#N/A</v>
      </c>
      <c r="M18" s="4"/>
      <c r="N18" s="4"/>
      <c r="O18" s="4"/>
    </row>
    <row r="19" spans="1:15" x14ac:dyDescent="0.25">
      <c r="A19" t="s">
        <v>30</v>
      </c>
      <c r="B19" s="4">
        <v>91.3</v>
      </c>
      <c r="C19" s="4">
        <v>87.3</v>
      </c>
      <c r="D19" s="4">
        <v>1.9</v>
      </c>
      <c r="E19" s="42" t="e">
        <v>#N/A</v>
      </c>
      <c r="F19" s="42" t="e">
        <v>#N/A</v>
      </c>
      <c r="G19" s="4" t="e">
        <v>#N/A</v>
      </c>
      <c r="H19" s="4" t="e">
        <v>#N/A</v>
      </c>
      <c r="I19" s="42" t="e">
        <v>#N/A</v>
      </c>
      <c r="J19" s="42" t="e">
        <v>#N/A</v>
      </c>
      <c r="K19" s="42" t="e">
        <v>#N/A</v>
      </c>
      <c r="L19" s="42" t="e">
        <v>#N/A</v>
      </c>
      <c r="M19" s="4"/>
      <c r="N19" s="4"/>
      <c r="O19" s="4"/>
    </row>
    <row r="20" spans="1:15" x14ac:dyDescent="0.25">
      <c r="A20" t="s">
        <v>31</v>
      </c>
      <c r="B20" s="4">
        <v>92</v>
      </c>
      <c r="C20" s="4">
        <v>87.6</v>
      </c>
      <c r="D20" s="4">
        <v>1.8</v>
      </c>
      <c r="E20" s="42" t="e">
        <v>#N/A</v>
      </c>
      <c r="F20" s="42" t="e">
        <v>#N/A</v>
      </c>
      <c r="G20" s="4" t="e">
        <v>#N/A</v>
      </c>
      <c r="H20" s="4" t="e">
        <v>#N/A</v>
      </c>
      <c r="I20" s="42" t="e">
        <v>#N/A</v>
      </c>
      <c r="J20" s="42" t="e">
        <v>#N/A</v>
      </c>
      <c r="K20" s="42" t="e">
        <v>#N/A</v>
      </c>
      <c r="L20" s="42" t="e">
        <v>#N/A</v>
      </c>
      <c r="M20" s="4"/>
      <c r="N20" s="4"/>
      <c r="O20" s="4"/>
    </row>
    <row r="21" spans="1:15" x14ac:dyDescent="0.25">
      <c r="A21" t="s">
        <v>32</v>
      </c>
      <c r="B21" s="4">
        <v>92.2</v>
      </c>
      <c r="C21" s="4">
        <v>87.9</v>
      </c>
      <c r="D21" s="4">
        <v>1.7</v>
      </c>
      <c r="E21" s="42" t="e">
        <v>#N/A</v>
      </c>
      <c r="F21" s="42" t="e">
        <v>#N/A</v>
      </c>
      <c r="G21" s="4" t="e">
        <v>#N/A</v>
      </c>
      <c r="H21" s="4" t="e">
        <v>#N/A</v>
      </c>
      <c r="I21" s="42" t="e">
        <v>#N/A</v>
      </c>
      <c r="J21" s="42" t="e">
        <v>#N/A</v>
      </c>
      <c r="K21" s="42" t="e">
        <v>#N/A</v>
      </c>
      <c r="L21" s="42" t="e">
        <v>#N/A</v>
      </c>
      <c r="M21" s="4"/>
      <c r="N21" s="4"/>
      <c r="O21" s="4"/>
    </row>
    <row r="22" spans="1:15" x14ac:dyDescent="0.25">
      <c r="A22" t="s">
        <v>33</v>
      </c>
      <c r="B22" s="4">
        <v>93.2</v>
      </c>
      <c r="C22" s="4">
        <v>89.1</v>
      </c>
      <c r="D22" s="4">
        <v>1.6</v>
      </c>
      <c r="E22" s="42" t="e">
        <v>#N/A</v>
      </c>
      <c r="F22" s="42" t="e">
        <v>#N/A</v>
      </c>
      <c r="G22" s="4" t="e">
        <v>#N/A</v>
      </c>
      <c r="H22" s="4" t="e">
        <v>#N/A</v>
      </c>
      <c r="I22" s="42" t="e">
        <v>#N/A</v>
      </c>
      <c r="J22" s="42" t="e">
        <v>#N/A</v>
      </c>
      <c r="K22" s="42" t="e">
        <v>#N/A</v>
      </c>
      <c r="L22" s="42" t="e">
        <v>#N/A</v>
      </c>
      <c r="M22" s="4"/>
      <c r="N22" s="4"/>
      <c r="O22" s="4"/>
    </row>
    <row r="23" spans="1:15" x14ac:dyDescent="0.25">
      <c r="A23" t="s">
        <v>34</v>
      </c>
      <c r="B23" s="4">
        <v>93.4</v>
      </c>
      <c r="C23" s="4">
        <v>89</v>
      </c>
      <c r="D23" s="4">
        <v>1.8</v>
      </c>
      <c r="E23" s="42" t="e">
        <v>#N/A</v>
      </c>
      <c r="F23" s="42" t="e">
        <v>#N/A</v>
      </c>
      <c r="G23" s="4" t="e">
        <v>#N/A</v>
      </c>
      <c r="H23" s="4" t="e">
        <v>#N/A</v>
      </c>
      <c r="I23" s="42" t="e">
        <v>#N/A</v>
      </c>
      <c r="J23" s="42" t="e">
        <v>#N/A</v>
      </c>
      <c r="K23" s="42" t="e">
        <v>#N/A</v>
      </c>
      <c r="L23" s="42" t="e">
        <v>#N/A</v>
      </c>
      <c r="M23" s="4"/>
      <c r="N23" s="4"/>
      <c r="O23" s="4"/>
    </row>
    <row r="24" spans="1:15" x14ac:dyDescent="0.25">
      <c r="A24" t="s">
        <v>35</v>
      </c>
      <c r="B24" s="4">
        <v>93.3</v>
      </c>
      <c r="C24" s="4">
        <v>89.3</v>
      </c>
      <c r="D24" s="4">
        <v>2</v>
      </c>
      <c r="E24" s="42" t="e">
        <v>#N/A</v>
      </c>
      <c r="F24" s="42" t="e">
        <v>#N/A</v>
      </c>
      <c r="G24" s="4" t="e">
        <v>#N/A</v>
      </c>
      <c r="H24" s="4" t="e">
        <v>#N/A</v>
      </c>
      <c r="I24" s="42" t="e">
        <v>#N/A</v>
      </c>
      <c r="J24" s="42" t="e">
        <v>#N/A</v>
      </c>
      <c r="K24" s="42" t="e">
        <v>#N/A</v>
      </c>
      <c r="L24" s="42" t="e">
        <v>#N/A</v>
      </c>
      <c r="M24" s="4"/>
      <c r="N24" s="4"/>
      <c r="O24" s="4"/>
    </row>
    <row r="25" spans="1:15" x14ac:dyDescent="0.25">
      <c r="A25" t="s">
        <v>36</v>
      </c>
      <c r="B25" s="4">
        <v>93.3</v>
      </c>
      <c r="C25" s="4">
        <v>89.9</v>
      </c>
      <c r="D25" s="4">
        <v>2</v>
      </c>
      <c r="E25" s="42" t="e">
        <v>#N/A</v>
      </c>
      <c r="F25" s="42" t="e">
        <v>#N/A</v>
      </c>
      <c r="G25" s="4" t="e">
        <v>#N/A</v>
      </c>
      <c r="H25" s="4" t="e">
        <v>#N/A</v>
      </c>
      <c r="I25" s="42" t="e">
        <v>#N/A</v>
      </c>
      <c r="J25" s="42" t="e">
        <v>#N/A</v>
      </c>
      <c r="K25" s="42" t="e">
        <v>#N/A</v>
      </c>
      <c r="L25" s="42" t="e">
        <v>#N/A</v>
      </c>
      <c r="M25" s="4"/>
      <c r="N25" s="4"/>
      <c r="O25" s="4"/>
    </row>
    <row r="26" spans="1:15" x14ac:dyDescent="0.25">
      <c r="A26" t="s">
        <v>37</v>
      </c>
      <c r="B26" s="4">
        <v>93.8</v>
      </c>
      <c r="C26" s="4">
        <v>90.4</v>
      </c>
      <c r="D26" s="4">
        <v>1.7</v>
      </c>
      <c r="E26" s="42" t="e">
        <v>#N/A</v>
      </c>
      <c r="F26" s="42" t="e">
        <v>#N/A</v>
      </c>
      <c r="G26" s="4" t="e">
        <v>#N/A</v>
      </c>
      <c r="H26" s="4" t="e">
        <v>#N/A</v>
      </c>
      <c r="I26" s="42" t="e">
        <v>#N/A</v>
      </c>
      <c r="J26" s="42" t="e">
        <v>#N/A</v>
      </c>
      <c r="K26" s="42" t="e">
        <v>#N/A</v>
      </c>
      <c r="L26" s="42" t="e">
        <v>#N/A</v>
      </c>
      <c r="M26" s="4"/>
      <c r="N26" s="4"/>
      <c r="O26" s="4"/>
    </row>
    <row r="27" spans="1:15" x14ac:dyDescent="0.25">
      <c r="A27" t="s">
        <v>38</v>
      </c>
      <c r="B27" s="4">
        <v>94.4</v>
      </c>
      <c r="C27" s="4">
        <v>89.9</v>
      </c>
      <c r="D27" s="4">
        <v>1.6</v>
      </c>
      <c r="E27" s="42" t="e">
        <v>#N/A</v>
      </c>
      <c r="F27" s="42" t="e">
        <v>#N/A</v>
      </c>
      <c r="G27" s="4" t="e">
        <v>#N/A</v>
      </c>
      <c r="H27" s="4" t="e">
        <v>#N/A</v>
      </c>
      <c r="I27" s="42" t="e">
        <v>#N/A</v>
      </c>
      <c r="J27" s="42" t="e">
        <v>#N/A</v>
      </c>
      <c r="K27" s="42" t="e">
        <v>#N/A</v>
      </c>
      <c r="L27" s="42" t="e">
        <v>#N/A</v>
      </c>
      <c r="M27" s="4"/>
      <c r="N27" s="4"/>
      <c r="O27" s="4"/>
    </row>
    <row r="28" spans="1:15" x14ac:dyDescent="0.25">
      <c r="A28" t="s">
        <v>39</v>
      </c>
      <c r="B28" s="4">
        <v>94.5</v>
      </c>
      <c r="C28" s="4">
        <v>89.9</v>
      </c>
      <c r="D28" s="4">
        <v>1.7</v>
      </c>
      <c r="E28" s="42" t="e">
        <v>#N/A</v>
      </c>
      <c r="F28" s="42" t="e">
        <v>#N/A</v>
      </c>
      <c r="G28" s="4" t="e">
        <v>#N/A</v>
      </c>
      <c r="H28" s="4" t="e">
        <v>#N/A</v>
      </c>
      <c r="I28" s="42" t="e">
        <v>#N/A</v>
      </c>
      <c r="J28" s="42" t="e">
        <v>#N/A</v>
      </c>
      <c r="K28" s="42" t="e">
        <v>#N/A</v>
      </c>
      <c r="L28" s="42" t="e">
        <v>#N/A</v>
      </c>
      <c r="M28" s="4"/>
      <c r="N28" s="4"/>
      <c r="O28" s="4"/>
    </row>
    <row r="29" spans="1:15" x14ac:dyDescent="0.25">
      <c r="A29" t="s">
        <v>40</v>
      </c>
      <c r="B29" s="4">
        <v>94.6</v>
      </c>
      <c r="C29" s="4">
        <v>89.8</v>
      </c>
      <c r="D29" s="4">
        <v>1.9</v>
      </c>
      <c r="E29" s="42" t="e">
        <v>#N/A</v>
      </c>
      <c r="F29" s="42" t="e">
        <v>#N/A</v>
      </c>
      <c r="G29" s="4" t="e">
        <v>#N/A</v>
      </c>
      <c r="H29" s="4" t="e">
        <v>#N/A</v>
      </c>
      <c r="I29" s="42" t="e">
        <v>#N/A</v>
      </c>
      <c r="J29" s="42" t="e">
        <v>#N/A</v>
      </c>
      <c r="K29" s="42" t="e">
        <v>#N/A</v>
      </c>
      <c r="L29" s="42" t="e">
        <v>#N/A</v>
      </c>
      <c r="M29" s="4"/>
      <c r="N29" s="4"/>
      <c r="O29" s="4"/>
    </row>
    <row r="30" spans="1:15" x14ac:dyDescent="0.25">
      <c r="A30" t="s">
        <v>41</v>
      </c>
      <c r="B30" s="4">
        <v>95.1</v>
      </c>
      <c r="C30" s="4">
        <v>90.8</v>
      </c>
      <c r="D30" s="4">
        <v>2.1</v>
      </c>
      <c r="E30" s="42" t="e">
        <v>#N/A</v>
      </c>
      <c r="F30" s="42" t="e">
        <v>#N/A</v>
      </c>
      <c r="G30" s="4" t="e">
        <v>#N/A</v>
      </c>
      <c r="H30" s="4" t="e">
        <v>#N/A</v>
      </c>
      <c r="I30" s="42" t="e">
        <v>#N/A</v>
      </c>
      <c r="J30" s="42" t="e">
        <v>#N/A</v>
      </c>
      <c r="K30" s="42" t="e">
        <v>#N/A</v>
      </c>
      <c r="L30" s="42" t="e">
        <v>#N/A</v>
      </c>
      <c r="M30" s="4"/>
      <c r="N30" s="4"/>
      <c r="O30" s="4"/>
    </row>
    <row r="31" spans="1:15" x14ac:dyDescent="0.25">
      <c r="A31" t="s">
        <v>42</v>
      </c>
      <c r="B31" s="4">
        <v>94.6</v>
      </c>
      <c r="C31" s="4">
        <v>90.5</v>
      </c>
      <c r="D31" s="4">
        <v>1.8</v>
      </c>
      <c r="E31" s="42" t="e">
        <v>#N/A</v>
      </c>
      <c r="F31" s="42" t="e">
        <v>#N/A</v>
      </c>
      <c r="G31" s="4" t="e">
        <v>#N/A</v>
      </c>
      <c r="H31" s="4" t="e">
        <v>#N/A</v>
      </c>
      <c r="I31" s="42" t="e">
        <v>#N/A</v>
      </c>
      <c r="J31" s="42" t="e">
        <v>#N/A</v>
      </c>
      <c r="K31" s="42" t="e">
        <v>#N/A</v>
      </c>
      <c r="L31" s="42" t="e">
        <v>#N/A</v>
      </c>
      <c r="M31" s="4"/>
      <c r="N31" s="4"/>
      <c r="O31" s="4"/>
    </row>
    <row r="32" spans="1:15" x14ac:dyDescent="0.25">
      <c r="A32" t="s">
        <v>43</v>
      </c>
      <c r="B32" s="4">
        <v>95.1</v>
      </c>
      <c r="C32" s="4">
        <v>90.7</v>
      </c>
      <c r="D32" s="4">
        <v>1.8</v>
      </c>
      <c r="E32" s="42" t="e">
        <v>#N/A</v>
      </c>
      <c r="F32" s="42" t="e">
        <v>#N/A</v>
      </c>
      <c r="G32" s="4" t="e">
        <v>#N/A</v>
      </c>
      <c r="H32" s="4" t="e">
        <v>#N/A</v>
      </c>
      <c r="I32" s="42" t="e">
        <v>#N/A</v>
      </c>
      <c r="J32" s="42" t="e">
        <v>#N/A</v>
      </c>
      <c r="K32" s="42" t="e">
        <v>#N/A</v>
      </c>
      <c r="L32" s="42" t="e">
        <v>#N/A</v>
      </c>
      <c r="M32" s="4"/>
      <c r="N32" s="4"/>
      <c r="O32" s="4"/>
    </row>
    <row r="33" spans="1:15" x14ac:dyDescent="0.25">
      <c r="A33" t="s">
        <v>44</v>
      </c>
      <c r="B33" s="4">
        <v>95.4</v>
      </c>
      <c r="C33" s="4">
        <v>90.8</v>
      </c>
      <c r="D33" s="4">
        <v>1.8</v>
      </c>
      <c r="E33" s="42" t="e">
        <v>#N/A</v>
      </c>
      <c r="F33" s="42" t="e">
        <v>#N/A</v>
      </c>
      <c r="G33" s="4" t="e">
        <v>#N/A</v>
      </c>
      <c r="H33" s="4" t="e">
        <v>#N/A</v>
      </c>
      <c r="I33" s="42" t="e">
        <v>#N/A</v>
      </c>
      <c r="J33" s="42" t="e">
        <v>#N/A</v>
      </c>
      <c r="K33" s="42" t="e">
        <v>#N/A</v>
      </c>
      <c r="L33" s="42" t="e">
        <v>#N/A</v>
      </c>
      <c r="M33" s="4"/>
      <c r="N33" s="4"/>
      <c r="O33" s="4"/>
    </row>
    <row r="34" spans="1:15" x14ac:dyDescent="0.25">
      <c r="A34" t="s">
        <v>45</v>
      </c>
      <c r="B34" s="4">
        <v>96</v>
      </c>
      <c r="C34" s="4">
        <v>91.7</v>
      </c>
      <c r="D34" s="4">
        <v>2</v>
      </c>
      <c r="E34" s="42" t="e">
        <v>#N/A</v>
      </c>
      <c r="F34" s="42" t="e">
        <v>#N/A</v>
      </c>
      <c r="G34" s="4" t="e">
        <v>#N/A</v>
      </c>
      <c r="H34" s="4" t="e">
        <v>#N/A</v>
      </c>
      <c r="I34" s="42" t="e">
        <v>#N/A</v>
      </c>
      <c r="J34" s="42" t="e">
        <v>#N/A</v>
      </c>
      <c r="K34" s="42" t="e">
        <v>#N/A</v>
      </c>
      <c r="L34" s="42" t="e">
        <v>#N/A</v>
      </c>
      <c r="M34" s="4"/>
      <c r="N34" s="4"/>
      <c r="O34" s="4"/>
    </row>
    <row r="35" spans="1:15" x14ac:dyDescent="0.25">
      <c r="A35" t="s">
        <v>46</v>
      </c>
      <c r="B35" s="4">
        <v>95.9</v>
      </c>
      <c r="C35" s="4">
        <v>92</v>
      </c>
      <c r="D35" s="4">
        <v>2</v>
      </c>
      <c r="E35" s="42" t="e">
        <v>#N/A</v>
      </c>
      <c r="F35" s="42" t="e">
        <v>#N/A</v>
      </c>
      <c r="G35" s="4" t="e">
        <v>#N/A</v>
      </c>
      <c r="H35" s="4" t="e">
        <v>#N/A</v>
      </c>
      <c r="I35" s="42" t="e">
        <v>#N/A</v>
      </c>
      <c r="J35" s="42" t="e">
        <v>#N/A</v>
      </c>
      <c r="K35" s="42" t="e">
        <v>#N/A</v>
      </c>
      <c r="L35" s="42" t="e">
        <v>#N/A</v>
      </c>
      <c r="M35" s="4"/>
      <c r="N35" s="4"/>
      <c r="O35" s="4"/>
    </row>
    <row r="36" spans="1:15" x14ac:dyDescent="0.25">
      <c r="A36" t="s">
        <v>47</v>
      </c>
      <c r="B36" s="4">
        <v>95.5</v>
      </c>
      <c r="C36" s="4">
        <v>92.2</v>
      </c>
      <c r="D36" s="4">
        <v>2</v>
      </c>
      <c r="E36" s="42" t="e">
        <v>#N/A</v>
      </c>
      <c r="F36" s="42" t="e">
        <v>#N/A</v>
      </c>
      <c r="G36" s="4" t="e">
        <v>#N/A</v>
      </c>
      <c r="H36" s="4" t="e">
        <v>#N/A</v>
      </c>
      <c r="I36" s="42" t="e">
        <v>#N/A</v>
      </c>
      <c r="J36" s="42" t="e">
        <v>#N/A</v>
      </c>
      <c r="K36" s="42" t="e">
        <v>#N/A</v>
      </c>
      <c r="L36" s="42" t="e">
        <v>#N/A</v>
      </c>
      <c r="M36" s="4"/>
      <c r="N36" s="4"/>
      <c r="O36" s="4"/>
    </row>
    <row r="37" spans="1:15" x14ac:dyDescent="0.25">
      <c r="A37" t="s">
        <v>48</v>
      </c>
      <c r="B37" s="4">
        <v>95.6</v>
      </c>
      <c r="C37" s="4">
        <v>92.9</v>
      </c>
      <c r="D37" s="4">
        <v>2</v>
      </c>
      <c r="E37" s="42" t="e">
        <v>#N/A</v>
      </c>
      <c r="F37" s="42" t="e">
        <v>#N/A</v>
      </c>
      <c r="G37" s="4" t="e">
        <v>#N/A</v>
      </c>
      <c r="H37" s="4" t="e">
        <v>#N/A</v>
      </c>
      <c r="I37" s="42" t="e">
        <v>#N/A</v>
      </c>
      <c r="J37" s="42" t="e">
        <v>#N/A</v>
      </c>
      <c r="K37" s="42" t="e">
        <v>#N/A</v>
      </c>
      <c r="L37" s="42" t="e">
        <v>#N/A</v>
      </c>
      <c r="M37" s="4"/>
      <c r="N37" s="4"/>
      <c r="O37" s="4"/>
    </row>
    <row r="38" spans="1:15" x14ac:dyDescent="0.25">
      <c r="A38" t="s">
        <v>49</v>
      </c>
      <c r="B38" s="4">
        <v>96.1</v>
      </c>
      <c r="C38" s="4">
        <v>93.3</v>
      </c>
      <c r="D38" s="4">
        <v>2</v>
      </c>
      <c r="E38" s="42" t="e">
        <v>#N/A</v>
      </c>
      <c r="F38" s="42" t="e">
        <v>#N/A</v>
      </c>
      <c r="G38" s="4" t="e">
        <v>#N/A</v>
      </c>
      <c r="H38" s="4" t="e">
        <v>#N/A</v>
      </c>
      <c r="I38" s="42" t="e">
        <v>#N/A</v>
      </c>
      <c r="J38" s="42" t="e">
        <v>#N/A</v>
      </c>
      <c r="K38" s="42" t="e">
        <v>#N/A</v>
      </c>
      <c r="L38" s="42" t="e">
        <v>#N/A</v>
      </c>
      <c r="M38" s="4"/>
      <c r="N38" s="4"/>
      <c r="O38" s="4"/>
    </row>
    <row r="39" spans="1:15" x14ac:dyDescent="0.25">
      <c r="A39" t="s">
        <v>50</v>
      </c>
      <c r="B39" s="4">
        <v>96.5</v>
      </c>
      <c r="C39" s="4">
        <v>92.8</v>
      </c>
      <c r="D39" s="4">
        <v>1.8</v>
      </c>
      <c r="E39" s="42" t="e">
        <v>#N/A</v>
      </c>
      <c r="F39" s="42" t="e">
        <v>#N/A</v>
      </c>
      <c r="G39" s="4" t="e">
        <v>#N/A</v>
      </c>
      <c r="H39" s="4" t="e">
        <v>#N/A</v>
      </c>
      <c r="I39" s="42" t="e">
        <v>#N/A</v>
      </c>
      <c r="J39" s="42" t="e">
        <v>#N/A</v>
      </c>
      <c r="K39" s="42" t="e">
        <v>#N/A</v>
      </c>
      <c r="L39" s="42" t="e">
        <v>#N/A</v>
      </c>
      <c r="M39" s="4"/>
      <c r="N39" s="4"/>
      <c r="O39" s="4"/>
    </row>
    <row r="40" spans="1:15" x14ac:dyDescent="0.25">
      <c r="A40" t="s">
        <v>51</v>
      </c>
      <c r="B40" s="4">
        <v>97</v>
      </c>
      <c r="C40" s="4">
        <v>93.6</v>
      </c>
      <c r="D40" s="4">
        <v>1.6</v>
      </c>
      <c r="E40" s="42" t="e">
        <v>#N/A</v>
      </c>
      <c r="F40" s="42" t="e">
        <v>#N/A</v>
      </c>
      <c r="G40" s="4" t="e">
        <v>#N/A</v>
      </c>
      <c r="H40" s="4" t="e">
        <v>#N/A</v>
      </c>
      <c r="I40" s="42" t="e">
        <v>#N/A</v>
      </c>
      <c r="J40" s="42" t="e">
        <v>#N/A</v>
      </c>
      <c r="K40" s="42" t="e">
        <v>#N/A</v>
      </c>
      <c r="L40" s="42" t="e">
        <v>#N/A</v>
      </c>
      <c r="M40" s="4"/>
      <c r="N40" s="4"/>
      <c r="O40" s="4"/>
    </row>
    <row r="41" spans="1:15" x14ac:dyDescent="0.25">
      <c r="A41" t="s">
        <v>52</v>
      </c>
      <c r="B41" s="4">
        <v>97.2</v>
      </c>
      <c r="C41" s="4">
        <v>93.6</v>
      </c>
      <c r="D41" s="4">
        <v>1.4</v>
      </c>
      <c r="E41" s="42" t="e">
        <v>#N/A</v>
      </c>
      <c r="F41" s="42" t="e">
        <v>#N/A</v>
      </c>
      <c r="G41" s="4" t="e">
        <v>#N/A</v>
      </c>
      <c r="H41" s="4" t="e">
        <v>#N/A</v>
      </c>
      <c r="I41" s="42" t="e">
        <v>#N/A</v>
      </c>
      <c r="J41" s="42" t="e">
        <v>#N/A</v>
      </c>
      <c r="K41" s="42" t="e">
        <v>#N/A</v>
      </c>
      <c r="L41" s="42" t="e">
        <v>#N/A</v>
      </c>
      <c r="M41" s="4"/>
      <c r="N41" s="4"/>
      <c r="O41" s="4"/>
    </row>
    <row r="42" spans="1:15" x14ac:dyDescent="0.25">
      <c r="A42" t="s">
        <v>53</v>
      </c>
      <c r="B42" s="4">
        <v>97.6</v>
      </c>
      <c r="C42" s="4">
        <v>94.1</v>
      </c>
      <c r="D42" s="4">
        <v>1.3</v>
      </c>
      <c r="E42" s="42" t="e">
        <v>#N/A</v>
      </c>
      <c r="F42" s="42" t="e">
        <v>#N/A</v>
      </c>
      <c r="G42" s="4" t="e">
        <v>#N/A</v>
      </c>
      <c r="H42" s="4" t="e">
        <v>#N/A</v>
      </c>
      <c r="I42" s="42" t="e">
        <v>#N/A</v>
      </c>
      <c r="J42" s="42" t="e">
        <v>#N/A</v>
      </c>
      <c r="K42" s="42" t="e">
        <v>#N/A</v>
      </c>
      <c r="L42" s="42" t="e">
        <v>#N/A</v>
      </c>
      <c r="M42" s="4"/>
      <c r="N42" s="4"/>
      <c r="O42" s="4"/>
    </row>
    <row r="43" spans="1:15" x14ac:dyDescent="0.25">
      <c r="A43" t="s">
        <v>54</v>
      </c>
      <c r="B43" s="4">
        <v>97.1</v>
      </c>
      <c r="C43" s="4">
        <v>93.9</v>
      </c>
      <c r="D43" s="4">
        <v>1.2</v>
      </c>
      <c r="E43" s="42" t="e">
        <v>#N/A</v>
      </c>
      <c r="F43" s="42" t="e">
        <v>#N/A</v>
      </c>
      <c r="G43" s="4" t="e">
        <v>#N/A</v>
      </c>
      <c r="H43" s="4" t="e">
        <v>#N/A</v>
      </c>
      <c r="I43" s="42" t="e">
        <v>#N/A</v>
      </c>
      <c r="J43" s="42" t="e">
        <v>#N/A</v>
      </c>
      <c r="K43" s="42" t="e">
        <v>#N/A</v>
      </c>
      <c r="L43" s="42" t="e">
        <v>#N/A</v>
      </c>
      <c r="M43" s="4"/>
      <c r="N43" s="4"/>
      <c r="O43" s="4"/>
    </row>
    <row r="44" spans="1:15" x14ac:dyDescent="0.25">
      <c r="A44" t="s">
        <v>55</v>
      </c>
      <c r="B44" s="4">
        <v>97.8</v>
      </c>
      <c r="C44" s="4">
        <v>94.1</v>
      </c>
      <c r="D44" s="4">
        <v>1</v>
      </c>
      <c r="E44" s="42" t="e">
        <v>#N/A</v>
      </c>
      <c r="F44" s="42" t="e">
        <v>#N/A</v>
      </c>
      <c r="G44" s="4" t="e">
        <v>#N/A</v>
      </c>
      <c r="H44" s="4" t="e">
        <v>#N/A</v>
      </c>
      <c r="I44" s="42" t="e">
        <v>#N/A</v>
      </c>
      <c r="J44" s="42" t="e">
        <v>#N/A</v>
      </c>
      <c r="K44" s="42" t="e">
        <v>#N/A</v>
      </c>
      <c r="L44" s="42" t="e">
        <v>#N/A</v>
      </c>
      <c r="M44" s="4"/>
      <c r="N44" s="4"/>
      <c r="O44" s="4"/>
    </row>
    <row r="45" spans="1:15" x14ac:dyDescent="0.25">
      <c r="A45" t="s">
        <v>56</v>
      </c>
      <c r="B45" s="4">
        <v>98.1</v>
      </c>
      <c r="C45" s="4">
        <v>94.4</v>
      </c>
      <c r="D45" s="4">
        <v>0.8</v>
      </c>
      <c r="E45" s="42" t="e">
        <v>#N/A</v>
      </c>
      <c r="F45" s="42" t="e">
        <v>#N/A</v>
      </c>
      <c r="G45" s="4" t="e">
        <v>#N/A</v>
      </c>
      <c r="H45" s="4" t="e">
        <v>#N/A</v>
      </c>
      <c r="I45" s="42" t="e">
        <v>#N/A</v>
      </c>
      <c r="J45" s="42" t="e">
        <v>#N/A</v>
      </c>
      <c r="K45" s="42" t="e">
        <v>#N/A</v>
      </c>
      <c r="L45" s="42" t="e">
        <v>#N/A</v>
      </c>
      <c r="M45" s="4"/>
      <c r="N45" s="4"/>
      <c r="O45" s="4"/>
    </row>
    <row r="46" spans="1:15" x14ac:dyDescent="0.25">
      <c r="A46" t="s">
        <v>57</v>
      </c>
      <c r="B46" s="4">
        <v>98.3</v>
      </c>
      <c r="C46" s="4">
        <v>94.8</v>
      </c>
      <c r="D46" s="4">
        <v>0.9</v>
      </c>
      <c r="E46" s="42" t="e">
        <v>#N/A</v>
      </c>
      <c r="F46" s="42" t="e">
        <v>#N/A</v>
      </c>
      <c r="G46" s="4" t="e">
        <v>#N/A</v>
      </c>
      <c r="H46" s="4" t="e">
        <v>#N/A</v>
      </c>
      <c r="I46" s="42" t="e">
        <v>#N/A</v>
      </c>
      <c r="J46" s="42" t="e">
        <v>#N/A</v>
      </c>
      <c r="K46" s="42" t="e">
        <v>#N/A</v>
      </c>
      <c r="L46" s="42" t="e">
        <v>#N/A</v>
      </c>
      <c r="M46" s="4"/>
      <c r="N46" s="4"/>
      <c r="O46" s="4"/>
    </row>
    <row r="47" spans="1:15" x14ac:dyDescent="0.25">
      <c r="A47" t="s">
        <v>58</v>
      </c>
      <c r="B47" s="4">
        <v>98.5</v>
      </c>
      <c r="C47" s="4">
        <v>95.3</v>
      </c>
      <c r="D47" s="4">
        <v>1</v>
      </c>
      <c r="E47" s="42" t="e">
        <v>#N/A</v>
      </c>
      <c r="F47" s="42" t="e">
        <v>#N/A</v>
      </c>
      <c r="G47" s="4" t="e">
        <v>#N/A</v>
      </c>
      <c r="H47" s="4" t="e">
        <v>#N/A</v>
      </c>
      <c r="I47" s="42" t="e">
        <v>#N/A</v>
      </c>
      <c r="J47" s="42" t="e">
        <v>#N/A</v>
      </c>
      <c r="K47" s="42" t="e">
        <v>#N/A</v>
      </c>
      <c r="L47" s="42" t="e">
        <v>#N/A</v>
      </c>
      <c r="M47" s="4"/>
      <c r="N47" s="4"/>
      <c r="O47" s="4"/>
    </row>
    <row r="48" spans="1:15" x14ac:dyDescent="0.25">
      <c r="A48" t="s">
        <v>59</v>
      </c>
      <c r="B48" s="4">
        <v>98.3</v>
      </c>
      <c r="C48" s="4">
        <v>95.3</v>
      </c>
      <c r="D48" s="4">
        <v>1.2</v>
      </c>
      <c r="E48" s="42" t="e">
        <v>#N/A</v>
      </c>
      <c r="F48" s="42" t="e">
        <v>#N/A</v>
      </c>
      <c r="G48" s="4" t="e">
        <v>#N/A</v>
      </c>
      <c r="H48" s="4" t="e">
        <v>#N/A</v>
      </c>
      <c r="I48" s="42" t="e">
        <v>#N/A</v>
      </c>
      <c r="J48" s="42" t="e">
        <v>#N/A</v>
      </c>
      <c r="K48" s="42" t="e">
        <v>#N/A</v>
      </c>
      <c r="L48" s="42" t="e">
        <v>#N/A</v>
      </c>
      <c r="M48" s="4"/>
      <c r="N48" s="4"/>
      <c r="O48" s="4"/>
    </row>
    <row r="49" spans="1:15" x14ac:dyDescent="0.25">
      <c r="A49" t="s">
        <v>60</v>
      </c>
      <c r="B49" s="4">
        <v>98.3</v>
      </c>
      <c r="C49" s="4">
        <v>95.8</v>
      </c>
      <c r="D49" s="4">
        <v>1.1000000000000001</v>
      </c>
      <c r="E49" s="42" t="e">
        <v>#N/A</v>
      </c>
      <c r="F49" s="42" t="e">
        <v>#N/A</v>
      </c>
      <c r="G49" s="4" t="e">
        <v>#N/A</v>
      </c>
      <c r="H49" s="4" t="e">
        <v>#N/A</v>
      </c>
      <c r="I49" s="42" t="e">
        <v>#N/A</v>
      </c>
      <c r="J49" s="42" t="e">
        <v>#N/A</v>
      </c>
      <c r="K49" s="42" t="e">
        <v>#N/A</v>
      </c>
      <c r="L49" s="42" t="e">
        <v>#N/A</v>
      </c>
      <c r="M49" s="4"/>
      <c r="N49" s="4"/>
      <c r="O49" s="4"/>
    </row>
    <row r="50" spans="1:15" x14ac:dyDescent="0.25">
      <c r="A50" t="s">
        <v>61</v>
      </c>
      <c r="B50" s="4">
        <v>98.7</v>
      </c>
      <c r="C50" s="4">
        <v>96.1</v>
      </c>
      <c r="D50" s="4">
        <v>1</v>
      </c>
      <c r="E50" s="42" t="e">
        <v>#N/A</v>
      </c>
      <c r="F50" s="42" t="e">
        <v>#N/A</v>
      </c>
      <c r="G50" s="4" t="e">
        <v>#N/A</v>
      </c>
      <c r="H50" s="4" t="e">
        <v>#N/A</v>
      </c>
      <c r="I50" s="42" t="e">
        <v>#N/A</v>
      </c>
      <c r="J50" s="42" t="e">
        <v>#N/A</v>
      </c>
      <c r="K50" s="42" t="e">
        <v>#N/A</v>
      </c>
      <c r="L50" s="42" t="e">
        <v>#N/A</v>
      </c>
      <c r="M50" s="4"/>
      <c r="N50" s="4"/>
      <c r="O50" s="4"/>
    </row>
    <row r="51" spans="1:15" x14ac:dyDescent="0.25">
      <c r="A51" t="s">
        <v>62</v>
      </c>
      <c r="B51" s="4">
        <v>99.1</v>
      </c>
      <c r="C51" s="4">
        <v>95.9</v>
      </c>
      <c r="D51" s="4">
        <v>1</v>
      </c>
      <c r="E51" s="42" t="e">
        <v>#N/A</v>
      </c>
      <c r="F51" s="42" t="e">
        <v>#N/A</v>
      </c>
      <c r="G51" s="4" t="e">
        <v>#N/A</v>
      </c>
      <c r="H51" s="4" t="e">
        <v>#N/A</v>
      </c>
      <c r="I51" s="42" t="e">
        <v>#N/A</v>
      </c>
      <c r="J51" s="42" t="e">
        <v>#N/A</v>
      </c>
      <c r="K51" s="42" t="e">
        <v>#N/A</v>
      </c>
      <c r="L51" s="42" t="e">
        <v>#N/A</v>
      </c>
      <c r="M51" s="4"/>
      <c r="N51" s="4"/>
      <c r="O51" s="4"/>
    </row>
    <row r="52" spans="1:15" x14ac:dyDescent="0.25">
      <c r="A52" t="s">
        <v>63</v>
      </c>
      <c r="B52" s="4">
        <v>99.1</v>
      </c>
      <c r="C52" s="4">
        <v>96.1</v>
      </c>
      <c r="D52" s="4">
        <v>1</v>
      </c>
      <c r="E52" s="42" t="e">
        <v>#N/A</v>
      </c>
      <c r="F52" s="42" t="e">
        <v>#N/A</v>
      </c>
      <c r="G52" s="4" t="e">
        <v>#N/A</v>
      </c>
      <c r="H52" s="4" t="e">
        <v>#N/A</v>
      </c>
      <c r="I52" s="42" t="e">
        <v>#N/A</v>
      </c>
      <c r="J52" s="42" t="e">
        <v>#N/A</v>
      </c>
      <c r="K52" s="42" t="e">
        <v>#N/A</v>
      </c>
      <c r="L52" s="42" t="e">
        <v>#N/A</v>
      </c>
      <c r="M52" s="4"/>
      <c r="N52" s="4"/>
      <c r="O52" s="4"/>
    </row>
    <row r="53" spans="1:15" x14ac:dyDescent="0.25">
      <c r="A53" t="s">
        <v>64</v>
      </c>
      <c r="B53" s="4">
        <v>99.2</v>
      </c>
      <c r="C53" s="4">
        <v>96.1</v>
      </c>
      <c r="D53" s="4">
        <v>1</v>
      </c>
      <c r="E53" s="42" t="e">
        <v>#N/A</v>
      </c>
      <c r="F53" s="42" t="e">
        <v>#N/A</v>
      </c>
      <c r="G53" s="4" t="e">
        <v>#N/A</v>
      </c>
      <c r="H53" s="4" t="e">
        <v>#N/A</v>
      </c>
      <c r="I53" s="42" t="e">
        <v>#N/A</v>
      </c>
      <c r="J53" s="42" t="e">
        <v>#N/A</v>
      </c>
      <c r="K53" s="42" t="e">
        <v>#N/A</v>
      </c>
      <c r="L53" s="42" t="e">
        <v>#N/A</v>
      </c>
      <c r="M53" s="4"/>
      <c r="N53" s="4"/>
      <c r="O53" s="4"/>
    </row>
    <row r="54" spans="1:15" x14ac:dyDescent="0.25">
      <c r="A54" t="s">
        <v>65</v>
      </c>
      <c r="B54" s="4">
        <v>99.6</v>
      </c>
      <c r="C54" s="4">
        <v>96.4</v>
      </c>
      <c r="D54" s="4">
        <v>1.2</v>
      </c>
      <c r="E54" s="42" t="e">
        <v>#N/A</v>
      </c>
      <c r="F54" s="42" t="e">
        <v>#N/A</v>
      </c>
      <c r="G54" s="4" t="e">
        <v>#N/A</v>
      </c>
      <c r="H54" s="4" t="e">
        <v>#N/A</v>
      </c>
      <c r="I54" s="42" t="e">
        <v>#N/A</v>
      </c>
      <c r="J54" s="42" t="e">
        <v>#N/A</v>
      </c>
      <c r="K54" s="42" t="e">
        <v>#N/A</v>
      </c>
      <c r="L54" s="42" t="e">
        <v>#N/A</v>
      </c>
      <c r="M54" s="4"/>
      <c r="N54" s="4"/>
      <c r="O54" s="4"/>
    </row>
    <row r="55" spans="1:15" x14ac:dyDescent="0.25">
      <c r="A55" t="s">
        <v>66</v>
      </c>
      <c r="B55" s="4">
        <v>99</v>
      </c>
      <c r="C55" s="4">
        <v>96.1</v>
      </c>
      <c r="D55" s="4">
        <v>1.4</v>
      </c>
      <c r="E55" s="42" t="e">
        <v>#N/A</v>
      </c>
      <c r="F55" s="42" t="e">
        <v>#N/A</v>
      </c>
      <c r="G55" s="4" t="e">
        <v>#N/A</v>
      </c>
      <c r="H55" s="4" t="e">
        <v>#N/A</v>
      </c>
      <c r="I55" s="42" t="e">
        <v>#N/A</v>
      </c>
      <c r="J55" s="42" t="e">
        <v>#N/A</v>
      </c>
      <c r="K55" s="42" t="e">
        <v>#N/A</v>
      </c>
      <c r="L55" s="42" t="e">
        <v>#N/A</v>
      </c>
      <c r="M55" s="4"/>
      <c r="N55" s="4"/>
      <c r="O55" s="4"/>
    </row>
    <row r="56" spans="1:15" x14ac:dyDescent="0.25">
      <c r="A56" t="s">
        <v>67</v>
      </c>
      <c r="B56" s="4">
        <v>99.5</v>
      </c>
      <c r="C56" s="4">
        <v>96.4</v>
      </c>
      <c r="D56" s="4">
        <v>1.6</v>
      </c>
      <c r="E56" s="42" t="e">
        <v>#N/A</v>
      </c>
      <c r="F56" s="42" t="e">
        <v>#N/A</v>
      </c>
      <c r="G56" s="4" t="e">
        <v>#N/A</v>
      </c>
      <c r="H56" s="4" t="e">
        <v>#N/A</v>
      </c>
      <c r="I56" s="42" t="e">
        <v>#N/A</v>
      </c>
      <c r="J56" s="42" t="e">
        <v>#N/A</v>
      </c>
      <c r="K56" s="42" t="e">
        <v>#N/A</v>
      </c>
      <c r="L56" s="42" t="e">
        <v>#N/A</v>
      </c>
      <c r="M56" s="4"/>
      <c r="N56" s="4"/>
      <c r="O56" s="4"/>
    </row>
    <row r="57" spans="1:15" x14ac:dyDescent="0.25">
      <c r="A57" t="s">
        <v>68</v>
      </c>
      <c r="B57" s="4">
        <v>99.7</v>
      </c>
      <c r="C57" s="4">
        <v>96.5</v>
      </c>
      <c r="D57" s="4">
        <v>1.4</v>
      </c>
      <c r="E57" s="42" t="e">
        <v>#N/A</v>
      </c>
      <c r="F57" s="42" t="e">
        <v>#N/A</v>
      </c>
      <c r="G57" s="4" t="e">
        <v>#N/A</v>
      </c>
      <c r="H57" s="4" t="e">
        <v>#N/A</v>
      </c>
      <c r="I57" s="42" t="e">
        <v>#N/A</v>
      </c>
      <c r="J57" s="42" t="e">
        <v>#N/A</v>
      </c>
      <c r="K57" s="42" t="e">
        <v>#N/A</v>
      </c>
      <c r="L57" s="42" t="e">
        <v>#N/A</v>
      </c>
      <c r="M57" s="4"/>
      <c r="N57" s="4"/>
      <c r="O57" s="4"/>
    </row>
    <row r="58" spans="1:15" x14ac:dyDescent="0.25">
      <c r="A58" t="s">
        <v>69</v>
      </c>
      <c r="B58" s="4">
        <v>100.1</v>
      </c>
      <c r="C58" s="4">
        <v>97.5</v>
      </c>
      <c r="D58" s="4">
        <v>0.9</v>
      </c>
      <c r="E58" s="42" t="e">
        <v>#N/A</v>
      </c>
      <c r="F58" s="42" t="e">
        <v>#N/A</v>
      </c>
      <c r="G58" s="4" t="e">
        <v>#N/A</v>
      </c>
      <c r="H58" s="4" t="e">
        <v>#N/A</v>
      </c>
      <c r="I58" s="42" t="e">
        <v>#N/A</v>
      </c>
      <c r="J58" s="42" t="e">
        <v>#N/A</v>
      </c>
      <c r="K58" s="42" t="e">
        <v>#N/A</v>
      </c>
      <c r="L58" s="42" t="e">
        <v>#N/A</v>
      </c>
      <c r="M58" s="4"/>
      <c r="N58" s="4"/>
      <c r="O58" s="4"/>
    </row>
    <row r="59" spans="1:15" x14ac:dyDescent="0.25">
      <c r="A59" t="s">
        <v>70</v>
      </c>
      <c r="B59" s="4">
        <v>100</v>
      </c>
      <c r="C59" s="4">
        <v>97.4</v>
      </c>
      <c r="D59" s="4">
        <v>0.8</v>
      </c>
      <c r="E59" s="42" t="e">
        <v>#N/A</v>
      </c>
      <c r="F59" s="42" t="e">
        <v>#N/A</v>
      </c>
      <c r="G59" s="4" t="e">
        <v>#N/A</v>
      </c>
      <c r="H59" s="4" t="e">
        <v>#N/A</v>
      </c>
      <c r="I59" s="42" t="e">
        <v>#N/A</v>
      </c>
      <c r="J59" s="42" t="e">
        <v>#N/A</v>
      </c>
      <c r="K59" s="42" t="e">
        <v>#N/A</v>
      </c>
      <c r="L59" s="42" t="e">
        <v>#N/A</v>
      </c>
      <c r="M59" s="4"/>
      <c r="N59" s="4"/>
      <c r="O59" s="4"/>
    </row>
    <row r="60" spans="1:15" x14ac:dyDescent="0.25">
      <c r="A60" t="s">
        <v>71</v>
      </c>
      <c r="B60" s="4">
        <v>100.2</v>
      </c>
      <c r="C60" s="4">
        <v>97.7</v>
      </c>
      <c r="D60" s="4">
        <v>0.8</v>
      </c>
      <c r="E60" s="42" t="e">
        <v>#N/A</v>
      </c>
      <c r="F60" s="42" t="e">
        <v>#N/A</v>
      </c>
      <c r="G60" s="4" t="e">
        <v>#N/A</v>
      </c>
      <c r="H60" s="4" t="e">
        <v>#N/A</v>
      </c>
      <c r="I60" s="42" t="e">
        <v>#N/A</v>
      </c>
      <c r="J60" s="42" t="e">
        <v>#N/A</v>
      </c>
      <c r="K60" s="42" t="e">
        <v>#N/A</v>
      </c>
      <c r="L60" s="42" t="e">
        <v>#N/A</v>
      </c>
      <c r="M60" s="4"/>
      <c r="N60" s="4"/>
      <c r="O60" s="4"/>
    </row>
    <row r="61" spans="1:15" x14ac:dyDescent="0.25">
      <c r="A61" t="s">
        <v>72</v>
      </c>
      <c r="B61" s="4">
        <v>99.9</v>
      </c>
      <c r="C61" s="4">
        <v>98.3</v>
      </c>
      <c r="D61" s="4">
        <v>0.9</v>
      </c>
      <c r="E61" s="42" t="e">
        <v>#N/A</v>
      </c>
      <c r="F61" s="42" t="e">
        <v>#N/A</v>
      </c>
      <c r="G61" s="4" t="e">
        <v>#N/A</v>
      </c>
      <c r="H61" s="4" t="e">
        <v>#N/A</v>
      </c>
      <c r="I61" s="42" t="e">
        <v>#N/A</v>
      </c>
      <c r="J61" s="42" t="e">
        <v>#N/A</v>
      </c>
      <c r="K61" s="42" t="e">
        <v>#N/A</v>
      </c>
      <c r="L61" s="42" t="e">
        <v>#N/A</v>
      </c>
      <c r="M61" s="4"/>
      <c r="N61" s="4"/>
      <c r="O61" s="4"/>
    </row>
    <row r="62" spans="1:15" x14ac:dyDescent="0.25">
      <c r="A62" t="s">
        <v>73</v>
      </c>
      <c r="B62" s="4">
        <v>100.2</v>
      </c>
      <c r="C62" s="4">
        <v>98.6</v>
      </c>
      <c r="D62" s="4">
        <v>1</v>
      </c>
      <c r="E62" s="42" t="e">
        <v>#N/A</v>
      </c>
      <c r="F62" s="42" t="e">
        <v>#N/A</v>
      </c>
      <c r="G62" s="4" t="e">
        <v>#N/A</v>
      </c>
      <c r="H62" s="4" t="e">
        <v>#N/A</v>
      </c>
      <c r="I62" s="42" t="e">
        <v>#N/A</v>
      </c>
      <c r="J62" s="42" t="e">
        <v>#N/A</v>
      </c>
      <c r="K62" s="42" t="e">
        <v>#N/A</v>
      </c>
      <c r="L62" s="42" t="e">
        <v>#N/A</v>
      </c>
      <c r="M62" s="4"/>
      <c r="N62" s="4"/>
      <c r="O62" s="4"/>
    </row>
    <row r="63" spans="1:15" x14ac:dyDescent="0.25">
      <c r="A63" t="s">
        <v>74</v>
      </c>
      <c r="B63" s="4">
        <v>100.3</v>
      </c>
      <c r="C63" s="4">
        <v>98.2</v>
      </c>
      <c r="D63" s="4">
        <v>1.4</v>
      </c>
      <c r="E63" s="42" t="e">
        <v>#N/A</v>
      </c>
      <c r="F63" s="42" t="e">
        <v>#N/A</v>
      </c>
      <c r="G63" s="4" t="e">
        <v>#N/A</v>
      </c>
      <c r="H63" s="4" t="e">
        <v>#N/A</v>
      </c>
      <c r="I63" s="42" t="e">
        <v>#N/A</v>
      </c>
      <c r="J63" s="42" t="e">
        <v>#N/A</v>
      </c>
      <c r="K63" s="42" t="e">
        <v>#N/A</v>
      </c>
      <c r="L63" s="42" t="e">
        <v>#N/A</v>
      </c>
      <c r="M63" s="4"/>
      <c r="N63" s="4"/>
      <c r="O63" s="4"/>
    </row>
    <row r="64" spans="1:15" x14ac:dyDescent="0.25">
      <c r="A64" t="s">
        <v>75</v>
      </c>
      <c r="B64" s="4">
        <v>100.4</v>
      </c>
      <c r="C64" s="4">
        <v>98.5</v>
      </c>
      <c r="D64" s="4">
        <v>1.9</v>
      </c>
      <c r="E64" s="42" t="e">
        <v>#N/A</v>
      </c>
      <c r="F64" s="42" t="e">
        <v>#N/A</v>
      </c>
      <c r="G64" s="4" t="e">
        <v>#N/A</v>
      </c>
      <c r="H64" s="4" t="e">
        <v>#N/A</v>
      </c>
      <c r="I64" s="42" t="e">
        <v>#N/A</v>
      </c>
      <c r="J64" s="42" t="e">
        <v>#N/A</v>
      </c>
      <c r="K64" s="42" t="e">
        <v>#N/A</v>
      </c>
      <c r="L64" s="42" t="e">
        <v>#N/A</v>
      </c>
      <c r="M64" s="4"/>
      <c r="N64" s="4"/>
      <c r="O64" s="4"/>
    </row>
    <row r="65" spans="1:15" x14ac:dyDescent="0.25">
      <c r="A65" t="s">
        <v>76</v>
      </c>
      <c r="B65" s="4">
        <v>100.1</v>
      </c>
      <c r="C65" s="4">
        <v>98.3</v>
      </c>
      <c r="D65" s="4">
        <v>2.1</v>
      </c>
      <c r="E65" s="42" t="e">
        <v>#N/A</v>
      </c>
      <c r="F65" s="42" t="e">
        <v>#N/A</v>
      </c>
      <c r="G65" s="4" t="e">
        <v>#N/A</v>
      </c>
      <c r="H65" s="4" t="e">
        <v>#N/A</v>
      </c>
      <c r="I65" s="42" t="e">
        <v>#N/A</v>
      </c>
      <c r="J65" s="42" t="e">
        <v>#N/A</v>
      </c>
      <c r="K65" s="42" t="e">
        <v>#N/A</v>
      </c>
      <c r="L65" s="42" t="e">
        <v>#N/A</v>
      </c>
      <c r="M65" s="4"/>
      <c r="N65" s="4"/>
      <c r="O65" s="4"/>
    </row>
    <row r="66" spans="1:15" x14ac:dyDescent="0.25">
      <c r="A66" t="s">
        <v>77</v>
      </c>
      <c r="B66" s="4">
        <v>100.1</v>
      </c>
      <c r="C66" s="4">
        <v>98.7</v>
      </c>
      <c r="D66" s="4">
        <v>2</v>
      </c>
      <c r="E66" s="42" t="e">
        <v>#N/A</v>
      </c>
      <c r="F66" s="42" t="e">
        <v>#N/A</v>
      </c>
      <c r="G66" s="4" t="e">
        <v>#N/A</v>
      </c>
      <c r="H66" s="4" t="e">
        <v>#N/A</v>
      </c>
      <c r="I66" s="42" t="e">
        <v>#N/A</v>
      </c>
      <c r="J66" s="42" t="e">
        <v>#N/A</v>
      </c>
      <c r="K66" s="42" t="e">
        <v>#N/A</v>
      </c>
      <c r="L66" s="42" t="e">
        <v>#N/A</v>
      </c>
      <c r="M66" s="4"/>
      <c r="N66" s="4"/>
      <c r="O66" s="4"/>
    </row>
    <row r="67" spans="1:15" x14ac:dyDescent="0.25">
      <c r="A67" t="s">
        <v>78</v>
      </c>
      <c r="B67" s="4">
        <v>99.3</v>
      </c>
      <c r="C67" s="4">
        <v>98.4</v>
      </c>
      <c r="D67" s="4">
        <v>1.9</v>
      </c>
      <c r="E67" s="42" t="e">
        <v>#N/A</v>
      </c>
      <c r="F67" s="42" t="e">
        <v>#N/A</v>
      </c>
      <c r="G67" s="4" t="e">
        <v>#N/A</v>
      </c>
      <c r="H67" s="4" t="e">
        <v>#N/A</v>
      </c>
      <c r="I67" s="42" t="e">
        <v>#N/A</v>
      </c>
      <c r="J67" s="42" t="e">
        <v>#N/A</v>
      </c>
      <c r="K67" s="42" t="e">
        <v>#N/A</v>
      </c>
      <c r="L67" s="42" t="e">
        <v>#N/A</v>
      </c>
      <c r="M67" s="4"/>
      <c r="N67" s="4"/>
      <c r="O67" s="4"/>
    </row>
    <row r="68" spans="1:15" x14ac:dyDescent="0.25">
      <c r="A68" t="s">
        <v>79</v>
      </c>
      <c r="B68" s="4">
        <v>99.5</v>
      </c>
      <c r="C68" s="4">
        <v>98.7</v>
      </c>
      <c r="D68" s="4">
        <v>2.1</v>
      </c>
      <c r="E68" s="42" t="e">
        <v>#N/A</v>
      </c>
      <c r="F68" s="42" t="e">
        <v>#N/A</v>
      </c>
      <c r="G68" s="4" t="e">
        <v>#N/A</v>
      </c>
      <c r="H68" s="4" t="e">
        <v>#N/A</v>
      </c>
      <c r="I68" s="42" t="e">
        <v>#N/A</v>
      </c>
      <c r="J68" s="42" t="e">
        <v>#N/A</v>
      </c>
      <c r="K68" s="42" t="e">
        <v>#N/A</v>
      </c>
      <c r="L68" s="42" t="e">
        <v>#N/A</v>
      </c>
      <c r="M68" s="4"/>
      <c r="N68" s="4"/>
      <c r="O68" s="4"/>
    </row>
    <row r="69" spans="1:15" x14ac:dyDescent="0.25">
      <c r="A69" t="s">
        <v>80</v>
      </c>
      <c r="B69" s="4">
        <v>99.7</v>
      </c>
      <c r="C69" s="4">
        <v>98.9</v>
      </c>
      <c r="D69" s="4">
        <v>2.7</v>
      </c>
      <c r="E69" s="42" t="e">
        <v>#N/A</v>
      </c>
      <c r="F69" s="42" t="e">
        <v>#N/A</v>
      </c>
      <c r="G69" s="4" t="e">
        <v>#N/A</v>
      </c>
      <c r="H69" s="4" t="e">
        <v>#N/A</v>
      </c>
      <c r="I69" s="42" t="e">
        <v>#N/A</v>
      </c>
      <c r="J69" s="42" t="e">
        <v>#N/A</v>
      </c>
      <c r="K69" s="42" t="e">
        <v>#N/A</v>
      </c>
      <c r="L69" s="42" t="e">
        <v>#N/A</v>
      </c>
      <c r="M69" s="4"/>
      <c r="N69" s="4"/>
      <c r="O69" s="4"/>
    </row>
    <row r="70" spans="1:15" x14ac:dyDescent="0.25">
      <c r="A70" t="s">
        <v>81</v>
      </c>
      <c r="B70" s="4">
        <v>99.9</v>
      </c>
      <c r="C70" s="4">
        <v>99.5</v>
      </c>
      <c r="D70" s="4">
        <v>3.1</v>
      </c>
      <c r="E70" s="42" t="e">
        <v>#N/A</v>
      </c>
      <c r="F70" s="42" t="e">
        <v>#N/A</v>
      </c>
      <c r="G70" s="4" t="e">
        <v>#N/A</v>
      </c>
      <c r="H70" s="4" t="e">
        <v>#N/A</v>
      </c>
      <c r="I70" s="42" t="e">
        <v>#N/A</v>
      </c>
      <c r="J70" s="42" t="e">
        <v>#N/A</v>
      </c>
      <c r="K70" s="42" t="e">
        <v>#N/A</v>
      </c>
      <c r="L70" s="42" t="e">
        <v>#N/A</v>
      </c>
      <c r="M70" s="4"/>
      <c r="N70" s="4"/>
      <c r="O70" s="4"/>
    </row>
    <row r="71" spans="1:15" x14ac:dyDescent="0.25">
      <c r="A71" t="s">
        <v>82</v>
      </c>
      <c r="B71" s="4">
        <v>100.1</v>
      </c>
      <c r="C71" s="4">
        <v>99.6</v>
      </c>
      <c r="D71" s="4">
        <v>3.3</v>
      </c>
      <c r="E71" s="42" t="e">
        <v>#N/A</v>
      </c>
      <c r="F71" s="42" t="e">
        <v>#N/A</v>
      </c>
      <c r="G71" s="4" t="e">
        <v>#N/A</v>
      </c>
      <c r="H71" s="4" t="e">
        <v>#N/A</v>
      </c>
      <c r="I71" s="42" t="e">
        <v>#N/A</v>
      </c>
      <c r="J71" s="42" t="e">
        <v>#N/A</v>
      </c>
      <c r="K71" s="42" t="e">
        <v>#N/A</v>
      </c>
      <c r="L71" s="42" t="e">
        <v>#N/A</v>
      </c>
      <c r="M71" s="4"/>
      <c r="N71" s="4"/>
      <c r="O71" s="4"/>
    </row>
    <row r="72" spans="1:15" x14ac:dyDescent="0.25">
      <c r="A72" t="s">
        <v>83</v>
      </c>
      <c r="B72" s="4">
        <v>100.2</v>
      </c>
      <c r="C72" s="4">
        <v>99.9</v>
      </c>
      <c r="D72" s="4">
        <v>3.2</v>
      </c>
      <c r="E72" s="42" t="e">
        <v>#N/A</v>
      </c>
      <c r="F72" s="42" t="e">
        <v>#N/A</v>
      </c>
      <c r="G72" s="4" t="e">
        <v>#N/A</v>
      </c>
      <c r="H72" s="4" t="e">
        <v>#N/A</v>
      </c>
      <c r="I72" s="42" t="e">
        <v>#N/A</v>
      </c>
      <c r="J72" s="42" t="e">
        <v>#N/A</v>
      </c>
      <c r="K72" s="42" t="e">
        <v>#N/A</v>
      </c>
      <c r="L72" s="42" t="e">
        <v>#N/A</v>
      </c>
      <c r="M72" s="4"/>
      <c r="N72" s="4"/>
      <c r="O72" s="4"/>
    </row>
    <row r="73" spans="1:15" x14ac:dyDescent="0.25">
      <c r="A73" t="s">
        <v>84</v>
      </c>
      <c r="B73" s="4">
        <v>100</v>
      </c>
      <c r="C73" s="4">
        <v>100.6</v>
      </c>
      <c r="D73" s="4">
        <v>3.2</v>
      </c>
      <c r="E73" s="42" t="e">
        <v>#N/A</v>
      </c>
      <c r="F73" s="42" t="e">
        <v>#N/A</v>
      </c>
      <c r="G73" s="4" t="e">
        <v>#N/A</v>
      </c>
      <c r="H73" s="4" t="e">
        <v>#N/A</v>
      </c>
      <c r="I73" s="42" t="e">
        <v>#N/A</v>
      </c>
      <c r="J73" s="42" t="e">
        <v>#N/A</v>
      </c>
      <c r="K73" s="42" t="e">
        <v>#N/A</v>
      </c>
      <c r="L73" s="42" t="e">
        <v>#N/A</v>
      </c>
      <c r="M73" s="4"/>
      <c r="N73" s="4"/>
      <c r="O73" s="4"/>
    </row>
    <row r="74" spans="1:15" x14ac:dyDescent="0.25">
      <c r="A74" t="s">
        <v>85</v>
      </c>
      <c r="B74" s="4">
        <v>100.3</v>
      </c>
      <c r="C74" s="4">
        <v>100.9</v>
      </c>
      <c r="D74" s="4">
        <v>3.2</v>
      </c>
      <c r="E74" s="42" t="e">
        <v>#N/A</v>
      </c>
      <c r="F74" s="42" t="e">
        <v>#N/A</v>
      </c>
      <c r="G74" s="4" t="e">
        <v>#N/A</v>
      </c>
      <c r="H74" s="4" t="e">
        <v>#N/A</v>
      </c>
      <c r="I74" s="42" t="e">
        <v>#N/A</v>
      </c>
      <c r="J74" s="42" t="e">
        <v>#N/A</v>
      </c>
      <c r="K74" s="42" t="e">
        <v>#N/A</v>
      </c>
      <c r="L74" s="42" t="e">
        <v>#N/A</v>
      </c>
      <c r="M74" s="4"/>
      <c r="N74" s="4"/>
      <c r="O74" s="4"/>
    </row>
    <row r="75" spans="1:15" x14ac:dyDescent="0.25">
      <c r="A75" t="s">
        <v>86</v>
      </c>
      <c r="B75" s="4">
        <v>100.2</v>
      </c>
      <c r="C75" s="4">
        <v>100.6</v>
      </c>
      <c r="D75" s="4">
        <v>2.8</v>
      </c>
      <c r="E75" s="42" t="e">
        <v>#N/A</v>
      </c>
      <c r="F75" s="42" t="e">
        <v>#N/A</v>
      </c>
      <c r="G75" s="4" t="e">
        <v>#N/A</v>
      </c>
      <c r="H75" s="4" t="e">
        <v>#N/A</v>
      </c>
      <c r="I75" s="42" t="e">
        <v>#N/A</v>
      </c>
      <c r="J75" s="42" t="e">
        <v>#N/A</v>
      </c>
      <c r="K75" s="42" t="e">
        <v>#N/A</v>
      </c>
      <c r="L75" s="42" t="e">
        <v>#N/A</v>
      </c>
      <c r="M75" s="4"/>
      <c r="N75" s="4"/>
      <c r="O75" s="4"/>
    </row>
    <row r="76" spans="1:15" x14ac:dyDescent="0.25">
      <c r="A76" t="s">
        <v>87</v>
      </c>
      <c r="B76" s="4">
        <v>100.3</v>
      </c>
      <c r="C76" s="4">
        <v>100.7</v>
      </c>
      <c r="D76" s="4">
        <v>2.2000000000000002</v>
      </c>
      <c r="E76" s="42" t="e">
        <v>#N/A</v>
      </c>
      <c r="F76" s="42" t="e">
        <v>#N/A</v>
      </c>
      <c r="G76" s="4" t="e">
        <v>#N/A</v>
      </c>
      <c r="H76" s="4" t="e">
        <v>#N/A</v>
      </c>
      <c r="I76" s="42" t="e">
        <v>#N/A</v>
      </c>
      <c r="J76" s="42" t="e">
        <v>#N/A</v>
      </c>
      <c r="K76" s="42" t="e">
        <v>#N/A</v>
      </c>
      <c r="L76" s="42" t="e">
        <v>#N/A</v>
      </c>
      <c r="M76" s="4"/>
      <c r="N76" s="4"/>
      <c r="O76" s="4"/>
    </row>
    <row r="77" spans="1:15" x14ac:dyDescent="0.25">
      <c r="A77" t="s">
        <v>88</v>
      </c>
      <c r="B77" s="4">
        <v>100.3</v>
      </c>
      <c r="C77" s="4">
        <v>100.7</v>
      </c>
      <c r="D77" s="4">
        <v>2</v>
      </c>
      <c r="E77" s="42" t="e">
        <v>#N/A</v>
      </c>
      <c r="F77" s="42" t="e">
        <v>#N/A</v>
      </c>
      <c r="G77" s="4" t="e">
        <v>#N/A</v>
      </c>
      <c r="H77" s="4" t="e">
        <v>#N/A</v>
      </c>
      <c r="I77" s="42" t="e">
        <v>#N/A</v>
      </c>
      <c r="J77" s="42" t="e">
        <v>#N/A</v>
      </c>
      <c r="K77" s="42" t="e">
        <v>#N/A</v>
      </c>
      <c r="L77" s="42" t="e">
        <v>#N/A</v>
      </c>
      <c r="M77" s="4"/>
      <c r="N77" s="4"/>
      <c r="O77" s="4"/>
    </row>
    <row r="78" spans="1:15" x14ac:dyDescent="0.25">
      <c r="A78" t="s">
        <v>89</v>
      </c>
      <c r="B78" s="4">
        <v>100.3</v>
      </c>
      <c r="C78" s="4">
        <v>101.5</v>
      </c>
      <c r="D78" s="4">
        <v>2.1</v>
      </c>
      <c r="E78" s="42" t="e">
        <v>#N/A</v>
      </c>
      <c r="F78" s="42" t="e">
        <v>#N/A</v>
      </c>
      <c r="G78" s="4" t="e">
        <v>#N/A</v>
      </c>
      <c r="H78" s="4" t="e">
        <v>#N/A</v>
      </c>
      <c r="I78" s="42" t="e">
        <v>#N/A</v>
      </c>
      <c r="J78" s="42" t="e">
        <v>#N/A</v>
      </c>
      <c r="K78" s="42" t="e">
        <v>#N/A</v>
      </c>
      <c r="L78" s="42" t="e">
        <v>#N/A</v>
      </c>
      <c r="M78" s="4"/>
      <c r="N78" s="4"/>
      <c r="O78" s="4"/>
    </row>
    <row r="79" spans="1:15" x14ac:dyDescent="0.25">
      <c r="A79" t="s">
        <v>90</v>
      </c>
      <c r="B79" s="4">
        <v>99.5</v>
      </c>
      <c r="C79" s="4">
        <v>100.7</v>
      </c>
      <c r="D79" s="4">
        <v>2.4</v>
      </c>
      <c r="E79" s="42" t="e">
        <v>#N/A</v>
      </c>
      <c r="F79" s="42" t="e">
        <v>#N/A</v>
      </c>
      <c r="G79" s="4" t="e">
        <v>#N/A</v>
      </c>
      <c r="H79" s="4" t="e">
        <v>#N/A</v>
      </c>
      <c r="I79" s="42" t="e">
        <v>#N/A</v>
      </c>
      <c r="J79" s="42" t="e">
        <v>#N/A</v>
      </c>
      <c r="K79" s="42" t="e">
        <v>#N/A</v>
      </c>
      <c r="L79" s="42" t="e">
        <v>#N/A</v>
      </c>
      <c r="M79" s="4"/>
      <c r="N79" s="4"/>
      <c r="O79" s="4"/>
    </row>
    <row r="80" spans="1:15" x14ac:dyDescent="0.25">
      <c r="A80" t="s">
        <v>91</v>
      </c>
      <c r="B80" s="4">
        <v>99.8</v>
      </c>
      <c r="C80" s="4">
        <v>101.1</v>
      </c>
      <c r="D80" s="4">
        <v>2.5</v>
      </c>
      <c r="E80" s="42" t="e">
        <v>#N/A</v>
      </c>
      <c r="F80" s="42" t="e">
        <v>#N/A</v>
      </c>
      <c r="G80" s="4" t="e">
        <v>#N/A</v>
      </c>
      <c r="H80" s="4" t="e">
        <v>#N/A</v>
      </c>
      <c r="I80" s="42" t="e">
        <v>#N/A</v>
      </c>
      <c r="J80" s="42" t="e">
        <v>#N/A</v>
      </c>
      <c r="K80" s="42" t="e">
        <v>#N/A</v>
      </c>
      <c r="L80" s="42" t="e">
        <v>#N/A</v>
      </c>
      <c r="M80" s="4"/>
      <c r="N80" s="4"/>
      <c r="O80" s="4"/>
    </row>
    <row r="81" spans="1:15" x14ac:dyDescent="0.25">
      <c r="A81" t="s">
        <v>92</v>
      </c>
      <c r="B81" s="4">
        <v>100.2</v>
      </c>
      <c r="C81" s="4">
        <v>101.7</v>
      </c>
      <c r="D81" s="4">
        <v>2.5</v>
      </c>
      <c r="E81" s="42" t="e">
        <v>#N/A</v>
      </c>
      <c r="F81" s="42" t="e">
        <v>#N/A</v>
      </c>
      <c r="G81" s="4" t="e">
        <v>#N/A</v>
      </c>
      <c r="H81" s="4" t="e">
        <v>#N/A</v>
      </c>
      <c r="I81" s="42" t="e">
        <v>#N/A</v>
      </c>
      <c r="J81" s="42" t="e">
        <v>#N/A</v>
      </c>
      <c r="K81" s="42" t="e">
        <v>#N/A</v>
      </c>
      <c r="L81" s="42" t="e">
        <v>#N/A</v>
      </c>
      <c r="M81" s="4"/>
      <c r="N81" s="4"/>
      <c r="O81" s="4"/>
    </row>
    <row r="82" spans="1:15" x14ac:dyDescent="0.25">
      <c r="A82" t="s">
        <v>93</v>
      </c>
      <c r="B82" s="4">
        <v>100.2</v>
      </c>
      <c r="C82" s="4">
        <v>101.9</v>
      </c>
      <c r="D82" s="4">
        <v>2.6</v>
      </c>
      <c r="E82" s="42" t="e">
        <v>#N/A</v>
      </c>
      <c r="F82" s="42" t="e">
        <v>#N/A</v>
      </c>
      <c r="G82" s="4" t="e">
        <v>#N/A</v>
      </c>
      <c r="H82" s="4" t="e">
        <v>#N/A</v>
      </c>
      <c r="I82" s="42" t="e">
        <v>#N/A</v>
      </c>
      <c r="J82" s="42" t="e">
        <v>#N/A</v>
      </c>
      <c r="K82" s="42" t="e">
        <v>#N/A</v>
      </c>
      <c r="L82" s="42" t="e">
        <v>#N/A</v>
      </c>
      <c r="M82" s="4"/>
      <c r="N82" s="4"/>
      <c r="O82" s="4"/>
    </row>
    <row r="83" spans="1:15" x14ac:dyDescent="0.25">
      <c r="A83" t="s">
        <v>94</v>
      </c>
      <c r="B83" s="4">
        <v>100.4</v>
      </c>
      <c r="C83" s="4">
        <v>102.2</v>
      </c>
      <c r="D83" s="4">
        <v>2.4</v>
      </c>
      <c r="E83" s="42" t="e">
        <v>#N/A</v>
      </c>
      <c r="F83" s="42" t="e">
        <v>#N/A</v>
      </c>
      <c r="G83" s="4" t="e">
        <v>#N/A</v>
      </c>
      <c r="H83" s="4" t="e">
        <v>#N/A</v>
      </c>
      <c r="I83" s="42" t="e">
        <v>#N/A</v>
      </c>
      <c r="J83" s="42" t="e">
        <v>#N/A</v>
      </c>
      <c r="K83" s="42" t="e">
        <v>#N/A</v>
      </c>
      <c r="L83" s="42" t="e">
        <v>#N/A</v>
      </c>
      <c r="M83" s="4"/>
      <c r="N83" s="4"/>
      <c r="O83" s="4"/>
    </row>
    <row r="84" spans="1:15" x14ac:dyDescent="0.25">
      <c r="A84" t="s">
        <v>95</v>
      </c>
      <c r="B84" s="4">
        <v>100.6</v>
      </c>
      <c r="C84" s="4">
        <v>102.7</v>
      </c>
      <c r="D84" s="4">
        <v>2.5</v>
      </c>
      <c r="E84" s="42" t="e">
        <v>#N/A</v>
      </c>
      <c r="F84" s="42" t="e">
        <v>#N/A</v>
      </c>
      <c r="G84" s="4" t="e">
        <v>#N/A</v>
      </c>
      <c r="H84" s="4" t="e">
        <v>#N/A</v>
      </c>
      <c r="I84" s="42" t="e">
        <v>#N/A</v>
      </c>
      <c r="J84" s="42" t="e">
        <v>#N/A</v>
      </c>
      <c r="K84" s="42" t="e">
        <v>#N/A</v>
      </c>
      <c r="L84" s="42" t="e">
        <v>#N/A</v>
      </c>
      <c r="M84" s="4"/>
      <c r="N84" s="4"/>
      <c r="O84" s="4"/>
    </row>
    <row r="85" spans="1:15" x14ac:dyDescent="0.25">
      <c r="A85" t="s">
        <v>96</v>
      </c>
      <c r="B85" s="4">
        <v>100.6</v>
      </c>
      <c r="C85" s="4">
        <v>103.3</v>
      </c>
      <c r="D85" s="4">
        <v>2.4</v>
      </c>
      <c r="E85" s="42" t="e">
        <v>#N/A</v>
      </c>
      <c r="F85" s="42" t="e">
        <v>#N/A</v>
      </c>
      <c r="G85" s="4" t="e">
        <v>#N/A</v>
      </c>
      <c r="H85" s="4" t="e">
        <v>#N/A</v>
      </c>
      <c r="I85" s="42" t="e">
        <v>#N/A</v>
      </c>
      <c r="J85" s="42" t="e">
        <v>#N/A</v>
      </c>
      <c r="K85" s="42" t="e">
        <v>#N/A</v>
      </c>
      <c r="L85" s="42" t="e">
        <v>#N/A</v>
      </c>
      <c r="M85" s="4"/>
      <c r="N85" s="4"/>
      <c r="O85" s="4"/>
    </row>
    <row r="86" spans="1:15" x14ac:dyDescent="0.25">
      <c r="A86" t="s">
        <v>97</v>
      </c>
      <c r="B86" s="4">
        <v>100.9</v>
      </c>
      <c r="C86" s="4">
        <v>103.8</v>
      </c>
      <c r="D86" s="4">
        <v>2.4</v>
      </c>
      <c r="E86" s="42" t="e">
        <v>#N/A</v>
      </c>
      <c r="F86" s="42" t="e">
        <v>#N/A</v>
      </c>
      <c r="G86" s="4" t="e">
        <v>#N/A</v>
      </c>
      <c r="H86" s="4" t="e">
        <v>#N/A</v>
      </c>
      <c r="I86" s="42" t="e">
        <v>#N/A</v>
      </c>
      <c r="J86" s="42" t="e">
        <v>#N/A</v>
      </c>
      <c r="K86" s="42" t="e">
        <v>#N/A</v>
      </c>
      <c r="L86" s="42" t="e">
        <v>#N/A</v>
      </c>
      <c r="M86" s="4"/>
      <c r="N86" s="4"/>
      <c r="O86" s="4"/>
    </row>
    <row r="87" spans="1:15" x14ac:dyDescent="0.25">
      <c r="A87" t="s">
        <v>98</v>
      </c>
      <c r="B87" s="4">
        <v>101.1</v>
      </c>
      <c r="C87" s="4">
        <v>103.3</v>
      </c>
      <c r="D87" s="4">
        <v>2.6</v>
      </c>
      <c r="E87" s="42" t="e">
        <v>#N/A</v>
      </c>
      <c r="F87" s="42" t="e">
        <v>#N/A</v>
      </c>
      <c r="G87" s="4" t="e">
        <v>#N/A</v>
      </c>
      <c r="H87" s="4" t="e">
        <v>#N/A</v>
      </c>
      <c r="I87" s="42" t="e">
        <v>#N/A</v>
      </c>
      <c r="J87" s="42" t="e">
        <v>#N/A</v>
      </c>
      <c r="K87" s="42" t="e">
        <v>#N/A</v>
      </c>
      <c r="L87" s="42" t="e">
        <v>#N/A</v>
      </c>
      <c r="M87" s="4"/>
      <c r="N87" s="4"/>
      <c r="O87" s="4"/>
    </row>
    <row r="88" spans="1:15" x14ac:dyDescent="0.25">
      <c r="A88" t="s">
        <v>99</v>
      </c>
      <c r="B88" s="4">
        <v>101.2</v>
      </c>
      <c r="C88" s="4">
        <v>103.1</v>
      </c>
      <c r="D88" s="4">
        <v>2.8</v>
      </c>
      <c r="E88" s="42" t="e">
        <v>#N/A</v>
      </c>
      <c r="F88" s="42" t="e">
        <v>#N/A</v>
      </c>
      <c r="G88" s="4" t="e">
        <v>#N/A</v>
      </c>
      <c r="H88" s="4" t="e">
        <v>#N/A</v>
      </c>
      <c r="I88" s="42" t="e">
        <v>#N/A</v>
      </c>
      <c r="J88" s="42" t="e">
        <v>#N/A</v>
      </c>
      <c r="K88" s="42" t="e">
        <v>#N/A</v>
      </c>
      <c r="L88" s="42" t="e">
        <v>#N/A</v>
      </c>
      <c r="M88" s="4"/>
      <c r="N88" s="4"/>
      <c r="O88" s="4"/>
    </row>
    <row r="89" spans="1:15" x14ac:dyDescent="0.25">
      <c r="A89" t="s">
        <v>100</v>
      </c>
      <c r="B89" s="4">
        <v>101.4</v>
      </c>
      <c r="C89" s="4">
        <v>102.9</v>
      </c>
      <c r="D89" s="4">
        <v>2.9</v>
      </c>
      <c r="E89" s="42" t="e">
        <v>#N/A</v>
      </c>
      <c r="F89" s="42" t="e">
        <v>#N/A</v>
      </c>
      <c r="G89" s="4" t="e">
        <v>#N/A</v>
      </c>
      <c r="H89" s="4" t="e">
        <v>#N/A</v>
      </c>
      <c r="I89" s="42" t="e">
        <v>#N/A</v>
      </c>
      <c r="J89" s="42" t="e">
        <v>#N/A</v>
      </c>
      <c r="K89" s="42" t="e">
        <v>#N/A</v>
      </c>
      <c r="L89" s="42" t="e">
        <v>#N/A</v>
      </c>
      <c r="M89" s="4"/>
      <c r="N89" s="4"/>
      <c r="O89" s="4"/>
    </row>
    <row r="90" spans="1:15" x14ac:dyDescent="0.25">
      <c r="A90" t="s">
        <v>101</v>
      </c>
      <c r="B90" s="4">
        <v>101.9</v>
      </c>
      <c r="C90" s="4">
        <v>104</v>
      </c>
      <c r="D90" s="4">
        <v>2.8</v>
      </c>
      <c r="E90" s="42" t="e">
        <v>#N/A</v>
      </c>
      <c r="F90" s="42" t="e">
        <v>#N/A</v>
      </c>
      <c r="G90" s="4" t="e">
        <v>#N/A</v>
      </c>
      <c r="H90" s="4" t="e">
        <v>#N/A</v>
      </c>
      <c r="I90" s="42" t="e">
        <v>#N/A</v>
      </c>
      <c r="J90" s="42" t="e">
        <v>#N/A</v>
      </c>
      <c r="K90" s="42" t="e">
        <v>#N/A</v>
      </c>
      <c r="L90" s="42" t="e">
        <v>#N/A</v>
      </c>
      <c r="M90" s="4"/>
      <c r="N90" s="4"/>
      <c r="O90" s="4"/>
    </row>
    <row r="91" spans="1:15" x14ac:dyDescent="0.25">
      <c r="A91" t="s">
        <v>102</v>
      </c>
      <c r="B91" s="4">
        <v>101.4</v>
      </c>
      <c r="C91" s="4">
        <v>103.3</v>
      </c>
      <c r="D91" s="4">
        <v>2.6</v>
      </c>
      <c r="E91" s="42">
        <v>3.4950000000000001</v>
      </c>
      <c r="F91" s="42">
        <v>3.3460000000000001</v>
      </c>
      <c r="G91" s="4" t="e">
        <v>#N/A</v>
      </c>
      <c r="H91" s="4" t="e">
        <v>#N/A</v>
      </c>
      <c r="I91" s="42">
        <v>2.649</v>
      </c>
      <c r="J91" s="42">
        <v>2.9630000000000001</v>
      </c>
      <c r="K91" s="42" t="e">
        <v>#N/A</v>
      </c>
      <c r="L91" s="42" t="e">
        <v>#N/A</v>
      </c>
      <c r="M91" s="4"/>
      <c r="N91" s="4"/>
      <c r="O91" s="4"/>
    </row>
    <row r="92" spans="1:15" x14ac:dyDescent="0.25">
      <c r="A92" t="s">
        <v>103</v>
      </c>
      <c r="B92" s="4">
        <v>102.1</v>
      </c>
      <c r="C92" s="4">
        <v>103.9</v>
      </c>
      <c r="D92" s="4">
        <v>2.2000000000000002</v>
      </c>
      <c r="E92" s="42">
        <v>2.069</v>
      </c>
      <c r="F92" s="42">
        <v>2.7480000000000002</v>
      </c>
      <c r="G92" s="4" t="e">
        <v>#N/A</v>
      </c>
      <c r="H92" s="4" t="e">
        <v>#N/A</v>
      </c>
      <c r="I92" s="42">
        <v>2.649</v>
      </c>
      <c r="J92" s="42">
        <v>2.8410000000000002</v>
      </c>
      <c r="K92" s="42" t="e">
        <v>#N/A</v>
      </c>
      <c r="L92" s="42" t="e">
        <v>#N/A</v>
      </c>
      <c r="M92" s="4"/>
      <c r="N92" s="4"/>
      <c r="O92" s="4"/>
    </row>
    <row r="93" spans="1:15" x14ac:dyDescent="0.25">
      <c r="A93" t="s">
        <v>104</v>
      </c>
      <c r="B93" s="4">
        <v>102.5</v>
      </c>
      <c r="C93" s="4">
        <v>103.8</v>
      </c>
      <c r="D93" s="4">
        <v>2.1</v>
      </c>
      <c r="E93" s="42">
        <v>2.008</v>
      </c>
      <c r="F93" s="42">
        <v>2.282</v>
      </c>
      <c r="G93" s="4" t="e">
        <v>#N/A</v>
      </c>
      <c r="H93" s="4" t="e">
        <v>#N/A</v>
      </c>
      <c r="I93" s="42">
        <v>2.524</v>
      </c>
      <c r="J93" s="42">
        <v>2.7919999999999998</v>
      </c>
      <c r="K93" s="42" t="e">
        <v>#N/A</v>
      </c>
      <c r="L93" s="42" t="e">
        <v>#N/A</v>
      </c>
      <c r="M93" s="4"/>
      <c r="N93" s="4"/>
      <c r="O93" s="4"/>
    </row>
    <row r="94" spans="1:15" x14ac:dyDescent="0.25">
      <c r="A94" t="s">
        <v>105</v>
      </c>
      <c r="B94" s="4">
        <v>102.9</v>
      </c>
      <c r="C94" s="4">
        <v>105</v>
      </c>
      <c r="D94" s="4">
        <v>2</v>
      </c>
      <c r="E94" s="42">
        <v>4.1440000000000001</v>
      </c>
      <c r="F94" s="42">
        <v>3.2789999999999999</v>
      </c>
      <c r="G94" s="4" t="e">
        <v>#N/A</v>
      </c>
      <c r="H94" s="4" t="e">
        <v>#N/A</v>
      </c>
      <c r="I94" s="42">
        <v>2.74</v>
      </c>
      <c r="J94" s="42">
        <v>2.77</v>
      </c>
      <c r="K94" s="42" t="e">
        <v>#N/A</v>
      </c>
      <c r="L94" s="42" t="e">
        <v>#N/A</v>
      </c>
      <c r="M94" s="4"/>
      <c r="N94" s="4"/>
      <c r="O94" s="4"/>
    </row>
    <row r="95" spans="1:15" x14ac:dyDescent="0.25">
      <c r="A95" t="s">
        <v>106</v>
      </c>
      <c r="B95" s="4">
        <v>103.3</v>
      </c>
      <c r="C95" s="4">
        <v>105.1</v>
      </c>
      <c r="D95" s="4">
        <v>2.2000000000000002</v>
      </c>
      <c r="E95" s="42">
        <v>2.456</v>
      </c>
      <c r="F95" s="42">
        <v>2.4470000000000001</v>
      </c>
      <c r="G95" s="4" t="e">
        <v>#N/A</v>
      </c>
      <c r="H95" s="4" t="e">
        <v>#N/A</v>
      </c>
      <c r="I95" s="42">
        <v>2.8690000000000002</v>
      </c>
      <c r="J95" s="42">
        <v>2.669</v>
      </c>
      <c r="K95" s="42" t="e">
        <v>#N/A</v>
      </c>
      <c r="L95" s="42" t="e">
        <v>#N/A</v>
      </c>
      <c r="M95" s="4"/>
      <c r="N95" s="4"/>
      <c r="O95" s="4"/>
    </row>
    <row r="96" spans="1:15" x14ac:dyDescent="0.25">
      <c r="A96" t="s">
        <v>107</v>
      </c>
      <c r="B96" s="4">
        <v>103.3</v>
      </c>
      <c r="C96" s="4">
        <v>105.5</v>
      </c>
      <c r="D96" s="4">
        <v>2.2000000000000002</v>
      </c>
      <c r="E96" s="42">
        <v>2.66</v>
      </c>
      <c r="F96" s="42">
        <v>2.0739999999999998</v>
      </c>
      <c r="G96" s="4" t="e">
        <v>#N/A</v>
      </c>
      <c r="H96" s="4" t="e">
        <v>#N/A</v>
      </c>
      <c r="I96" s="42">
        <v>3.0870000000000002</v>
      </c>
      <c r="J96" s="42">
        <v>2.6</v>
      </c>
      <c r="K96" s="42" t="e">
        <v>#N/A</v>
      </c>
      <c r="L96" s="42" t="e">
        <v>#N/A</v>
      </c>
      <c r="M96" s="4"/>
      <c r="N96" s="4"/>
      <c r="O96" s="4"/>
    </row>
    <row r="97" spans="1:15" x14ac:dyDescent="0.25">
      <c r="A97" t="s">
        <v>108</v>
      </c>
      <c r="B97" s="4">
        <v>103.2</v>
      </c>
      <c r="C97" s="4">
        <v>106</v>
      </c>
      <c r="D97" s="4">
        <v>2.2999999999999998</v>
      </c>
      <c r="E97" s="42">
        <v>3.673</v>
      </c>
      <c r="F97" s="42">
        <v>2.8279999999999998</v>
      </c>
      <c r="G97" s="4" t="e">
        <v>#N/A</v>
      </c>
      <c r="H97" s="4" t="e">
        <v>#N/A</v>
      </c>
      <c r="I97" s="42">
        <v>2.93</v>
      </c>
      <c r="J97" s="42">
        <v>2.4500000000000002</v>
      </c>
      <c r="K97" s="42" t="e">
        <v>#N/A</v>
      </c>
      <c r="L97" s="42" t="e">
        <v>#N/A</v>
      </c>
      <c r="M97" s="4"/>
      <c r="N97" s="4"/>
      <c r="O97" s="4"/>
    </row>
    <row r="98" spans="1:15" x14ac:dyDescent="0.25">
      <c r="A98" t="s">
        <v>109</v>
      </c>
      <c r="B98" s="4">
        <v>103.8</v>
      </c>
      <c r="C98" s="4">
        <v>106.5</v>
      </c>
      <c r="D98" s="4">
        <v>2.2999999999999998</v>
      </c>
      <c r="E98" s="42">
        <v>3.0739999999999998</v>
      </c>
      <c r="F98" s="42">
        <v>2.4609999999999999</v>
      </c>
      <c r="G98" s="4">
        <v>2.6</v>
      </c>
      <c r="H98" s="4">
        <v>2.4</v>
      </c>
      <c r="I98" s="42">
        <v>3.1349999999999998</v>
      </c>
      <c r="J98" s="42">
        <v>2.4550000000000001</v>
      </c>
      <c r="K98" s="42">
        <v>2.6349999999999998</v>
      </c>
      <c r="L98" s="42">
        <v>2.4300000000000002</v>
      </c>
      <c r="M98" s="4"/>
      <c r="N98" s="4"/>
      <c r="O98" s="4"/>
    </row>
    <row r="99" spans="1:15" x14ac:dyDescent="0.25">
      <c r="A99" t="s">
        <v>110</v>
      </c>
      <c r="B99" s="4">
        <v>104.1</v>
      </c>
      <c r="C99" s="4">
        <v>106.1</v>
      </c>
      <c r="D99" s="4">
        <v>2.4</v>
      </c>
      <c r="E99" s="42">
        <v>2.5249999999999999</v>
      </c>
      <c r="F99" s="42">
        <v>2.3940000000000001</v>
      </c>
      <c r="G99" s="4">
        <v>2.5</v>
      </c>
      <c r="H99" s="4">
        <v>2.2999999999999998</v>
      </c>
      <c r="I99" s="42">
        <v>3.09</v>
      </c>
      <c r="J99" s="42">
        <v>2.5609999999999999</v>
      </c>
      <c r="K99" s="42">
        <v>2.548</v>
      </c>
      <c r="L99" s="42">
        <v>2.3450000000000002</v>
      </c>
      <c r="M99" s="4"/>
      <c r="N99" s="4"/>
      <c r="O99" s="4"/>
    </row>
    <row r="100" spans="1:15" x14ac:dyDescent="0.25">
      <c r="A100" t="s">
        <v>111</v>
      </c>
      <c r="B100" s="4">
        <v>104.2</v>
      </c>
      <c r="C100" s="4">
        <v>105.9</v>
      </c>
      <c r="D100" s="4">
        <v>2.4</v>
      </c>
      <c r="E100" s="42">
        <v>2.8530000000000002</v>
      </c>
      <c r="F100" s="42">
        <v>2.581</v>
      </c>
      <c r="G100" s="4">
        <v>2.7</v>
      </c>
      <c r="H100" s="4">
        <v>2.6</v>
      </c>
      <c r="I100" s="42">
        <v>2.8170000000000002</v>
      </c>
      <c r="J100" s="42">
        <v>2.4790000000000001</v>
      </c>
      <c r="K100" s="42">
        <v>2.613</v>
      </c>
      <c r="L100" s="42">
        <v>2.419</v>
      </c>
      <c r="M100" s="4"/>
      <c r="N100" s="4"/>
      <c r="O100" s="4"/>
    </row>
    <row r="101" spans="1:15" x14ac:dyDescent="0.25">
      <c r="A101" t="s">
        <v>112</v>
      </c>
      <c r="B101" s="4">
        <v>104.6</v>
      </c>
      <c r="C101" s="4">
        <v>105.9</v>
      </c>
      <c r="D101" s="4">
        <v>2.4</v>
      </c>
      <c r="E101" s="42">
        <v>2.867</v>
      </c>
      <c r="F101" s="42">
        <v>2.4209999999999998</v>
      </c>
      <c r="G101" s="4" t="e">
        <v>#N/A</v>
      </c>
      <c r="H101" s="4" t="e">
        <v>#N/A</v>
      </c>
      <c r="I101" s="42">
        <v>2.7480000000000002</v>
      </c>
      <c r="J101" s="42">
        <v>2.4649999999999999</v>
      </c>
      <c r="K101" s="42" t="e">
        <v>#N/A</v>
      </c>
      <c r="L101" s="42" t="e">
        <v>#N/A</v>
      </c>
      <c r="M101" s="4"/>
      <c r="N101" s="4"/>
      <c r="O101" s="4"/>
    </row>
    <row r="102" spans="1:15" x14ac:dyDescent="0.25">
      <c r="A102" t="s">
        <v>113</v>
      </c>
      <c r="B102" s="4">
        <v>104.9</v>
      </c>
      <c r="C102" s="4">
        <v>106.6</v>
      </c>
      <c r="D102" s="4">
        <v>2.6</v>
      </c>
      <c r="E102" s="42">
        <v>2.9390000000000001</v>
      </c>
      <c r="F102" s="42">
        <v>2.4420000000000002</v>
      </c>
      <c r="G102" s="4" t="e">
        <v>#N/A</v>
      </c>
      <c r="H102" s="4" t="e">
        <v>#N/A</v>
      </c>
      <c r="I102" s="42">
        <v>2.8860000000000001</v>
      </c>
      <c r="J102" s="42">
        <v>2.4809999999999999</v>
      </c>
      <c r="K102" s="42" t="e">
        <v>#N/A</v>
      </c>
      <c r="L102" s="42" t="e">
        <v>#N/A</v>
      </c>
      <c r="M102" s="4"/>
      <c r="N102" s="4"/>
      <c r="O102" s="4"/>
    </row>
    <row r="103" spans="1:15" x14ac:dyDescent="0.25">
      <c r="A103" t="s">
        <v>114</v>
      </c>
      <c r="B103" s="4">
        <v>104.4</v>
      </c>
      <c r="C103" s="4">
        <v>106.1</v>
      </c>
      <c r="D103" s="4">
        <v>2.7</v>
      </c>
      <c r="E103" s="42">
        <v>3.01</v>
      </c>
      <c r="F103" s="42">
        <v>2.4630000000000001</v>
      </c>
      <c r="G103" s="4" t="e">
        <v>#N/A</v>
      </c>
      <c r="H103" s="4" t="e">
        <v>#N/A</v>
      </c>
      <c r="I103" s="42">
        <v>2.9390000000000001</v>
      </c>
      <c r="J103" s="42">
        <v>2.4420000000000002</v>
      </c>
      <c r="K103" s="42" t="e">
        <v>#N/A</v>
      </c>
      <c r="L103" s="42" t="e">
        <v>#N/A</v>
      </c>
      <c r="M103" s="4"/>
      <c r="N103" s="4"/>
      <c r="O103" s="4"/>
    </row>
    <row r="104" spans="1:15" x14ac:dyDescent="0.25">
      <c r="A104" t="s">
        <v>115</v>
      </c>
      <c r="B104" s="4">
        <v>104.9</v>
      </c>
      <c r="C104" s="4">
        <v>106.4</v>
      </c>
      <c r="D104" s="4">
        <v>2.9</v>
      </c>
      <c r="E104" s="42">
        <v>2.95</v>
      </c>
      <c r="F104" s="42">
        <v>2.4079999999999999</v>
      </c>
      <c r="G104" s="4" t="e">
        <v>#N/A</v>
      </c>
      <c r="H104" s="4" t="e">
        <v>#N/A</v>
      </c>
      <c r="I104" s="42">
        <v>2.9660000000000002</v>
      </c>
      <c r="J104" s="42">
        <v>2.4380000000000002</v>
      </c>
      <c r="K104" s="42" t="e">
        <v>#N/A</v>
      </c>
      <c r="L104" s="42" t="e">
        <v>#N/A</v>
      </c>
      <c r="M104" s="4"/>
      <c r="N104" s="4"/>
      <c r="O104" s="4"/>
    </row>
    <row r="105" spans="1:15" x14ac:dyDescent="0.25">
      <c r="A105" t="s">
        <v>116</v>
      </c>
      <c r="B105" s="4">
        <v>105</v>
      </c>
      <c r="C105" s="4">
        <v>106.5</v>
      </c>
      <c r="D105" s="4">
        <v>3</v>
      </c>
      <c r="E105" s="42">
        <v>2.56</v>
      </c>
      <c r="F105" s="42">
        <v>2.1349999999999998</v>
      </c>
      <c r="G105" s="4" t="e">
        <v>#N/A</v>
      </c>
      <c r="H105" s="4" t="e">
        <v>#N/A</v>
      </c>
      <c r="I105" s="42">
        <v>2.8380000000000001</v>
      </c>
      <c r="J105" s="42">
        <v>2.335</v>
      </c>
      <c r="K105" s="42" t="e">
        <v>#N/A</v>
      </c>
      <c r="L105" s="42" t="e">
        <v>#N/A</v>
      </c>
      <c r="M105" s="4"/>
      <c r="N105" s="4"/>
      <c r="O105" s="4"/>
    </row>
    <row r="106" spans="1:15" x14ac:dyDescent="0.25">
      <c r="A106" t="s">
        <v>117</v>
      </c>
      <c r="B106" s="4">
        <v>105.4</v>
      </c>
      <c r="C106" s="4">
        <v>107.2</v>
      </c>
      <c r="D106" s="4">
        <v>3</v>
      </c>
      <c r="E106" s="42">
        <v>3.25</v>
      </c>
      <c r="F106" s="42">
        <v>2.444</v>
      </c>
      <c r="G106" s="4" t="e">
        <v>#N/A</v>
      </c>
      <c r="H106" s="4" t="e">
        <v>#N/A</v>
      </c>
      <c r="I106" s="42">
        <v>2.919</v>
      </c>
      <c r="J106" s="42">
        <v>2.3290000000000002</v>
      </c>
      <c r="K106" s="42" t="e">
        <v>#N/A</v>
      </c>
      <c r="L106" s="42" t="e">
        <v>#N/A</v>
      </c>
      <c r="M106" s="4"/>
      <c r="N106" s="4"/>
      <c r="O106" s="4"/>
    </row>
    <row r="107" spans="1:15" x14ac:dyDescent="0.25">
      <c r="A107" t="s">
        <v>118</v>
      </c>
      <c r="B107" s="4">
        <v>105.8</v>
      </c>
      <c r="C107" s="4">
        <v>107.6</v>
      </c>
      <c r="D107" s="4">
        <v>2.9</v>
      </c>
      <c r="E107" s="42">
        <v>2.4700000000000002</v>
      </c>
      <c r="F107" s="42">
        <v>1.9770000000000001</v>
      </c>
      <c r="G107" s="4" t="e">
        <v>#N/A</v>
      </c>
      <c r="H107" s="4" t="e">
        <v>#N/A</v>
      </c>
      <c r="I107" s="42">
        <v>2.76</v>
      </c>
      <c r="J107" s="42">
        <v>2.1859999999999999</v>
      </c>
      <c r="K107" s="42" t="e">
        <v>#N/A</v>
      </c>
      <c r="L107" s="42" t="e">
        <v>#N/A</v>
      </c>
      <c r="M107" s="4"/>
      <c r="N107" s="4"/>
      <c r="O107" s="4"/>
    </row>
    <row r="108" spans="1:15" x14ac:dyDescent="0.25">
      <c r="A108" t="s">
        <v>119</v>
      </c>
      <c r="B108" s="4">
        <v>105.8</v>
      </c>
      <c r="C108" s="4">
        <v>107.9</v>
      </c>
      <c r="D108" s="4">
        <v>2.8</v>
      </c>
      <c r="E108" s="42">
        <v>2.79</v>
      </c>
      <c r="F108" s="42">
        <v>2.3170000000000002</v>
      </c>
      <c r="G108" s="4" t="e">
        <v>#N/A</v>
      </c>
      <c r="H108" s="4" t="e">
        <v>#N/A</v>
      </c>
      <c r="I108" s="42">
        <v>2.835</v>
      </c>
      <c r="J108" s="42">
        <v>2.246</v>
      </c>
      <c r="K108" s="42" t="e">
        <v>#N/A</v>
      </c>
      <c r="L108" s="42" t="e">
        <v>#N/A</v>
      </c>
      <c r="M108" s="4"/>
      <c r="N108" s="4"/>
      <c r="O108" s="4"/>
    </row>
    <row r="109" spans="1:15" x14ac:dyDescent="0.25">
      <c r="A109" t="s">
        <v>120</v>
      </c>
      <c r="B109" s="4">
        <v>105.8</v>
      </c>
      <c r="C109" s="4">
        <v>108.5</v>
      </c>
      <c r="D109" s="4">
        <v>3</v>
      </c>
      <c r="E109" s="42">
        <v>2.79</v>
      </c>
      <c r="F109" s="42">
        <v>2.4239999999999999</v>
      </c>
      <c r="G109" s="4" t="e">
        <v>#N/A</v>
      </c>
      <c r="H109" s="4" t="e">
        <v>#N/A</v>
      </c>
      <c r="I109" s="42">
        <v>2.68</v>
      </c>
      <c r="J109" s="42">
        <v>2.2389999999999999</v>
      </c>
      <c r="K109" s="42" t="e">
        <v>#N/A</v>
      </c>
      <c r="L109" s="42" t="e">
        <v>#N/A</v>
      </c>
      <c r="M109" s="4"/>
      <c r="N109" s="4"/>
      <c r="O109" s="4"/>
    </row>
    <row r="110" spans="1:15" x14ac:dyDescent="0.25">
      <c r="A110" t="s">
        <v>121</v>
      </c>
      <c r="B110" s="4">
        <v>106.5</v>
      </c>
      <c r="C110" s="4">
        <v>109.2</v>
      </c>
      <c r="D110" s="4">
        <v>3.2</v>
      </c>
      <c r="E110" s="42">
        <v>2.2799999999999998</v>
      </c>
      <c r="F110" s="42">
        <v>2.254</v>
      </c>
      <c r="G110" s="4" t="e">
        <v>#N/A</v>
      </c>
      <c r="H110" s="4" t="e">
        <v>#N/A</v>
      </c>
      <c r="I110" s="42">
        <v>2.6160000000000001</v>
      </c>
      <c r="J110" s="42">
        <v>2.3319999999999999</v>
      </c>
      <c r="K110" s="42" t="e">
        <v>#N/A</v>
      </c>
      <c r="L110" s="42" t="e">
        <v>#N/A</v>
      </c>
      <c r="M110" s="4"/>
      <c r="N110" s="4"/>
      <c r="O110" s="4"/>
    </row>
    <row r="111" spans="1:15" x14ac:dyDescent="0.25">
      <c r="A111" t="s">
        <v>122</v>
      </c>
      <c r="B111" s="4">
        <v>106.6</v>
      </c>
      <c r="C111" s="4">
        <v>108.6</v>
      </c>
      <c r="D111" s="4">
        <v>3.3</v>
      </c>
      <c r="E111" s="42">
        <v>2.41</v>
      </c>
      <c r="F111" s="42">
        <v>2.0019999999999998</v>
      </c>
      <c r="G111" s="4" t="e">
        <v>#N/A</v>
      </c>
      <c r="H111" s="4" t="e">
        <v>#N/A</v>
      </c>
      <c r="I111" s="42">
        <v>2.4910000000000001</v>
      </c>
      <c r="J111" s="42">
        <v>2.226</v>
      </c>
      <c r="K111" s="42" t="e">
        <v>#N/A</v>
      </c>
      <c r="L111" s="42" t="e">
        <v>#N/A</v>
      </c>
      <c r="M111" s="4"/>
      <c r="N111" s="4"/>
      <c r="O111" s="4"/>
    </row>
    <row r="112" spans="1:15" x14ac:dyDescent="0.25">
      <c r="A112" t="s">
        <v>123</v>
      </c>
      <c r="B112" s="4">
        <v>106.7</v>
      </c>
      <c r="C112" s="4">
        <v>108.5</v>
      </c>
      <c r="D112" s="4">
        <v>3.4</v>
      </c>
      <c r="E112" s="42">
        <v>2.56</v>
      </c>
      <c r="F112" s="42">
        <v>2.5910000000000002</v>
      </c>
      <c r="G112" s="4" t="e">
        <v>#N/A</v>
      </c>
      <c r="H112" s="4" t="e">
        <v>#N/A</v>
      </c>
      <c r="I112" s="42">
        <v>2.4169999999999998</v>
      </c>
      <c r="J112" s="42">
        <v>2.282</v>
      </c>
      <c r="K112" s="42" t="e">
        <v>#N/A</v>
      </c>
      <c r="L112" s="42" t="e">
        <v>#N/A</v>
      </c>
      <c r="M112" s="4"/>
      <c r="N112" s="4"/>
      <c r="O112" s="4"/>
    </row>
    <row r="113" spans="1:15" x14ac:dyDescent="0.25">
      <c r="A113" t="s">
        <v>124</v>
      </c>
      <c r="B113" s="4">
        <v>107</v>
      </c>
      <c r="C113" s="4">
        <v>108.5</v>
      </c>
      <c r="D113" s="4">
        <v>3.4</v>
      </c>
      <c r="E113" s="42">
        <v>2.58</v>
      </c>
      <c r="F113" s="42">
        <v>2.6869999999999998</v>
      </c>
      <c r="G113" s="4" t="e">
        <v>#N/A</v>
      </c>
      <c r="H113" s="4" t="e">
        <v>#N/A</v>
      </c>
      <c r="I113" s="42">
        <v>2.5190000000000001</v>
      </c>
      <c r="J113" s="42">
        <v>2.427</v>
      </c>
      <c r="K113" s="42" t="e">
        <v>#N/A</v>
      </c>
      <c r="L113" s="42" t="e">
        <v>#N/A</v>
      </c>
      <c r="M113" s="4"/>
      <c r="N113" s="4"/>
      <c r="O113" s="4"/>
    </row>
    <row r="114" spans="1:15" x14ac:dyDescent="0.25">
      <c r="A114" t="s">
        <v>125</v>
      </c>
      <c r="B114" s="4">
        <v>107.1</v>
      </c>
      <c r="C114" s="4">
        <v>109.2</v>
      </c>
      <c r="D114" s="4">
        <v>3.5</v>
      </c>
      <c r="E114" s="42">
        <v>2.21</v>
      </c>
      <c r="F114" s="42">
        <v>2.1749999999999998</v>
      </c>
      <c r="G114" s="4" t="e">
        <v>#N/A</v>
      </c>
      <c r="H114" s="4" t="e">
        <v>#N/A</v>
      </c>
      <c r="I114" s="42">
        <v>2.4510000000000001</v>
      </c>
      <c r="J114" s="42">
        <v>2.484</v>
      </c>
      <c r="K114" s="42" t="e">
        <v>#N/A</v>
      </c>
      <c r="L114" s="42" t="e">
        <v>#N/A</v>
      </c>
      <c r="M114" s="4"/>
      <c r="N114" s="4"/>
      <c r="O114" s="4"/>
    </row>
    <row r="115" spans="1:15" x14ac:dyDescent="0.25">
      <c r="A115" t="s">
        <v>126</v>
      </c>
      <c r="B115" s="4">
        <v>106.3</v>
      </c>
      <c r="C115" s="4">
        <v>108.8</v>
      </c>
      <c r="D115" s="4">
        <v>3.6</v>
      </c>
      <c r="E115" s="42">
        <v>2.79</v>
      </c>
      <c r="F115" s="42">
        <v>2.532</v>
      </c>
      <c r="G115" s="4" t="e">
        <v>#N/A</v>
      </c>
      <c r="H115" s="4" t="e">
        <v>#N/A</v>
      </c>
      <c r="I115" s="42">
        <v>2.528</v>
      </c>
      <c r="J115" s="42">
        <v>2.4649999999999999</v>
      </c>
      <c r="K115" s="42" t="e">
        <v>#N/A</v>
      </c>
      <c r="L115" s="42" t="e">
        <v>#N/A</v>
      </c>
      <c r="M115" s="4"/>
      <c r="N115" s="4"/>
      <c r="O115" s="4"/>
    </row>
    <row r="116" spans="1:15" x14ac:dyDescent="0.25">
      <c r="A116" t="s">
        <v>127</v>
      </c>
      <c r="B116" s="4">
        <v>106.8</v>
      </c>
      <c r="C116" s="4">
        <v>109</v>
      </c>
      <c r="D116" s="4">
        <v>3.6</v>
      </c>
      <c r="E116" s="42">
        <v>2.23</v>
      </c>
      <c r="F116" s="42">
        <v>2.5609999999999999</v>
      </c>
      <c r="G116" s="4" t="e">
        <v>#N/A</v>
      </c>
      <c r="H116" s="4" t="e">
        <v>#N/A</v>
      </c>
      <c r="I116" s="42">
        <v>2.4119999999999999</v>
      </c>
      <c r="J116" s="42">
        <v>2.423</v>
      </c>
      <c r="K116" s="42" t="e">
        <v>#N/A</v>
      </c>
      <c r="L116" s="42" t="e">
        <v>#N/A</v>
      </c>
      <c r="M116" s="4"/>
      <c r="N116" s="4"/>
      <c r="O116" s="4"/>
    </row>
    <row r="117" spans="1:15" x14ac:dyDescent="0.25">
      <c r="A117" t="s">
        <v>128</v>
      </c>
      <c r="B117" s="4">
        <v>107</v>
      </c>
      <c r="C117" s="4">
        <v>109.1</v>
      </c>
      <c r="D117" s="4">
        <v>3.6</v>
      </c>
      <c r="E117" s="42">
        <v>2.39</v>
      </c>
      <c r="F117" s="42">
        <v>2.0680000000000001</v>
      </c>
      <c r="G117" s="4" t="e">
        <v>#N/A</v>
      </c>
      <c r="H117" s="4" t="e">
        <v>#N/A</v>
      </c>
      <c r="I117" s="42">
        <v>2.4700000000000002</v>
      </c>
      <c r="J117" s="42">
        <v>2.387</v>
      </c>
      <c r="K117" s="42" t="e">
        <v>#N/A</v>
      </c>
      <c r="L117" s="42" t="e">
        <v>#N/A</v>
      </c>
      <c r="M117" s="4"/>
      <c r="N117" s="4"/>
      <c r="O117" s="4"/>
    </row>
    <row r="118" spans="1:15" x14ac:dyDescent="0.25">
      <c r="A118" t="s">
        <v>129</v>
      </c>
      <c r="B118" s="4">
        <v>107.6</v>
      </c>
      <c r="C118" s="4">
        <v>110.3</v>
      </c>
      <c r="D118" s="4">
        <v>3.6</v>
      </c>
      <c r="E118" s="42">
        <v>2.88</v>
      </c>
      <c r="F118" s="42">
        <v>2.7149999999999999</v>
      </c>
      <c r="G118" s="4" t="e">
        <v>#N/A</v>
      </c>
      <c r="H118" s="4" t="e">
        <v>#N/A</v>
      </c>
      <c r="I118" s="42">
        <v>2.4990000000000001</v>
      </c>
      <c r="J118" s="42">
        <v>2.448</v>
      </c>
      <c r="K118" s="42" t="e">
        <v>#N/A</v>
      </c>
      <c r="L118" s="42" t="e">
        <v>#N/A</v>
      </c>
      <c r="M118" s="4"/>
      <c r="N118" s="4"/>
      <c r="O118" s="4"/>
    </row>
    <row r="119" spans="1:15" x14ac:dyDescent="0.25">
      <c r="A119" t="s">
        <v>130</v>
      </c>
      <c r="B119" s="4">
        <v>107.9</v>
      </c>
      <c r="C119" s="4">
        <v>110.3</v>
      </c>
      <c r="D119" s="4">
        <v>3.7</v>
      </c>
      <c r="E119" s="42">
        <v>1.82</v>
      </c>
      <c r="F119" s="42">
        <v>2.3319999999999999</v>
      </c>
      <c r="G119" s="4" t="e">
        <v>#N/A</v>
      </c>
      <c r="H119" s="4" t="e">
        <v>#N/A</v>
      </c>
      <c r="I119" s="42">
        <v>2.3620000000000001</v>
      </c>
      <c r="J119" s="42">
        <v>2.3719999999999999</v>
      </c>
      <c r="K119" s="42" t="e">
        <v>#N/A</v>
      </c>
      <c r="L119" s="42" t="e">
        <v>#N/A</v>
      </c>
      <c r="M119" s="4"/>
      <c r="N119" s="4"/>
      <c r="O119" s="4"/>
    </row>
    <row r="120" spans="1:15" x14ac:dyDescent="0.25">
      <c r="A120" t="s">
        <v>131</v>
      </c>
      <c r="B120" s="4">
        <v>107.9</v>
      </c>
      <c r="C120" s="4">
        <v>110.6</v>
      </c>
      <c r="D120" s="4">
        <v>3.9</v>
      </c>
      <c r="E120" s="42">
        <v>2.69</v>
      </c>
      <c r="F120" s="42">
        <v>2.1539999999999999</v>
      </c>
      <c r="G120" s="4" t="e">
        <v>#N/A</v>
      </c>
      <c r="H120" s="4" t="e">
        <v>#N/A</v>
      </c>
      <c r="I120" s="42">
        <v>2.4620000000000002</v>
      </c>
      <c r="J120" s="42">
        <v>2.4</v>
      </c>
      <c r="K120" s="42" t="e">
        <v>#N/A</v>
      </c>
      <c r="L120" s="42" t="e">
        <v>#N/A</v>
      </c>
      <c r="M120" s="4"/>
      <c r="N120" s="4"/>
      <c r="O120" s="4"/>
    </row>
    <row r="121" spans="1:15" x14ac:dyDescent="0.25">
      <c r="A121" t="s">
        <v>132</v>
      </c>
      <c r="B121" s="4">
        <v>107.9</v>
      </c>
      <c r="C121" s="4">
        <v>111.2</v>
      </c>
      <c r="D121" s="4">
        <v>4</v>
      </c>
      <c r="E121" s="42">
        <v>2.2599999999999998</v>
      </c>
      <c r="F121" s="42">
        <v>2.0979999999999999</v>
      </c>
      <c r="G121" s="4" t="e">
        <v>#N/A</v>
      </c>
      <c r="H121" s="4" t="e">
        <v>#N/A</v>
      </c>
      <c r="I121" s="42">
        <v>2.2559999999999998</v>
      </c>
      <c r="J121" s="42">
        <v>2.1949999999999998</v>
      </c>
      <c r="K121" s="42" t="e">
        <v>#N/A</v>
      </c>
      <c r="L121" s="42" t="e">
        <v>#N/A</v>
      </c>
      <c r="M121" s="4"/>
      <c r="N121" s="4"/>
      <c r="O121" s="4"/>
    </row>
    <row r="122" spans="1:15" x14ac:dyDescent="0.25">
      <c r="A122" t="s">
        <v>133</v>
      </c>
      <c r="B122" s="4">
        <v>108.4</v>
      </c>
      <c r="C122" s="4">
        <v>111.7</v>
      </c>
      <c r="D122" s="4">
        <v>3.9</v>
      </c>
      <c r="E122" s="42">
        <v>1.94</v>
      </c>
      <c r="F122" s="42">
        <v>2.2890000000000001</v>
      </c>
      <c r="G122" s="4" t="e">
        <v>#N/A</v>
      </c>
      <c r="H122" s="4" t="e">
        <v>#N/A</v>
      </c>
      <c r="I122" s="42">
        <v>2.2959999999999998</v>
      </c>
      <c r="J122" s="42">
        <v>2.1800000000000002</v>
      </c>
      <c r="K122" s="42" t="e">
        <v>#N/A</v>
      </c>
      <c r="L122" s="42" t="e">
        <v>#N/A</v>
      </c>
      <c r="M122" s="4"/>
      <c r="N122" s="4"/>
      <c r="O122" s="4"/>
    </row>
    <row r="123" spans="1:15" x14ac:dyDescent="0.25">
      <c r="A123" t="s">
        <v>134</v>
      </c>
      <c r="B123" s="4">
        <v>108.5</v>
      </c>
      <c r="C123" s="4">
        <v>111.3</v>
      </c>
      <c r="D123" s="4">
        <v>3.7</v>
      </c>
      <c r="E123" s="42">
        <v>2.27</v>
      </c>
      <c r="F123" s="42">
        <v>2.355</v>
      </c>
      <c r="G123" s="4" t="e">
        <v>#N/A</v>
      </c>
      <c r="H123" s="4" t="e">
        <v>#N/A</v>
      </c>
      <c r="I123" s="42">
        <v>2.1560000000000001</v>
      </c>
      <c r="J123" s="42">
        <v>2.2469999999999999</v>
      </c>
      <c r="K123" s="42" t="e">
        <v>#N/A</v>
      </c>
      <c r="L123" s="42" t="e">
        <v>#N/A</v>
      </c>
      <c r="M123" s="4"/>
      <c r="N123" s="4"/>
      <c r="O123" s="4"/>
    </row>
    <row r="124" spans="1:15" x14ac:dyDescent="0.25">
      <c r="A124" t="s">
        <v>135</v>
      </c>
      <c r="B124" s="4">
        <v>108.3</v>
      </c>
      <c r="C124" s="4">
        <v>111.3</v>
      </c>
      <c r="D124" s="4">
        <v>3.5</v>
      </c>
      <c r="E124" s="42">
        <v>1.99</v>
      </c>
      <c r="F124" s="42">
        <v>2.2160000000000002</v>
      </c>
      <c r="G124" s="4" t="e">
        <v>#N/A</v>
      </c>
      <c r="H124" s="4" t="e">
        <v>#N/A</v>
      </c>
      <c r="I124" s="42">
        <v>2.0670000000000002</v>
      </c>
      <c r="J124" s="42">
        <v>2.2869999999999999</v>
      </c>
      <c r="K124" s="42" t="e">
        <v>#N/A</v>
      </c>
      <c r="L124" s="42" t="e">
        <v>#N/A</v>
      </c>
      <c r="M124" s="4"/>
      <c r="N124" s="4"/>
      <c r="O124" s="4"/>
    </row>
    <row r="125" spans="1:15" x14ac:dyDescent="0.25">
      <c r="A125" t="s">
        <v>136</v>
      </c>
      <c r="B125" s="4">
        <v>108.5</v>
      </c>
      <c r="C125" s="4">
        <v>111.2</v>
      </c>
      <c r="D125" s="4">
        <v>3.3</v>
      </c>
      <c r="E125" s="42">
        <v>1.89</v>
      </c>
      <c r="F125" s="42">
        <v>2.181</v>
      </c>
      <c r="G125" s="4" t="e">
        <v>#N/A</v>
      </c>
      <c r="H125" s="4" t="e">
        <v>#N/A</v>
      </c>
      <c r="I125" s="42">
        <v>2.0510000000000002</v>
      </c>
      <c r="J125" s="42">
        <v>2.2509999999999999</v>
      </c>
      <c r="K125" s="42" t="e">
        <v>#N/A</v>
      </c>
      <c r="L125" s="42" t="e">
        <v>#N/A</v>
      </c>
      <c r="M125" s="4"/>
      <c r="N125" s="4"/>
      <c r="O125" s="4"/>
    </row>
    <row r="126" spans="1:15" x14ac:dyDescent="0.25">
      <c r="A126" t="s">
        <v>137</v>
      </c>
      <c r="B126" s="4">
        <v>108.5</v>
      </c>
      <c r="C126" s="4">
        <v>111.5</v>
      </c>
      <c r="D126" s="4">
        <v>3.2</v>
      </c>
      <c r="E126" s="42">
        <v>1.99</v>
      </c>
      <c r="F126" s="42">
        <v>2.371</v>
      </c>
      <c r="G126" s="4" t="e">
        <v>#N/A</v>
      </c>
      <c r="H126" s="4" t="e">
        <v>#N/A</v>
      </c>
      <c r="I126" s="42">
        <v>1.958</v>
      </c>
      <c r="J126" s="42">
        <v>2.2559999999999998</v>
      </c>
      <c r="K126" s="42" t="e">
        <v>#N/A</v>
      </c>
      <c r="L126" s="42" t="e">
        <v>#N/A</v>
      </c>
      <c r="M126" s="4"/>
      <c r="N126" s="4"/>
      <c r="O126" s="4"/>
    </row>
    <row r="127" spans="1:15" x14ac:dyDescent="0.25">
      <c r="A127" t="s">
        <v>138</v>
      </c>
      <c r="B127" s="4">
        <v>108.2</v>
      </c>
      <c r="C127" s="4">
        <v>111.3</v>
      </c>
      <c r="D127" s="4">
        <v>3</v>
      </c>
      <c r="E127" s="42">
        <v>2.0699999999999998</v>
      </c>
      <c r="F127" s="42">
        <v>2.121</v>
      </c>
      <c r="G127" s="4" t="e">
        <v>#N/A</v>
      </c>
      <c r="H127" s="4" t="e">
        <v>#N/A</v>
      </c>
      <c r="I127" s="42">
        <v>1.982</v>
      </c>
      <c r="J127" s="42">
        <v>2.2240000000000002</v>
      </c>
      <c r="K127" s="42" t="e">
        <v>#N/A</v>
      </c>
      <c r="L127" s="42" t="e">
        <v>#N/A</v>
      </c>
      <c r="M127" s="4"/>
      <c r="N127" s="4"/>
      <c r="O127" s="4"/>
    </row>
    <row r="128" spans="1:15" x14ac:dyDescent="0.25">
      <c r="A128" t="s">
        <v>139</v>
      </c>
      <c r="B128" s="4">
        <v>108.6</v>
      </c>
      <c r="C128" s="4">
        <v>111.7</v>
      </c>
      <c r="D128" s="4">
        <v>2.9</v>
      </c>
      <c r="E128" s="42">
        <v>1.79</v>
      </c>
      <c r="F128" s="42">
        <v>2.1259999999999999</v>
      </c>
      <c r="G128" s="4" t="e">
        <v>#N/A</v>
      </c>
      <c r="H128" s="4" t="e">
        <v>#N/A</v>
      </c>
      <c r="I128" s="42">
        <v>1.9490000000000001</v>
      </c>
      <c r="J128" s="42">
        <v>2.206</v>
      </c>
      <c r="K128" s="42" t="e">
        <v>#N/A</v>
      </c>
      <c r="L128" s="42" t="e">
        <v>#N/A</v>
      </c>
      <c r="M128" s="4"/>
      <c r="N128" s="4"/>
      <c r="O128" s="4"/>
    </row>
    <row r="129" spans="1:15" x14ac:dyDescent="0.25">
      <c r="A129" t="s">
        <v>140</v>
      </c>
      <c r="B129" s="4">
        <v>108.6</v>
      </c>
      <c r="C129" s="4">
        <v>111.9</v>
      </c>
      <c r="D129" s="4">
        <v>2.5</v>
      </c>
      <c r="E129" s="42">
        <v>1.82</v>
      </c>
      <c r="F129" s="42">
        <v>1.615</v>
      </c>
      <c r="G129" s="4" t="e">
        <v>#N/A</v>
      </c>
      <c r="H129" s="4" t="e">
        <v>#N/A</v>
      </c>
      <c r="I129" s="42">
        <v>1.893</v>
      </c>
      <c r="J129" s="42">
        <v>1.954</v>
      </c>
      <c r="K129" s="42" t="e">
        <v>#N/A</v>
      </c>
      <c r="L129" s="42" t="e">
        <v>#N/A</v>
      </c>
      <c r="M129" s="4"/>
      <c r="N129" s="4"/>
      <c r="O129" s="4"/>
    </row>
    <row r="130" spans="1:15" x14ac:dyDescent="0.25">
      <c r="A130" t="s">
        <v>141</v>
      </c>
      <c r="B130" s="4">
        <v>108.5</v>
      </c>
      <c r="C130" s="4">
        <v>112.5</v>
      </c>
      <c r="D130" s="4">
        <v>1.3</v>
      </c>
      <c r="E130" s="42">
        <v>1.86</v>
      </c>
      <c r="F130" s="42">
        <v>1.2070000000000001</v>
      </c>
      <c r="G130" s="4" t="e">
        <v>#N/A</v>
      </c>
      <c r="H130" s="4" t="e">
        <v>#N/A</v>
      </c>
      <c r="I130" s="42">
        <v>1.8240000000000001</v>
      </c>
      <c r="J130" s="42">
        <v>1.649</v>
      </c>
      <c r="K130" s="42" t="e">
        <v>#N/A</v>
      </c>
      <c r="L130" s="42" t="e">
        <v>#N/A</v>
      </c>
      <c r="M130" s="4"/>
      <c r="N130" s="4"/>
      <c r="O130" s="4"/>
    </row>
    <row r="131" spans="1:15" x14ac:dyDescent="0.25">
      <c r="A131" t="s">
        <v>142</v>
      </c>
      <c r="B131" s="4">
        <v>108.5</v>
      </c>
      <c r="C131" s="4">
        <v>112.5</v>
      </c>
      <c r="D131" s="4">
        <v>-0.1</v>
      </c>
      <c r="E131" s="42">
        <v>1.76</v>
      </c>
      <c r="F131" s="42">
        <v>1.387</v>
      </c>
      <c r="G131" s="4" t="e">
        <v>#N/A</v>
      </c>
      <c r="H131" s="4" t="e">
        <v>#N/A</v>
      </c>
      <c r="I131" s="42">
        <v>1.8129999999999999</v>
      </c>
      <c r="J131" s="42">
        <v>1.403</v>
      </c>
      <c r="K131" s="42" t="e">
        <v>#N/A</v>
      </c>
      <c r="L131" s="42" t="e">
        <v>#N/A</v>
      </c>
      <c r="M131" s="4"/>
      <c r="N131" s="4"/>
      <c r="O131" s="4"/>
    </row>
    <row r="132" spans="1:15" x14ac:dyDescent="0.25">
      <c r="A132" t="s">
        <v>143</v>
      </c>
      <c r="B132" s="4">
        <v>108.6</v>
      </c>
      <c r="C132" s="4">
        <v>112.6</v>
      </c>
      <c r="D132" s="4">
        <v>-1.2</v>
      </c>
      <c r="E132" s="42">
        <v>1.19</v>
      </c>
      <c r="F132" s="42">
        <v>1.45</v>
      </c>
      <c r="G132" s="4" t="e">
        <v>#N/A</v>
      </c>
      <c r="H132" s="4" t="e">
        <v>#N/A</v>
      </c>
      <c r="I132" s="42">
        <v>1.6</v>
      </c>
      <c r="J132" s="42">
        <v>1.3480000000000001</v>
      </c>
      <c r="K132" s="42" t="e">
        <v>#N/A</v>
      </c>
      <c r="L132" s="42" t="e">
        <v>#N/A</v>
      </c>
      <c r="M132" s="4"/>
      <c r="N132" s="4"/>
      <c r="O132" s="4"/>
    </row>
    <row r="133" spans="1:15" x14ac:dyDescent="0.25">
      <c r="A133" t="s">
        <v>144</v>
      </c>
      <c r="B133" s="4">
        <v>109.1</v>
      </c>
      <c r="C133" s="4">
        <v>113.5</v>
      </c>
      <c r="D133" s="4">
        <v>-0.8</v>
      </c>
      <c r="E133" s="42">
        <v>1.34</v>
      </c>
      <c r="F133" s="42">
        <v>1.663</v>
      </c>
      <c r="G133" s="4" t="e">
        <v>#N/A</v>
      </c>
      <c r="H133" s="4" t="e">
        <v>#N/A</v>
      </c>
      <c r="I133" s="42">
        <v>1.427</v>
      </c>
      <c r="J133" s="42">
        <v>1.5</v>
      </c>
      <c r="K133" s="42" t="e">
        <v>#N/A</v>
      </c>
      <c r="L133" s="42" t="e">
        <v>#N/A</v>
      </c>
      <c r="M133" s="4"/>
      <c r="N133" s="4"/>
      <c r="O133" s="4"/>
    </row>
    <row r="134" spans="1:15" x14ac:dyDescent="0.25">
      <c r="A134" t="s">
        <v>145</v>
      </c>
      <c r="B134" s="4">
        <v>108.6</v>
      </c>
      <c r="C134" s="4">
        <v>112.4</v>
      </c>
      <c r="D134" s="4">
        <v>0.1</v>
      </c>
      <c r="E134" s="42">
        <v>1.08</v>
      </c>
      <c r="F134" s="42">
        <v>2.181</v>
      </c>
      <c r="G134" s="4" t="e">
        <v>#N/A</v>
      </c>
      <c r="H134" s="4" t="e">
        <v>#N/A</v>
      </c>
      <c r="I134" s="42">
        <v>1.2</v>
      </c>
      <c r="J134" s="42">
        <v>1.764</v>
      </c>
      <c r="K134" s="42" t="e">
        <v>#N/A</v>
      </c>
      <c r="L134" s="42" t="e">
        <v>#N/A</v>
      </c>
      <c r="M134" s="4"/>
      <c r="N134" s="4"/>
      <c r="O134" s="4"/>
    </row>
    <row r="135" spans="1:15" x14ac:dyDescent="0.25">
      <c r="A135" t="s">
        <v>146</v>
      </c>
      <c r="B135" s="4">
        <v>109.1</v>
      </c>
      <c r="C135" s="4">
        <v>112.9</v>
      </c>
      <c r="D135" s="4">
        <v>1.4</v>
      </c>
      <c r="E135" s="42">
        <v>1.44</v>
      </c>
      <c r="F135" s="42">
        <v>1.887</v>
      </c>
      <c r="G135" s="4" t="e">
        <v>#N/A</v>
      </c>
      <c r="H135" s="4" t="e">
        <v>#N/A</v>
      </c>
      <c r="I135" s="42">
        <v>1.286</v>
      </c>
      <c r="J135" s="42">
        <v>1.91</v>
      </c>
      <c r="K135" s="42" t="e">
        <v>#N/A</v>
      </c>
      <c r="L135" s="42" t="e">
        <v>#N/A</v>
      </c>
      <c r="M135" s="4"/>
      <c r="N135" s="4"/>
      <c r="O135" s="4"/>
    </row>
    <row r="136" spans="1:15" x14ac:dyDescent="0.25">
      <c r="A136" t="s">
        <v>147</v>
      </c>
      <c r="B136" s="4">
        <v>109.1</v>
      </c>
      <c r="C136" s="4">
        <v>112.8</v>
      </c>
      <c r="D136" s="4">
        <v>2.5</v>
      </c>
      <c r="E136" s="42">
        <v>2.21</v>
      </c>
      <c r="F136" s="42">
        <v>2.3639999999999999</v>
      </c>
      <c r="G136" s="4" t="e">
        <v>#N/A</v>
      </c>
      <c r="H136" s="4" t="e">
        <v>#N/A</v>
      </c>
      <c r="I136" s="42">
        <v>1.5760000000000001</v>
      </c>
      <c r="J136" s="42">
        <v>2.1440000000000001</v>
      </c>
      <c r="K136" s="42" t="e">
        <v>#N/A</v>
      </c>
      <c r="L136" s="42" t="e">
        <v>#N/A</v>
      </c>
      <c r="M136" s="4"/>
      <c r="N136" s="4"/>
      <c r="O136" s="4"/>
    </row>
    <row r="137" spans="1:15" x14ac:dyDescent="0.25">
      <c r="A137" t="s">
        <v>148</v>
      </c>
      <c r="B137" s="4">
        <v>108.9</v>
      </c>
      <c r="C137" s="4">
        <v>112.8</v>
      </c>
      <c r="D137" s="4">
        <v>3.3</v>
      </c>
      <c r="E137" s="42">
        <v>1.69</v>
      </c>
      <c r="F137" s="42">
        <v>2.0920000000000001</v>
      </c>
      <c r="G137" s="4" t="e">
        <v>#N/A</v>
      </c>
      <c r="H137" s="4" t="e">
        <v>#N/A</v>
      </c>
      <c r="I137" s="42">
        <v>1.78</v>
      </c>
      <c r="J137" s="42">
        <v>2.1150000000000002</v>
      </c>
      <c r="K137" s="42" t="e">
        <v>#N/A</v>
      </c>
      <c r="L137" s="42" t="e">
        <v>#N/A</v>
      </c>
      <c r="M137" s="4"/>
      <c r="N137" s="4"/>
      <c r="O137" s="4"/>
    </row>
    <row r="138" spans="1:15" x14ac:dyDescent="0.25">
      <c r="A138" t="s">
        <v>149</v>
      </c>
      <c r="B138" s="4">
        <v>109.2</v>
      </c>
      <c r="C138" s="4">
        <v>113.1</v>
      </c>
      <c r="D138" s="4">
        <v>4</v>
      </c>
      <c r="E138" s="42">
        <v>0.85</v>
      </c>
      <c r="F138" s="42">
        <v>2.6960000000000002</v>
      </c>
      <c r="G138" s="4" t="e">
        <v>#N/A</v>
      </c>
      <c r="H138" s="4" t="e">
        <v>#N/A</v>
      </c>
      <c r="I138" s="42">
        <v>1.5820000000000001</v>
      </c>
      <c r="J138" s="42">
        <v>2.3839999999999999</v>
      </c>
      <c r="K138" s="42" t="e">
        <v>#N/A</v>
      </c>
      <c r="L138" s="42" t="e">
        <v>#N/A</v>
      </c>
      <c r="M138" s="4"/>
      <c r="N138" s="4"/>
      <c r="O138" s="4"/>
    </row>
    <row r="139" spans="1:15" x14ac:dyDescent="0.25">
      <c r="A139" t="s">
        <v>150</v>
      </c>
      <c r="B139" s="4">
        <v>109</v>
      </c>
      <c r="C139" s="4">
        <v>113.2</v>
      </c>
      <c r="D139" s="4">
        <v>4.0999999999999996</v>
      </c>
      <c r="E139" s="42">
        <v>1.83</v>
      </c>
      <c r="F139" s="42">
        <v>2.5089999999999999</v>
      </c>
      <c r="G139" s="4" t="e">
        <v>#N/A</v>
      </c>
      <c r="H139" s="4" t="e">
        <v>#N/A</v>
      </c>
      <c r="I139" s="42">
        <v>1.456</v>
      </c>
      <c r="J139" s="42">
        <v>2.4329999999999998</v>
      </c>
      <c r="K139" s="42" t="e">
        <v>#N/A</v>
      </c>
      <c r="L139" s="42" t="e">
        <v>#N/A</v>
      </c>
      <c r="M139" s="4"/>
      <c r="N139" s="4"/>
      <c r="O139" s="4"/>
    </row>
    <row r="140" spans="1:15" x14ac:dyDescent="0.25">
      <c r="A140" t="s">
        <v>151</v>
      </c>
      <c r="B140" s="4">
        <v>109.1</v>
      </c>
      <c r="C140" s="4">
        <v>113.4</v>
      </c>
      <c r="D140" s="4">
        <v>4.2</v>
      </c>
      <c r="E140" s="42">
        <v>2.0699999999999998</v>
      </c>
      <c r="F140" s="42">
        <v>2.7189999999999999</v>
      </c>
      <c r="G140" s="4" t="e">
        <v>#N/A</v>
      </c>
      <c r="H140" s="4" t="e">
        <v>#N/A</v>
      </c>
      <c r="I140" s="42">
        <v>1.585</v>
      </c>
      <c r="J140" s="42">
        <v>2.6419999999999999</v>
      </c>
      <c r="K140" s="42" t="e">
        <v>#N/A</v>
      </c>
      <c r="L140" s="42" t="e">
        <v>#N/A</v>
      </c>
      <c r="M140" s="4"/>
      <c r="N140" s="4"/>
      <c r="O140" s="4"/>
    </row>
    <row r="141" spans="1:15" x14ac:dyDescent="0.25">
      <c r="A141" t="s">
        <v>152</v>
      </c>
      <c r="B141" s="4">
        <v>109.4</v>
      </c>
      <c r="C141" s="4">
        <v>113.6</v>
      </c>
      <c r="D141" s="4">
        <v>4.3</v>
      </c>
      <c r="E141" s="42">
        <v>1.65</v>
      </c>
      <c r="F141" s="42">
        <v>2.9780000000000002</v>
      </c>
      <c r="G141" s="4" t="e">
        <v>#N/A</v>
      </c>
      <c r="H141" s="4" t="e">
        <v>#N/A</v>
      </c>
      <c r="I141" s="42">
        <v>1.8520000000000001</v>
      </c>
      <c r="J141" s="42">
        <v>2.7349999999999999</v>
      </c>
      <c r="K141" s="42" t="e">
        <v>#N/A</v>
      </c>
      <c r="L141" s="42" t="e">
        <v>#N/A</v>
      </c>
      <c r="M141" s="4"/>
      <c r="N141" s="4"/>
      <c r="O141" s="4"/>
    </row>
    <row r="142" spans="1:15" x14ac:dyDescent="0.25">
      <c r="A142" t="s">
        <v>153</v>
      </c>
      <c r="B142" s="4">
        <v>110.1</v>
      </c>
      <c r="C142" s="4">
        <v>114.3</v>
      </c>
      <c r="D142" s="4">
        <v>5.7</v>
      </c>
      <c r="E142" s="42">
        <v>2.78</v>
      </c>
      <c r="F142" s="42">
        <v>3.137</v>
      </c>
      <c r="G142" s="4" t="e">
        <v>#N/A</v>
      </c>
      <c r="H142" s="4" t="e">
        <v>#N/A</v>
      </c>
      <c r="I142" s="42">
        <v>2.1680000000000001</v>
      </c>
      <c r="J142" s="42">
        <v>2.9449999999999998</v>
      </c>
      <c r="K142" s="42" t="e">
        <v>#N/A</v>
      </c>
      <c r="L142" s="42" t="e">
        <v>#N/A</v>
      </c>
      <c r="M142" s="4"/>
      <c r="N142" s="4"/>
      <c r="O142" s="4"/>
    </row>
    <row r="143" spans="1:15" x14ac:dyDescent="0.25">
      <c r="A143" t="s">
        <v>154</v>
      </c>
      <c r="B143" s="4">
        <v>110.8</v>
      </c>
      <c r="C143" s="4">
        <v>114.6</v>
      </c>
      <c r="D143" s="4">
        <v>7.2</v>
      </c>
      <c r="E143" s="42">
        <v>2.84</v>
      </c>
      <c r="F143" s="42">
        <v>3.4489999999999998</v>
      </c>
      <c r="G143" s="4" t="e">
        <v>#N/A</v>
      </c>
      <c r="H143" s="4" t="e">
        <v>#N/A</v>
      </c>
      <c r="I143" s="42">
        <v>2.4249999999999998</v>
      </c>
      <c r="J143" s="42">
        <v>3.1880000000000002</v>
      </c>
      <c r="K143" s="42" t="e">
        <v>#N/A</v>
      </c>
      <c r="L143" s="42" t="e">
        <v>#N/A</v>
      </c>
      <c r="M143" s="4"/>
      <c r="N143" s="4"/>
      <c r="O143" s="4"/>
    </row>
    <row r="144" spans="1:15" x14ac:dyDescent="0.25">
      <c r="A144" t="s">
        <v>155</v>
      </c>
      <c r="B144" s="4">
        <v>111.3</v>
      </c>
      <c r="C144" s="4">
        <v>115</v>
      </c>
      <c r="D144" s="4">
        <v>8.4</v>
      </c>
      <c r="E144" s="42">
        <v>3.13</v>
      </c>
      <c r="F144" s="42">
        <v>3.2549999999999999</v>
      </c>
      <c r="G144" s="4" t="e">
        <v>#N/A</v>
      </c>
      <c r="H144" s="4" t="e">
        <v>#N/A</v>
      </c>
      <c r="I144" s="42">
        <v>2.9169999999999998</v>
      </c>
      <c r="J144" s="42">
        <v>3.28</v>
      </c>
      <c r="K144" s="42" t="e">
        <v>#N/A</v>
      </c>
      <c r="L144" s="42" t="e">
        <v>#N/A</v>
      </c>
      <c r="M144" s="4"/>
      <c r="N144" s="4"/>
      <c r="O144" s="4"/>
    </row>
    <row r="145" spans="1:15" x14ac:dyDescent="0.25">
      <c r="A145" t="s">
        <v>156</v>
      </c>
      <c r="B145" s="4">
        <v>111.3</v>
      </c>
      <c r="C145" s="4">
        <v>115.3</v>
      </c>
      <c r="D145" s="4">
        <v>7.8</v>
      </c>
      <c r="E145" s="42">
        <v>3.76</v>
      </c>
      <c r="F145" s="42">
        <v>2.9220000000000002</v>
      </c>
      <c r="G145" s="4" t="e">
        <v>#N/A</v>
      </c>
      <c r="H145" s="4" t="e">
        <v>#N/A</v>
      </c>
      <c r="I145" s="42">
        <v>3.2440000000000002</v>
      </c>
      <c r="J145" s="42">
        <v>3.2090000000000001</v>
      </c>
      <c r="K145" s="42" t="e">
        <v>#N/A</v>
      </c>
      <c r="L145" s="42" t="e">
        <v>#N/A</v>
      </c>
      <c r="M145" s="4"/>
      <c r="N145" s="4"/>
      <c r="O145" s="4"/>
    </row>
    <row r="146" spans="1:15" x14ac:dyDescent="0.25">
      <c r="A146" t="s">
        <v>157</v>
      </c>
      <c r="B146" s="4">
        <v>112.1</v>
      </c>
      <c r="C146" s="4">
        <v>115.8</v>
      </c>
      <c r="D146" s="4">
        <v>6.7</v>
      </c>
      <c r="E146" s="42">
        <v>3.45</v>
      </c>
      <c r="F146" s="42">
        <v>3.2229999999999999</v>
      </c>
      <c r="G146" s="4" t="e">
        <v>#N/A</v>
      </c>
      <c r="H146" s="4" t="e">
        <v>#N/A</v>
      </c>
      <c r="I146" s="42">
        <v>3.4460000000000002</v>
      </c>
      <c r="J146" s="42">
        <v>3.133</v>
      </c>
      <c r="K146" s="42" t="e">
        <v>#N/A</v>
      </c>
      <c r="L146" s="42" t="e">
        <v>#N/A</v>
      </c>
      <c r="M146" s="4"/>
      <c r="N146" s="4"/>
      <c r="O146" s="4"/>
    </row>
    <row r="147" spans="1:15" x14ac:dyDescent="0.25">
      <c r="A147" t="s">
        <v>158</v>
      </c>
      <c r="B147" s="4">
        <v>112.4</v>
      </c>
      <c r="C147" s="4">
        <v>115.8</v>
      </c>
      <c r="D147" s="4">
        <v>5.5</v>
      </c>
      <c r="E147" s="42">
        <v>4.54</v>
      </c>
      <c r="F147" s="42">
        <v>4.1059999999999999</v>
      </c>
      <c r="G147" s="4" t="e">
        <v>#N/A</v>
      </c>
      <c r="H147" s="4" t="e">
        <v>#N/A</v>
      </c>
      <c r="I147" s="42">
        <v>3.9159999999999999</v>
      </c>
      <c r="J147" s="42">
        <v>3.4169999999999998</v>
      </c>
      <c r="K147" s="42" t="e">
        <v>#N/A</v>
      </c>
      <c r="L147" s="42" t="e">
        <v>#N/A</v>
      </c>
      <c r="M147" s="4"/>
      <c r="N147" s="4"/>
      <c r="O147" s="4"/>
    </row>
    <row r="148" spans="1:15" x14ac:dyDescent="0.25">
      <c r="A148" t="s">
        <v>159</v>
      </c>
      <c r="B148" s="4">
        <v>113.6</v>
      </c>
      <c r="C148" s="4">
        <v>116.5</v>
      </c>
      <c r="D148" s="4">
        <v>4.5999999999999996</v>
      </c>
      <c r="E148" s="42">
        <v>5.42</v>
      </c>
      <c r="F148" s="42">
        <v>4.7069999999999999</v>
      </c>
      <c r="G148" s="4" t="e">
        <v>#N/A</v>
      </c>
      <c r="H148" s="4" t="e">
        <v>#N/A</v>
      </c>
      <c r="I148" s="42">
        <v>4.4690000000000003</v>
      </c>
      <c r="J148" s="42">
        <v>4.0119999999999996</v>
      </c>
      <c r="K148" s="42" t="e">
        <v>#N/A</v>
      </c>
      <c r="L148" s="42" t="e">
        <v>#N/A</v>
      </c>
      <c r="M148" s="4"/>
      <c r="N148" s="4"/>
      <c r="O148" s="4"/>
    </row>
    <row r="149" spans="1:15" x14ac:dyDescent="0.25">
      <c r="A149" t="s">
        <v>160</v>
      </c>
      <c r="B149" s="4">
        <v>114.5</v>
      </c>
      <c r="C149" s="4">
        <v>116.6</v>
      </c>
      <c r="D149" s="4">
        <v>4.0999999999999996</v>
      </c>
      <c r="E149" s="42">
        <v>4.82</v>
      </c>
      <c r="F149" s="42">
        <v>4.444</v>
      </c>
      <c r="G149" s="4" t="e">
        <v>#N/A</v>
      </c>
      <c r="H149" s="4" t="e">
        <v>#N/A</v>
      </c>
      <c r="I149" s="42">
        <v>4.9249999999999998</v>
      </c>
      <c r="J149" s="42">
        <v>4.4189999999999996</v>
      </c>
      <c r="K149" s="42" t="e">
        <v>#N/A</v>
      </c>
      <c r="L149" s="42" t="e">
        <v>#N/A</v>
      </c>
      <c r="M149" s="4"/>
      <c r="N149" s="4"/>
      <c r="O149" s="4"/>
    </row>
    <row r="150" spans="1:15" x14ac:dyDescent="0.25">
      <c r="A150" t="s">
        <v>161</v>
      </c>
      <c r="B150" s="4">
        <v>115.1</v>
      </c>
      <c r="C150" s="4">
        <v>117</v>
      </c>
      <c r="D150" s="4">
        <v>3.9</v>
      </c>
      <c r="E150" s="42">
        <v>5.48</v>
      </c>
      <c r="F150" s="42">
        <v>5.0990000000000002</v>
      </c>
      <c r="G150" s="4" t="e">
        <v>#N/A</v>
      </c>
      <c r="H150" s="4" t="e">
        <v>#N/A</v>
      </c>
      <c r="I150" s="42">
        <v>5.24</v>
      </c>
      <c r="J150" s="42">
        <v>4.75</v>
      </c>
      <c r="K150" s="42" t="e">
        <v>#N/A</v>
      </c>
      <c r="L150" s="42" t="e">
        <v>#N/A</v>
      </c>
      <c r="M150" s="4"/>
      <c r="N150" s="4"/>
      <c r="O150" s="4"/>
    </row>
    <row r="151" spans="1:15" x14ac:dyDescent="0.25">
      <c r="A151" t="s">
        <v>162</v>
      </c>
      <c r="B151" s="4">
        <v>114.9</v>
      </c>
      <c r="C151" s="4">
        <v>116.9</v>
      </c>
      <c r="D151" s="4">
        <v>4.2</v>
      </c>
      <c r="E151" s="42">
        <v>5.41</v>
      </c>
      <c r="F151" s="42">
        <v>4.5270000000000001</v>
      </c>
      <c r="G151" s="4" t="e">
        <v>#N/A</v>
      </c>
      <c r="H151" s="4" t="e">
        <v>#N/A</v>
      </c>
      <c r="I151" s="42">
        <v>5.2350000000000003</v>
      </c>
      <c r="J151" s="42">
        <v>4.6900000000000004</v>
      </c>
      <c r="K151" s="42" t="e">
        <v>#N/A</v>
      </c>
      <c r="L151" s="42" t="e">
        <v>#N/A</v>
      </c>
      <c r="M151" s="4"/>
      <c r="N151" s="4"/>
      <c r="O151" s="4"/>
    </row>
    <row r="152" spans="1:15" x14ac:dyDescent="0.25">
      <c r="A152" t="s">
        <v>163</v>
      </c>
      <c r="B152" s="4">
        <v>115.8</v>
      </c>
      <c r="C152" s="4">
        <v>117.3</v>
      </c>
      <c r="D152" s="4">
        <v>4.5999999999999996</v>
      </c>
      <c r="E152" s="42">
        <v>5.26</v>
      </c>
      <c r="F152" s="42">
        <v>4.8920000000000003</v>
      </c>
      <c r="G152" s="4" t="e">
        <v>#N/A</v>
      </c>
      <c r="H152" s="4" t="e">
        <v>#N/A</v>
      </c>
      <c r="I152" s="42">
        <v>5.383</v>
      </c>
      <c r="J152" s="42">
        <v>4.8390000000000004</v>
      </c>
      <c r="K152" s="42" t="e">
        <v>#N/A</v>
      </c>
      <c r="L152" s="42" t="e">
        <v>#N/A</v>
      </c>
      <c r="M152" s="4"/>
      <c r="N152" s="4"/>
      <c r="O152" s="4"/>
    </row>
    <row r="153" spans="1:15" x14ac:dyDescent="0.25">
      <c r="A153" t="s">
        <v>164</v>
      </c>
      <c r="B153" s="4">
        <v>117.1</v>
      </c>
      <c r="C153" s="4">
        <v>118.1</v>
      </c>
      <c r="D153" s="4">
        <v>4.9000000000000004</v>
      </c>
      <c r="E153" s="42">
        <v>6.84</v>
      </c>
      <c r="F153" s="42">
        <v>5.87</v>
      </c>
      <c r="G153" s="4" t="e">
        <v>#N/A</v>
      </c>
      <c r="H153" s="4" t="e">
        <v>#N/A</v>
      </c>
      <c r="I153" s="42">
        <v>5.8339999999999996</v>
      </c>
      <c r="J153" s="42">
        <v>5.0960000000000001</v>
      </c>
      <c r="K153" s="42" t="e">
        <v>#N/A</v>
      </c>
      <c r="L153" s="42" t="e">
        <v>#N/A</v>
      </c>
      <c r="M153" s="4"/>
      <c r="N153" s="4"/>
      <c r="O153" s="4"/>
    </row>
    <row r="154" spans="1:15" x14ac:dyDescent="0.25">
      <c r="A154" t="s">
        <v>165</v>
      </c>
      <c r="B154" s="4">
        <v>120</v>
      </c>
      <c r="C154" s="4">
        <v>119.7</v>
      </c>
      <c r="D154" s="4">
        <v>4.8</v>
      </c>
      <c r="E154" s="42">
        <v>6.5</v>
      </c>
      <c r="F154" s="42">
        <v>5.9980000000000002</v>
      </c>
      <c r="G154" s="4" t="e">
        <v>#N/A</v>
      </c>
      <c r="H154" s="4" t="e">
        <v>#N/A</v>
      </c>
      <c r="I154" s="42">
        <v>6.2</v>
      </c>
      <c r="J154" s="42">
        <v>5.5869999999999997</v>
      </c>
      <c r="K154" s="42" t="e">
        <v>#N/A</v>
      </c>
      <c r="L154" s="42" t="e">
        <v>#N/A</v>
      </c>
      <c r="M154" s="4"/>
      <c r="N154" s="4"/>
      <c r="O154" s="4"/>
    </row>
    <row r="155" spans="1:15" x14ac:dyDescent="0.25">
      <c r="A155" t="s">
        <v>166</v>
      </c>
      <c r="B155" s="4">
        <v>120.8</v>
      </c>
      <c r="C155" s="4">
        <v>120.2</v>
      </c>
      <c r="D155" s="4">
        <v>5.0999999999999996</v>
      </c>
      <c r="E155" s="42">
        <v>7.28</v>
      </c>
      <c r="F155" s="42">
        <v>5.883</v>
      </c>
      <c r="G155" s="4">
        <v>5.5</v>
      </c>
      <c r="H155" s="4">
        <v>4.8</v>
      </c>
      <c r="I155" s="42">
        <v>6.8739999999999997</v>
      </c>
      <c r="J155" s="42">
        <v>5.9169999999999998</v>
      </c>
      <c r="K155" s="42">
        <v>5.4509999999999996</v>
      </c>
      <c r="L155" s="42">
        <v>4.774</v>
      </c>
      <c r="M155" s="4"/>
      <c r="N155" s="4"/>
      <c r="O155" s="4"/>
    </row>
    <row r="156" spans="1:15" x14ac:dyDescent="0.25">
      <c r="A156" t="s">
        <v>167</v>
      </c>
      <c r="B156" s="4">
        <v>121.8</v>
      </c>
      <c r="C156" s="4">
        <v>121</v>
      </c>
      <c r="D156" s="4">
        <v>5.4</v>
      </c>
      <c r="E156" s="42">
        <v>7.44</v>
      </c>
      <c r="F156" s="42">
        <v>6.2919999999999998</v>
      </c>
      <c r="G156" s="4">
        <v>5.7</v>
      </c>
      <c r="H156" s="4">
        <v>5.0999999999999996</v>
      </c>
      <c r="I156" s="42">
        <v>7.0759999999999996</v>
      </c>
      <c r="J156" s="42">
        <v>6.0579999999999998</v>
      </c>
      <c r="K156" s="42">
        <v>5.5659999999999998</v>
      </c>
      <c r="L156" s="42">
        <v>4.9329999999999998</v>
      </c>
      <c r="M156" s="4"/>
      <c r="N156" s="4"/>
      <c r="O156" s="4"/>
    </row>
    <row r="157" spans="1:15" x14ac:dyDescent="0.25">
      <c r="A157" t="s">
        <v>168</v>
      </c>
      <c r="B157" s="4">
        <v>122.5</v>
      </c>
      <c r="C157" s="4">
        <v>121.9</v>
      </c>
      <c r="D157" s="4">
        <v>6</v>
      </c>
      <c r="E157" s="42">
        <v>7.96</v>
      </c>
      <c r="F157" s="42">
        <v>6.6680000000000001</v>
      </c>
      <c r="G157" s="4">
        <v>5.5</v>
      </c>
      <c r="H157" s="4">
        <v>5.2</v>
      </c>
      <c r="I157" s="42">
        <v>7.56</v>
      </c>
      <c r="J157" s="42">
        <v>6.2809999999999997</v>
      </c>
      <c r="K157" s="42">
        <v>5.53</v>
      </c>
      <c r="L157" s="42">
        <v>5.0129999999999999</v>
      </c>
      <c r="M157" s="4"/>
      <c r="N157" s="4"/>
      <c r="O157" s="4"/>
    </row>
    <row r="158" spans="1:15" x14ac:dyDescent="0.25">
      <c r="A158" t="s">
        <v>169</v>
      </c>
      <c r="B158" s="4">
        <v>123.1</v>
      </c>
      <c r="C158" s="4">
        <v>122.7</v>
      </c>
      <c r="D158" s="4">
        <v>6.2</v>
      </c>
      <c r="E158" s="42">
        <v>7.63</v>
      </c>
      <c r="F158" s="42">
        <v>6.4340000000000002</v>
      </c>
      <c r="G158" s="4">
        <v>6.4</v>
      </c>
      <c r="H158" s="4">
        <v>5.5</v>
      </c>
      <c r="I158" s="42">
        <v>7.6760000000000002</v>
      </c>
      <c r="J158" s="42">
        <v>6.4649999999999999</v>
      </c>
      <c r="K158" s="42">
        <v>5.835</v>
      </c>
      <c r="L158" s="42">
        <v>5.2450000000000001</v>
      </c>
      <c r="M158" s="4"/>
      <c r="N158" s="4"/>
      <c r="O158" s="4"/>
    </row>
    <row r="159" spans="1:15" x14ac:dyDescent="0.25">
      <c r="A159" t="s">
        <v>170</v>
      </c>
      <c r="B159" s="4">
        <v>123.8</v>
      </c>
      <c r="C159" s="4">
        <v>122.9</v>
      </c>
      <c r="D159" s="4">
        <v>6.6</v>
      </c>
      <c r="E159" s="42">
        <v>7.41</v>
      </c>
      <c r="F159" s="42">
        <v>6.6379999999999999</v>
      </c>
      <c r="G159" s="4">
        <v>6.5</v>
      </c>
      <c r="H159" s="4">
        <v>5.9</v>
      </c>
      <c r="I159" s="42">
        <v>7.665</v>
      </c>
      <c r="J159" s="42">
        <v>6.58</v>
      </c>
      <c r="K159" s="42">
        <v>6.1</v>
      </c>
      <c r="L159" s="42">
        <v>5.5030000000000001</v>
      </c>
      <c r="M159" s="4"/>
      <c r="N159" s="4"/>
      <c r="O159" s="4"/>
    </row>
    <row r="160" spans="1:15" x14ac:dyDescent="0.25">
      <c r="A160" t="s">
        <v>171</v>
      </c>
      <c r="B160" s="4">
        <v>126.2</v>
      </c>
      <c r="C160" s="4">
        <v>123.8</v>
      </c>
      <c r="D160" s="4">
        <v>6.9</v>
      </c>
      <c r="E160" s="42">
        <v>7.76</v>
      </c>
      <c r="F160" s="42">
        <v>6.2210000000000001</v>
      </c>
      <c r="G160" s="4">
        <v>6.1</v>
      </c>
      <c r="H160" s="4">
        <v>5.8</v>
      </c>
      <c r="I160" s="42">
        <v>7.5990000000000002</v>
      </c>
      <c r="J160" s="42">
        <v>6.431</v>
      </c>
      <c r="K160" s="42">
        <v>6.3010000000000002</v>
      </c>
      <c r="L160" s="42">
        <v>5.7249999999999996</v>
      </c>
      <c r="M160" s="4"/>
      <c r="N160" s="4"/>
      <c r="O160" s="4"/>
    </row>
    <row r="161" spans="1:15" x14ac:dyDescent="0.25">
      <c r="A161" t="s">
        <v>172</v>
      </c>
      <c r="B161" s="4">
        <v>126.7</v>
      </c>
      <c r="C161" s="4">
        <v>124</v>
      </c>
      <c r="D161" s="4">
        <v>7.3</v>
      </c>
      <c r="E161" s="42">
        <v>7.2</v>
      </c>
      <c r="F161" s="42">
        <v>5.7469999999999999</v>
      </c>
      <c r="G161" s="4">
        <v>6.1</v>
      </c>
      <c r="H161" s="4">
        <v>5.8</v>
      </c>
      <c r="I161" s="42">
        <v>7.4560000000000004</v>
      </c>
      <c r="J161" s="42">
        <v>6.202</v>
      </c>
      <c r="K161" s="42">
        <v>6.2140000000000004</v>
      </c>
      <c r="L161" s="42">
        <v>5.8280000000000003</v>
      </c>
      <c r="M161" s="4"/>
      <c r="N161" s="4"/>
      <c r="O161" s="4"/>
    </row>
    <row r="162" spans="1:15" x14ac:dyDescent="0.25">
      <c r="A162" t="s">
        <v>173</v>
      </c>
      <c r="B162" s="4">
        <v>127.2</v>
      </c>
      <c r="C162" s="4">
        <v>125</v>
      </c>
      <c r="D162" s="4">
        <v>7.3</v>
      </c>
      <c r="E162" s="42">
        <v>8.5399999999999991</v>
      </c>
      <c r="F162" s="42">
        <v>5.7830000000000004</v>
      </c>
      <c r="G162" s="4">
        <v>6.6</v>
      </c>
      <c r="H162" s="4">
        <v>6.3</v>
      </c>
      <c r="I162" s="42">
        <v>7.8319999999999999</v>
      </c>
      <c r="J162" s="42">
        <v>5.9169999999999998</v>
      </c>
      <c r="K162" s="42">
        <v>6.258</v>
      </c>
      <c r="L162" s="42">
        <v>5.9740000000000002</v>
      </c>
      <c r="M162" s="4"/>
      <c r="N162" s="4"/>
      <c r="O162" s="4"/>
    </row>
    <row r="163" spans="1:15" x14ac:dyDescent="0.25">
      <c r="A163" t="s">
        <v>174</v>
      </c>
      <c r="B163" s="4">
        <v>126.4</v>
      </c>
      <c r="C163" s="4">
        <v>123.8</v>
      </c>
      <c r="D163" s="4">
        <v>7.1</v>
      </c>
      <c r="E163" s="42">
        <v>7.85</v>
      </c>
      <c r="F163" s="42">
        <v>5.8</v>
      </c>
      <c r="G163" s="4">
        <v>6.3</v>
      </c>
      <c r="H163" s="4">
        <v>5.7</v>
      </c>
      <c r="I163" s="42">
        <v>7.8639999999999999</v>
      </c>
      <c r="J163" s="42">
        <v>5.7770000000000001</v>
      </c>
      <c r="K163" s="42">
        <v>6.3369999999999997</v>
      </c>
      <c r="L163" s="42">
        <v>5.9329999999999998</v>
      </c>
      <c r="M163" s="4"/>
      <c r="N163" s="4"/>
      <c r="O163" s="4"/>
    </row>
    <row r="164" spans="1:15" x14ac:dyDescent="0.25">
      <c r="A164" t="s">
        <v>175</v>
      </c>
      <c r="B164" s="4">
        <v>127.9</v>
      </c>
      <c r="C164" s="4">
        <v>125.1</v>
      </c>
      <c r="D164" s="4">
        <v>7.1</v>
      </c>
      <c r="E164" s="42">
        <v>7.78</v>
      </c>
      <c r="F164" s="42">
        <v>5.3879999999999999</v>
      </c>
      <c r="G164" s="4">
        <v>6.6</v>
      </c>
      <c r="H164" s="4">
        <v>5.8</v>
      </c>
      <c r="I164" s="42">
        <v>8.0589999999999993</v>
      </c>
      <c r="J164" s="42">
        <v>5.657</v>
      </c>
      <c r="K164" s="42">
        <v>6.51</v>
      </c>
      <c r="L164" s="42">
        <v>5.923</v>
      </c>
      <c r="M164" s="4"/>
      <c r="N164" s="4"/>
      <c r="O164" s="4"/>
    </row>
    <row r="165" spans="1:15" x14ac:dyDescent="0.25">
      <c r="A165" t="s">
        <v>176</v>
      </c>
      <c r="B165" s="4">
        <v>128.9</v>
      </c>
      <c r="C165" s="4">
        <v>126</v>
      </c>
      <c r="D165" s="4">
        <v>7.2</v>
      </c>
      <c r="E165" s="42">
        <v>7.81</v>
      </c>
      <c r="F165" s="42">
        <v>5.3109999999999999</v>
      </c>
      <c r="G165" s="4">
        <v>6.5</v>
      </c>
      <c r="H165" s="4">
        <v>5.6</v>
      </c>
      <c r="I165" s="42">
        <v>7.8150000000000004</v>
      </c>
      <c r="J165" s="42">
        <v>5.4989999999999997</v>
      </c>
      <c r="K165" s="42">
        <v>6.4640000000000004</v>
      </c>
      <c r="L165" s="42">
        <v>5.6779999999999999</v>
      </c>
      <c r="M165" s="4"/>
      <c r="N165" s="4"/>
      <c r="O165" s="4"/>
    </row>
    <row r="166" spans="1:15" x14ac:dyDescent="0.25">
      <c r="A166" t="s">
        <v>177</v>
      </c>
      <c r="B166" s="4">
        <v>130.4</v>
      </c>
      <c r="C166" s="4">
        <v>128</v>
      </c>
      <c r="D166" s="4">
        <v>7.7</v>
      </c>
      <c r="E166" s="42">
        <v>7.44</v>
      </c>
      <c r="F166" s="42">
        <v>5.9560000000000004</v>
      </c>
      <c r="G166" s="4">
        <v>6.6</v>
      </c>
      <c r="H166" s="4">
        <v>5.4</v>
      </c>
      <c r="I166" s="42">
        <v>7.6769999999999996</v>
      </c>
      <c r="J166" s="42">
        <v>5.5519999999999996</v>
      </c>
      <c r="K166" s="42">
        <v>6.5570000000000004</v>
      </c>
      <c r="L166" s="42">
        <v>5.5650000000000004</v>
      </c>
      <c r="M166" s="4"/>
      <c r="N166" s="4"/>
      <c r="O166" s="4"/>
    </row>
    <row r="167" spans="1:15" x14ac:dyDescent="0.25">
      <c r="A167" t="s">
        <v>178</v>
      </c>
      <c r="B167" s="4">
        <v>131.30000000000001</v>
      </c>
      <c r="C167" s="4">
        <v>129</v>
      </c>
      <c r="D167" s="4">
        <v>7.9</v>
      </c>
      <c r="E167" s="42">
        <v>7.55</v>
      </c>
      <c r="F167" s="42">
        <v>5.1420000000000003</v>
      </c>
      <c r="G167" s="4">
        <v>6.8</v>
      </c>
      <c r="H167" s="4">
        <v>5.2</v>
      </c>
      <c r="I167" s="42">
        <v>7.5979999999999999</v>
      </c>
      <c r="J167" s="42">
        <v>5.47</v>
      </c>
      <c r="K167" s="42">
        <v>6.6029999999999998</v>
      </c>
      <c r="L167" s="42">
        <v>5.3840000000000003</v>
      </c>
      <c r="M167" s="4"/>
      <c r="N167" s="4"/>
      <c r="O167" s="4"/>
    </row>
    <row r="168" spans="1:15" x14ac:dyDescent="0.25">
      <c r="A168" t="s">
        <v>179</v>
      </c>
      <c r="B168" s="4">
        <v>131.5</v>
      </c>
      <c r="C168" s="4">
        <v>129.69999999999999</v>
      </c>
      <c r="D168" s="4">
        <v>8.1</v>
      </c>
      <c r="E168" s="42">
        <v>6.92</v>
      </c>
      <c r="F168" s="42">
        <v>4.867</v>
      </c>
      <c r="G168" s="4">
        <v>7.1</v>
      </c>
      <c r="H168" s="4">
        <v>5.3</v>
      </c>
      <c r="I168" s="42">
        <v>7.3010000000000002</v>
      </c>
      <c r="J168" s="42">
        <v>5.3220000000000001</v>
      </c>
      <c r="K168" s="42">
        <v>6.8280000000000003</v>
      </c>
      <c r="L168" s="42">
        <v>5.306</v>
      </c>
      <c r="M168" s="4"/>
      <c r="N168" s="4"/>
      <c r="O168" s="4"/>
    </row>
    <row r="169" spans="1:15" x14ac:dyDescent="0.25">
      <c r="A169" t="s">
        <v>180</v>
      </c>
      <c r="B169" s="4">
        <v>130.9</v>
      </c>
      <c r="C169" s="4">
        <v>131</v>
      </c>
      <c r="D169" s="4">
        <v>8.1</v>
      </c>
      <c r="E169" s="42">
        <v>7.84</v>
      </c>
      <c r="F169" s="42">
        <v>5.5880000000000001</v>
      </c>
      <c r="G169" s="4">
        <v>6.7</v>
      </c>
      <c r="H169" s="4">
        <v>5</v>
      </c>
      <c r="I169" s="42">
        <v>7.4340000000000002</v>
      </c>
      <c r="J169" s="42">
        <v>5.1989999999999998</v>
      </c>
      <c r="K169" s="42">
        <v>6.8529999999999998</v>
      </c>
      <c r="L169" s="42">
        <v>5.1829999999999998</v>
      </c>
      <c r="M169" s="4"/>
      <c r="N169" s="4"/>
      <c r="O169" s="4"/>
    </row>
    <row r="170" spans="1:15" x14ac:dyDescent="0.25">
      <c r="A170" t="s">
        <v>181</v>
      </c>
      <c r="B170" s="4">
        <v>131.30000000000001</v>
      </c>
      <c r="C170" s="4">
        <v>131</v>
      </c>
      <c r="D170" s="4">
        <v>8.1</v>
      </c>
      <c r="E170" s="42">
        <v>7.49</v>
      </c>
      <c r="F170" s="42">
        <v>4.4950000000000001</v>
      </c>
      <c r="G170" s="4">
        <v>6.9</v>
      </c>
      <c r="H170" s="4">
        <v>5</v>
      </c>
      <c r="I170" s="42">
        <v>7.4139999999999997</v>
      </c>
      <c r="J170" s="42">
        <v>4.9829999999999997</v>
      </c>
      <c r="K170" s="42">
        <v>6.9</v>
      </c>
      <c r="L170" s="42">
        <v>5.1109999999999998</v>
      </c>
      <c r="M170" s="4"/>
      <c r="N170" s="4"/>
      <c r="O170" s="4"/>
    </row>
    <row r="171" spans="1:15" x14ac:dyDescent="0.25">
      <c r="A171" t="s">
        <v>182</v>
      </c>
      <c r="B171" s="4">
        <v>132</v>
      </c>
      <c r="C171" s="4">
        <v>131.4</v>
      </c>
      <c r="D171" s="4">
        <v>7.9</v>
      </c>
      <c r="E171" s="42">
        <v>6.92</v>
      </c>
      <c r="F171" s="42">
        <v>4.3840000000000003</v>
      </c>
      <c r="G171" s="4">
        <v>7.1</v>
      </c>
      <c r="H171" s="4">
        <v>5.2</v>
      </c>
      <c r="I171" s="42">
        <v>7.415</v>
      </c>
      <c r="J171" s="42">
        <v>4.8220000000000001</v>
      </c>
      <c r="K171" s="42">
        <v>6.8730000000000002</v>
      </c>
      <c r="L171" s="42">
        <v>5.0750000000000002</v>
      </c>
      <c r="M171" s="4"/>
      <c r="N171" s="4"/>
      <c r="O171" s="4"/>
    </row>
    <row r="172" spans="1:15" x14ac:dyDescent="0.25">
      <c r="A172" t="s">
        <v>183</v>
      </c>
      <c r="B172" s="4">
        <v>132</v>
      </c>
      <c r="C172" s="4">
        <v>131.9</v>
      </c>
      <c r="D172" s="4">
        <v>7.2</v>
      </c>
      <c r="E172" s="42">
        <v>6.81</v>
      </c>
      <c r="F172" s="42">
        <v>4.6980000000000004</v>
      </c>
      <c r="G172" s="4">
        <v>6.8</v>
      </c>
      <c r="H172" s="4">
        <v>5.0999999999999996</v>
      </c>
      <c r="I172" s="42">
        <v>7.0730000000000004</v>
      </c>
      <c r="J172" s="42">
        <v>4.5259999999999998</v>
      </c>
      <c r="K172" s="42">
        <v>6.9210000000000003</v>
      </c>
      <c r="L172" s="42">
        <v>5.1029999999999998</v>
      </c>
      <c r="M172" s="4"/>
      <c r="N172" s="4"/>
      <c r="O172" s="4"/>
    </row>
    <row r="173" spans="1:15" x14ac:dyDescent="0.25">
      <c r="A173" t="s">
        <v>698</v>
      </c>
      <c r="B173" s="4">
        <v>131.69999999999999</v>
      </c>
      <c r="C173" s="4">
        <v>131.69999999999999</v>
      </c>
      <c r="D173" s="4">
        <v>6.6</v>
      </c>
      <c r="E173" s="42">
        <v>5.96</v>
      </c>
      <c r="F173" s="42">
        <v>4.2569999999999997</v>
      </c>
      <c r="G173" s="4">
        <v>7</v>
      </c>
      <c r="H173" s="4">
        <v>5.0999999999999996</v>
      </c>
      <c r="I173" s="42">
        <v>6.5640000000000001</v>
      </c>
      <c r="J173" s="42">
        <v>4.4459999999999997</v>
      </c>
      <c r="K173" s="42">
        <v>6.9550000000000001</v>
      </c>
      <c r="L173" s="42">
        <v>5.1420000000000003</v>
      </c>
      <c r="M173" s="4"/>
      <c r="N173" s="4"/>
      <c r="O173" s="4"/>
    </row>
    <row r="174" spans="1:15" x14ac:dyDescent="0.25">
      <c r="A174" t="s">
        <v>699</v>
      </c>
      <c r="B174" s="4">
        <v>132.19999999999999</v>
      </c>
      <c r="C174" s="4">
        <v>133</v>
      </c>
      <c r="D174" s="4">
        <v>6.2</v>
      </c>
      <c r="E174" s="42">
        <v>4.92</v>
      </c>
      <c r="F174" s="42">
        <v>4.1900000000000004</v>
      </c>
      <c r="G174" s="4">
        <v>7</v>
      </c>
      <c r="H174" s="4">
        <v>5.4</v>
      </c>
      <c r="I174" s="42">
        <v>5.8970000000000002</v>
      </c>
      <c r="J174" s="42">
        <v>4.3819999999999997</v>
      </c>
      <c r="K174" s="42">
        <v>6.9349999999999996</v>
      </c>
      <c r="L174" s="42">
        <v>5.2110000000000003</v>
      </c>
      <c r="M174" s="4"/>
      <c r="N174" s="4"/>
      <c r="O174" s="4"/>
    </row>
    <row r="175" spans="1:15" x14ac:dyDescent="0.25">
      <c r="A175" t="s">
        <v>700</v>
      </c>
      <c r="B175" s="4">
        <v>131.5</v>
      </c>
      <c r="C175" s="4">
        <v>131.9</v>
      </c>
      <c r="D175" s="4">
        <v>6.1</v>
      </c>
      <c r="E175" s="42">
        <v>5.81</v>
      </c>
      <c r="F175" s="42">
        <v>4.5469999999999997</v>
      </c>
      <c r="G175" s="4">
        <v>6.5</v>
      </c>
      <c r="H175" s="4">
        <v>5.0999999999999996</v>
      </c>
      <c r="I175" s="42">
        <v>5.5640000000000001</v>
      </c>
      <c r="J175" s="42">
        <v>4.3310000000000004</v>
      </c>
      <c r="K175" s="42">
        <v>6.8520000000000003</v>
      </c>
      <c r="L175" s="42">
        <v>5.2270000000000003</v>
      </c>
      <c r="M175" s="4"/>
      <c r="N175" s="4"/>
      <c r="O175" s="4"/>
    </row>
    <row r="176" spans="1:15" x14ac:dyDescent="0.25">
      <c r="A176" t="s">
        <v>776</v>
      </c>
      <c r="B176" s="4">
        <v>132.30000000000001</v>
      </c>
      <c r="C176" s="4">
        <v>132.69999999999999</v>
      </c>
      <c r="D176" s="4">
        <v>6</v>
      </c>
      <c r="E176" s="42">
        <v>5.4</v>
      </c>
      <c r="F176" s="42">
        <v>4.1059999999999999</v>
      </c>
      <c r="G176" s="4">
        <v>6.5</v>
      </c>
      <c r="H176" s="4">
        <v>4.9000000000000004</v>
      </c>
      <c r="I176" s="42">
        <v>5.3780000000000001</v>
      </c>
      <c r="J176" s="42">
        <v>4.2809999999999997</v>
      </c>
      <c r="K176" s="42">
        <v>6.6879999999999997</v>
      </c>
      <c r="L176" s="42">
        <v>5.1689999999999996</v>
      </c>
      <c r="M176" s="4"/>
      <c r="N176" s="4"/>
      <c r="O176" s="4"/>
    </row>
    <row r="177" spans="1:15" x14ac:dyDescent="0.25">
      <c r="A177" t="s">
        <v>777</v>
      </c>
      <c r="B177" s="4">
        <v>133</v>
      </c>
      <c r="C177" s="4">
        <v>133.5</v>
      </c>
      <c r="D177" s="4">
        <v>5.9</v>
      </c>
      <c r="E177" s="42">
        <v>4.84</v>
      </c>
      <c r="F177" s="42">
        <v>3.6840000000000002</v>
      </c>
      <c r="G177" s="4">
        <v>6.1</v>
      </c>
      <c r="H177" s="4">
        <v>4.7</v>
      </c>
      <c r="I177" s="42">
        <v>5.35</v>
      </c>
      <c r="J177" s="42">
        <v>4.1120000000000001</v>
      </c>
      <c r="K177" s="42">
        <v>6.3739999999999997</v>
      </c>
      <c r="L177" s="42">
        <v>4.9260000000000002</v>
      </c>
      <c r="M177" s="4"/>
      <c r="N177" s="4"/>
      <c r="O177" s="4"/>
    </row>
    <row r="178" spans="1:15" x14ac:dyDescent="0.25">
      <c r="A178" t="s">
        <v>1372</v>
      </c>
      <c r="B178" s="4">
        <v>133.5</v>
      </c>
      <c r="C178" s="4">
        <v>135.5</v>
      </c>
      <c r="D178" s="4">
        <v>5.9</v>
      </c>
      <c r="E178" s="42">
        <v>5.33</v>
      </c>
      <c r="F178" s="42">
        <v>4.2279999999999998</v>
      </c>
      <c r="G178" s="4">
        <v>5.9</v>
      </c>
      <c r="H178" s="4">
        <v>4.5999999999999996</v>
      </c>
      <c r="I178" s="42">
        <v>5.1879999999999997</v>
      </c>
      <c r="J178" s="42">
        <v>4.0060000000000002</v>
      </c>
      <c r="K178" s="42">
        <v>6.1740000000000004</v>
      </c>
      <c r="L178" s="42">
        <v>4.7519999999999998</v>
      </c>
      <c r="M178" s="4"/>
      <c r="N178" s="4"/>
      <c r="O178" s="4"/>
    </row>
    <row r="179" spans="1:15" x14ac:dyDescent="0.25">
      <c r="A179" t="s">
        <v>1404</v>
      </c>
      <c r="B179" s="4">
        <v>133.9</v>
      </c>
      <c r="C179" s="4">
        <v>136.4</v>
      </c>
      <c r="D179" s="4">
        <v>5.6</v>
      </c>
      <c r="E179" s="42">
        <v>4.59</v>
      </c>
      <c r="F179" s="42">
        <v>3.8210000000000002</v>
      </c>
      <c r="G179" s="4">
        <v>6.1</v>
      </c>
      <c r="H179" s="4">
        <v>4.0999999999999996</v>
      </c>
      <c r="I179" s="42">
        <v>4.923</v>
      </c>
      <c r="J179" s="42">
        <v>3.9140000000000001</v>
      </c>
      <c r="K179" s="42">
        <v>6.0279999999999996</v>
      </c>
      <c r="L179" s="42">
        <v>4.4779999999999998</v>
      </c>
      <c r="M179" s="4"/>
      <c r="N179" s="4"/>
      <c r="O179" s="4"/>
    </row>
    <row r="180" spans="1:15" x14ac:dyDescent="0.25">
      <c r="A180" t="s">
        <v>1434</v>
      </c>
      <c r="B180" s="4">
        <v>134.1</v>
      </c>
      <c r="C180" s="4">
        <v>137.1</v>
      </c>
      <c r="D180" s="4">
        <v>5.2</v>
      </c>
      <c r="E180" s="42">
        <v>3.84</v>
      </c>
      <c r="F180" s="42">
        <v>3.5760000000000001</v>
      </c>
      <c r="G180" s="4">
        <v>5.9</v>
      </c>
      <c r="H180" s="4">
        <v>4</v>
      </c>
      <c r="I180" s="42">
        <v>4.5869999999999997</v>
      </c>
      <c r="J180" s="42">
        <v>3.875</v>
      </c>
      <c r="K180" s="42">
        <v>5.9790000000000001</v>
      </c>
      <c r="L180" s="42">
        <v>4.2389999999999999</v>
      </c>
      <c r="M180" s="4"/>
      <c r="N180" s="4"/>
      <c r="O180" s="4"/>
    </row>
    <row r="181" spans="1:15" x14ac:dyDescent="0.25">
      <c r="A181" t="s">
        <v>1488</v>
      </c>
      <c r="B181" s="4">
        <v>133.80000000000001</v>
      </c>
      <c r="C181" s="4">
        <v>137.80000000000001</v>
      </c>
      <c r="E181" s="42">
        <v>4.3499999999999996</v>
      </c>
      <c r="F181" s="42">
        <v>3.7109999999999999</v>
      </c>
      <c r="G181" s="4">
        <v>5.7</v>
      </c>
      <c r="H181" s="4">
        <v>4.0999999999999996</v>
      </c>
      <c r="I181" s="42">
        <v>4.26</v>
      </c>
      <c r="J181" s="42">
        <v>3.7029999999999998</v>
      </c>
      <c r="K181" s="42">
        <v>5.8819999999999997</v>
      </c>
      <c r="L181" s="42">
        <v>4.0640000000000001</v>
      </c>
    </row>
    <row r="182" spans="1:15" x14ac:dyDescent="0.25">
      <c r="A182" t="s">
        <v>1537</v>
      </c>
      <c r="E182" s="42">
        <v>3.87</v>
      </c>
      <c r="F182" s="42">
        <v>3.3660000000000001</v>
      </c>
      <c r="G182" s="4">
        <v>5.7</v>
      </c>
      <c r="H182" s="4">
        <v>4.0999999999999996</v>
      </c>
      <c r="I182" s="42">
        <v>4.0199999999999996</v>
      </c>
      <c r="J182" s="42">
        <v>3.5510000000000002</v>
      </c>
      <c r="K182" s="42">
        <v>5.7709999999999999</v>
      </c>
      <c r="L182" s="42">
        <v>4.0679999999999996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3555-B8A5-4DDD-A8F2-DE61C6D7D824}">
  <dimension ref="A1:BW707"/>
  <sheetViews>
    <sheetView workbookViewId="0">
      <pane xSplit="7" ySplit="7" topLeftCell="H692" activePane="bottomRight" state="frozen"/>
      <selection pane="topRight" activeCell="C1" sqref="C1"/>
      <selection pane="bottomLeft" activeCell="A7" sqref="A7"/>
      <selection pane="bottomRight" activeCell="L707" sqref="L707"/>
    </sheetView>
  </sheetViews>
  <sheetFormatPr defaultRowHeight="15" x14ac:dyDescent="0.25"/>
  <cols>
    <col min="1" max="1" width="10.7109375" bestFit="1" customWidth="1"/>
    <col min="2" max="6" width="10.7109375" customWidth="1"/>
    <col min="8" max="71" width="16.7109375" customWidth="1"/>
    <col min="73" max="75" width="16.7109375" customWidth="1"/>
  </cols>
  <sheetData>
    <row r="1" spans="1:75" x14ac:dyDescent="0.25">
      <c r="A1" t="s">
        <v>1</v>
      </c>
      <c r="B1" t="s">
        <v>954</v>
      </c>
      <c r="C1" t="s">
        <v>955</v>
      </c>
      <c r="D1" t="s">
        <v>956</v>
      </c>
      <c r="E1" t="s">
        <v>957</v>
      </c>
      <c r="F1" t="s">
        <v>958</v>
      </c>
      <c r="H1" t="s">
        <v>944</v>
      </c>
      <c r="I1" t="s">
        <v>945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  <c r="T1">
        <v>11</v>
      </c>
      <c r="U1">
        <v>12</v>
      </c>
      <c r="V1">
        <v>13</v>
      </c>
      <c r="W1">
        <v>14</v>
      </c>
      <c r="X1">
        <v>15</v>
      </c>
      <c r="Y1">
        <v>16</v>
      </c>
      <c r="Z1">
        <v>17</v>
      </c>
      <c r="AA1">
        <v>18</v>
      </c>
      <c r="AB1">
        <v>19</v>
      </c>
      <c r="AC1">
        <v>20</v>
      </c>
      <c r="AD1">
        <v>21</v>
      </c>
      <c r="AE1">
        <v>22</v>
      </c>
      <c r="AF1">
        <v>23</v>
      </c>
      <c r="AG1">
        <v>24</v>
      </c>
      <c r="AH1">
        <v>25</v>
      </c>
      <c r="AI1">
        <v>26</v>
      </c>
      <c r="AJ1">
        <v>27</v>
      </c>
      <c r="AK1">
        <v>28</v>
      </c>
      <c r="AL1">
        <v>29</v>
      </c>
      <c r="AM1">
        <v>30</v>
      </c>
      <c r="AN1">
        <v>31</v>
      </c>
      <c r="AO1">
        <v>32</v>
      </c>
      <c r="AP1">
        <v>33</v>
      </c>
      <c r="AQ1">
        <v>34</v>
      </c>
      <c r="AR1">
        <v>35</v>
      </c>
      <c r="AS1">
        <v>36</v>
      </c>
      <c r="AT1">
        <v>37</v>
      </c>
      <c r="AU1">
        <v>38</v>
      </c>
      <c r="AV1">
        <v>39</v>
      </c>
      <c r="AW1">
        <v>40</v>
      </c>
      <c r="AX1">
        <v>41</v>
      </c>
      <c r="AY1">
        <v>42</v>
      </c>
      <c r="AZ1">
        <v>43</v>
      </c>
      <c r="BA1">
        <v>44</v>
      </c>
      <c r="BB1">
        <v>45</v>
      </c>
      <c r="BC1">
        <v>46</v>
      </c>
      <c r="BD1">
        <v>47</v>
      </c>
      <c r="BE1">
        <v>48</v>
      </c>
      <c r="BF1">
        <v>49</v>
      </c>
      <c r="BG1">
        <v>50</v>
      </c>
      <c r="BH1">
        <v>51</v>
      </c>
      <c r="BI1">
        <v>52</v>
      </c>
      <c r="BJ1">
        <v>53</v>
      </c>
      <c r="BK1">
        <v>54</v>
      </c>
      <c r="BL1">
        <v>55</v>
      </c>
      <c r="BM1">
        <v>56</v>
      </c>
      <c r="BN1">
        <v>57</v>
      </c>
      <c r="BO1">
        <v>58</v>
      </c>
      <c r="BP1">
        <v>59</v>
      </c>
      <c r="BQ1">
        <v>60</v>
      </c>
      <c r="BR1" t="s">
        <v>946</v>
      </c>
      <c r="BS1" t="s">
        <v>947</v>
      </c>
    </row>
    <row r="2" spans="1:75" x14ac:dyDescent="0.25">
      <c r="G2" s="3" t="s">
        <v>190</v>
      </c>
      <c r="H2" t="s">
        <v>810</v>
      </c>
      <c r="I2" t="s">
        <v>811</v>
      </c>
      <c r="J2" t="s">
        <v>812</v>
      </c>
      <c r="K2" t="s">
        <v>813</v>
      </c>
      <c r="L2" t="s">
        <v>814</v>
      </c>
      <c r="M2" t="s">
        <v>815</v>
      </c>
      <c r="N2" t="s">
        <v>816</v>
      </c>
      <c r="O2" t="s">
        <v>817</v>
      </c>
      <c r="P2" t="s">
        <v>818</v>
      </c>
      <c r="Q2" t="s">
        <v>819</v>
      </c>
      <c r="R2" t="s">
        <v>820</v>
      </c>
      <c r="S2" t="s">
        <v>821</v>
      </c>
      <c r="T2" t="s">
        <v>822</v>
      </c>
      <c r="U2" t="s">
        <v>823</v>
      </c>
      <c r="V2" t="s">
        <v>824</v>
      </c>
      <c r="W2" t="s">
        <v>825</v>
      </c>
      <c r="X2" t="s">
        <v>826</v>
      </c>
      <c r="Y2" t="s">
        <v>827</v>
      </c>
      <c r="Z2" t="s">
        <v>828</v>
      </c>
      <c r="AA2" t="s">
        <v>829</v>
      </c>
      <c r="AB2" t="s">
        <v>830</v>
      </c>
      <c r="AC2" t="s">
        <v>831</v>
      </c>
      <c r="AD2" t="s">
        <v>832</v>
      </c>
      <c r="AE2" t="s">
        <v>833</v>
      </c>
      <c r="AF2" t="s">
        <v>834</v>
      </c>
      <c r="AG2" t="s">
        <v>835</v>
      </c>
      <c r="AH2" t="s">
        <v>836</v>
      </c>
      <c r="AI2" t="s">
        <v>837</v>
      </c>
      <c r="AJ2" t="s">
        <v>838</v>
      </c>
      <c r="AK2" t="s">
        <v>839</v>
      </c>
      <c r="AL2" t="s">
        <v>840</v>
      </c>
      <c r="AM2" t="s">
        <v>841</v>
      </c>
      <c r="AN2" t="s">
        <v>842</v>
      </c>
      <c r="AO2" t="s">
        <v>843</v>
      </c>
      <c r="AP2" t="s">
        <v>844</v>
      </c>
      <c r="AQ2" t="s">
        <v>845</v>
      </c>
      <c r="AR2" t="s">
        <v>846</v>
      </c>
      <c r="AS2" t="s">
        <v>847</v>
      </c>
      <c r="AT2" t="s">
        <v>848</v>
      </c>
      <c r="AU2" t="s">
        <v>849</v>
      </c>
      <c r="AV2" t="s">
        <v>850</v>
      </c>
      <c r="AW2" t="s">
        <v>851</v>
      </c>
      <c r="AX2" t="s">
        <v>852</v>
      </c>
      <c r="AY2" t="s">
        <v>853</v>
      </c>
      <c r="AZ2" t="s">
        <v>854</v>
      </c>
      <c r="BA2" t="s">
        <v>855</v>
      </c>
      <c r="BB2" t="s">
        <v>856</v>
      </c>
      <c r="BC2" t="s">
        <v>857</v>
      </c>
      <c r="BD2" t="s">
        <v>858</v>
      </c>
      <c r="BE2" t="s">
        <v>859</v>
      </c>
      <c r="BF2" t="s">
        <v>860</v>
      </c>
      <c r="BG2" t="s">
        <v>861</v>
      </c>
      <c r="BH2" t="s">
        <v>862</v>
      </c>
      <c r="BI2" t="s">
        <v>863</v>
      </c>
      <c r="BJ2" t="s">
        <v>864</v>
      </c>
      <c r="BK2" t="s">
        <v>865</v>
      </c>
      <c r="BL2" t="s">
        <v>866</v>
      </c>
      <c r="BM2" t="s">
        <v>867</v>
      </c>
      <c r="BN2" t="s">
        <v>868</v>
      </c>
      <c r="BO2" t="s">
        <v>869</v>
      </c>
      <c r="BP2" t="s">
        <v>870</v>
      </c>
      <c r="BQ2" t="s">
        <v>871</v>
      </c>
      <c r="BR2" t="s">
        <v>872</v>
      </c>
      <c r="BS2" t="s">
        <v>873</v>
      </c>
      <c r="BU2" t="s">
        <v>188</v>
      </c>
      <c r="BV2" t="s">
        <v>189</v>
      </c>
      <c r="BW2" t="s">
        <v>1438</v>
      </c>
    </row>
    <row r="3" spans="1:75" s="5" customFormat="1" ht="90" x14ac:dyDescent="0.25">
      <c r="G3" s="5" t="s">
        <v>13</v>
      </c>
      <c r="H3" s="5" t="s">
        <v>876</v>
      </c>
      <c r="I3" s="5" t="s">
        <v>878</v>
      </c>
      <c r="J3" s="5" t="s">
        <v>880</v>
      </c>
      <c r="K3" s="5" t="s">
        <v>882</v>
      </c>
      <c r="L3" s="5" t="s">
        <v>883</v>
      </c>
      <c r="M3" s="5" t="s">
        <v>884</v>
      </c>
      <c r="N3" s="5" t="s">
        <v>885</v>
      </c>
      <c r="O3" s="5" t="s">
        <v>886</v>
      </c>
      <c r="P3" s="5" t="s">
        <v>887</v>
      </c>
      <c r="Q3" s="5" t="s">
        <v>888</v>
      </c>
      <c r="R3" s="5" t="s">
        <v>889</v>
      </c>
      <c r="S3" s="5" t="s">
        <v>890</v>
      </c>
      <c r="T3" s="5" t="s">
        <v>891</v>
      </c>
      <c r="U3" s="5" t="s">
        <v>892</v>
      </c>
      <c r="V3" s="5" t="s">
        <v>893</v>
      </c>
      <c r="W3" s="5" t="s">
        <v>894</v>
      </c>
      <c r="X3" s="5" t="s">
        <v>895</v>
      </c>
      <c r="Y3" s="5" t="s">
        <v>896</v>
      </c>
      <c r="Z3" s="5" t="s">
        <v>897</v>
      </c>
      <c r="AA3" s="5" t="s">
        <v>898</v>
      </c>
      <c r="AB3" s="5" t="s">
        <v>899</v>
      </c>
      <c r="AC3" s="5" t="s">
        <v>900</v>
      </c>
      <c r="AD3" s="5" t="s">
        <v>901</v>
      </c>
      <c r="AE3" s="5" t="s">
        <v>902</v>
      </c>
      <c r="AF3" s="5" t="s">
        <v>903</v>
      </c>
      <c r="AG3" s="5" t="s">
        <v>904</v>
      </c>
      <c r="AH3" s="5" t="s">
        <v>905</v>
      </c>
      <c r="AI3" s="5" t="s">
        <v>906</v>
      </c>
      <c r="AJ3" s="5" t="s">
        <v>907</v>
      </c>
      <c r="AK3" s="5" t="s">
        <v>908</v>
      </c>
      <c r="AL3" s="5" t="s">
        <v>909</v>
      </c>
      <c r="AM3" s="5" t="s">
        <v>910</v>
      </c>
      <c r="AN3" s="5" t="s">
        <v>911</v>
      </c>
      <c r="AO3" s="5" t="s">
        <v>912</v>
      </c>
      <c r="AP3" s="5" t="s">
        <v>913</v>
      </c>
      <c r="AQ3" s="5" t="s">
        <v>914</v>
      </c>
      <c r="AR3" s="5" t="s">
        <v>915</v>
      </c>
      <c r="AS3" s="5" t="s">
        <v>916</v>
      </c>
      <c r="AT3" s="5" t="s">
        <v>917</v>
      </c>
      <c r="AU3" s="5" t="s">
        <v>918</v>
      </c>
      <c r="AV3" s="5" t="s">
        <v>919</v>
      </c>
      <c r="AW3" s="5" t="s">
        <v>920</v>
      </c>
      <c r="AX3" s="5" t="s">
        <v>921</v>
      </c>
      <c r="AY3" s="5" t="s">
        <v>922</v>
      </c>
      <c r="AZ3" s="5" t="s">
        <v>923</v>
      </c>
      <c r="BA3" s="5" t="s">
        <v>924</v>
      </c>
      <c r="BB3" s="5" t="s">
        <v>925</v>
      </c>
      <c r="BC3" s="5" t="s">
        <v>926</v>
      </c>
      <c r="BD3" s="5" t="s">
        <v>927</v>
      </c>
      <c r="BE3" s="5" t="s">
        <v>928</v>
      </c>
      <c r="BF3" s="5" t="s">
        <v>929</v>
      </c>
      <c r="BG3" s="5" t="s">
        <v>930</v>
      </c>
      <c r="BH3" s="5" t="s">
        <v>931</v>
      </c>
      <c r="BI3" s="5" t="s">
        <v>932</v>
      </c>
      <c r="BJ3" s="5" t="s">
        <v>933</v>
      </c>
      <c r="BK3" s="5" t="s">
        <v>934</v>
      </c>
      <c r="BL3" s="5" t="s">
        <v>935</v>
      </c>
      <c r="BM3" s="5" t="s">
        <v>936</v>
      </c>
      <c r="BN3" s="5" t="s">
        <v>937</v>
      </c>
      <c r="BO3" s="5" t="s">
        <v>938</v>
      </c>
      <c r="BP3" s="5" t="s">
        <v>939</v>
      </c>
      <c r="BQ3" s="5" t="s">
        <v>940</v>
      </c>
      <c r="BR3" s="5" t="s">
        <v>942</v>
      </c>
      <c r="BS3" s="5" t="s">
        <v>943</v>
      </c>
      <c r="BU3" s="5" t="s">
        <v>194</v>
      </c>
      <c r="BV3" s="5" t="s">
        <v>195</v>
      </c>
      <c r="BW3" s="5" t="s">
        <v>1441</v>
      </c>
    </row>
    <row r="4" spans="1:75" x14ac:dyDescent="0.25">
      <c r="G4" t="s">
        <v>12</v>
      </c>
      <c r="H4" t="s">
        <v>875</v>
      </c>
      <c r="I4" t="s">
        <v>877</v>
      </c>
      <c r="J4" t="s">
        <v>879</v>
      </c>
      <c r="K4" t="s">
        <v>879</v>
      </c>
      <c r="L4" t="s">
        <v>879</v>
      </c>
      <c r="M4" t="s">
        <v>879</v>
      </c>
      <c r="N4" t="s">
        <v>879</v>
      </c>
      <c r="O4" t="s">
        <v>879</v>
      </c>
      <c r="P4" t="s">
        <v>879</v>
      </c>
      <c r="Q4" t="s">
        <v>879</v>
      </c>
      <c r="R4" t="s">
        <v>879</v>
      </c>
      <c r="S4" t="s">
        <v>879</v>
      </c>
      <c r="T4" t="s">
        <v>879</v>
      </c>
      <c r="U4" t="s">
        <v>879</v>
      </c>
      <c r="V4" t="s">
        <v>879</v>
      </c>
      <c r="W4" t="s">
        <v>879</v>
      </c>
      <c r="X4" t="s">
        <v>879</v>
      </c>
      <c r="Y4" t="s">
        <v>879</v>
      </c>
      <c r="Z4" t="s">
        <v>879</v>
      </c>
      <c r="AA4" t="s">
        <v>879</v>
      </c>
      <c r="AB4" t="s">
        <v>879</v>
      </c>
      <c r="AC4" t="s">
        <v>879</v>
      </c>
      <c r="AD4" t="s">
        <v>879</v>
      </c>
      <c r="AE4" t="s">
        <v>879</v>
      </c>
      <c r="AF4" t="s">
        <v>879</v>
      </c>
      <c r="AG4" t="s">
        <v>879</v>
      </c>
      <c r="AH4" t="s">
        <v>879</v>
      </c>
      <c r="AI4" t="s">
        <v>879</v>
      </c>
      <c r="AJ4" t="s">
        <v>879</v>
      </c>
      <c r="AK4" t="s">
        <v>879</v>
      </c>
      <c r="AL4" t="s">
        <v>879</v>
      </c>
      <c r="AM4" t="s">
        <v>879</v>
      </c>
      <c r="AN4" t="s">
        <v>879</v>
      </c>
      <c r="AO4" t="s">
        <v>879</v>
      </c>
      <c r="AP4" t="s">
        <v>879</v>
      </c>
      <c r="AQ4" t="s">
        <v>879</v>
      </c>
      <c r="AR4" t="s">
        <v>879</v>
      </c>
      <c r="AS4" t="s">
        <v>879</v>
      </c>
      <c r="AT4" t="s">
        <v>879</v>
      </c>
      <c r="AU4" t="s">
        <v>879</v>
      </c>
      <c r="AV4" t="s">
        <v>879</v>
      </c>
      <c r="AW4" t="s">
        <v>879</v>
      </c>
      <c r="AX4" t="s">
        <v>879</v>
      </c>
      <c r="AY4" t="s">
        <v>879</v>
      </c>
      <c r="AZ4" t="s">
        <v>879</v>
      </c>
      <c r="BA4" t="s">
        <v>879</v>
      </c>
      <c r="BB4" t="s">
        <v>879</v>
      </c>
      <c r="BC4" t="s">
        <v>879</v>
      </c>
      <c r="BD4" t="s">
        <v>879</v>
      </c>
      <c r="BE4" t="s">
        <v>879</v>
      </c>
      <c r="BF4" t="s">
        <v>879</v>
      </c>
      <c r="BG4" t="s">
        <v>879</v>
      </c>
      <c r="BH4" t="s">
        <v>879</v>
      </c>
      <c r="BI4" t="s">
        <v>879</v>
      </c>
      <c r="BJ4" t="s">
        <v>879</v>
      </c>
      <c r="BK4" t="s">
        <v>879</v>
      </c>
      <c r="BL4" t="s">
        <v>879</v>
      </c>
      <c r="BM4" t="s">
        <v>879</v>
      </c>
      <c r="BN4" t="s">
        <v>879</v>
      </c>
      <c r="BO4" t="s">
        <v>879</v>
      </c>
      <c r="BP4" t="s">
        <v>879</v>
      </c>
      <c r="BQ4" t="s">
        <v>879</v>
      </c>
      <c r="BR4" t="s">
        <v>941</v>
      </c>
      <c r="BS4" t="s">
        <v>941</v>
      </c>
      <c r="BU4" t="s">
        <v>193</v>
      </c>
      <c r="BV4" t="s">
        <v>193</v>
      </c>
      <c r="BW4" t="s">
        <v>1440</v>
      </c>
    </row>
    <row r="5" spans="1:75" x14ac:dyDescent="0.25">
      <c r="G5" t="s">
        <v>11</v>
      </c>
      <c r="H5" t="s">
        <v>1499</v>
      </c>
      <c r="I5" t="s">
        <v>1501</v>
      </c>
      <c r="J5" t="s">
        <v>1501</v>
      </c>
      <c r="K5" t="s">
        <v>1501</v>
      </c>
      <c r="L5" t="s">
        <v>1501</v>
      </c>
      <c r="M5" t="s">
        <v>1501</v>
      </c>
      <c r="N5" t="s">
        <v>1501</v>
      </c>
      <c r="O5" t="s">
        <v>1501</v>
      </c>
      <c r="P5" t="s">
        <v>1501</v>
      </c>
      <c r="Q5" t="s">
        <v>1501</v>
      </c>
      <c r="R5" t="s">
        <v>1501</v>
      </c>
      <c r="S5" t="s">
        <v>1501</v>
      </c>
      <c r="T5" t="s">
        <v>1501</v>
      </c>
      <c r="U5" t="s">
        <v>1501</v>
      </c>
      <c r="V5" t="s">
        <v>1501</v>
      </c>
      <c r="W5" t="s">
        <v>1501</v>
      </c>
      <c r="X5" t="s">
        <v>1501</v>
      </c>
      <c r="Y5" t="s">
        <v>1501</v>
      </c>
      <c r="Z5" t="s">
        <v>1501</v>
      </c>
      <c r="AA5" t="s">
        <v>1501</v>
      </c>
      <c r="AB5" t="s">
        <v>1501</v>
      </c>
      <c r="AC5" t="s">
        <v>1501</v>
      </c>
      <c r="AD5" t="s">
        <v>1501</v>
      </c>
      <c r="AE5" t="s">
        <v>1501</v>
      </c>
      <c r="AF5" t="s">
        <v>1501</v>
      </c>
      <c r="AG5" t="s">
        <v>1501</v>
      </c>
      <c r="AH5" t="s">
        <v>1501</v>
      </c>
      <c r="AI5" t="s">
        <v>1501</v>
      </c>
      <c r="AJ5" t="s">
        <v>1501</v>
      </c>
      <c r="AK5" t="s">
        <v>1501</v>
      </c>
      <c r="AL5" t="s">
        <v>1501</v>
      </c>
      <c r="AM5" t="s">
        <v>1501</v>
      </c>
      <c r="AN5" t="s">
        <v>1501</v>
      </c>
      <c r="AO5" t="s">
        <v>1501</v>
      </c>
      <c r="AP5" t="s">
        <v>1501</v>
      </c>
      <c r="AQ5" t="s">
        <v>1501</v>
      </c>
      <c r="AR5" t="s">
        <v>1501</v>
      </c>
      <c r="AS5" t="s">
        <v>1501</v>
      </c>
      <c r="AT5" t="s">
        <v>1501</v>
      </c>
      <c r="AU5" t="s">
        <v>1501</v>
      </c>
      <c r="AV5" t="s">
        <v>1501</v>
      </c>
      <c r="AW5" t="s">
        <v>1501</v>
      </c>
      <c r="AX5" t="s">
        <v>1501</v>
      </c>
      <c r="AY5" t="s">
        <v>1501</v>
      </c>
      <c r="AZ5" t="s">
        <v>1501</v>
      </c>
      <c r="BA5" t="s">
        <v>1501</v>
      </c>
      <c r="BB5" t="s">
        <v>1501</v>
      </c>
      <c r="BC5" t="s">
        <v>1501</v>
      </c>
      <c r="BD5" t="s">
        <v>1501</v>
      </c>
      <c r="BE5" t="s">
        <v>1501</v>
      </c>
      <c r="BF5" t="s">
        <v>1501</v>
      </c>
      <c r="BG5" t="s">
        <v>1501</v>
      </c>
      <c r="BH5" t="s">
        <v>1501</v>
      </c>
      <c r="BI5" t="s">
        <v>1501</v>
      </c>
      <c r="BJ5" t="s">
        <v>1501</v>
      </c>
      <c r="BK5" t="s">
        <v>1501</v>
      </c>
      <c r="BL5" t="s">
        <v>1501</v>
      </c>
      <c r="BM5" t="s">
        <v>1501</v>
      </c>
      <c r="BN5" t="s">
        <v>1501</v>
      </c>
      <c r="BO5" t="s">
        <v>1501</v>
      </c>
      <c r="BP5" t="s">
        <v>1501</v>
      </c>
      <c r="BQ5" t="s">
        <v>1501</v>
      </c>
      <c r="BR5" t="s">
        <v>1501</v>
      </c>
      <c r="BS5" t="s">
        <v>1501</v>
      </c>
      <c r="BU5" t="s">
        <v>1499</v>
      </c>
      <c r="BV5" t="s">
        <v>1499</v>
      </c>
      <c r="BW5" t="s">
        <v>1499</v>
      </c>
    </row>
    <row r="6" spans="1:75" x14ac:dyDescent="0.25">
      <c r="G6" t="s">
        <v>10</v>
      </c>
      <c r="H6" t="s">
        <v>874</v>
      </c>
      <c r="I6" t="s">
        <v>874</v>
      </c>
      <c r="J6" t="s">
        <v>874</v>
      </c>
      <c r="K6" t="s">
        <v>874</v>
      </c>
      <c r="L6" t="s">
        <v>874</v>
      </c>
      <c r="M6" t="s">
        <v>874</v>
      </c>
      <c r="N6" t="s">
        <v>874</v>
      </c>
      <c r="O6" t="s">
        <v>874</v>
      </c>
      <c r="P6" t="s">
        <v>874</v>
      </c>
      <c r="Q6" t="s">
        <v>874</v>
      </c>
      <c r="R6" t="s">
        <v>874</v>
      </c>
      <c r="S6" t="s">
        <v>874</v>
      </c>
      <c r="T6" t="s">
        <v>874</v>
      </c>
      <c r="U6" t="s">
        <v>874</v>
      </c>
      <c r="V6" t="s">
        <v>874</v>
      </c>
      <c r="W6" t="s">
        <v>874</v>
      </c>
      <c r="X6" t="s">
        <v>874</v>
      </c>
      <c r="Y6" t="s">
        <v>874</v>
      </c>
      <c r="Z6" t="s">
        <v>874</v>
      </c>
      <c r="AA6" t="s">
        <v>874</v>
      </c>
      <c r="AB6" t="s">
        <v>874</v>
      </c>
      <c r="AC6" t="s">
        <v>874</v>
      </c>
      <c r="AD6" t="s">
        <v>874</v>
      </c>
      <c r="AE6" t="s">
        <v>874</v>
      </c>
      <c r="AF6" t="s">
        <v>874</v>
      </c>
      <c r="AG6" t="s">
        <v>874</v>
      </c>
      <c r="AH6" t="s">
        <v>874</v>
      </c>
      <c r="AI6" t="s">
        <v>874</v>
      </c>
      <c r="AJ6" t="s">
        <v>874</v>
      </c>
      <c r="AK6" t="s">
        <v>874</v>
      </c>
      <c r="AL6" t="s">
        <v>874</v>
      </c>
      <c r="AM6" t="s">
        <v>874</v>
      </c>
      <c r="AN6" t="s">
        <v>874</v>
      </c>
      <c r="AO6" t="s">
        <v>874</v>
      </c>
      <c r="AP6" t="s">
        <v>874</v>
      </c>
      <c r="AQ6" t="s">
        <v>874</v>
      </c>
      <c r="AR6" t="s">
        <v>874</v>
      </c>
      <c r="AS6" t="s">
        <v>874</v>
      </c>
      <c r="AT6" t="s">
        <v>874</v>
      </c>
      <c r="AU6" t="s">
        <v>874</v>
      </c>
      <c r="AV6" t="s">
        <v>874</v>
      </c>
      <c r="AW6" t="s">
        <v>874</v>
      </c>
      <c r="AX6" t="s">
        <v>874</v>
      </c>
      <c r="AY6" t="s">
        <v>874</v>
      </c>
      <c r="AZ6" t="s">
        <v>874</v>
      </c>
      <c r="BA6" t="s">
        <v>874</v>
      </c>
      <c r="BB6" t="s">
        <v>874</v>
      </c>
      <c r="BC6" t="s">
        <v>874</v>
      </c>
      <c r="BD6" t="s">
        <v>874</v>
      </c>
      <c r="BE6" t="s">
        <v>874</v>
      </c>
      <c r="BF6" t="s">
        <v>874</v>
      </c>
      <c r="BG6" t="s">
        <v>874</v>
      </c>
      <c r="BH6" t="s">
        <v>874</v>
      </c>
      <c r="BI6" t="s">
        <v>874</v>
      </c>
      <c r="BJ6" t="s">
        <v>874</v>
      </c>
      <c r="BK6" t="s">
        <v>874</v>
      </c>
      <c r="BL6" t="s">
        <v>874</v>
      </c>
      <c r="BM6" t="s">
        <v>874</v>
      </c>
      <c r="BN6" t="s">
        <v>874</v>
      </c>
      <c r="BO6" t="s">
        <v>874</v>
      </c>
      <c r="BP6" t="s">
        <v>874</v>
      </c>
      <c r="BQ6" t="s">
        <v>874</v>
      </c>
      <c r="BR6" t="s">
        <v>874</v>
      </c>
      <c r="BS6" t="s">
        <v>874</v>
      </c>
      <c r="BU6" t="s">
        <v>192</v>
      </c>
      <c r="BV6" t="s">
        <v>192</v>
      </c>
      <c r="BW6" t="s">
        <v>874</v>
      </c>
    </row>
    <row r="7" spans="1:75" x14ac:dyDescent="0.25">
      <c r="G7" t="s">
        <v>9</v>
      </c>
      <c r="H7" t="s">
        <v>1498</v>
      </c>
      <c r="I7" t="s">
        <v>1500</v>
      </c>
      <c r="J7" t="s">
        <v>1502</v>
      </c>
      <c r="K7" t="s">
        <v>1502</v>
      </c>
      <c r="L7" t="s">
        <v>1502</v>
      </c>
      <c r="M7" t="s">
        <v>1502</v>
      </c>
      <c r="N7" t="s">
        <v>1502</v>
      </c>
      <c r="O7" t="s">
        <v>1502</v>
      </c>
      <c r="P7" t="s">
        <v>1502</v>
      </c>
      <c r="Q7" t="s">
        <v>1502</v>
      </c>
      <c r="R7" t="s">
        <v>1502</v>
      </c>
      <c r="S7" t="s">
        <v>1502</v>
      </c>
      <c r="T7" t="s">
        <v>1502</v>
      </c>
      <c r="U7" t="s">
        <v>1502</v>
      </c>
      <c r="V7" t="s">
        <v>1502</v>
      </c>
      <c r="W7" t="s">
        <v>1502</v>
      </c>
      <c r="X7" t="s">
        <v>1502</v>
      </c>
      <c r="Y7" t="s">
        <v>1502</v>
      </c>
      <c r="Z7" t="s">
        <v>1502</v>
      </c>
      <c r="AA7" t="s">
        <v>1502</v>
      </c>
      <c r="AB7" t="s">
        <v>1502</v>
      </c>
      <c r="AC7" t="s">
        <v>1502</v>
      </c>
      <c r="AD7" t="s">
        <v>1502</v>
      </c>
      <c r="AE7" t="s">
        <v>1502</v>
      </c>
      <c r="AF7" t="s">
        <v>1502</v>
      </c>
      <c r="AG7" t="s">
        <v>1502</v>
      </c>
      <c r="AH7" t="s">
        <v>1502</v>
      </c>
      <c r="AI7" t="s">
        <v>1502</v>
      </c>
      <c r="AJ7" t="s">
        <v>1502</v>
      </c>
      <c r="AK7" t="s">
        <v>1502</v>
      </c>
      <c r="AL7" t="s">
        <v>1502</v>
      </c>
      <c r="AM7" t="s">
        <v>1502</v>
      </c>
      <c r="AN7" t="s">
        <v>1502</v>
      </c>
      <c r="AO7" t="s">
        <v>1502</v>
      </c>
      <c r="AP7" t="s">
        <v>1502</v>
      </c>
      <c r="AQ7" t="s">
        <v>1502</v>
      </c>
      <c r="AR7" t="s">
        <v>1502</v>
      </c>
      <c r="AS7" t="s">
        <v>1502</v>
      </c>
      <c r="AT7" t="s">
        <v>1502</v>
      </c>
      <c r="AU7" t="s">
        <v>1502</v>
      </c>
      <c r="AV7" t="s">
        <v>1502</v>
      </c>
      <c r="AW7" t="s">
        <v>1502</v>
      </c>
      <c r="AX7" t="s">
        <v>1502</v>
      </c>
      <c r="AY7" t="s">
        <v>1502</v>
      </c>
      <c r="AZ7" t="s">
        <v>1502</v>
      </c>
      <c r="BA7" t="s">
        <v>1502</v>
      </c>
      <c r="BB7" t="s">
        <v>1502</v>
      </c>
      <c r="BC7" t="s">
        <v>1502</v>
      </c>
      <c r="BD7" t="s">
        <v>1502</v>
      </c>
      <c r="BE7" t="s">
        <v>1502</v>
      </c>
      <c r="BF7" t="s">
        <v>1502</v>
      </c>
      <c r="BG7" t="s">
        <v>1502</v>
      </c>
      <c r="BH7" t="s">
        <v>1502</v>
      </c>
      <c r="BI7" t="s">
        <v>1502</v>
      </c>
      <c r="BJ7" t="s">
        <v>1502</v>
      </c>
      <c r="BK7" t="s">
        <v>1502</v>
      </c>
      <c r="BL7" t="s">
        <v>1502</v>
      </c>
      <c r="BM7" t="s">
        <v>1502</v>
      </c>
      <c r="BN7" t="s">
        <v>1502</v>
      </c>
      <c r="BO7" t="s">
        <v>1502</v>
      </c>
      <c r="BP7" t="s">
        <v>1502</v>
      </c>
      <c r="BQ7" t="s">
        <v>1502</v>
      </c>
      <c r="BR7" t="s">
        <v>1502</v>
      </c>
      <c r="BS7" t="s">
        <v>1502</v>
      </c>
      <c r="BU7" t="s">
        <v>1503</v>
      </c>
      <c r="BV7" t="s">
        <v>1503</v>
      </c>
      <c r="BW7" t="s">
        <v>1500</v>
      </c>
    </row>
    <row r="8" spans="1:75" x14ac:dyDescent="0.25">
      <c r="A8" s="6">
        <v>44564</v>
      </c>
      <c r="B8" s="13">
        <f>MONTH(A8)</f>
        <v>1</v>
      </c>
      <c r="C8" s="13">
        <f>YEAR(A8)</f>
        <v>2022</v>
      </c>
      <c r="D8">
        <f>C8*100+B8</f>
        <v>202201</v>
      </c>
      <c r="E8">
        <f>IF(B8&lt;4,1,IF(B8&lt;7,2,IF(B8&lt;10,3,4)))</f>
        <v>1</v>
      </c>
      <c r="F8">
        <f>C8*100+E8</f>
        <v>202201</v>
      </c>
      <c r="G8" t="s">
        <v>191</v>
      </c>
      <c r="H8" s="9">
        <v>0.25</v>
      </c>
      <c r="I8" s="9" t="e">
        <v>#N/A</v>
      </c>
      <c r="J8" s="10" t="e">
        <v>#N/A</v>
      </c>
      <c r="K8" s="10" t="e">
        <v>#N/A</v>
      </c>
      <c r="L8" s="10" t="e">
        <v>#N/A</v>
      </c>
      <c r="M8" s="10" t="e">
        <v>#N/A</v>
      </c>
      <c r="N8" s="10" t="e">
        <v>#N/A</v>
      </c>
      <c r="O8" s="10" t="e">
        <v>#N/A</v>
      </c>
      <c r="P8" s="10" t="e">
        <v>#N/A</v>
      </c>
      <c r="Q8" s="10" t="e">
        <v>#N/A</v>
      </c>
      <c r="R8" s="10" t="e">
        <v>#N/A</v>
      </c>
      <c r="S8" s="10" t="e">
        <v>#N/A</v>
      </c>
      <c r="T8" s="10" t="e">
        <v>#N/A</v>
      </c>
      <c r="U8" s="10" t="e">
        <v>#N/A</v>
      </c>
      <c r="V8" s="10" t="e">
        <v>#N/A</v>
      </c>
      <c r="W8" s="10" t="e">
        <v>#N/A</v>
      </c>
      <c r="X8" s="10" t="e">
        <v>#N/A</v>
      </c>
      <c r="Y8" s="10" t="e">
        <v>#N/A</v>
      </c>
      <c r="Z8" s="10" t="e">
        <v>#N/A</v>
      </c>
      <c r="AA8" s="10" t="e">
        <v>#N/A</v>
      </c>
      <c r="AB8" s="10" t="e">
        <v>#N/A</v>
      </c>
      <c r="AC8" s="10" t="e">
        <v>#N/A</v>
      </c>
      <c r="AD8" s="10" t="e">
        <v>#N/A</v>
      </c>
      <c r="AE8" s="10" t="e">
        <v>#N/A</v>
      </c>
      <c r="AF8" s="10" t="e">
        <v>#N/A</v>
      </c>
      <c r="AG8" s="10" t="e">
        <v>#N/A</v>
      </c>
      <c r="AH8" s="10" t="e">
        <v>#N/A</v>
      </c>
      <c r="AI8" s="10" t="e">
        <v>#N/A</v>
      </c>
      <c r="AJ8" s="10" t="e">
        <v>#N/A</v>
      </c>
      <c r="AK8" s="10" t="e">
        <v>#N/A</v>
      </c>
      <c r="AL8" s="10" t="e">
        <v>#N/A</v>
      </c>
      <c r="AM8" s="10" t="e">
        <v>#N/A</v>
      </c>
      <c r="AN8" s="10" t="e">
        <v>#N/A</v>
      </c>
      <c r="AO8" s="10" t="e">
        <v>#N/A</v>
      </c>
      <c r="AP8" s="10" t="e">
        <v>#N/A</v>
      </c>
      <c r="AQ8" s="10" t="e">
        <v>#N/A</v>
      </c>
      <c r="AR8" s="10" t="e">
        <v>#N/A</v>
      </c>
      <c r="AS8" s="10" t="e">
        <v>#N/A</v>
      </c>
      <c r="AT8" s="10" t="e">
        <v>#N/A</v>
      </c>
      <c r="AU8" s="10" t="e">
        <v>#N/A</v>
      </c>
      <c r="AV8" s="10" t="e">
        <v>#N/A</v>
      </c>
      <c r="AW8" s="10" t="e">
        <v>#N/A</v>
      </c>
      <c r="AX8" s="10" t="e">
        <v>#N/A</v>
      </c>
      <c r="AY8" s="10" t="e">
        <v>#N/A</v>
      </c>
      <c r="AZ8" s="10" t="e">
        <v>#N/A</v>
      </c>
      <c r="BA8" s="10" t="e">
        <v>#N/A</v>
      </c>
      <c r="BB8" s="10" t="e">
        <v>#N/A</v>
      </c>
      <c r="BC8" s="10" t="e">
        <v>#N/A</v>
      </c>
      <c r="BD8" s="10" t="e">
        <v>#N/A</v>
      </c>
      <c r="BE8" s="10" t="e">
        <v>#N/A</v>
      </c>
      <c r="BF8" s="10" t="e">
        <v>#N/A</v>
      </c>
      <c r="BG8" s="10" t="e">
        <v>#N/A</v>
      </c>
      <c r="BH8" s="10" t="e">
        <v>#N/A</v>
      </c>
      <c r="BI8" s="10" t="e">
        <v>#N/A</v>
      </c>
      <c r="BJ8" s="10" t="e">
        <v>#N/A</v>
      </c>
      <c r="BK8" s="10" t="e">
        <v>#N/A</v>
      </c>
      <c r="BL8" s="10" t="e">
        <v>#N/A</v>
      </c>
      <c r="BM8" s="10" t="e">
        <v>#N/A</v>
      </c>
      <c r="BN8" s="10" t="e">
        <v>#N/A</v>
      </c>
      <c r="BO8" s="10" t="e">
        <v>#N/A</v>
      </c>
      <c r="BP8" s="10" t="e">
        <v>#N/A</v>
      </c>
      <c r="BQ8" s="10" t="e">
        <v>#N/A</v>
      </c>
      <c r="BR8" s="10" t="e">
        <v>#N/A</v>
      </c>
      <c r="BS8" s="10" t="e">
        <v>#N/A</v>
      </c>
      <c r="BU8" s="7">
        <v>0.68</v>
      </c>
      <c r="BV8" s="7">
        <v>0.97</v>
      </c>
      <c r="BW8" s="9" t="e">
        <v>#N/A</v>
      </c>
    </row>
    <row r="9" spans="1:75" x14ac:dyDescent="0.25">
      <c r="A9" s="6">
        <v>44565</v>
      </c>
      <c r="B9" s="13">
        <f t="shared" ref="B9:B72" si="0">MONTH(A9)</f>
        <v>1</v>
      </c>
      <c r="C9" s="13">
        <f t="shared" ref="C9:C72" si="1">YEAR(A9)</f>
        <v>2022</v>
      </c>
      <c r="D9">
        <f t="shared" ref="D9:D72" si="2">C9*100+B9</f>
        <v>202201</v>
      </c>
      <c r="E9">
        <f t="shared" ref="E9:E72" si="3">IF(B9&lt;4,1,IF(B9&lt;7,2,IF(B9&lt;10,3,4)))</f>
        <v>1</v>
      </c>
      <c r="F9">
        <f t="shared" ref="F9:F72" si="4">C9*100+E9</f>
        <v>202201</v>
      </c>
      <c r="G9" t="s">
        <v>196</v>
      </c>
      <c r="H9" s="9">
        <v>0.25</v>
      </c>
      <c r="I9" s="9">
        <v>0.19470000000000001</v>
      </c>
      <c r="J9" s="10">
        <v>0.2791187</v>
      </c>
      <c r="K9" s="10">
        <v>0.42840830000000002</v>
      </c>
      <c r="L9" s="10">
        <v>0.54453910000000005</v>
      </c>
      <c r="M9" s="10">
        <v>0.64720820000000001</v>
      </c>
      <c r="N9" s="10">
        <v>0.74325180000000002</v>
      </c>
      <c r="O9" s="10">
        <v>0.83195140000000001</v>
      </c>
      <c r="P9" s="10">
        <v>0.91258660000000003</v>
      </c>
      <c r="Q9" s="10">
        <v>0.98416720000000002</v>
      </c>
      <c r="R9" s="10">
        <v>1.0459395</v>
      </c>
      <c r="S9" s="10">
        <v>1.0986445</v>
      </c>
      <c r="T9" s="10">
        <v>1.1431408000000001</v>
      </c>
      <c r="U9" s="10">
        <v>1.1805307</v>
      </c>
      <c r="V9" s="10">
        <v>1.2124128000000001</v>
      </c>
      <c r="W9" s="10">
        <v>1.2394521000000001</v>
      </c>
      <c r="X9" s="10">
        <v>1.2620316</v>
      </c>
      <c r="Y9" s="10">
        <v>1.2805346</v>
      </c>
      <c r="Z9" s="10">
        <v>1.2953440000000001</v>
      </c>
      <c r="AA9" s="10">
        <v>1.3068431</v>
      </c>
      <c r="AB9" s="10">
        <v>1.315385</v>
      </c>
      <c r="AC9" s="10">
        <v>1.3212193999999999</v>
      </c>
      <c r="AD9" s="10">
        <v>1.3245738</v>
      </c>
      <c r="AE9" s="10">
        <v>1.3256756999999999</v>
      </c>
      <c r="AF9" s="10">
        <v>1.3247525</v>
      </c>
      <c r="AG9" s="10">
        <v>1.3220316999999999</v>
      </c>
      <c r="AH9" s="10">
        <v>1.3177258000000001</v>
      </c>
      <c r="AI9" s="10">
        <v>1.3119874</v>
      </c>
      <c r="AJ9" s="10">
        <v>1.3049541</v>
      </c>
      <c r="AK9" s="10">
        <v>1.2967636</v>
      </c>
      <c r="AL9" s="10">
        <v>1.2875535</v>
      </c>
      <c r="AM9" s="10">
        <v>1.2774616000000001</v>
      </c>
      <c r="AN9" s="10">
        <v>1.2666253999999999</v>
      </c>
      <c r="AO9" s="10">
        <v>1.2551827</v>
      </c>
      <c r="AP9" s="10">
        <v>1.243271</v>
      </c>
      <c r="AQ9" s="10">
        <v>1.2310281000000001</v>
      </c>
      <c r="AR9" s="10">
        <v>1.2185915</v>
      </c>
      <c r="AS9" s="10">
        <v>1.206099</v>
      </c>
      <c r="AT9" s="10">
        <v>1.1936743000000001</v>
      </c>
      <c r="AU9" s="10">
        <v>1.1813663999999999</v>
      </c>
      <c r="AV9" s="10">
        <v>1.1691993000000001</v>
      </c>
      <c r="AW9" s="10">
        <v>1.157197</v>
      </c>
      <c r="AX9" s="10">
        <v>1.1453834000000001</v>
      </c>
      <c r="AY9" s="10">
        <v>1.1337824000000001</v>
      </c>
      <c r="AZ9" s="10">
        <v>1.1224179999999999</v>
      </c>
      <c r="BA9" s="10">
        <v>1.1113142</v>
      </c>
      <c r="BB9" s="10">
        <v>1.1004948999999999</v>
      </c>
      <c r="BC9" s="10">
        <v>1.0899840000000001</v>
      </c>
      <c r="BD9" s="10">
        <v>1.0798055</v>
      </c>
      <c r="BE9" s="10">
        <v>1.0699833000000001</v>
      </c>
      <c r="BF9" s="10">
        <v>1.060538</v>
      </c>
      <c r="BG9" s="10">
        <v>1.0514730999999999</v>
      </c>
      <c r="BH9" s="10">
        <v>1.0427873000000001</v>
      </c>
      <c r="BI9" s="10">
        <v>1.0344791</v>
      </c>
      <c r="BJ9" s="10">
        <v>1.0265469</v>
      </c>
      <c r="BK9" s="10">
        <v>1.0189893999999999</v>
      </c>
      <c r="BL9" s="10">
        <v>1.0118050999999999</v>
      </c>
      <c r="BM9" s="10">
        <v>1.0049925</v>
      </c>
      <c r="BN9" s="10">
        <v>0.9985501</v>
      </c>
      <c r="BO9" s="10">
        <v>0.99247649999999998</v>
      </c>
      <c r="BP9" s="10">
        <v>0.98677020000000004</v>
      </c>
      <c r="BQ9" s="10">
        <v>0.98142980000000002</v>
      </c>
      <c r="BR9" s="10">
        <v>0.95673490000000005</v>
      </c>
      <c r="BS9" s="10">
        <v>0.94330499999999995</v>
      </c>
      <c r="BU9" s="7">
        <v>0.77</v>
      </c>
      <c r="BV9" s="7">
        <v>1.08</v>
      </c>
      <c r="BW9" s="9">
        <v>82.735900000000001</v>
      </c>
    </row>
    <row r="10" spans="1:75" x14ac:dyDescent="0.25">
      <c r="A10" s="6">
        <v>44566</v>
      </c>
      <c r="B10" s="13">
        <f t="shared" si="0"/>
        <v>1</v>
      </c>
      <c r="C10" s="13">
        <f t="shared" si="1"/>
        <v>2022</v>
      </c>
      <c r="D10">
        <f t="shared" si="2"/>
        <v>202201</v>
      </c>
      <c r="E10">
        <f t="shared" si="3"/>
        <v>1</v>
      </c>
      <c r="F10">
        <f t="shared" si="4"/>
        <v>202201</v>
      </c>
      <c r="G10" t="s">
        <v>197</v>
      </c>
      <c r="H10" s="9">
        <v>0.25</v>
      </c>
      <c r="I10" s="9">
        <v>0.1948</v>
      </c>
      <c r="J10" s="10">
        <v>0.28779349999999998</v>
      </c>
      <c r="K10" s="10">
        <v>0.42304750000000002</v>
      </c>
      <c r="L10" s="10">
        <v>0.53702879999999997</v>
      </c>
      <c r="M10" s="10">
        <v>0.64359250000000001</v>
      </c>
      <c r="N10" s="10">
        <v>0.74497760000000002</v>
      </c>
      <c r="O10" s="10">
        <v>0.83801899999999996</v>
      </c>
      <c r="P10" s="10">
        <v>0.92165419999999998</v>
      </c>
      <c r="Q10" s="10">
        <v>0.99527069999999995</v>
      </c>
      <c r="R10" s="10">
        <v>1.0587198</v>
      </c>
      <c r="S10" s="10">
        <v>1.1129230999999999</v>
      </c>
      <c r="T10" s="10">
        <v>1.1591448</v>
      </c>
      <c r="U10" s="10">
        <v>1.1982755</v>
      </c>
      <c r="V10" s="10">
        <v>1.2318165000000001</v>
      </c>
      <c r="W10" s="10">
        <v>1.2603873999999999</v>
      </c>
      <c r="X10" s="10">
        <v>1.2843211999999999</v>
      </c>
      <c r="Y10" s="10">
        <v>1.3039510999999999</v>
      </c>
      <c r="Z10" s="10">
        <v>1.3196102000000001</v>
      </c>
      <c r="AA10" s="10">
        <v>1.3316315000000001</v>
      </c>
      <c r="AB10" s="10">
        <v>1.3403383</v>
      </c>
      <c r="AC10" s="10">
        <v>1.3460196</v>
      </c>
      <c r="AD10" s="10">
        <v>1.3489575</v>
      </c>
      <c r="AE10" s="10">
        <v>1.3494335</v>
      </c>
      <c r="AF10" s="10">
        <v>1.3477296000000001</v>
      </c>
      <c r="AG10" s="10">
        <v>1.3441274999999999</v>
      </c>
      <c r="AH10" s="10">
        <v>1.3388865999999999</v>
      </c>
      <c r="AI10" s="10">
        <v>1.3321753999999999</v>
      </c>
      <c r="AJ10" s="10">
        <v>1.3241403</v>
      </c>
      <c r="AK10" s="10">
        <v>1.3149274</v>
      </c>
      <c r="AL10" s="10">
        <v>1.3046827999999999</v>
      </c>
      <c r="AM10" s="10">
        <v>1.2935527</v>
      </c>
      <c r="AN10" s="10">
        <v>1.2816833999999999</v>
      </c>
      <c r="AO10" s="10">
        <v>1.2692209999999999</v>
      </c>
      <c r="AP10" s="10">
        <v>1.2563116000000001</v>
      </c>
      <c r="AQ10" s="10">
        <v>1.2431014</v>
      </c>
      <c r="AR10" s="10">
        <v>1.2297366999999999</v>
      </c>
      <c r="AS10" s="10">
        <v>1.2163634999999999</v>
      </c>
      <c r="AT10" s="10">
        <v>1.2031114000000001</v>
      </c>
      <c r="AU10" s="10">
        <v>1.1900286</v>
      </c>
      <c r="AV10" s="10">
        <v>1.1771387</v>
      </c>
      <c r="AW10" s="10">
        <v>1.1644650999999999</v>
      </c>
      <c r="AX10" s="10">
        <v>1.1520314</v>
      </c>
      <c r="AY10" s="10">
        <v>1.139861</v>
      </c>
      <c r="AZ10" s="10">
        <v>1.1279775000000001</v>
      </c>
      <c r="BA10" s="10">
        <v>1.1164044</v>
      </c>
      <c r="BB10" s="10">
        <v>1.1051652000000001</v>
      </c>
      <c r="BC10" s="10">
        <v>1.0942833000000001</v>
      </c>
      <c r="BD10" s="10">
        <v>1.0837824</v>
      </c>
      <c r="BE10" s="10">
        <v>1.0736859999999999</v>
      </c>
      <c r="BF10" s="10">
        <v>1.0640132</v>
      </c>
      <c r="BG10" s="10">
        <v>1.0547647</v>
      </c>
      <c r="BH10" s="10">
        <v>1.0459358000000001</v>
      </c>
      <c r="BI10" s="10">
        <v>1.0375220999999999</v>
      </c>
      <c r="BJ10" s="10">
        <v>1.0295189</v>
      </c>
      <c r="BK10" s="10">
        <v>1.0219216</v>
      </c>
      <c r="BL10" s="10">
        <v>1.0147257000000001</v>
      </c>
      <c r="BM10" s="10">
        <v>1.0079264999999999</v>
      </c>
      <c r="BN10" s="10">
        <v>1.0015194999999999</v>
      </c>
      <c r="BO10" s="10">
        <v>0.9955001</v>
      </c>
      <c r="BP10" s="10">
        <v>0.98986370000000001</v>
      </c>
      <c r="BQ10" s="10">
        <v>0.98460579999999998</v>
      </c>
      <c r="BR10" s="10">
        <v>0.96052110000000002</v>
      </c>
      <c r="BS10" s="10">
        <v>0.94752700000000001</v>
      </c>
      <c r="BU10" s="7">
        <v>0.76</v>
      </c>
      <c r="BV10" s="7">
        <v>1.0900000000000001</v>
      </c>
      <c r="BW10" s="9">
        <v>82.701700000000002</v>
      </c>
    </row>
    <row r="11" spans="1:75" x14ac:dyDescent="0.25">
      <c r="A11" s="6">
        <v>44567</v>
      </c>
      <c r="B11" s="13">
        <f t="shared" si="0"/>
        <v>1</v>
      </c>
      <c r="C11" s="13">
        <f t="shared" si="1"/>
        <v>2022</v>
      </c>
      <c r="D11">
        <f t="shared" si="2"/>
        <v>202201</v>
      </c>
      <c r="E11">
        <f t="shared" si="3"/>
        <v>1</v>
      </c>
      <c r="F11">
        <f t="shared" si="4"/>
        <v>202201</v>
      </c>
      <c r="G11" t="s">
        <v>198</v>
      </c>
      <c r="H11" s="9">
        <v>0.25</v>
      </c>
      <c r="I11" s="9">
        <v>0.19470000000000001</v>
      </c>
      <c r="J11" s="10">
        <v>0.29414400000000002</v>
      </c>
      <c r="K11" s="10">
        <v>0.43238789999999999</v>
      </c>
      <c r="L11" s="10">
        <v>0.54943799999999998</v>
      </c>
      <c r="M11" s="10">
        <v>0.66112230000000005</v>
      </c>
      <c r="N11" s="10">
        <v>0.76940160000000002</v>
      </c>
      <c r="O11" s="10">
        <v>0.86953190000000002</v>
      </c>
      <c r="P11" s="10">
        <v>0.95898030000000001</v>
      </c>
      <c r="Q11" s="10">
        <v>1.0364108000000001</v>
      </c>
      <c r="R11" s="10">
        <v>1.1020323000000001</v>
      </c>
      <c r="S11" s="10">
        <v>1.1573209</v>
      </c>
      <c r="T11" s="10">
        <v>1.2039229</v>
      </c>
      <c r="U11" s="10">
        <v>1.2431973999999999</v>
      </c>
      <c r="V11" s="10">
        <v>1.2768497000000001</v>
      </c>
      <c r="W11" s="10">
        <v>1.3055114000000001</v>
      </c>
      <c r="X11" s="10">
        <v>1.3294980999999999</v>
      </c>
      <c r="Y11" s="10">
        <v>1.3491253999999999</v>
      </c>
      <c r="Z11" s="10">
        <v>1.3647088000000001</v>
      </c>
      <c r="AA11" s="10">
        <v>1.3765642</v>
      </c>
      <c r="AB11" s="10">
        <v>1.3850088</v>
      </c>
      <c r="AC11" s="10">
        <v>1.3903667</v>
      </c>
      <c r="AD11" s="10">
        <v>1.392963</v>
      </c>
      <c r="AE11" s="10">
        <v>1.3931229000000001</v>
      </c>
      <c r="AF11" s="10">
        <v>1.3911716999999999</v>
      </c>
      <c r="AG11" s="10">
        <v>1.3874346</v>
      </c>
      <c r="AH11" s="10">
        <v>1.3822112</v>
      </c>
      <c r="AI11" s="10">
        <v>1.3756759999999999</v>
      </c>
      <c r="AJ11" s="10">
        <v>1.3679653000000001</v>
      </c>
      <c r="AK11" s="10">
        <v>1.3592157</v>
      </c>
      <c r="AL11" s="10">
        <v>1.3495634999999999</v>
      </c>
      <c r="AM11" s="10">
        <v>1.3391451000000001</v>
      </c>
      <c r="AN11" s="10">
        <v>1.3280970000000001</v>
      </c>
      <c r="AO11" s="10">
        <v>1.3165555</v>
      </c>
      <c r="AP11" s="10">
        <v>1.3046571</v>
      </c>
      <c r="AQ11" s="10">
        <v>1.2925382000000001</v>
      </c>
      <c r="AR11" s="10">
        <v>1.2803351999999999</v>
      </c>
      <c r="AS11" s="10">
        <v>1.2681845</v>
      </c>
      <c r="AT11" s="10">
        <v>1.2562039</v>
      </c>
      <c r="AU11" s="10">
        <v>1.2444291000000001</v>
      </c>
      <c r="AV11" s="10">
        <v>1.2328733000000001</v>
      </c>
      <c r="AW11" s="10">
        <v>1.2215495000000001</v>
      </c>
      <c r="AX11" s="10">
        <v>1.2104706999999999</v>
      </c>
      <c r="AY11" s="10">
        <v>1.1996500000000001</v>
      </c>
      <c r="AZ11" s="10">
        <v>1.1891004999999999</v>
      </c>
      <c r="BA11" s="10">
        <v>1.1788352</v>
      </c>
      <c r="BB11" s="10">
        <v>1.1688672</v>
      </c>
      <c r="BC11" s="10">
        <v>1.1592096000000001</v>
      </c>
      <c r="BD11" s="10">
        <v>1.1498754</v>
      </c>
      <c r="BE11" s="10">
        <v>1.1408777000000001</v>
      </c>
      <c r="BF11" s="10">
        <v>1.1322272</v>
      </c>
      <c r="BG11" s="10">
        <v>1.1239243000000001</v>
      </c>
      <c r="BH11" s="10">
        <v>1.1159664</v>
      </c>
      <c r="BI11" s="10">
        <v>1.1083510000000001</v>
      </c>
      <c r="BJ11" s="10">
        <v>1.1010755000000001</v>
      </c>
      <c r="BK11" s="10">
        <v>1.0941375</v>
      </c>
      <c r="BL11" s="10">
        <v>1.0875344</v>
      </c>
      <c r="BM11" s="10">
        <v>1.0812636</v>
      </c>
      <c r="BN11" s="10">
        <v>1.0753227999999999</v>
      </c>
      <c r="BO11" s="10">
        <v>1.0697091999999999</v>
      </c>
      <c r="BP11" s="10">
        <v>1.0644203999999999</v>
      </c>
      <c r="BQ11" s="10">
        <v>1.0594539000000001</v>
      </c>
      <c r="BR11" s="10">
        <v>1.0360997000000001</v>
      </c>
      <c r="BS11" s="10">
        <v>1.0226118</v>
      </c>
      <c r="BU11" s="7">
        <v>0.8</v>
      </c>
      <c r="BV11" s="7">
        <v>1.1399999999999999</v>
      </c>
      <c r="BW11" s="9">
        <v>82.6995</v>
      </c>
    </row>
    <row r="12" spans="1:75" x14ac:dyDescent="0.25">
      <c r="A12" s="6">
        <v>44568</v>
      </c>
      <c r="B12" s="13">
        <f t="shared" si="0"/>
        <v>1</v>
      </c>
      <c r="C12" s="13">
        <f t="shared" si="1"/>
        <v>2022</v>
      </c>
      <c r="D12">
        <f t="shared" si="2"/>
        <v>202201</v>
      </c>
      <c r="E12">
        <f t="shared" si="3"/>
        <v>1</v>
      </c>
      <c r="F12">
        <f t="shared" si="4"/>
        <v>202201</v>
      </c>
      <c r="G12" t="s">
        <v>199</v>
      </c>
      <c r="H12" s="9">
        <v>0.25</v>
      </c>
      <c r="I12" s="9">
        <v>0.19500000000000001</v>
      </c>
      <c r="J12" s="10">
        <v>0.29936699999999999</v>
      </c>
      <c r="K12" s="10">
        <v>0.43521520000000002</v>
      </c>
      <c r="L12" s="10">
        <v>0.55063150000000005</v>
      </c>
      <c r="M12" s="10">
        <v>0.66002590000000005</v>
      </c>
      <c r="N12" s="10">
        <v>0.76519570000000003</v>
      </c>
      <c r="O12" s="10">
        <v>0.86293399999999998</v>
      </c>
      <c r="P12" s="10">
        <v>0.95187089999999996</v>
      </c>
      <c r="Q12" s="10">
        <v>1.030635</v>
      </c>
      <c r="R12" s="10">
        <v>1.0986118</v>
      </c>
      <c r="S12" s="10">
        <v>1.1564615</v>
      </c>
      <c r="T12" s="10">
        <v>1.2051818000000001</v>
      </c>
      <c r="U12" s="10">
        <v>1.2459918000000001</v>
      </c>
      <c r="V12" s="10">
        <v>1.2805154999999999</v>
      </c>
      <c r="W12" s="10">
        <v>1.3095279</v>
      </c>
      <c r="X12" s="10">
        <v>1.3335035</v>
      </c>
      <c r="Y12" s="10">
        <v>1.3529163</v>
      </c>
      <c r="Z12" s="10">
        <v>1.3682406</v>
      </c>
      <c r="AA12" s="10">
        <v>1.3799507</v>
      </c>
      <c r="AB12" s="10">
        <v>1.388485</v>
      </c>
      <c r="AC12" s="10">
        <v>1.3941595</v>
      </c>
      <c r="AD12" s="10">
        <v>1.3972636000000001</v>
      </c>
      <c r="AE12" s="10">
        <v>1.3980865</v>
      </c>
      <c r="AF12" s="10">
        <v>1.3969176999999999</v>
      </c>
      <c r="AG12" s="10">
        <v>1.3940465</v>
      </c>
      <c r="AH12" s="10">
        <v>1.3897379999999999</v>
      </c>
      <c r="AI12" s="10">
        <v>1.3841498999999999</v>
      </c>
      <c r="AJ12" s="10">
        <v>1.3774101999999999</v>
      </c>
      <c r="AK12" s="10">
        <v>1.3696470999999999</v>
      </c>
      <c r="AL12" s="10">
        <v>1.3609884999999999</v>
      </c>
      <c r="AM12" s="10">
        <v>1.3515626000000001</v>
      </c>
      <c r="AN12" s="10">
        <v>1.3414974</v>
      </c>
      <c r="AO12" s="10">
        <v>1.330921</v>
      </c>
      <c r="AP12" s="10">
        <v>1.3199615</v>
      </c>
      <c r="AQ12" s="10">
        <v>1.3087470000000001</v>
      </c>
      <c r="AR12" s="10">
        <v>1.2974055</v>
      </c>
      <c r="AS12" s="10">
        <v>1.2860651000000001</v>
      </c>
      <c r="AT12" s="10">
        <v>1.2748371000000001</v>
      </c>
      <c r="AU12" s="10">
        <v>1.2637586000000001</v>
      </c>
      <c r="AV12" s="10">
        <v>1.2528463999999999</v>
      </c>
      <c r="AW12" s="10">
        <v>1.2421173000000001</v>
      </c>
      <c r="AX12" s="10">
        <v>1.2315879000000001</v>
      </c>
      <c r="AY12" s="10">
        <v>1.2212749000000001</v>
      </c>
      <c r="AZ12" s="10">
        <v>1.2111951999999999</v>
      </c>
      <c r="BA12" s="10">
        <v>1.2013654</v>
      </c>
      <c r="BB12" s="10">
        <v>1.1918023</v>
      </c>
      <c r="BC12" s="10">
        <v>1.1825224999999999</v>
      </c>
      <c r="BD12" s="10">
        <v>1.1735428999999999</v>
      </c>
      <c r="BE12" s="10">
        <v>1.1648801</v>
      </c>
      <c r="BF12" s="10">
        <v>1.1565479999999999</v>
      </c>
      <c r="BG12" s="10">
        <v>1.1485479000000001</v>
      </c>
      <c r="BH12" s="10">
        <v>1.1408773999999999</v>
      </c>
      <c r="BI12" s="10">
        <v>1.1335344000000001</v>
      </c>
      <c r="BJ12" s="10">
        <v>1.1265164999999999</v>
      </c>
      <c r="BK12" s="10">
        <v>1.1198215</v>
      </c>
      <c r="BL12" s="10">
        <v>1.1134472</v>
      </c>
      <c r="BM12" s="10">
        <v>1.1073913</v>
      </c>
      <c r="BN12" s="10">
        <v>1.1016513999999999</v>
      </c>
      <c r="BO12" s="10">
        <v>1.0962255000000001</v>
      </c>
      <c r="BP12" s="10">
        <v>1.0911112000000001</v>
      </c>
      <c r="BQ12" s="10">
        <v>1.0863062000000001</v>
      </c>
      <c r="BR12" s="10">
        <v>1.0636821999999999</v>
      </c>
      <c r="BS12" s="10">
        <v>1.0506291000000001</v>
      </c>
      <c r="BU12" s="7">
        <v>0.82</v>
      </c>
      <c r="BV12" s="7">
        <v>1.18</v>
      </c>
      <c r="BW12" s="9">
        <v>82.7637</v>
      </c>
    </row>
    <row r="13" spans="1:75" x14ac:dyDescent="0.25">
      <c r="A13" s="6">
        <f>+A8+7</f>
        <v>44571</v>
      </c>
      <c r="B13" s="13">
        <f t="shared" si="0"/>
        <v>1</v>
      </c>
      <c r="C13" s="13">
        <f t="shared" si="1"/>
        <v>2022</v>
      </c>
      <c r="D13">
        <f t="shared" si="2"/>
        <v>202201</v>
      </c>
      <c r="E13">
        <f t="shared" si="3"/>
        <v>1</v>
      </c>
      <c r="F13">
        <f t="shared" si="4"/>
        <v>202201</v>
      </c>
      <c r="G13" t="s">
        <v>200</v>
      </c>
      <c r="H13" s="9">
        <v>0.25</v>
      </c>
      <c r="I13" s="9">
        <v>0.1948</v>
      </c>
      <c r="J13" s="10">
        <v>0.32337389999999999</v>
      </c>
      <c r="K13" s="10">
        <v>0.44928430000000003</v>
      </c>
      <c r="L13" s="10">
        <v>0.55950409999999995</v>
      </c>
      <c r="M13" s="10">
        <v>0.6674331</v>
      </c>
      <c r="N13" s="10">
        <v>0.77374310000000002</v>
      </c>
      <c r="O13" s="10">
        <v>0.87385959999999996</v>
      </c>
      <c r="P13" s="10">
        <v>0.96499190000000001</v>
      </c>
      <c r="Q13" s="10">
        <v>1.0455163999999999</v>
      </c>
      <c r="R13" s="10">
        <v>1.1145573</v>
      </c>
      <c r="S13" s="10">
        <v>1.1728955000000001</v>
      </c>
      <c r="T13" s="10">
        <v>1.2213301999999999</v>
      </c>
      <c r="U13" s="10">
        <v>1.2611431</v>
      </c>
      <c r="V13" s="10">
        <v>1.2946625</v>
      </c>
      <c r="W13" s="10">
        <v>1.3228044999999999</v>
      </c>
      <c r="X13" s="10">
        <v>1.3460300000000001</v>
      </c>
      <c r="Y13" s="10">
        <v>1.3647996</v>
      </c>
      <c r="Z13" s="10">
        <v>1.3795740999999999</v>
      </c>
      <c r="AA13" s="10">
        <v>1.3908141999999999</v>
      </c>
      <c r="AB13" s="10">
        <v>1.3989480000000001</v>
      </c>
      <c r="AC13" s="10">
        <v>1.4042908000000001</v>
      </c>
      <c r="AD13" s="10">
        <v>1.4071335</v>
      </c>
      <c r="AE13" s="10">
        <v>1.4077671</v>
      </c>
      <c r="AF13" s="10">
        <v>1.4064827</v>
      </c>
      <c r="AG13" s="10">
        <v>1.4035711</v>
      </c>
      <c r="AH13" s="10">
        <v>1.3992955</v>
      </c>
      <c r="AI13" s="10">
        <v>1.3938067999999999</v>
      </c>
      <c r="AJ13" s="10">
        <v>1.3872283999999999</v>
      </c>
      <c r="AK13" s="10">
        <v>1.3796834</v>
      </c>
      <c r="AL13" s="10">
        <v>1.3712949999999999</v>
      </c>
      <c r="AM13" s="10">
        <v>1.3621863999999999</v>
      </c>
      <c r="AN13" s="10">
        <v>1.3524807000000001</v>
      </c>
      <c r="AO13" s="10">
        <v>1.3423012000000001</v>
      </c>
      <c r="AP13" s="10">
        <v>1.331771</v>
      </c>
      <c r="AQ13" s="10">
        <v>1.3210132999999999</v>
      </c>
      <c r="AR13" s="10">
        <v>1.3101512</v>
      </c>
      <c r="AS13" s="10">
        <v>1.2993081</v>
      </c>
      <c r="AT13" s="10">
        <v>1.2885905</v>
      </c>
      <c r="AU13" s="10">
        <v>1.2780322</v>
      </c>
      <c r="AV13" s="10">
        <v>1.267647</v>
      </c>
      <c r="AW13" s="10">
        <v>1.2574486</v>
      </c>
      <c r="AX13" s="10">
        <v>1.2474506999999999</v>
      </c>
      <c r="AY13" s="10">
        <v>1.2376670000000001</v>
      </c>
      <c r="AZ13" s="10">
        <v>1.2281112000000001</v>
      </c>
      <c r="BA13" s="10">
        <v>1.2187971</v>
      </c>
      <c r="BB13" s="10">
        <v>1.2097382999999999</v>
      </c>
      <c r="BC13" s="10">
        <v>1.2009486</v>
      </c>
      <c r="BD13" s="10">
        <v>1.1924416</v>
      </c>
      <c r="BE13" s="10">
        <v>1.1842311999999999</v>
      </c>
      <c r="BF13" s="10">
        <v>1.1763291</v>
      </c>
      <c r="BG13" s="10">
        <v>1.1687377000000001</v>
      </c>
      <c r="BH13" s="10">
        <v>1.1614561999999999</v>
      </c>
      <c r="BI13" s="10">
        <v>1.1544835</v>
      </c>
      <c r="BJ13" s="10">
        <v>1.1478187</v>
      </c>
      <c r="BK13" s="10">
        <v>1.1414609</v>
      </c>
      <c r="BL13" s="10">
        <v>1.1354090999999999</v>
      </c>
      <c r="BM13" s="10">
        <v>1.1296625</v>
      </c>
      <c r="BN13" s="10">
        <v>1.1242201000000001</v>
      </c>
      <c r="BO13" s="10">
        <v>1.119081</v>
      </c>
      <c r="BP13" s="10">
        <v>1.1142441999999999</v>
      </c>
      <c r="BQ13" s="10">
        <v>1.1097087999999999</v>
      </c>
      <c r="BR13" s="10">
        <v>1.0885564999999999</v>
      </c>
      <c r="BS13" s="10">
        <v>1.0766865999999999</v>
      </c>
      <c r="BU13" s="7">
        <v>0.84</v>
      </c>
      <c r="BV13" s="7">
        <v>1.19</v>
      </c>
      <c r="BW13" s="9">
        <v>82.790300000000002</v>
      </c>
    </row>
    <row r="14" spans="1:75" x14ac:dyDescent="0.25">
      <c r="A14" s="6">
        <f t="shared" ref="A14:A77" si="5">+A9+7</f>
        <v>44572</v>
      </c>
      <c r="B14" s="13">
        <f t="shared" si="0"/>
        <v>1</v>
      </c>
      <c r="C14" s="13">
        <f t="shared" si="1"/>
        <v>2022</v>
      </c>
      <c r="D14">
        <f t="shared" si="2"/>
        <v>202201</v>
      </c>
      <c r="E14">
        <f t="shared" si="3"/>
        <v>1</v>
      </c>
      <c r="F14">
        <f t="shared" si="4"/>
        <v>202201</v>
      </c>
      <c r="G14" t="s">
        <v>201</v>
      </c>
      <c r="H14" s="9">
        <v>0.25</v>
      </c>
      <c r="I14" s="9">
        <v>0.19520000000000001</v>
      </c>
      <c r="J14" s="10">
        <v>0.33420719999999998</v>
      </c>
      <c r="K14" s="10">
        <v>0.4580591</v>
      </c>
      <c r="L14" s="10">
        <v>0.56624359999999996</v>
      </c>
      <c r="M14" s="10">
        <v>0.6727476</v>
      </c>
      <c r="N14" s="10">
        <v>0.77859179999999995</v>
      </c>
      <c r="O14" s="10">
        <v>0.87903160000000002</v>
      </c>
      <c r="P14" s="10">
        <v>0.97031710000000004</v>
      </c>
      <c r="Q14" s="10">
        <v>1.0506055999999999</v>
      </c>
      <c r="R14" s="10">
        <v>1.1193507</v>
      </c>
      <c r="S14" s="10">
        <v>1.1775815999999999</v>
      </c>
      <c r="T14" s="10">
        <v>1.2262998000000001</v>
      </c>
      <c r="U14" s="10">
        <v>1.2666799</v>
      </c>
      <c r="V14" s="10">
        <v>1.3001883999999999</v>
      </c>
      <c r="W14" s="10">
        <v>1.3276384000000001</v>
      </c>
      <c r="X14" s="10">
        <v>1.3496509000000001</v>
      </c>
      <c r="Y14" s="10">
        <v>1.3668469000000001</v>
      </c>
      <c r="Z14" s="10">
        <v>1.3798474000000001</v>
      </c>
      <c r="AA14" s="10">
        <v>1.3892736000000001</v>
      </c>
      <c r="AB14" s="10">
        <v>1.3956845</v>
      </c>
      <c r="AC14" s="10">
        <v>1.3994249999999999</v>
      </c>
      <c r="AD14" s="10">
        <v>1.4007942</v>
      </c>
      <c r="AE14" s="10">
        <v>1.4000908999999999</v>
      </c>
      <c r="AF14" s="10">
        <v>1.3976139999999999</v>
      </c>
      <c r="AG14" s="10">
        <v>1.3936624</v>
      </c>
      <c r="AH14" s="10">
        <v>1.3885031000000001</v>
      </c>
      <c r="AI14" s="10">
        <v>1.3822749000000001</v>
      </c>
      <c r="AJ14" s="10">
        <v>1.3750845</v>
      </c>
      <c r="AK14" s="10">
        <v>1.3670386999999999</v>
      </c>
      <c r="AL14" s="10">
        <v>1.3582444</v>
      </c>
      <c r="AM14" s="10">
        <v>1.3488084</v>
      </c>
      <c r="AN14" s="10">
        <v>1.3388374000000001</v>
      </c>
      <c r="AO14" s="10">
        <v>1.3284383</v>
      </c>
      <c r="AP14" s="10">
        <v>1.3177178000000001</v>
      </c>
      <c r="AQ14" s="10">
        <v>1.3067827999999999</v>
      </c>
      <c r="AR14" s="10">
        <v>1.2957401</v>
      </c>
      <c r="AS14" s="10">
        <v>1.2846964000000001</v>
      </c>
      <c r="AT14" s="10">
        <v>1.2737474</v>
      </c>
      <c r="AU14" s="10">
        <v>1.2629286</v>
      </c>
      <c r="AV14" s="10">
        <v>1.2522551</v>
      </c>
      <c r="AW14" s="10">
        <v>1.2417422</v>
      </c>
      <c r="AX14" s="10">
        <v>1.2314050999999999</v>
      </c>
      <c r="AY14" s="10">
        <v>1.2212590999999999</v>
      </c>
      <c r="AZ14" s="10">
        <v>1.2113194</v>
      </c>
      <c r="BA14" s="10">
        <v>1.2016012</v>
      </c>
      <c r="BB14" s="10">
        <v>1.1921198</v>
      </c>
      <c r="BC14" s="10">
        <v>1.1828905000000001</v>
      </c>
      <c r="BD14" s="10">
        <v>1.1739284000000001</v>
      </c>
      <c r="BE14" s="10">
        <v>1.1652487</v>
      </c>
      <c r="BF14" s="10">
        <v>1.1568647000000001</v>
      </c>
      <c r="BG14" s="10">
        <v>1.148779</v>
      </c>
      <c r="BH14" s="10">
        <v>1.1409912</v>
      </c>
      <c r="BI14" s="10">
        <v>1.1335009</v>
      </c>
      <c r="BJ14" s="10">
        <v>1.1263078</v>
      </c>
      <c r="BK14" s="10">
        <v>1.1194113999999999</v>
      </c>
      <c r="BL14" s="10">
        <v>1.1128111999999999</v>
      </c>
      <c r="BM14" s="10">
        <v>1.1065069999999999</v>
      </c>
      <c r="BN14" s="10">
        <v>1.1004982000000001</v>
      </c>
      <c r="BO14" s="10">
        <v>1.0947845</v>
      </c>
      <c r="BP14" s="10">
        <v>1.0893655</v>
      </c>
      <c r="BQ14" s="10">
        <v>1.0842407999999999</v>
      </c>
      <c r="BR14" s="10">
        <v>1.0594709</v>
      </c>
      <c r="BS14" s="10">
        <v>1.0441130000000001</v>
      </c>
      <c r="BU14" s="7">
        <v>0.84</v>
      </c>
      <c r="BV14" s="7">
        <v>1.17</v>
      </c>
      <c r="BW14" s="9">
        <v>82.965500000000006</v>
      </c>
    </row>
    <row r="15" spans="1:75" x14ac:dyDescent="0.25">
      <c r="A15" s="6">
        <f t="shared" si="5"/>
        <v>44573</v>
      </c>
      <c r="B15" s="13">
        <f t="shared" si="0"/>
        <v>1</v>
      </c>
      <c r="C15" s="13">
        <f t="shared" si="1"/>
        <v>2022</v>
      </c>
      <c r="D15">
        <f t="shared" si="2"/>
        <v>202201</v>
      </c>
      <c r="E15">
        <f t="shared" si="3"/>
        <v>1</v>
      </c>
      <c r="F15">
        <f t="shared" si="4"/>
        <v>202201</v>
      </c>
      <c r="G15" t="s">
        <v>202</v>
      </c>
      <c r="H15" s="9">
        <v>0.25</v>
      </c>
      <c r="I15" s="9">
        <v>0.1958</v>
      </c>
      <c r="J15" s="10">
        <v>0.34388239999999998</v>
      </c>
      <c r="K15" s="10">
        <v>0.46135110000000001</v>
      </c>
      <c r="L15" s="10">
        <v>0.56665889999999997</v>
      </c>
      <c r="M15" s="10">
        <v>0.67190269999999996</v>
      </c>
      <c r="N15" s="10">
        <v>0.77617829999999999</v>
      </c>
      <c r="O15" s="10">
        <v>0.87363800000000003</v>
      </c>
      <c r="P15" s="10">
        <v>0.9603971</v>
      </c>
      <c r="Q15" s="10">
        <v>1.0349568</v>
      </c>
      <c r="R15" s="10">
        <v>1.0973904000000001</v>
      </c>
      <c r="S15" s="10">
        <v>1.1488798</v>
      </c>
      <c r="T15" s="10">
        <v>1.1910577</v>
      </c>
      <c r="U15" s="10">
        <v>1.2252432</v>
      </c>
      <c r="V15" s="10">
        <v>1.2534620000000001</v>
      </c>
      <c r="W15" s="10">
        <v>1.2765734</v>
      </c>
      <c r="X15" s="10">
        <v>1.2950676999999999</v>
      </c>
      <c r="Y15" s="10">
        <v>1.3094355</v>
      </c>
      <c r="Z15" s="10">
        <v>1.3201674999999999</v>
      </c>
      <c r="AA15" s="10">
        <v>1.3277540999999999</v>
      </c>
      <c r="AB15" s="10">
        <v>1.3326423999999999</v>
      </c>
      <c r="AC15" s="10">
        <v>1.3351294</v>
      </c>
      <c r="AD15" s="10">
        <v>1.3354798000000001</v>
      </c>
      <c r="AE15" s="10">
        <v>1.333958</v>
      </c>
      <c r="AF15" s="10">
        <v>1.3308289</v>
      </c>
      <c r="AG15" s="10">
        <v>1.3263568999999999</v>
      </c>
      <c r="AH15" s="10">
        <v>1.3207796999999999</v>
      </c>
      <c r="AI15" s="10">
        <v>1.3142275000000001</v>
      </c>
      <c r="AJ15" s="10">
        <v>1.3068032000000001</v>
      </c>
      <c r="AK15" s="10">
        <v>1.2986099</v>
      </c>
      <c r="AL15" s="10">
        <v>1.2897508</v>
      </c>
      <c r="AM15" s="10">
        <v>1.2803290000000001</v>
      </c>
      <c r="AN15" s="10">
        <v>1.2704473999999999</v>
      </c>
      <c r="AO15" s="10">
        <v>1.2602093000000001</v>
      </c>
      <c r="AP15" s="10">
        <v>1.2497176999999999</v>
      </c>
      <c r="AQ15" s="10">
        <v>1.2390756000000001</v>
      </c>
      <c r="AR15" s="10">
        <v>1.2283862999999999</v>
      </c>
      <c r="AS15" s="10">
        <v>1.2177526999999999</v>
      </c>
      <c r="AT15" s="10">
        <v>1.2072655000000001</v>
      </c>
      <c r="AU15" s="10">
        <v>1.1969543</v>
      </c>
      <c r="AV15" s="10">
        <v>1.1868301999999999</v>
      </c>
      <c r="AW15" s="10">
        <v>1.1769044</v>
      </c>
      <c r="AX15" s="10">
        <v>1.1671879000000001</v>
      </c>
      <c r="AY15" s="10">
        <v>1.1576918</v>
      </c>
      <c r="AZ15" s="10">
        <v>1.1484273</v>
      </c>
      <c r="BA15" s="10">
        <v>1.1394055999999999</v>
      </c>
      <c r="BB15" s="10">
        <v>1.1306376</v>
      </c>
      <c r="BC15" s="10">
        <v>1.1221344</v>
      </c>
      <c r="BD15" s="10">
        <v>1.1139074</v>
      </c>
      <c r="BE15" s="10">
        <v>1.1059673999999999</v>
      </c>
      <c r="BF15" s="10">
        <v>1.0983236000000001</v>
      </c>
      <c r="BG15" s="10">
        <v>1.0909761</v>
      </c>
      <c r="BH15" s="10">
        <v>1.0839224000000001</v>
      </c>
      <c r="BI15" s="10">
        <v>1.0771601</v>
      </c>
      <c r="BJ15" s="10">
        <v>1.0706868</v>
      </c>
      <c r="BK15" s="10">
        <v>1.0645001000000001</v>
      </c>
      <c r="BL15" s="10">
        <v>1.0585975999999999</v>
      </c>
      <c r="BM15" s="10">
        <v>1.0529769</v>
      </c>
      <c r="BN15" s="10">
        <v>1.0476354000000001</v>
      </c>
      <c r="BO15" s="10">
        <v>1.0425709000000001</v>
      </c>
      <c r="BP15" s="10">
        <v>1.0377809</v>
      </c>
      <c r="BQ15" s="10">
        <v>1.033263</v>
      </c>
      <c r="BR15" s="10">
        <v>1.0115940000000001</v>
      </c>
      <c r="BS15" s="10">
        <v>0.99826420000000005</v>
      </c>
      <c r="BU15" s="7">
        <v>0.79</v>
      </c>
      <c r="BV15" s="7">
        <v>1.1299999999999999</v>
      </c>
      <c r="BW15" s="9">
        <v>83.029200000000003</v>
      </c>
    </row>
    <row r="16" spans="1:75" x14ac:dyDescent="0.25">
      <c r="A16" s="6">
        <f t="shared" si="5"/>
        <v>44574</v>
      </c>
      <c r="B16" s="13">
        <f t="shared" si="0"/>
        <v>1</v>
      </c>
      <c r="C16" s="13">
        <f t="shared" si="1"/>
        <v>2022</v>
      </c>
      <c r="D16">
        <f t="shared" si="2"/>
        <v>202201</v>
      </c>
      <c r="E16">
        <f t="shared" si="3"/>
        <v>1</v>
      </c>
      <c r="F16">
        <f t="shared" si="4"/>
        <v>202201</v>
      </c>
      <c r="G16" t="s">
        <v>203</v>
      </c>
      <c r="H16" s="9">
        <v>0.25</v>
      </c>
      <c r="I16" s="9">
        <v>0.19589999999999999</v>
      </c>
      <c r="J16" s="10">
        <v>0.34860560000000002</v>
      </c>
      <c r="K16" s="10">
        <v>0.4580109</v>
      </c>
      <c r="L16" s="10">
        <v>0.55727499999999996</v>
      </c>
      <c r="M16" s="10">
        <v>0.6585685</v>
      </c>
      <c r="N16" s="10">
        <v>0.76060320000000003</v>
      </c>
      <c r="O16" s="10">
        <v>0.85663489999999998</v>
      </c>
      <c r="P16" s="10">
        <v>0.94207870000000005</v>
      </c>
      <c r="Q16" s="10">
        <v>1.0151672</v>
      </c>
      <c r="R16" s="10">
        <v>1.0761158</v>
      </c>
      <c r="S16" s="10">
        <v>1.1262448</v>
      </c>
      <c r="T16" s="10">
        <v>1.1671739000000001</v>
      </c>
      <c r="U16" s="10">
        <v>1.2003912000000001</v>
      </c>
      <c r="V16" s="10">
        <v>1.2278107</v>
      </c>
      <c r="W16" s="10">
        <v>1.2502336999999999</v>
      </c>
      <c r="X16" s="10">
        <v>1.2681317000000001</v>
      </c>
      <c r="Y16" s="10">
        <v>1.2819765000000001</v>
      </c>
      <c r="Z16" s="10">
        <v>1.2922397000000001</v>
      </c>
      <c r="AA16" s="10">
        <v>1.2993931000000001</v>
      </c>
      <c r="AB16" s="10">
        <v>1.303871</v>
      </c>
      <c r="AC16" s="10">
        <v>1.3059784999999999</v>
      </c>
      <c r="AD16" s="10">
        <v>1.3059932999999999</v>
      </c>
      <c r="AE16" s="10">
        <v>1.3041928</v>
      </c>
      <c r="AF16" s="10">
        <v>1.3008544</v>
      </c>
      <c r="AG16" s="10">
        <v>1.2962556000000001</v>
      </c>
      <c r="AH16" s="10">
        <v>1.2906493999999999</v>
      </c>
      <c r="AI16" s="10">
        <v>1.2841688</v>
      </c>
      <c r="AJ16" s="10">
        <v>1.2769104</v>
      </c>
      <c r="AK16" s="10">
        <v>1.2689710999999999</v>
      </c>
      <c r="AL16" s="10">
        <v>1.2604473</v>
      </c>
      <c r="AM16" s="10">
        <v>1.2514357</v>
      </c>
      <c r="AN16" s="10">
        <v>1.2420331</v>
      </c>
      <c r="AO16" s="10">
        <v>1.2323360000000001</v>
      </c>
      <c r="AP16" s="10">
        <v>1.2224410999999999</v>
      </c>
      <c r="AQ16" s="10">
        <v>1.212445</v>
      </c>
      <c r="AR16" s="10">
        <v>1.2024444000000001</v>
      </c>
      <c r="AS16" s="10">
        <v>1.192536</v>
      </c>
      <c r="AT16" s="10">
        <v>1.1828026</v>
      </c>
      <c r="AU16" s="10">
        <v>1.1732666</v>
      </c>
      <c r="AV16" s="10">
        <v>1.1639336</v>
      </c>
      <c r="AW16" s="10">
        <v>1.1548091</v>
      </c>
      <c r="AX16" s="10">
        <v>1.1458988000000001</v>
      </c>
      <c r="AY16" s="10">
        <v>1.1372081999999999</v>
      </c>
      <c r="AZ16" s="10">
        <v>1.1287429</v>
      </c>
      <c r="BA16" s="10">
        <v>1.1205084000000001</v>
      </c>
      <c r="BB16" s="10">
        <v>1.1125105</v>
      </c>
      <c r="BC16" s="10">
        <v>1.1047545999999999</v>
      </c>
      <c r="BD16" s="10">
        <v>1.0972462999999999</v>
      </c>
      <c r="BE16" s="10">
        <v>1.0899913000000001</v>
      </c>
      <c r="BF16" s="10">
        <v>1.0829937999999999</v>
      </c>
      <c r="BG16" s="10">
        <v>1.0762524</v>
      </c>
      <c r="BH16" s="10">
        <v>1.0697642000000001</v>
      </c>
      <c r="BI16" s="10">
        <v>1.063526</v>
      </c>
      <c r="BJ16" s="10">
        <v>1.0575349999999999</v>
      </c>
      <c r="BK16" s="10">
        <v>1.0517881</v>
      </c>
      <c r="BL16" s="10">
        <v>1.0462823999999999</v>
      </c>
      <c r="BM16" s="10">
        <v>1.0410147999999999</v>
      </c>
      <c r="BN16" s="10">
        <v>1.0359822999999999</v>
      </c>
      <c r="BO16" s="10">
        <v>1.0311821000000001</v>
      </c>
      <c r="BP16" s="10">
        <v>1.0266109999999999</v>
      </c>
      <c r="BQ16" s="10">
        <v>1.0222659999999999</v>
      </c>
      <c r="BR16" s="10">
        <v>1.0007577000000001</v>
      </c>
      <c r="BS16" s="10">
        <v>0.98650959999999999</v>
      </c>
      <c r="BU16" s="7">
        <v>0.76</v>
      </c>
      <c r="BV16" s="7">
        <v>1.1100000000000001</v>
      </c>
      <c r="BW16" s="9">
        <v>83.135599999999997</v>
      </c>
    </row>
    <row r="17" spans="1:75" x14ac:dyDescent="0.25">
      <c r="A17" s="6">
        <f t="shared" si="5"/>
        <v>44575</v>
      </c>
      <c r="B17" s="13">
        <f t="shared" si="0"/>
        <v>1</v>
      </c>
      <c r="C17" s="13">
        <f t="shared" si="1"/>
        <v>2022</v>
      </c>
      <c r="D17">
        <f t="shared" si="2"/>
        <v>202201</v>
      </c>
      <c r="E17">
        <f t="shared" si="3"/>
        <v>1</v>
      </c>
      <c r="F17">
        <f t="shared" si="4"/>
        <v>202201</v>
      </c>
      <c r="G17" t="s">
        <v>204</v>
      </c>
      <c r="H17" s="9">
        <v>0.25</v>
      </c>
      <c r="I17" s="9">
        <v>0.19589999999999999</v>
      </c>
      <c r="J17" s="10">
        <v>0.36264259999999998</v>
      </c>
      <c r="K17" s="10">
        <v>0.46897810000000001</v>
      </c>
      <c r="L17" s="10">
        <v>0.56958730000000002</v>
      </c>
      <c r="M17" s="10">
        <v>0.6729465</v>
      </c>
      <c r="N17" s="10">
        <v>0.7768524</v>
      </c>
      <c r="O17" s="10">
        <v>0.87476319999999996</v>
      </c>
      <c r="P17" s="10">
        <v>0.96226230000000001</v>
      </c>
      <c r="Q17" s="10">
        <v>1.0375232999999999</v>
      </c>
      <c r="R17" s="10">
        <v>1.1006587000000001</v>
      </c>
      <c r="S17" s="10">
        <v>1.1530047999999999</v>
      </c>
      <c r="T17" s="10">
        <v>1.1960602</v>
      </c>
      <c r="U17" s="10">
        <v>1.2313642</v>
      </c>
      <c r="V17" s="10">
        <v>1.2606326000000001</v>
      </c>
      <c r="W17" s="10">
        <v>1.2846770999999999</v>
      </c>
      <c r="X17" s="10">
        <v>1.3040058999999999</v>
      </c>
      <c r="Y17" s="10">
        <v>1.3191269999999999</v>
      </c>
      <c r="Z17" s="10">
        <v>1.3305484000000001</v>
      </c>
      <c r="AA17" s="10">
        <v>1.3387783</v>
      </c>
      <c r="AB17" s="10">
        <v>1.3442797</v>
      </c>
      <c r="AC17" s="10">
        <v>1.3473607000000001</v>
      </c>
      <c r="AD17" s="10">
        <v>1.3482955999999999</v>
      </c>
      <c r="AE17" s="10">
        <v>1.347359</v>
      </c>
      <c r="AF17" s="10">
        <v>1.3448253999999999</v>
      </c>
      <c r="AG17" s="10">
        <v>1.3409693</v>
      </c>
      <c r="AH17" s="10">
        <v>1.3360392000000001</v>
      </c>
      <c r="AI17" s="10">
        <v>1.3301692000000001</v>
      </c>
      <c r="AJ17" s="10">
        <v>1.3234618</v>
      </c>
      <c r="AK17" s="10">
        <v>1.3160194999999999</v>
      </c>
      <c r="AL17" s="10">
        <v>1.3079445999999999</v>
      </c>
      <c r="AM17" s="10">
        <v>1.2993397</v>
      </c>
      <c r="AN17" s="10">
        <v>1.2903072</v>
      </c>
      <c r="AO17" s="10">
        <v>1.2809497000000001</v>
      </c>
      <c r="AP17" s="10">
        <v>1.2713695</v>
      </c>
      <c r="AQ17" s="10">
        <v>1.2616692</v>
      </c>
      <c r="AR17" s="10">
        <v>1.2519511000000001</v>
      </c>
      <c r="AS17" s="10">
        <v>1.2423179</v>
      </c>
      <c r="AT17" s="10">
        <v>1.2328574000000001</v>
      </c>
      <c r="AU17" s="10">
        <v>1.2235936999999999</v>
      </c>
      <c r="AV17" s="10">
        <v>1.2145332</v>
      </c>
      <c r="AW17" s="10">
        <v>1.2056823000000001</v>
      </c>
      <c r="AX17" s="10">
        <v>1.1970474</v>
      </c>
      <c r="AY17" s="10">
        <v>1.1886349</v>
      </c>
      <c r="AZ17" s="10">
        <v>1.1804511</v>
      </c>
      <c r="BA17" s="10">
        <v>1.1725026000000001</v>
      </c>
      <c r="BB17" s="10">
        <v>1.1647957</v>
      </c>
      <c r="BC17" s="10">
        <v>1.1573367999999999</v>
      </c>
      <c r="BD17" s="10">
        <v>1.1501322</v>
      </c>
      <c r="BE17" s="10">
        <v>1.1431884999999999</v>
      </c>
      <c r="BF17" s="10">
        <v>1.1365105</v>
      </c>
      <c r="BG17" s="10">
        <v>1.1300967</v>
      </c>
      <c r="BH17" s="10">
        <v>1.1239440999999999</v>
      </c>
      <c r="BI17" s="10">
        <v>1.1180493</v>
      </c>
      <c r="BJ17" s="10">
        <v>1.1124092000000001</v>
      </c>
      <c r="BK17" s="10">
        <v>1.1070205</v>
      </c>
      <c r="BL17" s="10">
        <v>1.1018801</v>
      </c>
      <c r="BM17" s="10">
        <v>1.0969846000000001</v>
      </c>
      <c r="BN17" s="10">
        <v>1.0923309999999999</v>
      </c>
      <c r="BO17" s="10">
        <v>1.0879160000000001</v>
      </c>
      <c r="BP17" s="10">
        <v>1.0837363</v>
      </c>
      <c r="BQ17" s="10">
        <v>1.0797888</v>
      </c>
      <c r="BR17" s="10">
        <v>1.0607314999999999</v>
      </c>
      <c r="BS17" s="10">
        <v>1.0488111</v>
      </c>
      <c r="BU17" s="7">
        <v>0.79</v>
      </c>
      <c r="BV17" s="7">
        <v>1.1599999999999999</v>
      </c>
      <c r="BW17" s="9">
        <v>82.932699999999997</v>
      </c>
    </row>
    <row r="18" spans="1:75" x14ac:dyDescent="0.25">
      <c r="A18" s="6">
        <f t="shared" si="5"/>
        <v>44578</v>
      </c>
      <c r="B18" s="13">
        <f t="shared" si="0"/>
        <v>1</v>
      </c>
      <c r="C18" s="13">
        <f t="shared" si="1"/>
        <v>2022</v>
      </c>
      <c r="D18">
        <f t="shared" si="2"/>
        <v>202201</v>
      </c>
      <c r="E18">
        <f t="shared" si="3"/>
        <v>1</v>
      </c>
      <c r="F18">
        <f t="shared" si="4"/>
        <v>202201</v>
      </c>
      <c r="G18" t="s">
        <v>205</v>
      </c>
      <c r="H18" s="9">
        <v>0.25</v>
      </c>
      <c r="I18" s="9">
        <v>0.19600000000000001</v>
      </c>
      <c r="J18" s="10">
        <v>0.38990750000000002</v>
      </c>
      <c r="K18" s="10">
        <v>0.47691210000000001</v>
      </c>
      <c r="L18" s="10">
        <v>0.57795319999999994</v>
      </c>
      <c r="M18" s="10">
        <v>0.68820919999999997</v>
      </c>
      <c r="N18" s="10">
        <v>0.7976721</v>
      </c>
      <c r="O18" s="10">
        <v>0.89848240000000001</v>
      </c>
      <c r="P18" s="10">
        <v>0.98687230000000004</v>
      </c>
      <c r="Q18" s="10">
        <v>1.0621297999999999</v>
      </c>
      <c r="R18" s="10">
        <v>1.1250355000000001</v>
      </c>
      <c r="S18" s="10">
        <v>1.1778111</v>
      </c>
      <c r="T18" s="10">
        <v>1.2221903999999999</v>
      </c>
      <c r="U18" s="10">
        <v>1.2596575000000001</v>
      </c>
      <c r="V18" s="10">
        <v>1.2914684000000001</v>
      </c>
      <c r="W18" s="10">
        <v>1.3181761000000001</v>
      </c>
      <c r="X18" s="10">
        <v>1.3401611</v>
      </c>
      <c r="Y18" s="10">
        <v>1.3578041000000001</v>
      </c>
      <c r="Z18" s="10">
        <v>1.3714858000000001</v>
      </c>
      <c r="AA18" s="10">
        <v>1.3815866999999999</v>
      </c>
      <c r="AB18" s="10">
        <v>1.3884772000000001</v>
      </c>
      <c r="AC18" s="10">
        <v>1.3924917999999999</v>
      </c>
      <c r="AD18" s="10">
        <v>1.3939570999999999</v>
      </c>
      <c r="AE18" s="10">
        <v>1.3932</v>
      </c>
      <c r="AF18" s="10">
        <v>1.3905472000000001</v>
      </c>
      <c r="AG18" s="10">
        <v>1.3863255000000001</v>
      </c>
      <c r="AH18" s="10">
        <v>1.3808275000000001</v>
      </c>
      <c r="AI18" s="10">
        <v>1.3742095000000001</v>
      </c>
      <c r="AJ18" s="10">
        <v>1.3665936000000001</v>
      </c>
      <c r="AK18" s="10">
        <v>1.3581018</v>
      </c>
      <c r="AL18" s="10">
        <v>1.3488561999999999</v>
      </c>
      <c r="AM18" s="10">
        <v>1.3389791</v>
      </c>
      <c r="AN18" s="10">
        <v>1.3285924</v>
      </c>
      <c r="AO18" s="10">
        <v>1.3178182000000001</v>
      </c>
      <c r="AP18" s="10">
        <v>1.3067788</v>
      </c>
      <c r="AQ18" s="10">
        <v>1.2955961</v>
      </c>
      <c r="AR18" s="10">
        <v>1.2843924</v>
      </c>
      <c r="AS18" s="10">
        <v>1.2732896</v>
      </c>
      <c r="AT18" s="10">
        <v>1.2623932</v>
      </c>
      <c r="AU18" s="10">
        <v>1.2517347000000001</v>
      </c>
      <c r="AV18" s="10">
        <v>1.2413254</v>
      </c>
      <c r="AW18" s="10">
        <v>1.2311764000000001</v>
      </c>
      <c r="AX18" s="10">
        <v>1.2212989000000001</v>
      </c>
      <c r="AY18" s="10">
        <v>1.2117041</v>
      </c>
      <c r="AZ18" s="10">
        <v>1.2024032</v>
      </c>
      <c r="BA18" s="10">
        <v>1.1934073999999999</v>
      </c>
      <c r="BB18" s="10">
        <v>1.1847278999999999</v>
      </c>
      <c r="BC18" s="10">
        <v>1.1763758</v>
      </c>
      <c r="BD18" s="10">
        <v>1.1683623999999999</v>
      </c>
      <c r="BE18" s="10">
        <v>1.1606989000000001</v>
      </c>
      <c r="BF18" s="10">
        <v>1.1533944</v>
      </c>
      <c r="BG18" s="10">
        <v>1.146447</v>
      </c>
      <c r="BH18" s="10">
        <v>1.1398509999999999</v>
      </c>
      <c r="BI18" s="10">
        <v>1.1336008</v>
      </c>
      <c r="BJ18" s="10">
        <v>1.1276907</v>
      </c>
      <c r="BK18" s="10">
        <v>1.1221152000000001</v>
      </c>
      <c r="BL18" s="10">
        <v>1.1168685</v>
      </c>
      <c r="BM18" s="10">
        <v>1.1119451</v>
      </c>
      <c r="BN18" s="10">
        <v>1.1073392</v>
      </c>
      <c r="BO18" s="10">
        <v>1.1030453</v>
      </c>
      <c r="BP18" s="10">
        <v>1.0990576000000001</v>
      </c>
      <c r="BQ18" s="10">
        <v>1.0953706999999999</v>
      </c>
      <c r="BR18" s="10">
        <v>1.0790439999999999</v>
      </c>
      <c r="BS18" s="10">
        <v>1.0708762999999999</v>
      </c>
      <c r="BU18" s="7">
        <v>0.84</v>
      </c>
      <c r="BV18" s="7">
        <v>1.19</v>
      </c>
      <c r="BW18" s="9">
        <v>82.850700000000003</v>
      </c>
    </row>
    <row r="19" spans="1:75" x14ac:dyDescent="0.25">
      <c r="A19" s="6">
        <f t="shared" si="5"/>
        <v>44579</v>
      </c>
      <c r="B19" s="13">
        <f t="shared" si="0"/>
        <v>1</v>
      </c>
      <c r="C19" s="13">
        <f t="shared" si="1"/>
        <v>2022</v>
      </c>
      <c r="D19">
        <f t="shared" si="2"/>
        <v>202201</v>
      </c>
      <c r="E19">
        <f t="shared" si="3"/>
        <v>1</v>
      </c>
      <c r="F19">
        <f t="shared" si="4"/>
        <v>202201</v>
      </c>
      <c r="G19" t="s">
        <v>206</v>
      </c>
      <c r="H19" s="9">
        <v>0.25</v>
      </c>
      <c r="I19" s="9">
        <v>0.19589999999999999</v>
      </c>
      <c r="J19" s="10">
        <v>0.3981459</v>
      </c>
      <c r="K19" s="10">
        <v>0.48073250000000001</v>
      </c>
      <c r="L19" s="10">
        <v>0.58498000000000006</v>
      </c>
      <c r="M19" s="10">
        <v>0.70092829999999995</v>
      </c>
      <c r="N19" s="10">
        <v>0.81606440000000002</v>
      </c>
      <c r="O19" s="10">
        <v>0.92195510000000003</v>
      </c>
      <c r="P19" s="10">
        <v>1.0141382000000001</v>
      </c>
      <c r="Q19" s="10">
        <v>1.0921289999999999</v>
      </c>
      <c r="R19" s="10">
        <v>1.157068</v>
      </c>
      <c r="S19" s="10">
        <v>1.2112449000000001</v>
      </c>
      <c r="T19" s="10">
        <v>1.2564449</v>
      </c>
      <c r="U19" s="10">
        <v>1.2941611</v>
      </c>
      <c r="V19" s="10">
        <v>1.3258299</v>
      </c>
      <c r="W19" s="10">
        <v>1.3521082</v>
      </c>
      <c r="X19" s="10">
        <v>1.373445</v>
      </c>
      <c r="Y19" s="10">
        <v>1.3902897999999999</v>
      </c>
      <c r="Z19" s="10">
        <v>1.4030917999999999</v>
      </c>
      <c r="AA19" s="10">
        <v>1.4123002</v>
      </c>
      <c r="AB19" s="10">
        <v>1.4183467999999999</v>
      </c>
      <c r="AC19" s="10">
        <v>1.4216021999999999</v>
      </c>
      <c r="AD19" s="10">
        <v>1.4224239999999999</v>
      </c>
      <c r="AE19" s="10">
        <v>1.4211697999999999</v>
      </c>
      <c r="AF19" s="10">
        <v>1.4181973000000001</v>
      </c>
      <c r="AG19" s="10">
        <v>1.413864</v>
      </c>
      <c r="AH19" s="10">
        <v>1.4084854</v>
      </c>
      <c r="AI19" s="10">
        <v>1.4022082</v>
      </c>
      <c r="AJ19" s="10">
        <v>1.3951370000000001</v>
      </c>
      <c r="AK19" s="10">
        <v>1.3873762999999999</v>
      </c>
      <c r="AL19" s="10">
        <v>1.3790308</v>
      </c>
      <c r="AM19" s="10">
        <v>1.3702049999999999</v>
      </c>
      <c r="AN19" s="10">
        <v>1.3610035</v>
      </c>
      <c r="AO19" s="10">
        <v>1.3515307999999999</v>
      </c>
      <c r="AP19" s="10">
        <v>1.3418916000000001</v>
      </c>
      <c r="AQ19" s="10">
        <v>1.3321904</v>
      </c>
      <c r="AR19" s="10">
        <v>1.3225317999999999</v>
      </c>
      <c r="AS19" s="10">
        <v>1.3130203</v>
      </c>
      <c r="AT19" s="10">
        <v>1.3037479999999999</v>
      </c>
      <c r="AU19" s="10">
        <v>1.2947389</v>
      </c>
      <c r="AV19" s="10">
        <v>1.2859943</v>
      </c>
      <c r="AW19" s="10">
        <v>1.2775156000000001</v>
      </c>
      <c r="AX19" s="10">
        <v>1.269304</v>
      </c>
      <c r="AY19" s="10">
        <v>1.2613608999999999</v>
      </c>
      <c r="AZ19" s="10">
        <v>1.2536875000000001</v>
      </c>
      <c r="BA19" s="10">
        <v>1.2462852</v>
      </c>
      <c r="BB19" s="10">
        <v>1.2391553</v>
      </c>
      <c r="BC19" s="10">
        <v>1.2322991000000001</v>
      </c>
      <c r="BD19" s="10">
        <v>1.2257179</v>
      </c>
      <c r="BE19" s="10">
        <v>1.2194130000000001</v>
      </c>
      <c r="BF19" s="10">
        <v>1.2133848</v>
      </c>
      <c r="BG19" s="10">
        <v>1.2076298000000001</v>
      </c>
      <c r="BH19" s="10">
        <v>1.2021428999999999</v>
      </c>
      <c r="BI19" s="10">
        <v>1.1969194999999999</v>
      </c>
      <c r="BJ19" s="10">
        <v>1.1919545</v>
      </c>
      <c r="BK19" s="10">
        <v>1.187243</v>
      </c>
      <c r="BL19" s="10">
        <v>1.1827802999999999</v>
      </c>
      <c r="BM19" s="10">
        <v>1.1785612999999999</v>
      </c>
      <c r="BN19" s="10">
        <v>1.1745812</v>
      </c>
      <c r="BO19" s="10">
        <v>1.1708352</v>
      </c>
      <c r="BP19" s="10">
        <v>1.1673182</v>
      </c>
      <c r="BQ19" s="10">
        <v>1.1640254999999999</v>
      </c>
      <c r="BR19" s="10">
        <v>1.1486324000000001</v>
      </c>
      <c r="BS19" s="10">
        <v>1.1396424999999999</v>
      </c>
      <c r="BU19" s="7">
        <v>0.87</v>
      </c>
      <c r="BV19" s="7">
        <v>1.22</v>
      </c>
      <c r="BW19" s="9">
        <v>82.719300000000004</v>
      </c>
    </row>
    <row r="20" spans="1:75" x14ac:dyDescent="0.25">
      <c r="A20" s="6">
        <f t="shared" si="5"/>
        <v>44580</v>
      </c>
      <c r="B20" s="13">
        <f t="shared" si="0"/>
        <v>1</v>
      </c>
      <c r="C20" s="13">
        <f t="shared" si="1"/>
        <v>2022</v>
      </c>
      <c r="D20">
        <f t="shared" si="2"/>
        <v>202201</v>
      </c>
      <c r="E20">
        <f t="shared" si="3"/>
        <v>1</v>
      </c>
      <c r="F20">
        <f t="shared" si="4"/>
        <v>202201</v>
      </c>
      <c r="G20" t="s">
        <v>207</v>
      </c>
      <c r="H20" s="9">
        <v>0.25</v>
      </c>
      <c r="I20" s="9">
        <v>0.19639999999999999</v>
      </c>
      <c r="J20" s="10">
        <v>0.42900169999999999</v>
      </c>
      <c r="K20" s="10">
        <v>0.51000129999999999</v>
      </c>
      <c r="L20" s="10">
        <v>0.61651259999999997</v>
      </c>
      <c r="M20" s="10">
        <v>0.73747600000000002</v>
      </c>
      <c r="N20" s="10">
        <v>0.85853159999999995</v>
      </c>
      <c r="O20" s="10">
        <v>0.9694682</v>
      </c>
      <c r="P20" s="10">
        <v>1.0650571</v>
      </c>
      <c r="Q20" s="10">
        <v>1.1445178</v>
      </c>
      <c r="R20" s="10">
        <v>1.2093518000000001</v>
      </c>
      <c r="S20" s="10">
        <v>1.2620145</v>
      </c>
      <c r="T20" s="10">
        <v>1.3050801000000001</v>
      </c>
      <c r="U20" s="10">
        <v>1.3403780999999999</v>
      </c>
      <c r="V20" s="10">
        <v>1.3700988999999999</v>
      </c>
      <c r="W20" s="10">
        <v>1.3949777999999999</v>
      </c>
      <c r="X20" s="10">
        <v>1.4153205</v>
      </c>
      <c r="Y20" s="10">
        <v>1.4314327</v>
      </c>
      <c r="Z20" s="10">
        <v>1.4436201</v>
      </c>
      <c r="AA20" s="10">
        <v>1.4521884</v>
      </c>
      <c r="AB20" s="10">
        <v>1.4574541000000001</v>
      </c>
      <c r="AC20" s="10">
        <v>1.4597722</v>
      </c>
      <c r="AD20" s="10">
        <v>1.4595054999999999</v>
      </c>
      <c r="AE20" s="10">
        <v>1.4570168999999999</v>
      </c>
      <c r="AF20" s="10">
        <v>1.4526695000000001</v>
      </c>
      <c r="AG20" s="10">
        <v>1.4468261</v>
      </c>
      <c r="AH20" s="10">
        <v>1.4398097000000001</v>
      </c>
      <c r="AI20" s="10">
        <v>1.4317823000000001</v>
      </c>
      <c r="AJ20" s="10">
        <v>1.4228664</v>
      </c>
      <c r="AK20" s="10">
        <v>1.4131838000000001</v>
      </c>
      <c r="AL20" s="10">
        <v>1.402857</v>
      </c>
      <c r="AM20" s="10">
        <v>1.3920079000000001</v>
      </c>
      <c r="AN20" s="10">
        <v>1.3807588</v>
      </c>
      <c r="AO20" s="10">
        <v>1.3692318000000001</v>
      </c>
      <c r="AP20" s="10">
        <v>1.3575491</v>
      </c>
      <c r="AQ20" s="10">
        <v>1.3458327999999999</v>
      </c>
      <c r="AR20" s="10">
        <v>1.3342050999999999</v>
      </c>
      <c r="AS20" s="10">
        <v>1.3227882</v>
      </c>
      <c r="AT20" s="10">
        <v>1.3116874000000001</v>
      </c>
      <c r="AU20" s="10">
        <v>1.3009265999999999</v>
      </c>
      <c r="AV20" s="10">
        <v>1.2905047000000001</v>
      </c>
      <c r="AW20" s="10">
        <v>1.2804207000000001</v>
      </c>
      <c r="AX20" s="10">
        <v>1.2706735</v>
      </c>
      <c r="AY20" s="10">
        <v>1.2612622</v>
      </c>
      <c r="AZ20" s="10">
        <v>1.2521857000000001</v>
      </c>
      <c r="BA20" s="10">
        <v>1.2434429</v>
      </c>
      <c r="BB20" s="10">
        <v>1.2350329</v>
      </c>
      <c r="BC20" s="10">
        <v>1.2269544999999999</v>
      </c>
      <c r="BD20" s="10">
        <v>1.2192067</v>
      </c>
      <c r="BE20" s="10">
        <v>1.2117886</v>
      </c>
      <c r="BF20" s="10">
        <v>1.2046981000000001</v>
      </c>
      <c r="BG20" s="10">
        <v>1.1979289</v>
      </c>
      <c r="BH20" s="10">
        <v>1.1914737</v>
      </c>
      <c r="BI20" s="10">
        <v>1.1853251</v>
      </c>
      <c r="BJ20" s="10">
        <v>1.1794757</v>
      </c>
      <c r="BK20" s="10">
        <v>1.1739181000000001</v>
      </c>
      <c r="BL20" s="10">
        <v>1.1686448</v>
      </c>
      <c r="BM20" s="10">
        <v>1.1636485999999999</v>
      </c>
      <c r="BN20" s="10">
        <v>1.1589218999999999</v>
      </c>
      <c r="BO20" s="10">
        <v>1.1544574999999999</v>
      </c>
      <c r="BP20" s="10">
        <v>1.1502479000000001</v>
      </c>
      <c r="BQ20" s="10">
        <v>1.1462855999999999</v>
      </c>
      <c r="BR20" s="10">
        <v>1.1273046</v>
      </c>
      <c r="BS20" s="10">
        <v>1.1154341999999999</v>
      </c>
      <c r="BU20" s="7">
        <v>0.9</v>
      </c>
      <c r="BV20" s="7">
        <v>1.26</v>
      </c>
      <c r="BW20" s="9">
        <v>82.8369</v>
      </c>
    </row>
    <row r="21" spans="1:75" x14ac:dyDescent="0.25">
      <c r="A21" s="6">
        <f t="shared" si="5"/>
        <v>44581</v>
      </c>
      <c r="B21" s="13">
        <f t="shared" si="0"/>
        <v>1</v>
      </c>
      <c r="C21" s="13">
        <f t="shared" si="1"/>
        <v>2022</v>
      </c>
      <c r="D21">
        <f t="shared" si="2"/>
        <v>202201</v>
      </c>
      <c r="E21">
        <f t="shared" si="3"/>
        <v>1</v>
      </c>
      <c r="F21">
        <f t="shared" si="4"/>
        <v>202201</v>
      </c>
      <c r="G21" t="s">
        <v>208</v>
      </c>
      <c r="H21" s="9">
        <v>0.25</v>
      </c>
      <c r="I21" s="9">
        <v>0.1966</v>
      </c>
      <c r="J21" s="10">
        <v>0.43385420000000002</v>
      </c>
      <c r="K21" s="10">
        <v>0.50642120000000002</v>
      </c>
      <c r="L21" s="10">
        <v>0.61068909999999998</v>
      </c>
      <c r="M21" s="10">
        <v>0.7318173</v>
      </c>
      <c r="N21" s="10">
        <v>0.85323629999999995</v>
      </c>
      <c r="O21" s="10">
        <v>0.96385980000000004</v>
      </c>
      <c r="P21" s="10">
        <v>1.0589021000000001</v>
      </c>
      <c r="Q21" s="10">
        <v>1.1379868</v>
      </c>
      <c r="R21" s="10">
        <v>1.2032494</v>
      </c>
      <c r="S21" s="10">
        <v>1.2572730000000001</v>
      </c>
      <c r="T21" s="10">
        <v>1.3021498</v>
      </c>
      <c r="U21" s="10">
        <v>1.3392934000000001</v>
      </c>
      <c r="V21" s="10">
        <v>1.3700383</v>
      </c>
      <c r="W21" s="10">
        <v>1.3950419000000001</v>
      </c>
      <c r="X21" s="10">
        <v>1.4147749000000001</v>
      </c>
      <c r="Y21" s="10">
        <v>1.429708</v>
      </c>
      <c r="Z21" s="10">
        <v>1.440312</v>
      </c>
      <c r="AA21" s="10">
        <v>1.4470577</v>
      </c>
      <c r="AB21" s="10">
        <v>1.4504028</v>
      </c>
      <c r="AC21" s="10">
        <v>1.45076</v>
      </c>
      <c r="AD21" s="10">
        <v>1.4485323000000001</v>
      </c>
      <c r="AE21" s="10">
        <v>1.4441229</v>
      </c>
      <c r="AF21" s="10">
        <v>1.4379348000000001</v>
      </c>
      <c r="AG21" s="10">
        <v>1.4303710999999999</v>
      </c>
      <c r="AH21" s="10">
        <v>1.4217948</v>
      </c>
      <c r="AI21" s="10">
        <v>1.4123736</v>
      </c>
      <c r="AJ21" s="10">
        <v>1.4022159000000001</v>
      </c>
      <c r="AK21" s="10">
        <v>1.3914301</v>
      </c>
      <c r="AL21" s="10">
        <v>1.3801243999999999</v>
      </c>
      <c r="AM21" s="10">
        <v>1.3684073999999999</v>
      </c>
      <c r="AN21" s="10">
        <v>1.3563871999999999</v>
      </c>
      <c r="AO21" s="10">
        <v>1.3441723000000001</v>
      </c>
      <c r="AP21" s="10">
        <v>1.331871</v>
      </c>
      <c r="AQ21" s="10">
        <v>1.3195916000000001</v>
      </c>
      <c r="AR21" s="10">
        <v>1.3074425000000001</v>
      </c>
      <c r="AS21" s="10">
        <v>1.2955321</v>
      </c>
      <c r="AT21" s="10">
        <v>1.283952</v>
      </c>
      <c r="AU21" s="10">
        <v>1.2727200999999999</v>
      </c>
      <c r="AV21" s="10">
        <v>1.2618339000000001</v>
      </c>
      <c r="AW21" s="10">
        <v>1.2512912</v>
      </c>
      <c r="AX21" s="10">
        <v>1.2410893000000001</v>
      </c>
      <c r="AY21" s="10">
        <v>1.2312259999999999</v>
      </c>
      <c r="AZ21" s="10">
        <v>1.2216986999999999</v>
      </c>
      <c r="BA21" s="10">
        <v>1.2125051</v>
      </c>
      <c r="BB21" s="10">
        <v>1.2036427999999999</v>
      </c>
      <c r="BC21" s="10">
        <v>1.1951092000000001</v>
      </c>
      <c r="BD21" s="10">
        <v>1.1869019999999999</v>
      </c>
      <c r="BE21" s="10">
        <v>1.1790187000000001</v>
      </c>
      <c r="BF21" s="10">
        <v>1.1714563</v>
      </c>
      <c r="BG21" s="10">
        <v>1.1642089</v>
      </c>
      <c r="BH21" s="10">
        <v>1.1572697999999999</v>
      </c>
      <c r="BI21" s="10">
        <v>1.1506323000000001</v>
      </c>
      <c r="BJ21" s="10">
        <v>1.1442896</v>
      </c>
      <c r="BK21" s="10">
        <v>1.1382352</v>
      </c>
      <c r="BL21" s="10">
        <v>1.1324623</v>
      </c>
      <c r="BM21" s="10">
        <v>1.1269643</v>
      </c>
      <c r="BN21" s="10">
        <v>1.1217344</v>
      </c>
      <c r="BO21" s="10">
        <v>1.1167659000000001</v>
      </c>
      <c r="BP21" s="10">
        <v>1.1120521999999999</v>
      </c>
      <c r="BQ21" s="10">
        <v>1.1075866000000001</v>
      </c>
      <c r="BR21" s="10">
        <v>1.0856711999999999</v>
      </c>
      <c r="BS21" s="10">
        <v>1.0712633</v>
      </c>
      <c r="BU21" s="7">
        <v>0.89</v>
      </c>
      <c r="BV21" s="7">
        <v>1.22</v>
      </c>
      <c r="BW21" s="9">
        <v>83.044399999999996</v>
      </c>
    </row>
    <row r="22" spans="1:75" x14ac:dyDescent="0.25">
      <c r="A22" s="6">
        <f t="shared" si="5"/>
        <v>44582</v>
      </c>
      <c r="B22" s="13">
        <f t="shared" si="0"/>
        <v>1</v>
      </c>
      <c r="C22" s="13">
        <f t="shared" si="1"/>
        <v>2022</v>
      </c>
      <c r="D22">
        <f t="shared" si="2"/>
        <v>202201</v>
      </c>
      <c r="E22">
        <f t="shared" si="3"/>
        <v>1</v>
      </c>
      <c r="F22">
        <f t="shared" si="4"/>
        <v>202201</v>
      </c>
      <c r="G22" t="s">
        <v>209</v>
      </c>
      <c r="H22" s="9">
        <v>0.25</v>
      </c>
      <c r="I22" s="9">
        <v>0.19670000000000001</v>
      </c>
      <c r="J22" s="10">
        <v>0.42397420000000002</v>
      </c>
      <c r="K22" s="10">
        <v>0.49881239999999999</v>
      </c>
      <c r="L22" s="10">
        <v>0.60437989999999997</v>
      </c>
      <c r="M22" s="10">
        <v>0.72363460000000002</v>
      </c>
      <c r="N22" s="10">
        <v>0.84024469999999996</v>
      </c>
      <c r="O22" s="10">
        <v>0.94486829999999999</v>
      </c>
      <c r="P22" s="10">
        <v>1.0337685999999999</v>
      </c>
      <c r="Q22" s="10">
        <v>1.1072492</v>
      </c>
      <c r="R22" s="10">
        <v>1.1678137</v>
      </c>
      <c r="S22" s="10">
        <v>1.2182093000000001</v>
      </c>
      <c r="T22" s="10">
        <v>1.2603784</v>
      </c>
      <c r="U22" s="10">
        <v>1.2956652</v>
      </c>
      <c r="V22" s="10">
        <v>1.3250782999999999</v>
      </c>
      <c r="W22" s="10">
        <v>1.3491366</v>
      </c>
      <c r="X22" s="10">
        <v>1.3682205000000001</v>
      </c>
      <c r="Y22" s="10">
        <v>1.3827103999999999</v>
      </c>
      <c r="Z22" s="10">
        <v>1.3929866</v>
      </c>
      <c r="AA22" s="10">
        <v>1.3994293</v>
      </c>
      <c r="AB22" s="10">
        <v>1.4024272</v>
      </c>
      <c r="AC22" s="10">
        <v>1.4023971</v>
      </c>
      <c r="AD22" s="10">
        <v>1.3997618000000001</v>
      </c>
      <c r="AE22" s="10">
        <v>1.3949442999999999</v>
      </c>
      <c r="AF22" s="10">
        <v>1.3883675</v>
      </c>
      <c r="AG22" s="10">
        <v>1.3804544000000001</v>
      </c>
      <c r="AH22" s="10">
        <v>1.3715801000000001</v>
      </c>
      <c r="AI22" s="10">
        <v>1.3619091999999999</v>
      </c>
      <c r="AJ22" s="10">
        <v>1.351548</v>
      </c>
      <c r="AK22" s="10">
        <v>1.340603</v>
      </c>
      <c r="AL22" s="10">
        <v>1.3291805999999999</v>
      </c>
      <c r="AM22" s="10">
        <v>1.3173870999999999</v>
      </c>
      <c r="AN22" s="10">
        <v>1.3053291</v>
      </c>
      <c r="AO22" s="10">
        <v>1.2931128999999999</v>
      </c>
      <c r="AP22" s="10">
        <v>1.2808449</v>
      </c>
      <c r="AQ22" s="10">
        <v>1.2686314999999999</v>
      </c>
      <c r="AR22" s="10">
        <v>1.2565790999999999</v>
      </c>
      <c r="AS22" s="10">
        <v>1.2447942000000001</v>
      </c>
      <c r="AT22" s="10">
        <v>1.2333656</v>
      </c>
      <c r="AU22" s="10">
        <v>1.2223047</v>
      </c>
      <c r="AV22" s="10">
        <v>1.2116015</v>
      </c>
      <c r="AW22" s="10">
        <v>1.2012461000000001</v>
      </c>
      <c r="AX22" s="10">
        <v>1.1912285</v>
      </c>
      <c r="AY22" s="10">
        <v>1.1815388</v>
      </c>
      <c r="AZ22" s="10">
        <v>1.172167</v>
      </c>
      <c r="BA22" s="10">
        <v>1.1631031999999999</v>
      </c>
      <c r="BB22" s="10">
        <v>1.1543372999999999</v>
      </c>
      <c r="BC22" s="10">
        <v>1.1458594</v>
      </c>
      <c r="BD22" s="10">
        <v>1.1376596000000001</v>
      </c>
      <c r="BE22" s="10">
        <v>1.1297279</v>
      </c>
      <c r="BF22" s="10">
        <v>1.1220553</v>
      </c>
      <c r="BG22" s="10">
        <v>1.1146370000000001</v>
      </c>
      <c r="BH22" s="10">
        <v>1.1074694</v>
      </c>
      <c r="BI22" s="10">
        <v>1.1005488000000001</v>
      </c>
      <c r="BJ22" s="10">
        <v>1.0938715999999999</v>
      </c>
      <c r="BK22" s="10">
        <v>1.0874343</v>
      </c>
      <c r="BL22" s="10">
        <v>1.0812330999999999</v>
      </c>
      <c r="BM22" s="10">
        <v>1.0752645000000001</v>
      </c>
      <c r="BN22" s="10">
        <v>1.0695247999999999</v>
      </c>
      <c r="BO22" s="10">
        <v>1.0640103999999999</v>
      </c>
      <c r="BP22" s="10">
        <v>1.0587176</v>
      </c>
      <c r="BQ22" s="10">
        <v>1.0536430000000001</v>
      </c>
      <c r="BR22" s="10">
        <v>1.0276400000000001</v>
      </c>
      <c r="BS22" s="10">
        <v>1.0089915</v>
      </c>
      <c r="BU22" s="7">
        <v>0.87</v>
      </c>
      <c r="BV22" s="7">
        <v>1.17</v>
      </c>
      <c r="BW22" s="9">
        <v>82.471199999999996</v>
      </c>
    </row>
    <row r="23" spans="1:75" x14ac:dyDescent="0.25">
      <c r="A23" s="6">
        <f t="shared" si="5"/>
        <v>44585</v>
      </c>
      <c r="B23" s="13">
        <f t="shared" si="0"/>
        <v>1</v>
      </c>
      <c r="C23" s="13">
        <f t="shared" si="1"/>
        <v>2022</v>
      </c>
      <c r="D23">
        <f t="shared" si="2"/>
        <v>202201</v>
      </c>
      <c r="E23">
        <f t="shared" si="3"/>
        <v>1</v>
      </c>
      <c r="F23">
        <f t="shared" si="4"/>
        <v>202201</v>
      </c>
      <c r="G23" t="s">
        <v>210</v>
      </c>
      <c r="H23" s="9">
        <v>0.25</v>
      </c>
      <c r="I23" s="9">
        <v>0.19550000000000001</v>
      </c>
      <c r="J23" s="10">
        <v>0.42731849999999999</v>
      </c>
      <c r="K23" s="10">
        <v>0.51386790000000004</v>
      </c>
      <c r="L23" s="10">
        <v>0.62432770000000004</v>
      </c>
      <c r="M23" s="10">
        <v>0.74297469999999999</v>
      </c>
      <c r="N23" s="10">
        <v>0.85472130000000002</v>
      </c>
      <c r="O23" s="10">
        <v>0.95244799999999996</v>
      </c>
      <c r="P23" s="10">
        <v>1.0344217</v>
      </c>
      <c r="Q23" s="10">
        <v>1.1020547999999999</v>
      </c>
      <c r="R23" s="10">
        <v>1.157899</v>
      </c>
      <c r="S23" s="10">
        <v>1.2048633</v>
      </c>
      <c r="T23" s="10">
        <v>1.2446842</v>
      </c>
      <c r="U23" s="10">
        <v>1.2787124999999999</v>
      </c>
      <c r="V23" s="10">
        <v>1.3078156999999999</v>
      </c>
      <c r="W23" s="10">
        <v>1.3323761000000001</v>
      </c>
      <c r="X23" s="10">
        <v>1.3526895999999999</v>
      </c>
      <c r="Y23" s="10">
        <v>1.3690517</v>
      </c>
      <c r="Z23" s="10">
        <v>1.3817581000000001</v>
      </c>
      <c r="AA23" s="10">
        <v>1.3911046</v>
      </c>
      <c r="AB23" s="10">
        <v>1.3973802</v>
      </c>
      <c r="AC23" s="10">
        <v>1.4008508</v>
      </c>
      <c r="AD23" s="10">
        <v>1.4017776</v>
      </c>
      <c r="AE23" s="10">
        <v>1.4004215</v>
      </c>
      <c r="AF23" s="10">
        <v>1.3970435999999999</v>
      </c>
      <c r="AG23" s="10">
        <v>1.3919048999999999</v>
      </c>
      <c r="AH23" s="10">
        <v>1.3852462000000001</v>
      </c>
      <c r="AI23" s="10">
        <v>1.3772272000000001</v>
      </c>
      <c r="AJ23" s="10">
        <v>1.3679870999999999</v>
      </c>
      <c r="AK23" s="10">
        <v>1.3576653999999999</v>
      </c>
      <c r="AL23" s="10">
        <v>1.3464012999999999</v>
      </c>
      <c r="AM23" s="10">
        <v>1.3343342</v>
      </c>
      <c r="AN23" s="10">
        <v>1.3216034999999999</v>
      </c>
      <c r="AO23" s="10">
        <v>1.3083486</v>
      </c>
      <c r="AP23" s="10">
        <v>1.2947086000000001</v>
      </c>
      <c r="AQ23" s="10">
        <v>1.2808231000000001</v>
      </c>
      <c r="AR23" s="10">
        <v>1.2668313</v>
      </c>
      <c r="AS23" s="10">
        <v>1.2528725000000001</v>
      </c>
      <c r="AT23" s="10">
        <v>1.2390684000000001</v>
      </c>
      <c r="AU23" s="10">
        <v>1.2254615</v>
      </c>
      <c r="AV23" s="10">
        <v>1.2120728000000001</v>
      </c>
      <c r="AW23" s="10">
        <v>1.1989232000000001</v>
      </c>
      <c r="AX23" s="10">
        <v>1.1860336</v>
      </c>
      <c r="AY23" s="10">
        <v>1.1734249000000001</v>
      </c>
      <c r="AZ23" s="10">
        <v>1.1611182</v>
      </c>
      <c r="BA23" s="10">
        <v>1.1491342</v>
      </c>
      <c r="BB23" s="10">
        <v>1.137494</v>
      </c>
      <c r="BC23" s="10">
        <v>1.1262184</v>
      </c>
      <c r="BD23" s="10">
        <v>1.1153283000000001</v>
      </c>
      <c r="BE23" s="10">
        <v>1.1048448</v>
      </c>
      <c r="BF23" s="10">
        <v>1.0947851</v>
      </c>
      <c r="BG23" s="10">
        <v>1.0851476</v>
      </c>
      <c r="BH23" s="10">
        <v>1.0759242</v>
      </c>
      <c r="BI23" s="10">
        <v>1.0671066</v>
      </c>
      <c r="BJ23" s="10">
        <v>1.0586868</v>
      </c>
      <c r="BK23" s="10">
        <v>1.0506567</v>
      </c>
      <c r="BL23" s="10">
        <v>1.0430082000000001</v>
      </c>
      <c r="BM23" s="10">
        <v>1.035733</v>
      </c>
      <c r="BN23" s="10">
        <v>1.0288231000000001</v>
      </c>
      <c r="BO23" s="10">
        <v>1.0222704</v>
      </c>
      <c r="BP23" s="10">
        <v>1.0160667999999999</v>
      </c>
      <c r="BQ23" s="10">
        <v>1.0102040000000001</v>
      </c>
      <c r="BR23" s="10">
        <v>0.98169640000000002</v>
      </c>
      <c r="BS23" s="10">
        <v>0.9631982</v>
      </c>
      <c r="BU23" s="7">
        <v>0.87</v>
      </c>
      <c r="BV23" s="7">
        <v>1.1299999999999999</v>
      </c>
      <c r="BW23" s="9">
        <v>82.148200000000003</v>
      </c>
    </row>
    <row r="24" spans="1:75" x14ac:dyDescent="0.25">
      <c r="A24" s="6">
        <f t="shared" si="5"/>
        <v>44586</v>
      </c>
      <c r="B24" s="13">
        <f t="shared" si="0"/>
        <v>1</v>
      </c>
      <c r="C24" s="13">
        <f t="shared" si="1"/>
        <v>2022</v>
      </c>
      <c r="D24">
        <f t="shared" si="2"/>
        <v>202201</v>
      </c>
      <c r="E24">
        <f t="shared" si="3"/>
        <v>1</v>
      </c>
      <c r="F24">
        <f t="shared" si="4"/>
        <v>202201</v>
      </c>
      <c r="G24" t="s">
        <v>211</v>
      </c>
      <c r="H24" s="9">
        <v>0.25</v>
      </c>
      <c r="I24" s="9">
        <v>0.19539999999999999</v>
      </c>
      <c r="J24" s="10">
        <v>0.43199169999999998</v>
      </c>
      <c r="K24" s="10">
        <v>0.52303040000000001</v>
      </c>
      <c r="L24" s="10">
        <v>0.63686810000000005</v>
      </c>
      <c r="M24" s="10">
        <v>0.75897840000000005</v>
      </c>
      <c r="N24" s="10">
        <v>0.87416309999999997</v>
      </c>
      <c r="O24" s="10">
        <v>0.97538239999999998</v>
      </c>
      <c r="P24" s="10">
        <v>1.0605640000000001</v>
      </c>
      <c r="Q24" s="10">
        <v>1.1315508999999999</v>
      </c>
      <c r="R24" s="10">
        <v>1.1910871999999999</v>
      </c>
      <c r="S24" s="10">
        <v>1.2418625999999999</v>
      </c>
      <c r="T24" s="10">
        <v>1.2853995</v>
      </c>
      <c r="U24" s="10">
        <v>1.3227382000000001</v>
      </c>
      <c r="V24" s="10">
        <v>1.3543684</v>
      </c>
      <c r="W24" s="10">
        <v>1.3806312000000001</v>
      </c>
      <c r="X24" s="10">
        <v>1.4018725999999999</v>
      </c>
      <c r="Y24" s="10">
        <v>1.4184388000000001</v>
      </c>
      <c r="Z24" s="10">
        <v>1.4306757999999999</v>
      </c>
      <c r="AA24" s="10">
        <v>1.4389297000000001</v>
      </c>
      <c r="AB24" s="10">
        <v>1.4435575</v>
      </c>
      <c r="AC24" s="10">
        <v>1.4449547</v>
      </c>
      <c r="AD24" s="10">
        <v>1.4435249000000001</v>
      </c>
      <c r="AE24" s="10">
        <v>1.4396717000000001</v>
      </c>
      <c r="AF24" s="10">
        <v>1.4337986</v>
      </c>
      <c r="AG24" s="10">
        <v>1.4263093</v>
      </c>
      <c r="AH24" s="10">
        <v>1.4175616</v>
      </c>
      <c r="AI24" s="10">
        <v>1.4077302</v>
      </c>
      <c r="AJ24" s="10">
        <v>1.3969442000000001</v>
      </c>
      <c r="AK24" s="10">
        <v>1.3853324</v>
      </c>
      <c r="AL24" s="10">
        <v>1.3730237999999999</v>
      </c>
      <c r="AM24" s="10">
        <v>1.3601472999999999</v>
      </c>
      <c r="AN24" s="10">
        <v>1.3468321000000001</v>
      </c>
      <c r="AO24" s="10">
        <v>1.3332069</v>
      </c>
      <c r="AP24" s="10">
        <v>1.3194007000000001</v>
      </c>
      <c r="AQ24" s="10">
        <v>1.3055426000000001</v>
      </c>
      <c r="AR24" s="10">
        <v>1.2917615</v>
      </c>
      <c r="AS24" s="10">
        <v>1.2781863</v>
      </c>
      <c r="AT24" s="10">
        <v>1.2649307999999999</v>
      </c>
      <c r="AU24" s="10">
        <v>1.2520268999999999</v>
      </c>
      <c r="AV24" s="10">
        <v>1.2394791000000001</v>
      </c>
      <c r="AW24" s="10">
        <v>1.2272919</v>
      </c>
      <c r="AX24" s="10">
        <v>1.2154697000000001</v>
      </c>
      <c r="AY24" s="10">
        <v>1.2040171</v>
      </c>
      <c r="AZ24" s="10">
        <v>1.1929384000000001</v>
      </c>
      <c r="BA24" s="10">
        <v>1.1822382</v>
      </c>
      <c r="BB24" s="10">
        <v>1.1719208999999999</v>
      </c>
      <c r="BC24" s="10">
        <v>1.161991</v>
      </c>
      <c r="BD24" s="10">
        <v>1.1524529999999999</v>
      </c>
      <c r="BE24" s="10">
        <v>1.1433112999999999</v>
      </c>
      <c r="BF24" s="10">
        <v>1.1345684</v>
      </c>
      <c r="BG24" s="10">
        <v>1.1262175999999999</v>
      </c>
      <c r="BH24" s="10">
        <v>1.1182489</v>
      </c>
      <c r="BI24" s="10">
        <v>1.1106526999999999</v>
      </c>
      <c r="BJ24" s="10">
        <v>1.1034193000000001</v>
      </c>
      <c r="BK24" s="10">
        <v>1.0965388</v>
      </c>
      <c r="BL24" s="10">
        <v>1.0900015999999999</v>
      </c>
      <c r="BM24" s="10">
        <v>1.0837977999999999</v>
      </c>
      <c r="BN24" s="10">
        <v>1.0779178</v>
      </c>
      <c r="BO24" s="10">
        <v>1.0723517</v>
      </c>
      <c r="BP24" s="10">
        <v>1.0670899</v>
      </c>
      <c r="BQ24" s="10">
        <v>1.0621225000000001</v>
      </c>
      <c r="BR24" s="10">
        <v>1.0379676</v>
      </c>
      <c r="BS24" s="10">
        <v>1.0220258</v>
      </c>
      <c r="BU24" s="7">
        <v>0.9</v>
      </c>
      <c r="BV24" s="7">
        <v>1.17</v>
      </c>
      <c r="BW24" s="9">
        <v>82.387500000000003</v>
      </c>
    </row>
    <row r="25" spans="1:75" x14ac:dyDescent="0.25">
      <c r="A25" s="6">
        <f t="shared" si="5"/>
        <v>44587</v>
      </c>
      <c r="B25" s="13">
        <f t="shared" si="0"/>
        <v>1</v>
      </c>
      <c r="C25" s="13">
        <f t="shared" si="1"/>
        <v>2022</v>
      </c>
      <c r="D25">
        <f t="shared" si="2"/>
        <v>202201</v>
      </c>
      <c r="E25">
        <f t="shared" si="3"/>
        <v>1</v>
      </c>
      <c r="F25">
        <f t="shared" si="4"/>
        <v>202201</v>
      </c>
      <c r="G25" t="s">
        <v>212</v>
      </c>
      <c r="H25" s="9">
        <v>0.25</v>
      </c>
      <c r="I25" s="9">
        <v>0.1956</v>
      </c>
      <c r="J25" s="10">
        <v>0.43299979999999999</v>
      </c>
      <c r="K25" s="10">
        <v>0.52827100000000005</v>
      </c>
      <c r="L25" s="10">
        <v>0.6439551</v>
      </c>
      <c r="M25" s="10">
        <v>0.76767799999999997</v>
      </c>
      <c r="N25" s="10">
        <v>0.88518520000000001</v>
      </c>
      <c r="O25" s="10">
        <v>0.98946599999999996</v>
      </c>
      <c r="P25" s="10">
        <v>1.0782676</v>
      </c>
      <c r="Q25" s="10">
        <v>1.1525596</v>
      </c>
      <c r="R25" s="10">
        <v>1.2147292000000001</v>
      </c>
      <c r="S25" s="10">
        <v>1.2671220000000001</v>
      </c>
      <c r="T25" s="10">
        <v>1.3115684000000001</v>
      </c>
      <c r="U25" s="10">
        <v>1.3491503</v>
      </c>
      <c r="V25" s="10">
        <v>1.3808669</v>
      </c>
      <c r="W25" s="10">
        <v>1.4072264000000001</v>
      </c>
      <c r="X25" s="10">
        <v>1.4285943999999999</v>
      </c>
      <c r="Y25" s="10">
        <v>1.4453364</v>
      </c>
      <c r="Z25" s="10">
        <v>1.4578180999999999</v>
      </c>
      <c r="AA25" s="10">
        <v>1.466405</v>
      </c>
      <c r="AB25" s="10">
        <v>1.4714640000000001</v>
      </c>
      <c r="AC25" s="10">
        <v>1.4733665</v>
      </c>
      <c r="AD25" s="10">
        <v>1.4724851000000001</v>
      </c>
      <c r="AE25" s="10">
        <v>1.4691921999999999</v>
      </c>
      <c r="AF25" s="10">
        <v>1.4638602999999999</v>
      </c>
      <c r="AG25" s="10">
        <v>1.4568619</v>
      </c>
      <c r="AH25" s="10">
        <v>1.448529</v>
      </c>
      <c r="AI25" s="10">
        <v>1.4390316000000001</v>
      </c>
      <c r="AJ25" s="10">
        <v>1.4284992000000001</v>
      </c>
      <c r="AK25" s="10">
        <v>1.4170615</v>
      </c>
      <c r="AL25" s="10">
        <v>1.4048479</v>
      </c>
      <c r="AM25" s="10">
        <v>1.3919881000000001</v>
      </c>
      <c r="AN25" s="10">
        <v>1.3786115999999999</v>
      </c>
      <c r="AO25" s="10">
        <v>1.3648479</v>
      </c>
      <c r="AP25" s="10">
        <v>1.3508266</v>
      </c>
      <c r="AQ25" s="10">
        <v>1.3366773000000001</v>
      </c>
      <c r="AR25" s="10">
        <v>1.3225294999999999</v>
      </c>
      <c r="AS25" s="10">
        <v>1.3085127999999999</v>
      </c>
      <c r="AT25" s="10">
        <v>1.2947413000000001</v>
      </c>
      <c r="AU25" s="10">
        <v>1.2812538</v>
      </c>
      <c r="AV25" s="10">
        <v>1.2680663000000001</v>
      </c>
      <c r="AW25" s="10">
        <v>1.2551946</v>
      </c>
      <c r="AX25" s="10">
        <v>1.2426547999999999</v>
      </c>
      <c r="AY25" s="10">
        <v>1.2304626000000001</v>
      </c>
      <c r="AZ25" s="10">
        <v>1.2186341000000001</v>
      </c>
      <c r="BA25" s="10">
        <v>1.2071851</v>
      </c>
      <c r="BB25" s="10">
        <v>1.1961316</v>
      </c>
      <c r="BC25" s="10">
        <v>1.1854895000000001</v>
      </c>
      <c r="BD25" s="10">
        <v>1.1752746000000001</v>
      </c>
      <c r="BE25" s="10">
        <v>1.1655031</v>
      </c>
      <c r="BF25" s="10">
        <v>1.156188</v>
      </c>
      <c r="BG25" s="10">
        <v>1.1473306000000001</v>
      </c>
      <c r="BH25" s="10">
        <v>1.1389288</v>
      </c>
      <c r="BI25" s="10">
        <v>1.1309807000000001</v>
      </c>
      <c r="BJ25" s="10">
        <v>1.1234842</v>
      </c>
      <c r="BK25" s="10">
        <v>1.1164373000000001</v>
      </c>
      <c r="BL25" s="10">
        <v>1.1098380000000001</v>
      </c>
      <c r="BM25" s="10">
        <v>1.1036840999999999</v>
      </c>
      <c r="BN25" s="10">
        <v>1.0979737000000001</v>
      </c>
      <c r="BO25" s="10">
        <v>1.0927047000000001</v>
      </c>
      <c r="BP25" s="10">
        <v>1.0878751</v>
      </c>
      <c r="BQ25" s="10">
        <v>1.0834828999999999</v>
      </c>
      <c r="BR25" s="10">
        <v>1.0654741999999999</v>
      </c>
      <c r="BS25" s="10">
        <v>1.0582944000000001</v>
      </c>
      <c r="BU25" s="7">
        <v>0.92</v>
      </c>
      <c r="BV25" s="7">
        <v>1.2</v>
      </c>
      <c r="BW25" s="9">
        <v>82.539500000000004</v>
      </c>
    </row>
    <row r="26" spans="1:75" x14ac:dyDescent="0.25">
      <c r="A26" s="6">
        <f t="shared" si="5"/>
        <v>44588</v>
      </c>
      <c r="B26" s="13">
        <f t="shared" si="0"/>
        <v>1</v>
      </c>
      <c r="C26" s="13">
        <f t="shared" si="1"/>
        <v>2022</v>
      </c>
      <c r="D26">
        <f t="shared" si="2"/>
        <v>202201</v>
      </c>
      <c r="E26">
        <f t="shared" si="3"/>
        <v>1</v>
      </c>
      <c r="F26">
        <f t="shared" si="4"/>
        <v>202201</v>
      </c>
      <c r="G26" t="s">
        <v>213</v>
      </c>
      <c r="H26" s="9">
        <v>0.25</v>
      </c>
      <c r="I26" s="9">
        <v>0.19570000000000001</v>
      </c>
      <c r="J26" s="10">
        <v>0.44623659999999998</v>
      </c>
      <c r="K26" s="10">
        <v>0.5541007</v>
      </c>
      <c r="L26" s="10">
        <v>0.67695649999999996</v>
      </c>
      <c r="M26" s="10">
        <v>0.8047069</v>
      </c>
      <c r="N26" s="10">
        <v>0.92613190000000001</v>
      </c>
      <c r="O26" s="10">
        <v>1.0349956</v>
      </c>
      <c r="P26" s="10">
        <v>1.1287275999999999</v>
      </c>
      <c r="Q26" s="10">
        <v>1.2076127000000001</v>
      </c>
      <c r="R26" s="10">
        <v>1.2737590000000001</v>
      </c>
      <c r="S26" s="10">
        <v>1.3294075000000001</v>
      </c>
      <c r="T26" s="10">
        <v>1.3762342000000001</v>
      </c>
      <c r="U26" s="10">
        <v>1.4153165000000001</v>
      </c>
      <c r="V26" s="10">
        <v>1.4475457</v>
      </c>
      <c r="W26" s="10">
        <v>1.4734718</v>
      </c>
      <c r="X26" s="10">
        <v>1.4935567999999999</v>
      </c>
      <c r="Y26" s="10">
        <v>1.5082627</v>
      </c>
      <c r="Z26" s="10">
        <v>1.5180514000000001</v>
      </c>
      <c r="AA26" s="10">
        <v>1.5233851</v>
      </c>
      <c r="AB26" s="10">
        <v>1.5247318000000001</v>
      </c>
      <c r="AC26" s="10">
        <v>1.5225808999999999</v>
      </c>
      <c r="AD26" s="10">
        <v>1.5174266000000001</v>
      </c>
      <c r="AE26" s="10">
        <v>1.5097628000000001</v>
      </c>
      <c r="AF26" s="10">
        <v>1.5000834999999999</v>
      </c>
      <c r="AG26" s="10">
        <v>1.4888828999999999</v>
      </c>
      <c r="AH26" s="10">
        <v>1.4766039</v>
      </c>
      <c r="AI26" s="10">
        <v>1.4634411000000001</v>
      </c>
      <c r="AJ26" s="10">
        <v>1.4495136</v>
      </c>
      <c r="AK26" s="10">
        <v>1.4349403000000001</v>
      </c>
      <c r="AL26" s="10">
        <v>1.4198402999999999</v>
      </c>
      <c r="AM26" s="10">
        <v>1.4043325</v>
      </c>
      <c r="AN26" s="10">
        <v>1.388536</v>
      </c>
      <c r="AO26" s="10">
        <v>1.3725696999999999</v>
      </c>
      <c r="AP26" s="10">
        <v>1.3565525</v>
      </c>
      <c r="AQ26" s="10">
        <v>1.3406035999999999</v>
      </c>
      <c r="AR26" s="10">
        <v>1.3248419</v>
      </c>
      <c r="AS26" s="10">
        <v>1.3093864</v>
      </c>
      <c r="AT26" s="10">
        <v>1.2943388</v>
      </c>
      <c r="AU26" s="10">
        <v>1.2797243</v>
      </c>
      <c r="AV26" s="10">
        <v>1.2655472000000001</v>
      </c>
      <c r="AW26" s="10">
        <v>1.2518118</v>
      </c>
      <c r="AX26" s="10">
        <v>1.2385221</v>
      </c>
      <c r="AY26" s="10">
        <v>1.2256826000000001</v>
      </c>
      <c r="AZ26" s="10">
        <v>1.2132973</v>
      </c>
      <c r="BA26" s="10">
        <v>1.2013704999999999</v>
      </c>
      <c r="BB26" s="10">
        <v>1.1899063999999999</v>
      </c>
      <c r="BC26" s="10">
        <v>1.1789092999999999</v>
      </c>
      <c r="BD26" s="10">
        <v>1.1683832999999999</v>
      </c>
      <c r="BE26" s="10">
        <v>1.1583327000000001</v>
      </c>
      <c r="BF26" s="10">
        <v>1.1487609999999999</v>
      </c>
      <c r="BG26" s="10">
        <v>1.1396689</v>
      </c>
      <c r="BH26" s="10">
        <v>1.1310560000000001</v>
      </c>
      <c r="BI26" s="10">
        <v>1.1229221</v>
      </c>
      <c r="BJ26" s="10">
        <v>1.1152668999999999</v>
      </c>
      <c r="BK26" s="10">
        <v>1.1080904</v>
      </c>
      <c r="BL26" s="10">
        <v>1.1013921</v>
      </c>
      <c r="BM26" s="10">
        <v>1.0951717999999999</v>
      </c>
      <c r="BN26" s="10">
        <v>1.0894294</v>
      </c>
      <c r="BO26" s="10">
        <v>1.0841645</v>
      </c>
      <c r="BP26" s="10">
        <v>1.079377</v>
      </c>
      <c r="BQ26" s="10">
        <v>1.0750664999999999</v>
      </c>
      <c r="BR26" s="10">
        <v>1.0581718</v>
      </c>
      <c r="BS26" s="10">
        <v>1.0521001999999999</v>
      </c>
      <c r="BU26" s="7">
        <v>0.96</v>
      </c>
      <c r="BV26" s="7">
        <v>1.22</v>
      </c>
      <c r="BW26" s="9">
        <v>82.427000000000007</v>
      </c>
    </row>
    <row r="27" spans="1:75" x14ac:dyDescent="0.25">
      <c r="A27" s="6">
        <f t="shared" si="5"/>
        <v>44589</v>
      </c>
      <c r="B27" s="13">
        <f t="shared" si="0"/>
        <v>1</v>
      </c>
      <c r="C27" s="13">
        <f t="shared" si="1"/>
        <v>2022</v>
      </c>
      <c r="D27">
        <f t="shared" si="2"/>
        <v>202201</v>
      </c>
      <c r="E27">
        <f t="shared" si="3"/>
        <v>1</v>
      </c>
      <c r="F27">
        <f t="shared" si="4"/>
        <v>202201</v>
      </c>
      <c r="G27" t="s">
        <v>214</v>
      </c>
      <c r="H27" s="9">
        <v>0.25</v>
      </c>
      <c r="I27" s="9">
        <v>0.19570000000000001</v>
      </c>
      <c r="J27" s="10">
        <v>0.44920939999999998</v>
      </c>
      <c r="K27" s="10">
        <v>0.56112300000000004</v>
      </c>
      <c r="L27" s="10">
        <v>0.69003979999999998</v>
      </c>
      <c r="M27" s="10">
        <v>0.82430519999999996</v>
      </c>
      <c r="N27" s="10">
        <v>0.9508875</v>
      </c>
      <c r="O27" s="10">
        <v>1.0633504</v>
      </c>
      <c r="P27" s="10">
        <v>1.1591321999999999</v>
      </c>
      <c r="Q27" s="10">
        <v>1.2385466000000001</v>
      </c>
      <c r="R27" s="10">
        <v>1.3041290999999999</v>
      </c>
      <c r="S27" s="10">
        <v>1.3586019</v>
      </c>
      <c r="T27" s="10">
        <v>1.4039073</v>
      </c>
      <c r="U27" s="10">
        <v>1.4414522000000001</v>
      </c>
      <c r="V27" s="10">
        <v>1.4722691000000001</v>
      </c>
      <c r="W27" s="10">
        <v>1.4969634000000001</v>
      </c>
      <c r="X27" s="10">
        <v>1.5160264000000001</v>
      </c>
      <c r="Y27" s="10">
        <v>1.5299494</v>
      </c>
      <c r="Z27" s="10">
        <v>1.5392234</v>
      </c>
      <c r="AA27" s="10">
        <v>1.5443399</v>
      </c>
      <c r="AB27" s="10">
        <v>1.5457794</v>
      </c>
      <c r="AC27" s="10">
        <v>1.5439860999999999</v>
      </c>
      <c r="AD27" s="10">
        <v>1.5393962000000001</v>
      </c>
      <c r="AE27" s="10">
        <v>1.5324462000000001</v>
      </c>
      <c r="AF27" s="10">
        <v>1.5235722</v>
      </c>
      <c r="AG27" s="10">
        <v>1.5132106000000001</v>
      </c>
      <c r="AH27" s="10">
        <v>1.5017513</v>
      </c>
      <c r="AI27" s="10">
        <v>1.4893798</v>
      </c>
      <c r="AJ27" s="10">
        <v>1.4762249000000001</v>
      </c>
      <c r="AK27" s="10">
        <v>1.4624157</v>
      </c>
      <c r="AL27" s="10">
        <v>1.448081</v>
      </c>
      <c r="AM27" s="10">
        <v>1.4333499000000001</v>
      </c>
      <c r="AN27" s="10">
        <v>1.4183513000000001</v>
      </c>
      <c r="AO27" s="10">
        <v>1.4032142000000001</v>
      </c>
      <c r="AP27" s="10">
        <v>1.3880675</v>
      </c>
      <c r="AQ27" s="10">
        <v>1.3730401999999999</v>
      </c>
      <c r="AR27" s="10">
        <v>1.3582612000000001</v>
      </c>
      <c r="AS27" s="10">
        <v>1.3438595</v>
      </c>
      <c r="AT27" s="10">
        <v>1.3299430999999999</v>
      </c>
      <c r="AU27" s="10">
        <v>1.3165277</v>
      </c>
      <c r="AV27" s="10">
        <v>1.3036034999999999</v>
      </c>
      <c r="AW27" s="10">
        <v>1.2911608000000001</v>
      </c>
      <c r="AX27" s="10">
        <v>1.2791897000000001</v>
      </c>
      <c r="AY27" s="10">
        <v>1.2676803999999999</v>
      </c>
      <c r="AZ27" s="10">
        <v>1.2566231000000001</v>
      </c>
      <c r="BA27" s="10">
        <v>1.246008</v>
      </c>
      <c r="BB27" s="10">
        <v>1.2358254</v>
      </c>
      <c r="BC27" s="10">
        <v>1.2260655</v>
      </c>
      <c r="BD27" s="10">
        <v>1.2167184</v>
      </c>
      <c r="BE27" s="10">
        <v>1.2077743000000001</v>
      </c>
      <c r="BF27" s="10">
        <v>1.1992229000000001</v>
      </c>
      <c r="BG27" s="10">
        <v>1.1910517</v>
      </c>
      <c r="BH27" s="10">
        <v>1.1832472999999999</v>
      </c>
      <c r="BI27" s="10">
        <v>1.1757966</v>
      </c>
      <c r="BJ27" s="10">
        <v>1.1686862</v>
      </c>
      <c r="BK27" s="10">
        <v>1.1619029000000001</v>
      </c>
      <c r="BL27" s="10">
        <v>1.1554335</v>
      </c>
      <c r="BM27" s="10">
        <v>1.1492647</v>
      </c>
      <c r="BN27" s="10">
        <v>1.1433833</v>
      </c>
      <c r="BO27" s="10">
        <v>1.1377759999999999</v>
      </c>
      <c r="BP27" s="10">
        <v>1.1324295</v>
      </c>
      <c r="BQ27" s="10">
        <v>1.1273306999999999</v>
      </c>
      <c r="BR27" s="10">
        <v>1.1014625</v>
      </c>
      <c r="BS27" s="10">
        <v>1.0827880000000001</v>
      </c>
      <c r="BU27" s="7">
        <v>0.97</v>
      </c>
      <c r="BV27" s="7">
        <v>1.24</v>
      </c>
      <c r="BW27" s="9">
        <v>82.541899999999998</v>
      </c>
    </row>
    <row r="28" spans="1:75" x14ac:dyDescent="0.25">
      <c r="A28" s="6">
        <f t="shared" si="5"/>
        <v>44592</v>
      </c>
      <c r="B28" s="13">
        <f t="shared" si="0"/>
        <v>1</v>
      </c>
      <c r="C28" s="13">
        <f t="shared" si="1"/>
        <v>2022</v>
      </c>
      <c r="D28">
        <f t="shared" si="2"/>
        <v>202201</v>
      </c>
      <c r="E28">
        <f t="shared" si="3"/>
        <v>1</v>
      </c>
      <c r="F28">
        <f t="shared" si="4"/>
        <v>202201</v>
      </c>
      <c r="G28" t="s">
        <v>215</v>
      </c>
      <c r="H28" s="9">
        <v>0.25</v>
      </c>
      <c r="I28" s="9">
        <v>0.19889999999999999</v>
      </c>
      <c r="J28" s="10">
        <v>0.46518229999999999</v>
      </c>
      <c r="K28" s="10">
        <v>0.58769000000000005</v>
      </c>
      <c r="L28" s="10">
        <v>0.7270392</v>
      </c>
      <c r="M28" s="10">
        <v>0.87099150000000003</v>
      </c>
      <c r="N28" s="10">
        <v>1.0040891999999999</v>
      </c>
      <c r="O28" s="10">
        <v>1.1197732</v>
      </c>
      <c r="P28" s="10">
        <v>1.2167857</v>
      </c>
      <c r="Q28" s="10">
        <v>1.2970545</v>
      </c>
      <c r="R28" s="10">
        <v>1.3651579</v>
      </c>
      <c r="S28" s="10">
        <v>1.4245968</v>
      </c>
      <c r="T28" s="10">
        <v>1.4770783000000001</v>
      </c>
      <c r="U28" s="10">
        <v>1.5230672000000001</v>
      </c>
      <c r="V28" s="10">
        <v>1.561682</v>
      </c>
      <c r="W28" s="10">
        <v>1.5930344000000001</v>
      </c>
      <c r="X28" s="10">
        <v>1.6176092</v>
      </c>
      <c r="Y28" s="10">
        <v>1.6358915000000001</v>
      </c>
      <c r="Z28" s="10">
        <v>1.6483661999999999</v>
      </c>
      <c r="AA28" s="10">
        <v>1.6555181999999999</v>
      </c>
      <c r="AB28" s="10">
        <v>1.6578527000000001</v>
      </c>
      <c r="AC28" s="10">
        <v>1.6559451999999999</v>
      </c>
      <c r="AD28" s="10">
        <v>1.6503859000000001</v>
      </c>
      <c r="AE28" s="10">
        <v>1.6417653000000001</v>
      </c>
      <c r="AF28" s="10">
        <v>1.6306738999999999</v>
      </c>
      <c r="AG28" s="10">
        <v>1.6177018999999999</v>
      </c>
      <c r="AH28" s="10">
        <v>1.6033679000000001</v>
      </c>
      <c r="AI28" s="10">
        <v>1.5879022</v>
      </c>
      <c r="AJ28" s="10">
        <v>1.5714634000000001</v>
      </c>
      <c r="AK28" s="10">
        <v>1.5542098</v>
      </c>
      <c r="AL28" s="10">
        <v>1.5363</v>
      </c>
      <c r="AM28" s="10">
        <v>1.5178921999999999</v>
      </c>
      <c r="AN28" s="10">
        <v>1.4991451</v>
      </c>
      <c r="AO28" s="10">
        <v>1.4802169999999999</v>
      </c>
      <c r="AP28" s="10">
        <v>1.4612662999999999</v>
      </c>
      <c r="AQ28" s="10">
        <v>1.4424516000000001</v>
      </c>
      <c r="AR28" s="10">
        <v>1.4239312</v>
      </c>
      <c r="AS28" s="10">
        <v>1.4058636</v>
      </c>
      <c r="AT28" s="10">
        <v>1.3883829999999999</v>
      </c>
      <c r="AU28" s="10">
        <v>1.3715168</v>
      </c>
      <c r="AV28" s="10">
        <v>1.3552626000000001</v>
      </c>
      <c r="AW28" s="10">
        <v>1.3396184</v>
      </c>
      <c r="AX28" s="10">
        <v>1.3245819999999999</v>
      </c>
      <c r="AY28" s="10">
        <v>1.3101510999999999</v>
      </c>
      <c r="AZ28" s="10">
        <v>1.2963235</v>
      </c>
      <c r="BA28" s="10">
        <v>1.2830971</v>
      </c>
      <c r="BB28" s="10">
        <v>1.2704696</v>
      </c>
      <c r="BC28" s="10">
        <v>1.2584389</v>
      </c>
      <c r="BD28" s="10">
        <v>1.2470026999999999</v>
      </c>
      <c r="BE28" s="10">
        <v>1.2361588999999999</v>
      </c>
      <c r="BF28" s="10">
        <v>1.2259032000000001</v>
      </c>
      <c r="BG28" s="10">
        <v>1.2162196000000001</v>
      </c>
      <c r="BH28" s="10">
        <v>1.2070884</v>
      </c>
      <c r="BI28" s="10">
        <v>1.1984900000000001</v>
      </c>
      <c r="BJ28" s="10">
        <v>1.1904045000000001</v>
      </c>
      <c r="BK28" s="10">
        <v>1.1828122000000001</v>
      </c>
      <c r="BL28" s="10">
        <v>1.1756934999999999</v>
      </c>
      <c r="BM28" s="10">
        <v>1.1690285</v>
      </c>
      <c r="BN28" s="10">
        <v>1.1627977</v>
      </c>
      <c r="BO28" s="10">
        <v>1.1569811000000001</v>
      </c>
      <c r="BP28" s="10">
        <v>1.1515591000000001</v>
      </c>
      <c r="BQ28" s="10">
        <v>1.1465118999999999</v>
      </c>
      <c r="BR28" s="10">
        <v>1.1232268000000001</v>
      </c>
      <c r="BS28" s="10">
        <v>1.1098787999999999</v>
      </c>
      <c r="BU28" s="7">
        <v>1.06</v>
      </c>
      <c r="BV28" s="7">
        <v>1.31</v>
      </c>
      <c r="BW28" s="9">
        <v>82.338300000000004</v>
      </c>
    </row>
    <row r="29" spans="1:75" x14ac:dyDescent="0.25">
      <c r="A29" s="6">
        <f t="shared" si="5"/>
        <v>44593</v>
      </c>
      <c r="B29" s="13">
        <f t="shared" si="0"/>
        <v>2</v>
      </c>
      <c r="C29" s="13">
        <f t="shared" si="1"/>
        <v>2022</v>
      </c>
      <c r="D29">
        <f t="shared" si="2"/>
        <v>202202</v>
      </c>
      <c r="E29">
        <f t="shared" si="3"/>
        <v>1</v>
      </c>
      <c r="F29">
        <f t="shared" si="4"/>
        <v>202201</v>
      </c>
      <c r="G29" t="s">
        <v>216</v>
      </c>
      <c r="H29" s="9">
        <v>0.25</v>
      </c>
      <c r="I29" s="9">
        <v>0.19570000000000001</v>
      </c>
      <c r="J29" s="10">
        <v>0.46970040000000002</v>
      </c>
      <c r="K29" s="10">
        <v>0.59266059999999998</v>
      </c>
      <c r="L29" s="10">
        <v>0.72879430000000001</v>
      </c>
      <c r="M29" s="10">
        <v>0.86696030000000002</v>
      </c>
      <c r="N29" s="10">
        <v>0.99389479999999997</v>
      </c>
      <c r="O29" s="10">
        <v>1.104117</v>
      </c>
      <c r="P29" s="10">
        <v>1.1971943</v>
      </c>
      <c r="Q29" s="10">
        <v>1.2753519</v>
      </c>
      <c r="R29" s="10">
        <v>1.3418833999999999</v>
      </c>
      <c r="S29" s="10">
        <v>1.3996230000000001</v>
      </c>
      <c r="T29" s="10">
        <v>1.4498758</v>
      </c>
      <c r="U29" s="10">
        <v>1.4934236999999999</v>
      </c>
      <c r="V29" s="10">
        <v>1.5302855</v>
      </c>
      <c r="W29" s="10">
        <v>1.5607177000000001</v>
      </c>
      <c r="X29" s="10">
        <v>1.5851</v>
      </c>
      <c r="Y29" s="10">
        <v>1.6038121000000001</v>
      </c>
      <c r="Z29" s="10">
        <v>1.6172337999999999</v>
      </c>
      <c r="AA29" s="10">
        <v>1.6257447</v>
      </c>
      <c r="AB29" s="10">
        <v>1.6297482000000001</v>
      </c>
      <c r="AC29" s="10">
        <v>1.6297295999999999</v>
      </c>
      <c r="AD29" s="10">
        <v>1.6261915</v>
      </c>
      <c r="AE29" s="10">
        <v>1.6196368000000001</v>
      </c>
      <c r="AF29" s="10">
        <v>1.6105681999999999</v>
      </c>
      <c r="AG29" s="10">
        <v>1.5994884</v>
      </c>
      <c r="AH29" s="10">
        <v>1.5868452</v>
      </c>
      <c r="AI29" s="10">
        <v>1.5728658</v>
      </c>
      <c r="AJ29" s="10">
        <v>1.5577224999999999</v>
      </c>
      <c r="AK29" s="10">
        <v>1.5415874000000001</v>
      </c>
      <c r="AL29" s="10">
        <v>1.5246327</v>
      </c>
      <c r="AM29" s="10">
        <v>1.5070304999999999</v>
      </c>
      <c r="AN29" s="10">
        <v>1.4889532000000001</v>
      </c>
      <c r="AO29" s="10">
        <v>1.4705729000000001</v>
      </c>
      <c r="AP29" s="10">
        <v>1.4520618000000001</v>
      </c>
      <c r="AQ29" s="10">
        <v>1.433592</v>
      </c>
      <c r="AR29" s="10">
        <v>1.4153358</v>
      </c>
      <c r="AS29" s="10">
        <v>1.3974654</v>
      </c>
      <c r="AT29" s="10">
        <v>1.3801319999999999</v>
      </c>
      <c r="AU29" s="10">
        <v>1.3633740000000001</v>
      </c>
      <c r="AV29" s="10">
        <v>1.3471919000000001</v>
      </c>
      <c r="AW29" s="10">
        <v>1.3315862999999999</v>
      </c>
      <c r="AX29" s="10">
        <v>1.3165576999999999</v>
      </c>
      <c r="AY29" s="10">
        <v>1.3021067</v>
      </c>
      <c r="AZ29" s="10">
        <v>1.2882336000000001</v>
      </c>
      <c r="BA29" s="10">
        <v>1.2749391999999999</v>
      </c>
      <c r="BB29" s="10">
        <v>1.2622239</v>
      </c>
      <c r="BC29" s="10">
        <v>1.2500882</v>
      </c>
      <c r="BD29" s="10">
        <v>1.2385326999999999</v>
      </c>
      <c r="BE29" s="10">
        <v>1.2275578</v>
      </c>
      <c r="BF29" s="10">
        <v>1.2171615</v>
      </c>
      <c r="BG29" s="10">
        <v>1.2073285</v>
      </c>
      <c r="BH29" s="10">
        <v>1.1980394999999999</v>
      </c>
      <c r="BI29" s="10">
        <v>1.1892752</v>
      </c>
      <c r="BJ29" s="10">
        <v>1.1810164000000001</v>
      </c>
      <c r="BK29" s="10">
        <v>1.1732438999999999</v>
      </c>
      <c r="BL29" s="10">
        <v>1.1659383999999999</v>
      </c>
      <c r="BM29" s="10">
        <v>1.1590806</v>
      </c>
      <c r="BN29" s="10">
        <v>1.1526513</v>
      </c>
      <c r="BO29" s="10">
        <v>1.1466312999999999</v>
      </c>
      <c r="BP29" s="10">
        <v>1.1410012</v>
      </c>
      <c r="BQ29" s="10">
        <v>1.1357417999999999</v>
      </c>
      <c r="BR29" s="10">
        <v>1.1111374000000001</v>
      </c>
      <c r="BS29" s="10">
        <v>1.0965119000000001</v>
      </c>
      <c r="BU29" s="7">
        <v>1.05</v>
      </c>
      <c r="BV29" s="7">
        <v>1.3</v>
      </c>
      <c r="BW29" s="9">
        <v>82.699700000000007</v>
      </c>
    </row>
    <row r="30" spans="1:75" x14ac:dyDescent="0.25">
      <c r="A30" s="6">
        <f t="shared" si="5"/>
        <v>44594</v>
      </c>
      <c r="B30" s="13">
        <f t="shared" si="0"/>
        <v>2</v>
      </c>
      <c r="C30" s="13">
        <f t="shared" si="1"/>
        <v>2022</v>
      </c>
      <c r="D30">
        <f t="shared" si="2"/>
        <v>202202</v>
      </c>
      <c r="E30">
        <f t="shared" si="3"/>
        <v>1</v>
      </c>
      <c r="F30">
        <f t="shared" si="4"/>
        <v>202201</v>
      </c>
      <c r="G30" t="s">
        <v>217</v>
      </c>
      <c r="H30" s="9">
        <v>0.25</v>
      </c>
      <c r="I30" s="9">
        <v>0.19600000000000001</v>
      </c>
      <c r="J30" s="10">
        <v>0.47466730000000001</v>
      </c>
      <c r="K30" s="10">
        <v>0.59827859999999999</v>
      </c>
      <c r="L30" s="10">
        <v>0.73058699999999999</v>
      </c>
      <c r="M30" s="10">
        <v>0.86032540000000002</v>
      </c>
      <c r="N30" s="10">
        <v>0.97807310000000003</v>
      </c>
      <c r="O30" s="10">
        <v>1.0820031000000001</v>
      </c>
      <c r="P30" s="10">
        <v>1.1715500000000001</v>
      </c>
      <c r="Q30" s="10">
        <v>1.2479705000000001</v>
      </c>
      <c r="R30" s="10">
        <v>1.3137473</v>
      </c>
      <c r="S30" s="10">
        <v>1.3710815999999999</v>
      </c>
      <c r="T30" s="10">
        <v>1.4211068</v>
      </c>
      <c r="U30" s="10">
        <v>1.4644923000000001</v>
      </c>
      <c r="V30" s="10">
        <v>1.5011904</v>
      </c>
      <c r="W30" s="10">
        <v>1.5314506000000001</v>
      </c>
      <c r="X30" s="10">
        <v>1.5556513999999999</v>
      </c>
      <c r="Y30" s="10">
        <v>1.5741712000000001</v>
      </c>
      <c r="Z30" s="10">
        <v>1.5873885999999999</v>
      </c>
      <c r="AA30" s="10">
        <v>1.5956821000000001</v>
      </c>
      <c r="AB30" s="10">
        <v>1.5994579</v>
      </c>
      <c r="AC30" s="10">
        <v>1.5992189999999999</v>
      </c>
      <c r="AD30" s="10">
        <v>1.5954885999999999</v>
      </c>
      <c r="AE30" s="10">
        <v>1.5887903999999999</v>
      </c>
      <c r="AF30" s="10">
        <v>1.5796478</v>
      </c>
      <c r="AG30" s="10">
        <v>1.5685842999999999</v>
      </c>
      <c r="AH30" s="10">
        <v>1.5560628999999999</v>
      </c>
      <c r="AI30" s="10">
        <v>1.5423043000000001</v>
      </c>
      <c r="AJ30" s="10">
        <v>1.5274688000000001</v>
      </c>
      <c r="AK30" s="10">
        <v>1.5117166</v>
      </c>
      <c r="AL30" s="10">
        <v>1.4952080000000001</v>
      </c>
      <c r="AM30" s="10">
        <v>1.4781032999999999</v>
      </c>
      <c r="AN30" s="10">
        <v>1.4605626</v>
      </c>
      <c r="AO30" s="10">
        <v>1.4427463</v>
      </c>
      <c r="AP30" s="10">
        <v>1.4248145000000001</v>
      </c>
      <c r="AQ30" s="10">
        <v>1.4069275999999999</v>
      </c>
      <c r="AR30" s="10">
        <v>1.3892458000000001</v>
      </c>
      <c r="AS30" s="10">
        <v>1.3719292999999999</v>
      </c>
      <c r="AT30" s="10">
        <v>1.3551165999999999</v>
      </c>
      <c r="AU30" s="10">
        <v>1.33884</v>
      </c>
      <c r="AV30" s="10">
        <v>1.3230995000000001</v>
      </c>
      <c r="AW30" s="10">
        <v>1.3078951000000001</v>
      </c>
      <c r="AX30" s="10">
        <v>1.2932268</v>
      </c>
      <c r="AY30" s="10">
        <v>1.2790946000000001</v>
      </c>
      <c r="AZ30" s="10">
        <v>1.2654984</v>
      </c>
      <c r="BA30" s="10">
        <v>1.2524382999999999</v>
      </c>
      <c r="BB30" s="10">
        <v>1.2399142999999999</v>
      </c>
      <c r="BC30" s="10">
        <v>1.2279262</v>
      </c>
      <c r="BD30" s="10">
        <v>1.2164741999999999</v>
      </c>
      <c r="BE30" s="10">
        <v>1.2055583000000001</v>
      </c>
      <c r="BF30" s="10">
        <v>1.1951759</v>
      </c>
      <c r="BG30" s="10">
        <v>1.1853138000000001</v>
      </c>
      <c r="BH30" s="10">
        <v>1.1759557</v>
      </c>
      <c r="BI30" s="10">
        <v>1.1670853999999999</v>
      </c>
      <c r="BJ30" s="10">
        <v>1.1586866</v>
      </c>
      <c r="BK30" s="10">
        <v>1.1507432</v>
      </c>
      <c r="BL30" s="10">
        <v>1.1432386999999999</v>
      </c>
      <c r="BM30" s="10">
        <v>1.1361570000000001</v>
      </c>
      <c r="BN30" s="10">
        <v>1.1294819</v>
      </c>
      <c r="BO30" s="10">
        <v>1.1231968999999999</v>
      </c>
      <c r="BP30" s="10">
        <v>1.1172861000000001</v>
      </c>
      <c r="BQ30" s="10">
        <v>1.1117329</v>
      </c>
      <c r="BR30" s="10">
        <v>1.0851895</v>
      </c>
      <c r="BS30" s="10">
        <v>1.0684771</v>
      </c>
      <c r="BU30" s="7">
        <v>1.04</v>
      </c>
      <c r="BV30" s="7">
        <v>1.26</v>
      </c>
      <c r="BW30" s="9">
        <v>82.834400000000002</v>
      </c>
    </row>
    <row r="31" spans="1:75" x14ac:dyDescent="0.25">
      <c r="A31" s="6">
        <f t="shared" si="5"/>
        <v>44595</v>
      </c>
      <c r="B31" s="13">
        <f t="shared" si="0"/>
        <v>2</v>
      </c>
      <c r="C31" s="13">
        <f t="shared" si="1"/>
        <v>2022</v>
      </c>
      <c r="D31">
        <f t="shared" si="2"/>
        <v>202202</v>
      </c>
      <c r="E31">
        <f t="shared" si="3"/>
        <v>1</v>
      </c>
      <c r="F31">
        <f t="shared" si="4"/>
        <v>202201</v>
      </c>
      <c r="G31" t="s">
        <v>218</v>
      </c>
      <c r="H31" s="9">
        <v>0.5</v>
      </c>
      <c r="I31" s="9">
        <v>0.44030000000000002</v>
      </c>
      <c r="J31" s="10">
        <v>0.51266179999999995</v>
      </c>
      <c r="K31" s="10">
        <v>0.71656580000000003</v>
      </c>
      <c r="L31" s="10">
        <v>0.9100724</v>
      </c>
      <c r="M31" s="10">
        <v>1.0783984</v>
      </c>
      <c r="N31" s="10">
        <v>1.2143501000000001</v>
      </c>
      <c r="O31" s="10">
        <v>1.3218387</v>
      </c>
      <c r="P31" s="10">
        <v>1.4064939999999999</v>
      </c>
      <c r="Q31" s="10">
        <v>1.4737704</v>
      </c>
      <c r="R31" s="10">
        <v>1.5291634000000001</v>
      </c>
      <c r="S31" s="10">
        <v>1.5759000999999999</v>
      </c>
      <c r="T31" s="10">
        <v>1.6156638999999999</v>
      </c>
      <c r="U31" s="10">
        <v>1.6489688</v>
      </c>
      <c r="V31" s="10">
        <v>1.6754811999999999</v>
      </c>
      <c r="W31" s="10">
        <v>1.6955108000000001</v>
      </c>
      <c r="X31" s="10">
        <v>1.7095784999999999</v>
      </c>
      <c r="Y31" s="10">
        <v>1.7182056000000001</v>
      </c>
      <c r="Z31" s="10">
        <v>1.7219131000000001</v>
      </c>
      <c r="AA31" s="10">
        <v>1.7212221999999999</v>
      </c>
      <c r="AB31" s="10">
        <v>1.7166592000000001</v>
      </c>
      <c r="AC31" s="10">
        <v>1.7087692000000001</v>
      </c>
      <c r="AD31" s="10">
        <v>1.6981013</v>
      </c>
      <c r="AE31" s="10">
        <v>1.6852045</v>
      </c>
      <c r="AF31" s="10">
        <v>1.6706278000000001</v>
      </c>
      <c r="AG31" s="10">
        <v>1.6549202999999999</v>
      </c>
      <c r="AH31" s="10">
        <v>1.6385696999999999</v>
      </c>
      <c r="AI31" s="10">
        <v>1.6217652</v>
      </c>
      <c r="AJ31" s="10">
        <v>1.6046047000000001</v>
      </c>
      <c r="AK31" s="10">
        <v>1.5871865999999999</v>
      </c>
      <c r="AL31" s="10">
        <v>1.5696087999999999</v>
      </c>
      <c r="AM31" s="10">
        <v>1.5519696000000001</v>
      </c>
      <c r="AN31" s="10">
        <v>1.534367</v>
      </c>
      <c r="AO31" s="10">
        <v>1.5168991999999999</v>
      </c>
      <c r="AP31" s="10">
        <v>1.4996643999999999</v>
      </c>
      <c r="AQ31" s="10">
        <v>1.4827606</v>
      </c>
      <c r="AR31" s="10">
        <v>1.466286</v>
      </c>
      <c r="AS31" s="10">
        <v>1.4503387999999999</v>
      </c>
      <c r="AT31" s="10">
        <v>1.4349999</v>
      </c>
      <c r="AU31" s="10">
        <v>1.4202755</v>
      </c>
      <c r="AV31" s="10">
        <v>1.4061505999999999</v>
      </c>
      <c r="AW31" s="10">
        <v>1.3926105</v>
      </c>
      <c r="AX31" s="10">
        <v>1.3796404</v>
      </c>
      <c r="AY31" s="10">
        <v>1.3672255</v>
      </c>
      <c r="AZ31" s="10">
        <v>1.3553508999999999</v>
      </c>
      <c r="BA31" s="10">
        <v>1.3440019999999999</v>
      </c>
      <c r="BB31" s="10">
        <v>1.3331637999999999</v>
      </c>
      <c r="BC31" s="10">
        <v>1.3228215999999999</v>
      </c>
      <c r="BD31" s="10">
        <v>1.3129606</v>
      </c>
      <c r="BE31" s="10">
        <v>1.303566</v>
      </c>
      <c r="BF31" s="10">
        <v>1.2946232</v>
      </c>
      <c r="BG31" s="10">
        <v>1.2861186</v>
      </c>
      <c r="BH31" s="10">
        <v>1.2780389000000001</v>
      </c>
      <c r="BI31" s="10">
        <v>1.2703708</v>
      </c>
      <c r="BJ31" s="10">
        <v>1.263101</v>
      </c>
      <c r="BK31" s="10">
        <v>1.256216</v>
      </c>
      <c r="BL31" s="10">
        <v>1.2497027000000001</v>
      </c>
      <c r="BM31" s="10">
        <v>1.2435476999999999</v>
      </c>
      <c r="BN31" s="10">
        <v>1.2377376</v>
      </c>
      <c r="BO31" s="10">
        <v>1.2322592000000001</v>
      </c>
      <c r="BP31" s="10">
        <v>1.2270991</v>
      </c>
      <c r="BQ31" s="10">
        <v>1.2222440000000001</v>
      </c>
      <c r="BR31" s="10">
        <v>1.1989091000000001</v>
      </c>
      <c r="BS31" s="10">
        <v>1.1840268</v>
      </c>
      <c r="BU31" s="7">
        <v>1.1499999999999999</v>
      </c>
      <c r="BV31" s="7">
        <v>1.37</v>
      </c>
      <c r="BW31" s="9">
        <v>82.6892</v>
      </c>
    </row>
    <row r="32" spans="1:75" x14ac:dyDescent="0.25">
      <c r="A32" s="6">
        <f t="shared" si="5"/>
        <v>44596</v>
      </c>
      <c r="B32" s="13">
        <f t="shared" si="0"/>
        <v>2</v>
      </c>
      <c r="C32" s="13">
        <f t="shared" si="1"/>
        <v>2022</v>
      </c>
      <c r="D32">
        <f t="shared" si="2"/>
        <v>202202</v>
      </c>
      <c r="E32">
        <f t="shared" si="3"/>
        <v>1</v>
      </c>
      <c r="F32">
        <f t="shared" si="4"/>
        <v>202201</v>
      </c>
      <c r="G32" t="s">
        <v>219</v>
      </c>
      <c r="H32" s="9">
        <v>0.5</v>
      </c>
      <c r="I32" s="9">
        <v>0.44529999999999997</v>
      </c>
      <c r="J32" s="10">
        <v>0.53991440000000002</v>
      </c>
      <c r="K32" s="10">
        <v>0.77540019999999998</v>
      </c>
      <c r="L32" s="10">
        <v>0.99352779999999996</v>
      </c>
      <c r="M32" s="10">
        <v>1.1791087</v>
      </c>
      <c r="N32" s="10">
        <v>1.3239951999999999</v>
      </c>
      <c r="O32" s="10">
        <v>1.4341408</v>
      </c>
      <c r="P32" s="10">
        <v>1.5190707000000001</v>
      </c>
      <c r="Q32" s="10">
        <v>1.5867666</v>
      </c>
      <c r="R32" s="10">
        <v>1.6435873000000001</v>
      </c>
      <c r="S32" s="10">
        <v>1.6925604000000001</v>
      </c>
      <c r="T32" s="10">
        <v>1.7344569000000001</v>
      </c>
      <c r="U32" s="10">
        <v>1.7690235000000001</v>
      </c>
      <c r="V32" s="10">
        <v>1.7947214</v>
      </c>
      <c r="W32" s="10">
        <v>1.8118734999999999</v>
      </c>
      <c r="X32" s="10">
        <v>1.8214912000000001</v>
      </c>
      <c r="Y32" s="10">
        <v>1.8245861999999999</v>
      </c>
      <c r="Z32" s="10">
        <v>1.8221700999999999</v>
      </c>
      <c r="AA32" s="10">
        <v>1.8152543999999999</v>
      </c>
      <c r="AB32" s="10">
        <v>1.8047595999999999</v>
      </c>
      <c r="AC32" s="10">
        <v>1.7912908999999999</v>
      </c>
      <c r="AD32" s="10">
        <v>1.7753857</v>
      </c>
      <c r="AE32" s="10">
        <v>1.7575814000000001</v>
      </c>
      <c r="AF32" s="10">
        <v>1.7384154000000001</v>
      </c>
      <c r="AG32" s="10">
        <v>1.7184250999999999</v>
      </c>
      <c r="AH32" s="10">
        <v>1.6980781</v>
      </c>
      <c r="AI32" s="10">
        <v>1.6775340000000001</v>
      </c>
      <c r="AJ32" s="10">
        <v>1.6568673</v>
      </c>
      <c r="AK32" s="10">
        <v>1.6361526</v>
      </c>
      <c r="AL32" s="10">
        <v>1.6154644</v>
      </c>
      <c r="AM32" s="10">
        <v>1.5948773999999999</v>
      </c>
      <c r="AN32" s="10">
        <v>1.5744659999999999</v>
      </c>
      <c r="AO32" s="10">
        <v>1.5543047999999999</v>
      </c>
      <c r="AP32" s="10">
        <v>1.5344684</v>
      </c>
      <c r="AQ32" s="10">
        <v>1.5150313</v>
      </c>
      <c r="AR32" s="10">
        <v>1.4960681</v>
      </c>
      <c r="AS32" s="10">
        <v>1.4776533999999999</v>
      </c>
      <c r="AT32" s="10">
        <v>1.4598498</v>
      </c>
      <c r="AU32" s="10">
        <v>1.4426683</v>
      </c>
      <c r="AV32" s="10">
        <v>1.4261052999999999</v>
      </c>
      <c r="AW32" s="10">
        <v>1.4101572</v>
      </c>
      <c r="AX32" s="10">
        <v>1.3948204</v>
      </c>
      <c r="AY32" s="10">
        <v>1.3800915</v>
      </c>
      <c r="AZ32" s="10">
        <v>1.3659667</v>
      </c>
      <c r="BA32" s="10">
        <v>1.3524427000000001</v>
      </c>
      <c r="BB32" s="10">
        <v>1.3395158</v>
      </c>
      <c r="BC32" s="10">
        <v>1.3271824999999999</v>
      </c>
      <c r="BD32" s="10">
        <v>1.3154393</v>
      </c>
      <c r="BE32" s="10">
        <v>1.3042825</v>
      </c>
      <c r="BF32" s="10">
        <v>1.2937064</v>
      </c>
      <c r="BG32" s="10">
        <v>1.2836954</v>
      </c>
      <c r="BH32" s="10">
        <v>1.2742312</v>
      </c>
      <c r="BI32" s="10">
        <v>1.2652954000000001</v>
      </c>
      <c r="BJ32" s="10">
        <v>1.2568699000000001</v>
      </c>
      <c r="BK32" s="10">
        <v>1.2489361999999999</v>
      </c>
      <c r="BL32" s="10">
        <v>1.241476</v>
      </c>
      <c r="BM32" s="10">
        <v>1.2344710999999999</v>
      </c>
      <c r="BN32" s="10">
        <v>1.2279032000000001</v>
      </c>
      <c r="BO32" s="10">
        <v>1.2217537999999999</v>
      </c>
      <c r="BP32" s="10">
        <v>1.2160048000000001</v>
      </c>
      <c r="BQ32" s="10">
        <v>1.2106378</v>
      </c>
      <c r="BR32" s="10">
        <v>1.1855857000000001</v>
      </c>
      <c r="BS32" s="10">
        <v>1.1705999</v>
      </c>
      <c r="BU32" s="7">
        <v>1.27</v>
      </c>
      <c r="BV32" s="7">
        <v>1.41</v>
      </c>
      <c r="BW32" s="9">
        <v>82.187200000000004</v>
      </c>
    </row>
    <row r="33" spans="1:75" x14ac:dyDescent="0.25">
      <c r="A33" s="6">
        <f t="shared" si="5"/>
        <v>44599</v>
      </c>
      <c r="B33" s="13">
        <f t="shared" si="0"/>
        <v>2</v>
      </c>
      <c r="C33" s="13">
        <f t="shared" si="1"/>
        <v>2022</v>
      </c>
      <c r="D33">
        <f t="shared" si="2"/>
        <v>202202</v>
      </c>
      <c r="E33">
        <f t="shared" si="3"/>
        <v>1</v>
      </c>
      <c r="F33">
        <f t="shared" si="4"/>
        <v>202201</v>
      </c>
      <c r="G33" t="s">
        <v>220</v>
      </c>
      <c r="H33" s="9">
        <v>0.5</v>
      </c>
      <c r="I33" s="9">
        <v>0.44569999999999999</v>
      </c>
      <c r="J33" s="10">
        <v>0.54305689999999995</v>
      </c>
      <c r="K33" s="10">
        <v>0.78027420000000003</v>
      </c>
      <c r="L33" s="10">
        <v>0.9916703</v>
      </c>
      <c r="M33" s="10">
        <v>1.1711338</v>
      </c>
      <c r="N33" s="10">
        <v>1.3151716</v>
      </c>
      <c r="O33" s="10">
        <v>1.4272575999999999</v>
      </c>
      <c r="P33" s="10">
        <v>1.5149583</v>
      </c>
      <c r="Q33" s="10">
        <v>1.5847826</v>
      </c>
      <c r="R33" s="10">
        <v>1.6422787999999999</v>
      </c>
      <c r="S33" s="10">
        <v>1.6905916000000001</v>
      </c>
      <c r="T33" s="10">
        <v>1.7310768999999999</v>
      </c>
      <c r="U33" s="10">
        <v>1.7644111</v>
      </c>
      <c r="V33" s="10">
        <v>1.7906295000000001</v>
      </c>
      <c r="W33" s="10">
        <v>1.8101308</v>
      </c>
      <c r="X33" s="10">
        <v>1.8234570000000001</v>
      </c>
      <c r="Y33" s="10">
        <v>1.8311500999999999</v>
      </c>
      <c r="Z33" s="10">
        <v>1.8337521000000001</v>
      </c>
      <c r="AA33" s="10">
        <v>1.8318052</v>
      </c>
      <c r="AB33" s="10">
        <v>1.8258443</v>
      </c>
      <c r="AC33" s="10">
        <v>1.8163803000000001</v>
      </c>
      <c r="AD33" s="10">
        <v>1.8039189</v>
      </c>
      <c r="AE33" s="10">
        <v>1.7889656</v>
      </c>
      <c r="AF33" s="10">
        <v>1.7720263000000001</v>
      </c>
      <c r="AG33" s="10">
        <v>1.7536064</v>
      </c>
      <c r="AH33" s="10">
        <v>1.7341508999999999</v>
      </c>
      <c r="AI33" s="10">
        <v>1.713862</v>
      </c>
      <c r="AJ33" s="10">
        <v>1.6928808</v>
      </c>
      <c r="AK33" s="10">
        <v>1.6713487</v>
      </c>
      <c r="AL33" s="10">
        <v>1.6494070000000001</v>
      </c>
      <c r="AM33" s="10">
        <v>1.627197</v>
      </c>
      <c r="AN33" s="10">
        <v>1.6048601</v>
      </c>
      <c r="AO33" s="10">
        <v>1.5825376</v>
      </c>
      <c r="AP33" s="10">
        <v>1.5603707</v>
      </c>
      <c r="AQ33" s="10">
        <v>1.5385006999999999</v>
      </c>
      <c r="AR33" s="10">
        <v>1.5170691000000001</v>
      </c>
      <c r="AS33" s="10">
        <v>1.4962171</v>
      </c>
      <c r="AT33" s="10">
        <v>1.4760641000000001</v>
      </c>
      <c r="AU33" s="10">
        <v>1.4566334000000001</v>
      </c>
      <c r="AV33" s="10">
        <v>1.4379215000000001</v>
      </c>
      <c r="AW33" s="10">
        <v>1.4199249</v>
      </c>
      <c r="AX33" s="10">
        <v>1.4026400999999999</v>
      </c>
      <c r="AY33" s="10">
        <v>1.3860638999999999</v>
      </c>
      <c r="AZ33" s="10">
        <v>1.3701924999999999</v>
      </c>
      <c r="BA33" s="10">
        <v>1.3550226999999999</v>
      </c>
      <c r="BB33" s="10">
        <v>1.340551</v>
      </c>
      <c r="BC33" s="10">
        <v>1.3267739999999999</v>
      </c>
      <c r="BD33" s="10">
        <v>1.3136881</v>
      </c>
      <c r="BE33" s="10">
        <v>1.3012899</v>
      </c>
      <c r="BF33" s="10">
        <v>1.2895737</v>
      </c>
      <c r="BG33" s="10">
        <v>1.2785211999999999</v>
      </c>
      <c r="BH33" s="10">
        <v>1.2681098</v>
      </c>
      <c r="BI33" s="10">
        <v>1.2583171</v>
      </c>
      <c r="BJ33" s="10">
        <v>1.2491207</v>
      </c>
      <c r="BK33" s="10">
        <v>1.2404979</v>
      </c>
      <c r="BL33" s="10">
        <v>1.2324264</v>
      </c>
      <c r="BM33" s="10">
        <v>1.2248836000000001</v>
      </c>
      <c r="BN33" s="10">
        <v>1.2178469999999999</v>
      </c>
      <c r="BO33" s="10">
        <v>1.2112942</v>
      </c>
      <c r="BP33" s="10">
        <v>1.2052027000000001</v>
      </c>
      <c r="BQ33" s="10">
        <v>1.1995499000000001</v>
      </c>
      <c r="BR33" s="10">
        <v>1.1738047</v>
      </c>
      <c r="BS33" s="10">
        <v>1.1595162000000001</v>
      </c>
      <c r="BU33" s="7">
        <v>1.27</v>
      </c>
      <c r="BV33" s="7">
        <v>1.41</v>
      </c>
      <c r="BW33" s="9">
        <v>82.125200000000007</v>
      </c>
    </row>
    <row r="34" spans="1:75" x14ac:dyDescent="0.25">
      <c r="A34" s="6">
        <f t="shared" si="5"/>
        <v>44600</v>
      </c>
      <c r="B34" s="13">
        <f t="shared" si="0"/>
        <v>2</v>
      </c>
      <c r="C34" s="13">
        <f t="shared" si="1"/>
        <v>2022</v>
      </c>
      <c r="D34">
        <f t="shared" si="2"/>
        <v>202202</v>
      </c>
      <c r="E34">
        <f t="shared" si="3"/>
        <v>1</v>
      </c>
      <c r="F34">
        <f t="shared" si="4"/>
        <v>202201</v>
      </c>
      <c r="G34" t="s">
        <v>221</v>
      </c>
      <c r="H34" s="9">
        <v>0.5</v>
      </c>
      <c r="I34" s="9">
        <v>0.44479999999999997</v>
      </c>
      <c r="J34" s="10">
        <v>0.5483114</v>
      </c>
      <c r="K34" s="10">
        <v>0.78802450000000002</v>
      </c>
      <c r="L34" s="10">
        <v>0.99986949999999997</v>
      </c>
      <c r="M34" s="10">
        <v>1.1815253999999999</v>
      </c>
      <c r="N34" s="10">
        <v>1.3300852000000001</v>
      </c>
      <c r="O34" s="10">
        <v>1.4485380000000001</v>
      </c>
      <c r="P34" s="10">
        <v>1.5434673000000001</v>
      </c>
      <c r="Q34" s="10">
        <v>1.6209302999999999</v>
      </c>
      <c r="R34" s="10">
        <v>1.6858048999999999</v>
      </c>
      <c r="S34" s="10">
        <v>1.7413426999999999</v>
      </c>
      <c r="T34" s="10">
        <v>1.788729</v>
      </c>
      <c r="U34" s="10">
        <v>1.8284579999999999</v>
      </c>
      <c r="V34" s="10">
        <v>1.8603156999999999</v>
      </c>
      <c r="W34" s="10">
        <v>1.8846700999999999</v>
      </c>
      <c r="X34" s="10">
        <v>1.9020931999999999</v>
      </c>
      <c r="Y34" s="10">
        <v>1.9131571999999999</v>
      </c>
      <c r="Z34" s="10">
        <v>1.9184341</v>
      </c>
      <c r="AA34" s="10">
        <v>1.918496</v>
      </c>
      <c r="AB34" s="10">
        <v>1.9139275</v>
      </c>
      <c r="AC34" s="10">
        <v>1.9053575</v>
      </c>
      <c r="AD34" s="10">
        <v>1.8934238999999999</v>
      </c>
      <c r="AE34" s="10">
        <v>1.8787649</v>
      </c>
      <c r="AF34" s="10">
        <v>1.8620185</v>
      </c>
      <c r="AG34" s="10">
        <v>1.8438228000000001</v>
      </c>
      <c r="AH34" s="10">
        <v>1.8247310000000001</v>
      </c>
      <c r="AI34" s="10">
        <v>1.8049561999999999</v>
      </c>
      <c r="AJ34" s="10">
        <v>1.7846268000000001</v>
      </c>
      <c r="AK34" s="10">
        <v>1.763871</v>
      </c>
      <c r="AL34" s="10">
        <v>1.7428170999999999</v>
      </c>
      <c r="AM34" s="10">
        <v>1.7215933999999999</v>
      </c>
      <c r="AN34" s="10">
        <v>1.7003280999999999</v>
      </c>
      <c r="AO34" s="10">
        <v>1.6791495999999999</v>
      </c>
      <c r="AP34" s="10">
        <v>1.6581859999999999</v>
      </c>
      <c r="AQ34" s="10">
        <v>1.6375656000000001</v>
      </c>
      <c r="AR34" s="10">
        <v>1.6174166999999999</v>
      </c>
      <c r="AS34" s="10">
        <v>1.5978676999999999</v>
      </c>
      <c r="AT34" s="10">
        <v>1.5790291999999999</v>
      </c>
      <c r="AU34" s="10">
        <v>1.5609181999999999</v>
      </c>
      <c r="AV34" s="10">
        <v>1.54352</v>
      </c>
      <c r="AW34" s="10">
        <v>1.5268199</v>
      </c>
      <c r="AX34" s="10">
        <v>1.5108032</v>
      </c>
      <c r="AY34" s="10">
        <v>1.4954552000000001</v>
      </c>
      <c r="AZ34" s="10">
        <v>1.4807612999999999</v>
      </c>
      <c r="BA34" s="10">
        <v>1.4667067</v>
      </c>
      <c r="BB34" s="10">
        <v>1.4532768</v>
      </c>
      <c r="BC34" s="10">
        <v>1.4404569</v>
      </c>
      <c r="BD34" s="10">
        <v>1.4282322999999999</v>
      </c>
      <c r="BE34" s="10">
        <v>1.4165884</v>
      </c>
      <c r="BF34" s="10">
        <v>1.4055101000000001</v>
      </c>
      <c r="BG34" s="10">
        <v>1.3949819000000001</v>
      </c>
      <c r="BH34" s="10">
        <v>1.3849876000000001</v>
      </c>
      <c r="BI34" s="10">
        <v>1.3755112</v>
      </c>
      <c r="BJ34" s="10">
        <v>1.3665366999999999</v>
      </c>
      <c r="BK34" s="10">
        <v>1.3580479999999999</v>
      </c>
      <c r="BL34" s="10">
        <v>1.3500291</v>
      </c>
      <c r="BM34" s="10">
        <v>1.3424639</v>
      </c>
      <c r="BN34" s="10">
        <v>1.3353364000000001</v>
      </c>
      <c r="BO34" s="10">
        <v>1.3286305</v>
      </c>
      <c r="BP34" s="10">
        <v>1.3223303</v>
      </c>
      <c r="BQ34" s="10">
        <v>1.3164197</v>
      </c>
      <c r="BR34" s="10">
        <v>1.2883742</v>
      </c>
      <c r="BS34" s="10">
        <v>1.2711347</v>
      </c>
      <c r="BU34" s="7">
        <v>1.33</v>
      </c>
      <c r="BV34" s="7">
        <v>1.49</v>
      </c>
      <c r="BW34" s="9">
        <v>82.396600000000007</v>
      </c>
    </row>
    <row r="35" spans="1:75" x14ac:dyDescent="0.25">
      <c r="A35" s="6">
        <f t="shared" si="5"/>
        <v>44601</v>
      </c>
      <c r="B35" s="13">
        <f t="shared" si="0"/>
        <v>2</v>
      </c>
      <c r="C35" s="13">
        <f t="shared" si="1"/>
        <v>2022</v>
      </c>
      <c r="D35">
        <f t="shared" si="2"/>
        <v>202202</v>
      </c>
      <c r="E35">
        <f t="shared" si="3"/>
        <v>1</v>
      </c>
      <c r="F35">
        <f t="shared" si="4"/>
        <v>202201</v>
      </c>
      <c r="G35" t="s">
        <v>222</v>
      </c>
      <c r="H35" s="9">
        <v>0.5</v>
      </c>
      <c r="I35" s="9">
        <v>0.44500000000000001</v>
      </c>
      <c r="J35" s="10">
        <v>0.54813049999999996</v>
      </c>
      <c r="K35" s="10">
        <v>0.78319000000000005</v>
      </c>
      <c r="L35" s="10">
        <v>0.99112469999999997</v>
      </c>
      <c r="M35" s="10">
        <v>1.1719776</v>
      </c>
      <c r="N35" s="10">
        <v>1.321928</v>
      </c>
      <c r="O35" s="10">
        <v>1.4427985999999999</v>
      </c>
      <c r="P35" s="10">
        <v>1.5389638000000001</v>
      </c>
      <c r="Q35" s="10">
        <v>1.6160193</v>
      </c>
      <c r="R35" s="10">
        <v>1.6792115000000001</v>
      </c>
      <c r="S35" s="10">
        <v>1.7322529</v>
      </c>
      <c r="T35" s="10">
        <v>1.7768809999999999</v>
      </c>
      <c r="U35" s="10">
        <v>1.8139668</v>
      </c>
      <c r="V35" s="10">
        <v>1.8436011000000001</v>
      </c>
      <c r="W35" s="10">
        <v>1.8662160999999999</v>
      </c>
      <c r="X35" s="10">
        <v>1.8823799999999999</v>
      </c>
      <c r="Y35" s="10">
        <v>1.8926609999999999</v>
      </c>
      <c r="Z35" s="10">
        <v>1.8976272999999999</v>
      </c>
      <c r="AA35" s="10">
        <v>1.8978473</v>
      </c>
      <c r="AB35" s="10">
        <v>1.8938792</v>
      </c>
      <c r="AC35" s="10">
        <v>1.8862471999999999</v>
      </c>
      <c r="AD35" s="10">
        <v>1.8754679999999999</v>
      </c>
      <c r="AE35" s="10">
        <v>1.8620582999999999</v>
      </c>
      <c r="AF35" s="10">
        <v>1.8465349</v>
      </c>
      <c r="AG35" s="10">
        <v>1.8294144999999999</v>
      </c>
      <c r="AH35" s="10">
        <v>1.8111512999999999</v>
      </c>
      <c r="AI35" s="10">
        <v>1.7919498</v>
      </c>
      <c r="AJ35" s="10">
        <v>1.7719518000000001</v>
      </c>
      <c r="AK35" s="10">
        <v>1.7512992000000001</v>
      </c>
      <c r="AL35" s="10">
        <v>1.7301339</v>
      </c>
      <c r="AM35" s="10">
        <v>1.7085977000000001</v>
      </c>
      <c r="AN35" s="10">
        <v>1.6868326</v>
      </c>
      <c r="AO35" s="10">
        <v>1.6649803000000001</v>
      </c>
      <c r="AP35" s="10">
        <v>1.6431829</v>
      </c>
      <c r="AQ35" s="10">
        <v>1.6215822</v>
      </c>
      <c r="AR35" s="10">
        <v>1.60032</v>
      </c>
      <c r="AS35" s="10">
        <v>1.5795383000000001</v>
      </c>
      <c r="AT35" s="10">
        <v>1.5593595</v>
      </c>
      <c r="AU35" s="10">
        <v>1.5398113</v>
      </c>
      <c r="AV35" s="10">
        <v>1.5208926</v>
      </c>
      <c r="AW35" s="10">
        <v>1.5026024</v>
      </c>
      <c r="AX35" s="10">
        <v>1.4849395999999999</v>
      </c>
      <c r="AY35" s="10">
        <v>1.467903</v>
      </c>
      <c r="AZ35" s="10">
        <v>1.4514917000000001</v>
      </c>
      <c r="BA35" s="10">
        <v>1.4357044000000001</v>
      </c>
      <c r="BB35" s="10">
        <v>1.4205402</v>
      </c>
      <c r="BC35" s="10">
        <v>1.4059979</v>
      </c>
      <c r="BD35" s="10">
        <v>1.3920764000000001</v>
      </c>
      <c r="BE35" s="10">
        <v>1.3787746000000001</v>
      </c>
      <c r="BF35" s="10">
        <v>1.3660892</v>
      </c>
      <c r="BG35" s="10">
        <v>1.3540061999999999</v>
      </c>
      <c r="BH35" s="10">
        <v>1.342509</v>
      </c>
      <c r="BI35" s="10">
        <v>1.3315809000000001</v>
      </c>
      <c r="BJ35" s="10">
        <v>1.3212052000000001</v>
      </c>
      <c r="BK35" s="10">
        <v>1.3113653000000001</v>
      </c>
      <c r="BL35" s="10">
        <v>1.3020442999999999</v>
      </c>
      <c r="BM35" s="10">
        <v>1.2932257</v>
      </c>
      <c r="BN35" s="10">
        <v>1.2848927000000001</v>
      </c>
      <c r="BO35" s="10">
        <v>1.2770287</v>
      </c>
      <c r="BP35" s="10">
        <v>1.269617</v>
      </c>
      <c r="BQ35" s="10">
        <v>1.2626408</v>
      </c>
      <c r="BR35" s="10">
        <v>1.2291234</v>
      </c>
      <c r="BS35" s="10">
        <v>1.2078515000000001</v>
      </c>
      <c r="BU35" s="7">
        <v>1.28</v>
      </c>
      <c r="BV35" s="7">
        <v>1.43</v>
      </c>
      <c r="BW35" s="9">
        <v>82.256699999999995</v>
      </c>
    </row>
    <row r="36" spans="1:75" x14ac:dyDescent="0.25">
      <c r="A36" s="6">
        <f t="shared" si="5"/>
        <v>44602</v>
      </c>
      <c r="B36" s="13">
        <f t="shared" si="0"/>
        <v>2</v>
      </c>
      <c r="C36" s="13">
        <f t="shared" si="1"/>
        <v>2022</v>
      </c>
      <c r="D36">
        <f t="shared" si="2"/>
        <v>202202</v>
      </c>
      <c r="E36">
        <f t="shared" si="3"/>
        <v>1</v>
      </c>
      <c r="F36">
        <f t="shared" si="4"/>
        <v>202201</v>
      </c>
      <c r="G36" t="s">
        <v>223</v>
      </c>
      <c r="H36" s="9">
        <v>0.5</v>
      </c>
      <c r="I36" s="9">
        <v>0.44550000000000001</v>
      </c>
      <c r="J36" s="10">
        <v>0.58318700000000001</v>
      </c>
      <c r="K36" s="10">
        <v>0.8677127</v>
      </c>
      <c r="L36" s="10">
        <v>1.1209777000000001</v>
      </c>
      <c r="M36" s="10">
        <v>1.3383007</v>
      </c>
      <c r="N36" s="10">
        <v>1.5127755000000001</v>
      </c>
      <c r="O36" s="10">
        <v>1.6470701999999999</v>
      </c>
      <c r="P36" s="10">
        <v>1.7495830000000001</v>
      </c>
      <c r="Q36" s="10">
        <v>1.8287142999999999</v>
      </c>
      <c r="R36" s="10">
        <v>1.8921603</v>
      </c>
      <c r="S36" s="10">
        <v>1.9446030999999999</v>
      </c>
      <c r="T36" s="10">
        <v>1.9885843000000001</v>
      </c>
      <c r="U36" s="10">
        <v>2.0250379000000001</v>
      </c>
      <c r="V36" s="10">
        <v>2.0542680999999998</v>
      </c>
      <c r="W36" s="10">
        <v>2.0766735999999999</v>
      </c>
      <c r="X36" s="10">
        <v>2.0926963000000001</v>
      </c>
      <c r="Y36" s="10">
        <v>2.1027786000000002</v>
      </c>
      <c r="Z36" s="10">
        <v>2.1073624</v>
      </c>
      <c r="AA36" s="10">
        <v>2.1068901000000002</v>
      </c>
      <c r="AB36" s="10">
        <v>2.1018322999999999</v>
      </c>
      <c r="AC36" s="10">
        <v>2.0927584000000001</v>
      </c>
      <c r="AD36" s="10">
        <v>2.0802592</v>
      </c>
      <c r="AE36" s="10">
        <v>2.0649251999999998</v>
      </c>
      <c r="AF36" s="10">
        <v>2.0473471999999999</v>
      </c>
      <c r="AG36" s="10">
        <v>2.0281158000000001</v>
      </c>
      <c r="AH36" s="10">
        <v>2.0077612</v>
      </c>
      <c r="AI36" s="10">
        <v>1.9865185999999999</v>
      </c>
      <c r="AJ36" s="10">
        <v>1.9645334000000001</v>
      </c>
      <c r="AK36" s="10">
        <v>1.941951</v>
      </c>
      <c r="AL36" s="10">
        <v>1.9189168000000001</v>
      </c>
      <c r="AM36" s="10">
        <v>1.8955762</v>
      </c>
      <c r="AN36" s="10">
        <v>1.8720747</v>
      </c>
      <c r="AO36" s="10">
        <v>1.8485575999999999</v>
      </c>
      <c r="AP36" s="10">
        <v>1.8251702999999999</v>
      </c>
      <c r="AQ36" s="10">
        <v>1.8020582999999999</v>
      </c>
      <c r="AR36" s="10">
        <v>1.7793669999999999</v>
      </c>
      <c r="AS36" s="10">
        <v>1.7572417</v>
      </c>
      <c r="AT36" s="10">
        <v>1.7358043999999999</v>
      </c>
      <c r="AU36" s="10">
        <v>1.7150733</v>
      </c>
      <c r="AV36" s="10">
        <v>1.6950381999999999</v>
      </c>
      <c r="AW36" s="10">
        <v>1.6756884999999999</v>
      </c>
      <c r="AX36" s="10">
        <v>1.6570141</v>
      </c>
      <c r="AY36" s="10">
        <v>1.6390043999999999</v>
      </c>
      <c r="AZ36" s="10">
        <v>1.6216492</v>
      </c>
      <c r="BA36" s="10">
        <v>1.6049381</v>
      </c>
      <c r="BB36" s="10">
        <v>1.5888608</v>
      </c>
      <c r="BC36" s="10">
        <v>1.5734068999999999</v>
      </c>
      <c r="BD36" s="10">
        <v>1.5585659999999999</v>
      </c>
      <c r="BE36" s="10">
        <v>1.5443277</v>
      </c>
      <c r="BF36" s="10">
        <v>1.530681</v>
      </c>
      <c r="BG36" s="10">
        <v>1.5176111999999999</v>
      </c>
      <c r="BH36" s="10">
        <v>1.5051026999999999</v>
      </c>
      <c r="BI36" s="10">
        <v>1.4931398</v>
      </c>
      <c r="BJ36" s="10">
        <v>1.4817069</v>
      </c>
      <c r="BK36" s="10">
        <v>1.4707884</v>
      </c>
      <c r="BL36" s="10">
        <v>1.4603687000000001</v>
      </c>
      <c r="BM36" s="10">
        <v>1.4504321</v>
      </c>
      <c r="BN36" s="10">
        <v>1.440963</v>
      </c>
      <c r="BO36" s="10">
        <v>1.4319459000000001</v>
      </c>
      <c r="BP36" s="10">
        <v>1.4233651</v>
      </c>
      <c r="BQ36" s="10">
        <v>1.4152049</v>
      </c>
      <c r="BR36" s="10">
        <v>1.3743316999999999</v>
      </c>
      <c r="BS36" s="10">
        <v>1.3454467999999999</v>
      </c>
      <c r="BU36" s="7">
        <v>1.36</v>
      </c>
      <c r="BV36" s="7">
        <v>1.53</v>
      </c>
      <c r="BW36" s="9">
        <v>82.564800000000005</v>
      </c>
    </row>
    <row r="37" spans="1:75" x14ac:dyDescent="0.25">
      <c r="A37" s="6">
        <f t="shared" si="5"/>
        <v>44603</v>
      </c>
      <c r="B37" s="13">
        <f t="shared" si="0"/>
        <v>2</v>
      </c>
      <c r="C37" s="13">
        <f t="shared" si="1"/>
        <v>2022</v>
      </c>
      <c r="D37">
        <f t="shared" si="2"/>
        <v>202202</v>
      </c>
      <c r="E37">
        <f t="shared" si="3"/>
        <v>1</v>
      </c>
      <c r="F37">
        <f t="shared" si="4"/>
        <v>202201</v>
      </c>
      <c r="G37" t="s">
        <v>224</v>
      </c>
      <c r="H37" s="9">
        <v>0.5</v>
      </c>
      <c r="I37" s="9">
        <v>0.44519999999999998</v>
      </c>
      <c r="J37" s="10">
        <v>0.59892129999999999</v>
      </c>
      <c r="K37" s="10">
        <v>0.88638629999999996</v>
      </c>
      <c r="L37" s="10">
        <v>1.1356515</v>
      </c>
      <c r="M37" s="10">
        <v>1.3499226</v>
      </c>
      <c r="N37" s="10">
        <v>1.5240967000000001</v>
      </c>
      <c r="O37" s="10">
        <v>1.6592011</v>
      </c>
      <c r="P37" s="10">
        <v>1.7631102999999999</v>
      </c>
      <c r="Q37" s="10">
        <v>1.8447404000000001</v>
      </c>
      <c r="R37" s="10">
        <v>1.9122648</v>
      </c>
      <c r="S37" s="10">
        <v>1.9703002999999999</v>
      </c>
      <c r="T37" s="10">
        <v>2.0206419000000002</v>
      </c>
      <c r="U37" s="10">
        <v>2.0634823</v>
      </c>
      <c r="V37" s="10">
        <v>2.0977434000000001</v>
      </c>
      <c r="W37" s="10">
        <v>2.1235769000000002</v>
      </c>
      <c r="X37" s="10">
        <v>2.1416088000000002</v>
      </c>
      <c r="Y37" s="10">
        <v>2.1524652</v>
      </c>
      <c r="Z37" s="10">
        <v>2.1567721999999998</v>
      </c>
      <c r="AA37" s="10">
        <v>2.1551559999999998</v>
      </c>
      <c r="AB37" s="10">
        <v>2.1482511999999998</v>
      </c>
      <c r="AC37" s="10">
        <v>2.1367224999999999</v>
      </c>
      <c r="AD37" s="10">
        <v>2.1212407</v>
      </c>
      <c r="AE37" s="10">
        <v>2.1024767</v>
      </c>
      <c r="AF37" s="10">
        <v>2.0811016000000002</v>
      </c>
      <c r="AG37" s="10">
        <v>2.0577861999999998</v>
      </c>
      <c r="AH37" s="10">
        <v>2.0331267999999998</v>
      </c>
      <c r="AI37" s="10">
        <v>2.0073894000000001</v>
      </c>
      <c r="AJ37" s="10">
        <v>1.9807493</v>
      </c>
      <c r="AK37" s="10">
        <v>1.9533815000000001</v>
      </c>
      <c r="AL37" s="10">
        <v>1.9254610999999999</v>
      </c>
      <c r="AM37" s="10">
        <v>1.8971633999999999</v>
      </c>
      <c r="AN37" s="10">
        <v>1.8686634</v>
      </c>
      <c r="AO37" s="10">
        <v>1.8401362000000001</v>
      </c>
      <c r="AP37" s="10">
        <v>1.8117570000000001</v>
      </c>
      <c r="AQ37" s="10">
        <v>1.7837008000000001</v>
      </c>
      <c r="AR37" s="10">
        <v>1.7561429</v>
      </c>
      <c r="AS37" s="10">
        <v>1.7292582999999999</v>
      </c>
      <c r="AT37" s="10">
        <v>1.7031947999999999</v>
      </c>
      <c r="AU37" s="10">
        <v>1.6779793999999999</v>
      </c>
      <c r="AV37" s="10">
        <v>1.6536058</v>
      </c>
      <c r="AW37" s="10">
        <v>1.6300678</v>
      </c>
      <c r="AX37" s="10">
        <v>1.607359</v>
      </c>
      <c r="AY37" s="10">
        <v>1.5854732</v>
      </c>
      <c r="AZ37" s="10">
        <v>1.5644041</v>
      </c>
      <c r="BA37" s="10">
        <v>1.5441453000000001</v>
      </c>
      <c r="BB37" s="10">
        <v>1.5246906</v>
      </c>
      <c r="BC37" s="10">
        <v>1.5060336999999999</v>
      </c>
      <c r="BD37" s="10">
        <v>1.4881683000000001</v>
      </c>
      <c r="BE37" s="10">
        <v>1.4710882000000001</v>
      </c>
      <c r="BF37" s="10">
        <v>1.4547840999999999</v>
      </c>
      <c r="BG37" s="10">
        <v>1.4392343999999999</v>
      </c>
      <c r="BH37" s="10">
        <v>1.4244140000000001</v>
      </c>
      <c r="BI37" s="10">
        <v>1.4102977999999999</v>
      </c>
      <c r="BJ37" s="10">
        <v>1.3968605000000001</v>
      </c>
      <c r="BK37" s="10">
        <v>1.3840771999999999</v>
      </c>
      <c r="BL37" s="10">
        <v>1.3719227000000001</v>
      </c>
      <c r="BM37" s="10">
        <v>1.3603718</v>
      </c>
      <c r="BN37" s="10">
        <v>1.3493994</v>
      </c>
      <c r="BO37" s="10">
        <v>1.3389804000000001</v>
      </c>
      <c r="BP37" s="10">
        <v>1.3290896000000001</v>
      </c>
      <c r="BQ37" s="10">
        <v>1.3197019999999999</v>
      </c>
      <c r="BR37" s="10">
        <v>1.2729315000000001</v>
      </c>
      <c r="BS37" s="10">
        <v>1.2403487</v>
      </c>
      <c r="BU37" s="7">
        <v>1.43</v>
      </c>
      <c r="BV37" s="7">
        <v>1.55</v>
      </c>
      <c r="BW37" s="9">
        <v>82.748900000000006</v>
      </c>
    </row>
    <row r="38" spans="1:75" x14ac:dyDescent="0.25">
      <c r="A38" s="6">
        <f t="shared" si="5"/>
        <v>44606</v>
      </c>
      <c r="B38" s="13">
        <f t="shared" si="0"/>
        <v>2</v>
      </c>
      <c r="C38" s="13">
        <f t="shared" si="1"/>
        <v>2022</v>
      </c>
      <c r="D38">
        <f t="shared" si="2"/>
        <v>202202</v>
      </c>
      <c r="E38">
        <f t="shared" si="3"/>
        <v>1</v>
      </c>
      <c r="F38">
        <f t="shared" si="4"/>
        <v>202201</v>
      </c>
      <c r="G38" t="s">
        <v>225</v>
      </c>
      <c r="H38" s="9">
        <v>0.5</v>
      </c>
      <c r="I38" s="9">
        <v>0.44479999999999997</v>
      </c>
      <c r="J38" s="10">
        <v>0.61658460000000004</v>
      </c>
      <c r="K38" s="10">
        <v>0.9280562</v>
      </c>
      <c r="L38" s="10">
        <v>1.1904596000000001</v>
      </c>
      <c r="M38" s="10">
        <v>1.4116417000000001</v>
      </c>
      <c r="N38" s="10">
        <v>1.5898813999999999</v>
      </c>
      <c r="O38" s="10">
        <v>1.7277506</v>
      </c>
      <c r="P38" s="10">
        <v>1.8361616000000001</v>
      </c>
      <c r="Q38" s="10">
        <v>1.9245298</v>
      </c>
      <c r="R38" s="10">
        <v>2.0003991000000001</v>
      </c>
      <c r="S38" s="10">
        <v>2.0677468999999999</v>
      </c>
      <c r="T38" s="10">
        <v>2.1275574000000002</v>
      </c>
      <c r="U38" s="10">
        <v>2.1793561000000001</v>
      </c>
      <c r="V38" s="10">
        <v>2.2212258</v>
      </c>
      <c r="W38" s="10">
        <v>2.2531805999999999</v>
      </c>
      <c r="X38" s="10">
        <v>2.2758566999999998</v>
      </c>
      <c r="Y38" s="10">
        <v>2.2898906999999999</v>
      </c>
      <c r="Z38" s="10">
        <v>2.295919</v>
      </c>
      <c r="AA38" s="10">
        <v>2.294578</v>
      </c>
      <c r="AB38" s="10">
        <v>2.2865592000000001</v>
      </c>
      <c r="AC38" s="10">
        <v>2.2727445999999998</v>
      </c>
      <c r="AD38" s="10">
        <v>2.254057</v>
      </c>
      <c r="AE38" s="10">
        <v>2.2314193000000002</v>
      </c>
      <c r="AF38" s="10">
        <v>2.2057543000000002</v>
      </c>
      <c r="AG38" s="10">
        <v>2.1779850999999999</v>
      </c>
      <c r="AH38" s="10">
        <v>2.1489107999999999</v>
      </c>
      <c r="AI38" s="10">
        <v>2.1188368</v>
      </c>
      <c r="AJ38" s="10">
        <v>2.0879446000000002</v>
      </c>
      <c r="AK38" s="10">
        <v>2.0564160999999999</v>
      </c>
      <c r="AL38" s="10">
        <v>2.0244328999999999</v>
      </c>
      <c r="AM38" s="10">
        <v>1.9921766999999999</v>
      </c>
      <c r="AN38" s="10">
        <v>1.9598291000000001</v>
      </c>
      <c r="AO38" s="10">
        <v>1.9275719</v>
      </c>
      <c r="AP38" s="10">
        <v>1.8955868</v>
      </c>
      <c r="AQ38" s="10">
        <v>1.8640554</v>
      </c>
      <c r="AR38" s="10">
        <v>1.8331595000000001</v>
      </c>
      <c r="AS38" s="10">
        <v>1.8030805999999999</v>
      </c>
      <c r="AT38" s="10">
        <v>1.7739712000000001</v>
      </c>
      <c r="AU38" s="10">
        <v>1.7458533000000001</v>
      </c>
      <c r="AV38" s="10">
        <v>1.7187133999999999</v>
      </c>
      <c r="AW38" s="10">
        <v>1.6925379</v>
      </c>
      <c r="AX38" s="10">
        <v>1.6673131000000001</v>
      </c>
      <c r="AY38" s="10">
        <v>1.6430254</v>
      </c>
      <c r="AZ38" s="10">
        <v>1.6196611999999999</v>
      </c>
      <c r="BA38" s="10">
        <v>1.5972067999999999</v>
      </c>
      <c r="BB38" s="10">
        <v>1.5756486000000001</v>
      </c>
      <c r="BC38" s="10">
        <v>1.5549729000000001</v>
      </c>
      <c r="BD38" s="10">
        <v>1.5351663</v>
      </c>
      <c r="BE38" s="10">
        <v>1.5162149</v>
      </c>
      <c r="BF38" s="10">
        <v>1.4981040999999999</v>
      </c>
      <c r="BG38" s="10">
        <v>1.480812</v>
      </c>
      <c r="BH38" s="10">
        <v>1.464315</v>
      </c>
      <c r="BI38" s="10">
        <v>1.4485892</v>
      </c>
      <c r="BJ38" s="10">
        <v>1.4336106</v>
      </c>
      <c r="BK38" s="10">
        <v>1.4193556000000001</v>
      </c>
      <c r="BL38" s="10">
        <v>1.4058002000000001</v>
      </c>
      <c r="BM38" s="10">
        <v>1.3929205</v>
      </c>
      <c r="BN38" s="10">
        <v>1.3806928999999999</v>
      </c>
      <c r="BO38" s="10">
        <v>1.3690933000000001</v>
      </c>
      <c r="BP38" s="10">
        <v>1.358098</v>
      </c>
      <c r="BQ38" s="10">
        <v>1.3476831</v>
      </c>
      <c r="BR38" s="10">
        <v>1.2962807000000001</v>
      </c>
      <c r="BS38" s="10">
        <v>1.2611987</v>
      </c>
      <c r="BU38" s="7">
        <v>1.52</v>
      </c>
      <c r="BV38" s="7">
        <v>1.58</v>
      </c>
      <c r="BW38" s="9">
        <v>82.588399999999993</v>
      </c>
    </row>
    <row r="39" spans="1:75" x14ac:dyDescent="0.25">
      <c r="A39" s="6">
        <f t="shared" si="5"/>
        <v>44607</v>
      </c>
      <c r="B39" s="13">
        <f t="shared" si="0"/>
        <v>2</v>
      </c>
      <c r="C39" s="13">
        <f t="shared" si="1"/>
        <v>2022</v>
      </c>
      <c r="D39">
        <f t="shared" si="2"/>
        <v>202202</v>
      </c>
      <c r="E39">
        <f t="shared" si="3"/>
        <v>1</v>
      </c>
      <c r="F39">
        <f t="shared" si="4"/>
        <v>202201</v>
      </c>
      <c r="G39" t="s">
        <v>226</v>
      </c>
      <c r="H39" s="9">
        <v>0.5</v>
      </c>
      <c r="I39" s="9">
        <v>0.44500000000000001</v>
      </c>
      <c r="J39" s="10">
        <v>0.62280389999999997</v>
      </c>
      <c r="K39" s="10">
        <v>0.93145630000000001</v>
      </c>
      <c r="L39" s="10">
        <v>1.1810073000000001</v>
      </c>
      <c r="M39" s="10">
        <v>1.3841724</v>
      </c>
      <c r="N39" s="10">
        <v>1.5496705</v>
      </c>
      <c r="O39" s="10">
        <v>1.6833659000000001</v>
      </c>
      <c r="P39" s="10">
        <v>1.7940208</v>
      </c>
      <c r="Q39" s="10">
        <v>1.8890043999999999</v>
      </c>
      <c r="R39" s="10">
        <v>1.9735929999999999</v>
      </c>
      <c r="S39" s="10">
        <v>2.0506638000000001</v>
      </c>
      <c r="T39" s="10">
        <v>2.1201647000000001</v>
      </c>
      <c r="U39" s="10">
        <v>2.1808226999999998</v>
      </c>
      <c r="V39" s="10">
        <v>2.2297772999999999</v>
      </c>
      <c r="W39" s="10">
        <v>2.2670935000000001</v>
      </c>
      <c r="X39" s="10">
        <v>2.2937287</v>
      </c>
      <c r="Y39" s="10">
        <v>2.3106403000000002</v>
      </c>
      <c r="Z39" s="10">
        <v>2.3187856</v>
      </c>
      <c r="AA39" s="10">
        <v>2.3191218999999998</v>
      </c>
      <c r="AB39" s="10">
        <v>2.3126023999999998</v>
      </c>
      <c r="AC39" s="10">
        <v>2.3001651999999999</v>
      </c>
      <c r="AD39" s="10">
        <v>2.2827454999999999</v>
      </c>
      <c r="AE39" s="10">
        <v>2.2612784000000001</v>
      </c>
      <c r="AF39" s="10">
        <v>2.2366988000000001</v>
      </c>
      <c r="AG39" s="10">
        <v>2.2099419999999999</v>
      </c>
      <c r="AH39" s="10">
        <v>2.1818170000000001</v>
      </c>
      <c r="AI39" s="10">
        <v>2.1526288</v>
      </c>
      <c r="AJ39" s="10">
        <v>2.1225562999999998</v>
      </c>
      <c r="AK39" s="10">
        <v>2.0917783999999999</v>
      </c>
      <c r="AL39" s="10">
        <v>2.0604741999999998</v>
      </c>
      <c r="AM39" s="10">
        <v>2.0288225</v>
      </c>
      <c r="AN39" s="10">
        <v>1.9970024</v>
      </c>
      <c r="AO39" s="10">
        <v>1.9651928000000001</v>
      </c>
      <c r="AP39" s="10">
        <v>1.9335726</v>
      </c>
      <c r="AQ39" s="10">
        <v>1.9023208</v>
      </c>
      <c r="AR39" s="10">
        <v>1.8716164</v>
      </c>
      <c r="AS39" s="10">
        <v>1.8416383000000001</v>
      </c>
      <c r="AT39" s="10">
        <v>1.8125422</v>
      </c>
      <c r="AU39" s="10">
        <v>1.7843591999999999</v>
      </c>
      <c r="AV39" s="10">
        <v>1.7570782</v>
      </c>
      <c r="AW39" s="10">
        <v>1.7306881999999999</v>
      </c>
      <c r="AX39" s="10">
        <v>1.7051782</v>
      </c>
      <c r="AY39" s="10">
        <v>1.6805374</v>
      </c>
      <c r="AZ39" s="10">
        <v>1.6567546</v>
      </c>
      <c r="BA39" s="10">
        <v>1.6338189000000001</v>
      </c>
      <c r="BB39" s="10">
        <v>1.6117193000000001</v>
      </c>
      <c r="BC39" s="10">
        <v>1.5904448</v>
      </c>
      <c r="BD39" s="10">
        <v>1.5699844000000001</v>
      </c>
      <c r="BE39" s="10">
        <v>1.5503271999999999</v>
      </c>
      <c r="BF39" s="10">
        <v>1.5314608000000001</v>
      </c>
      <c r="BG39" s="10">
        <v>1.5133667</v>
      </c>
      <c r="BH39" s="10">
        <v>1.4960245000000001</v>
      </c>
      <c r="BI39" s="10">
        <v>1.4794134999999999</v>
      </c>
      <c r="BJ39" s="10">
        <v>1.4635134000000001</v>
      </c>
      <c r="BK39" s="10">
        <v>1.4483035</v>
      </c>
      <c r="BL39" s="10">
        <v>1.4337636</v>
      </c>
      <c r="BM39" s="10">
        <v>1.4198729000000001</v>
      </c>
      <c r="BN39" s="10">
        <v>1.4066112</v>
      </c>
      <c r="BO39" s="10">
        <v>1.3939577999999999</v>
      </c>
      <c r="BP39" s="10">
        <v>1.3818923000000001</v>
      </c>
      <c r="BQ39" s="10">
        <v>1.3703942</v>
      </c>
      <c r="BR39" s="10">
        <v>1.3124001999999999</v>
      </c>
      <c r="BS39" s="10">
        <v>1.2710454</v>
      </c>
      <c r="BU39" s="7">
        <v>1.55</v>
      </c>
      <c r="BV39" s="7">
        <v>1.59</v>
      </c>
      <c r="BW39" s="9">
        <v>82.425299999999993</v>
      </c>
    </row>
    <row r="40" spans="1:75" x14ac:dyDescent="0.25">
      <c r="A40" s="6">
        <f t="shared" si="5"/>
        <v>44608</v>
      </c>
      <c r="B40" s="13">
        <f t="shared" si="0"/>
        <v>2</v>
      </c>
      <c r="C40" s="13">
        <f t="shared" si="1"/>
        <v>2022</v>
      </c>
      <c r="D40">
        <f t="shared" si="2"/>
        <v>202202</v>
      </c>
      <c r="E40">
        <f t="shared" si="3"/>
        <v>1</v>
      </c>
      <c r="F40">
        <f t="shared" si="4"/>
        <v>202201</v>
      </c>
      <c r="G40" t="s">
        <v>227</v>
      </c>
      <c r="H40" s="9">
        <v>0.5</v>
      </c>
      <c r="I40" s="9">
        <v>0.44490000000000002</v>
      </c>
      <c r="J40" s="10">
        <v>0.6051839</v>
      </c>
      <c r="K40" s="10">
        <v>0.89302239999999999</v>
      </c>
      <c r="L40" s="10">
        <v>1.1219441999999999</v>
      </c>
      <c r="M40" s="10">
        <v>1.3109545</v>
      </c>
      <c r="N40" s="10">
        <v>1.4673069000000001</v>
      </c>
      <c r="O40" s="10">
        <v>1.5941406</v>
      </c>
      <c r="P40" s="10">
        <v>1.6965249</v>
      </c>
      <c r="Q40" s="10">
        <v>1.7809074</v>
      </c>
      <c r="R40" s="10">
        <v>1.8526305000000001</v>
      </c>
      <c r="S40" s="10">
        <v>1.9150134000000001</v>
      </c>
      <c r="T40" s="10">
        <v>1.9691276</v>
      </c>
      <c r="U40" s="10">
        <v>2.0151444999999999</v>
      </c>
      <c r="V40" s="10">
        <v>2.0526007000000002</v>
      </c>
      <c r="W40" s="10">
        <v>2.0817863000000001</v>
      </c>
      <c r="X40" s="10">
        <v>2.1032277000000001</v>
      </c>
      <c r="Y40" s="10">
        <v>2.1174510999999998</v>
      </c>
      <c r="Z40" s="10">
        <v>2.1249829999999998</v>
      </c>
      <c r="AA40" s="10">
        <v>2.1263497999999998</v>
      </c>
      <c r="AB40" s="10">
        <v>2.1221142999999998</v>
      </c>
      <c r="AC40" s="10">
        <v>2.1129652000000001</v>
      </c>
      <c r="AD40" s="10">
        <v>2.0996182999999999</v>
      </c>
      <c r="AE40" s="10">
        <v>2.0827893999999998</v>
      </c>
      <c r="AF40" s="10">
        <v>2.0631944</v>
      </c>
      <c r="AG40" s="10">
        <v>2.0415489</v>
      </c>
      <c r="AH40" s="10">
        <v>2.0184795000000002</v>
      </c>
      <c r="AI40" s="10">
        <v>1.9942548</v>
      </c>
      <c r="AJ40" s="10">
        <v>1.9690540999999999</v>
      </c>
      <c r="AK40" s="10">
        <v>1.9430567000000001</v>
      </c>
      <c r="AL40" s="10">
        <v>1.916442</v>
      </c>
      <c r="AM40" s="10">
        <v>1.8893891</v>
      </c>
      <c r="AN40" s="10">
        <v>1.8620774</v>
      </c>
      <c r="AO40" s="10">
        <v>1.8346861999999999</v>
      </c>
      <c r="AP40" s="10">
        <v>1.8073948</v>
      </c>
      <c r="AQ40" s="10">
        <v>1.7803823999999999</v>
      </c>
      <c r="AR40" s="10">
        <v>1.7538284</v>
      </c>
      <c r="AS40" s="10">
        <v>1.7279121</v>
      </c>
      <c r="AT40" s="10">
        <v>1.7027867999999999</v>
      </c>
      <c r="AU40" s="10">
        <v>1.6784805</v>
      </c>
      <c r="AV40" s="10">
        <v>1.6549826000000001</v>
      </c>
      <c r="AW40" s="10">
        <v>1.6322825999999999</v>
      </c>
      <c r="AX40" s="10">
        <v>1.6103700999999999</v>
      </c>
      <c r="AY40" s="10">
        <v>1.5892344</v>
      </c>
      <c r="AZ40" s="10">
        <v>1.5688651</v>
      </c>
      <c r="BA40" s="10">
        <v>1.5492516999999999</v>
      </c>
      <c r="BB40" s="10">
        <v>1.5303837</v>
      </c>
      <c r="BC40" s="10">
        <v>1.5122507000000001</v>
      </c>
      <c r="BD40" s="10">
        <v>1.4948418999999999</v>
      </c>
      <c r="BE40" s="10">
        <v>1.4781470999999999</v>
      </c>
      <c r="BF40" s="10">
        <v>1.4621544</v>
      </c>
      <c r="BG40" s="10">
        <v>1.4468459</v>
      </c>
      <c r="BH40" s="10">
        <v>1.4322024</v>
      </c>
      <c r="BI40" s="10">
        <v>1.4182045999999999</v>
      </c>
      <c r="BJ40" s="10">
        <v>1.4048331000000001</v>
      </c>
      <c r="BK40" s="10">
        <v>1.3920684000000001</v>
      </c>
      <c r="BL40" s="10">
        <v>1.3798914</v>
      </c>
      <c r="BM40" s="10">
        <v>1.3682827</v>
      </c>
      <c r="BN40" s="10">
        <v>1.3572228</v>
      </c>
      <c r="BO40" s="10">
        <v>1.3466925000000001</v>
      </c>
      <c r="BP40" s="10">
        <v>1.3366724000000001</v>
      </c>
      <c r="BQ40" s="10">
        <v>1.3271432000000001</v>
      </c>
      <c r="BR40" s="10">
        <v>1.2793991</v>
      </c>
      <c r="BS40" s="10">
        <v>1.2457041</v>
      </c>
      <c r="BU40" s="7">
        <v>1.41</v>
      </c>
      <c r="BV40" s="7">
        <v>1.52</v>
      </c>
      <c r="BW40" s="9">
        <v>82.691000000000003</v>
      </c>
    </row>
    <row r="41" spans="1:75" x14ac:dyDescent="0.25">
      <c r="A41" s="6">
        <f t="shared" si="5"/>
        <v>44609</v>
      </c>
      <c r="B41" s="13">
        <f t="shared" si="0"/>
        <v>2</v>
      </c>
      <c r="C41" s="13">
        <f t="shared" si="1"/>
        <v>2022</v>
      </c>
      <c r="D41">
        <f t="shared" si="2"/>
        <v>202202</v>
      </c>
      <c r="E41">
        <f t="shared" si="3"/>
        <v>1</v>
      </c>
      <c r="F41">
        <f t="shared" si="4"/>
        <v>202201</v>
      </c>
      <c r="G41" t="s">
        <v>228</v>
      </c>
      <c r="H41" s="9">
        <v>0.5</v>
      </c>
      <c r="I41" s="9">
        <v>0.44490000000000002</v>
      </c>
      <c r="J41" s="10">
        <v>0.60793620000000004</v>
      </c>
      <c r="K41" s="10">
        <v>0.89252569999999998</v>
      </c>
      <c r="L41" s="10">
        <v>1.1160471000000001</v>
      </c>
      <c r="M41" s="10">
        <v>1.2986677</v>
      </c>
      <c r="N41" s="10">
        <v>1.4487004000000001</v>
      </c>
      <c r="O41" s="10">
        <v>1.5694919000000001</v>
      </c>
      <c r="P41" s="10">
        <v>1.6663444999999999</v>
      </c>
      <c r="Q41" s="10">
        <v>1.7451279</v>
      </c>
      <c r="R41" s="10">
        <v>1.8114667</v>
      </c>
      <c r="S41" s="10">
        <v>1.8686701999999999</v>
      </c>
      <c r="T41" s="10">
        <v>1.9183196</v>
      </c>
      <c r="U41" s="10">
        <v>1.9606631000000001</v>
      </c>
      <c r="V41" s="10">
        <v>1.9953329</v>
      </c>
      <c r="W41" s="10">
        <v>2.0225190999999998</v>
      </c>
      <c r="X41" s="10">
        <v>2.0425827999999999</v>
      </c>
      <c r="Y41" s="10">
        <v>2.0558846000000002</v>
      </c>
      <c r="Z41" s="10">
        <v>2.0627854000000001</v>
      </c>
      <c r="AA41" s="10">
        <v>2.0636461000000001</v>
      </c>
      <c r="AB41" s="10">
        <v>2.0588967</v>
      </c>
      <c r="AC41" s="10">
        <v>2.0492059</v>
      </c>
      <c r="AD41" s="10">
        <v>2.0352936000000001</v>
      </c>
      <c r="AE41" s="10">
        <v>2.0178799999999999</v>
      </c>
      <c r="AF41" s="10">
        <v>1.9976853000000001</v>
      </c>
      <c r="AG41" s="10">
        <v>1.9754294999999999</v>
      </c>
      <c r="AH41" s="10">
        <v>1.9517599999999999</v>
      </c>
      <c r="AI41" s="10">
        <v>1.9269704999999999</v>
      </c>
      <c r="AJ41" s="10">
        <v>1.9012465999999999</v>
      </c>
      <c r="AK41" s="10">
        <v>1.8747741</v>
      </c>
      <c r="AL41" s="10">
        <v>1.8477389</v>
      </c>
      <c r="AM41" s="10">
        <v>1.8203266</v>
      </c>
      <c r="AN41" s="10">
        <v>1.7927230999999999</v>
      </c>
      <c r="AO41" s="10">
        <v>1.7651140999999999</v>
      </c>
      <c r="AP41" s="10">
        <v>1.7376853999999999</v>
      </c>
      <c r="AQ41" s="10">
        <v>1.7106228000000001</v>
      </c>
      <c r="AR41" s="10">
        <v>1.6841120000000001</v>
      </c>
      <c r="AS41" s="10">
        <v>1.6583387000000001</v>
      </c>
      <c r="AT41" s="10">
        <v>1.6334580000000001</v>
      </c>
      <c r="AU41" s="10">
        <v>1.6094887</v>
      </c>
      <c r="AV41" s="10">
        <v>1.5864119000000001</v>
      </c>
      <c r="AW41" s="10">
        <v>1.5642092000000001</v>
      </c>
      <c r="AX41" s="10">
        <v>1.5428615999999999</v>
      </c>
      <c r="AY41" s="10">
        <v>1.5223504999999999</v>
      </c>
      <c r="AZ41" s="10">
        <v>1.5026572</v>
      </c>
      <c r="BA41" s="10">
        <v>1.4837629000000001</v>
      </c>
      <c r="BB41" s="10">
        <v>1.465649</v>
      </c>
      <c r="BC41" s="10">
        <v>1.4482967</v>
      </c>
      <c r="BD41" s="10">
        <v>1.4316873999999999</v>
      </c>
      <c r="BE41" s="10">
        <v>1.4158021000000001</v>
      </c>
      <c r="BF41" s="10">
        <v>1.4006219</v>
      </c>
      <c r="BG41" s="10">
        <v>1.3861254999999999</v>
      </c>
      <c r="BH41" s="10">
        <v>1.3722911</v>
      </c>
      <c r="BI41" s="10">
        <v>1.3590968000000001</v>
      </c>
      <c r="BJ41" s="10">
        <v>1.3465210000000001</v>
      </c>
      <c r="BK41" s="10">
        <v>1.3345416999999999</v>
      </c>
      <c r="BL41" s="10">
        <v>1.3231373</v>
      </c>
      <c r="BM41" s="10">
        <v>1.3122859</v>
      </c>
      <c r="BN41" s="10">
        <v>1.3019657</v>
      </c>
      <c r="BO41" s="10">
        <v>1.2921549999999999</v>
      </c>
      <c r="BP41" s="10">
        <v>1.2828318999999999</v>
      </c>
      <c r="BQ41" s="10">
        <v>1.2739746000000001</v>
      </c>
      <c r="BR41" s="10">
        <v>1.2297282</v>
      </c>
      <c r="BS41" s="10">
        <v>1.1987897000000001</v>
      </c>
      <c r="BU41" s="7">
        <v>1.34</v>
      </c>
      <c r="BV41" s="7">
        <v>1.46</v>
      </c>
      <c r="BW41" s="9">
        <v>82.919399999999996</v>
      </c>
    </row>
    <row r="42" spans="1:75" x14ac:dyDescent="0.25">
      <c r="A42" s="6">
        <f t="shared" si="5"/>
        <v>44610</v>
      </c>
      <c r="B42" s="13">
        <f t="shared" si="0"/>
        <v>2</v>
      </c>
      <c r="C42" s="13">
        <f t="shared" si="1"/>
        <v>2022</v>
      </c>
      <c r="D42">
        <f t="shared" si="2"/>
        <v>202202</v>
      </c>
      <c r="E42">
        <f t="shared" si="3"/>
        <v>1</v>
      </c>
      <c r="F42">
        <f t="shared" si="4"/>
        <v>202201</v>
      </c>
      <c r="G42" t="s">
        <v>229</v>
      </c>
      <c r="H42" s="9">
        <v>0.5</v>
      </c>
      <c r="I42" s="9">
        <v>0.44529999999999997</v>
      </c>
      <c r="J42" s="10">
        <v>0.61634100000000003</v>
      </c>
      <c r="K42" s="10">
        <v>0.87906620000000002</v>
      </c>
      <c r="L42" s="10">
        <v>1.0873539000000001</v>
      </c>
      <c r="M42" s="10">
        <v>1.2581879</v>
      </c>
      <c r="N42" s="10">
        <v>1.3987487999999999</v>
      </c>
      <c r="O42" s="10">
        <v>1.5124734</v>
      </c>
      <c r="P42" s="10">
        <v>1.6043012000000001</v>
      </c>
      <c r="Q42" s="10">
        <v>1.6793969</v>
      </c>
      <c r="R42" s="10">
        <v>1.7425584999999999</v>
      </c>
      <c r="S42" s="10">
        <v>1.7964580999999999</v>
      </c>
      <c r="T42" s="10">
        <v>1.8421388000000001</v>
      </c>
      <c r="U42" s="10">
        <v>1.8797881999999999</v>
      </c>
      <c r="V42" s="10">
        <v>1.9088387</v>
      </c>
      <c r="W42" s="10">
        <v>1.9297092</v>
      </c>
      <c r="X42" s="10">
        <v>1.9431841999999999</v>
      </c>
      <c r="Y42" s="10">
        <v>1.9500483</v>
      </c>
      <c r="Z42" s="10">
        <v>1.9510862</v>
      </c>
      <c r="AA42" s="10">
        <v>1.9470822999999999</v>
      </c>
      <c r="AB42" s="10">
        <v>1.9387753999999999</v>
      </c>
      <c r="AC42" s="10">
        <v>1.9267456000000001</v>
      </c>
      <c r="AD42" s="10">
        <v>1.9115386000000001</v>
      </c>
      <c r="AE42" s="10">
        <v>1.8937002999999999</v>
      </c>
      <c r="AF42" s="10">
        <v>1.8737767000000001</v>
      </c>
      <c r="AG42" s="10">
        <v>1.8523136</v>
      </c>
      <c r="AH42" s="10">
        <v>1.8297968</v>
      </c>
      <c r="AI42" s="10">
        <v>1.8064476</v>
      </c>
      <c r="AJ42" s="10">
        <v>1.7824142999999999</v>
      </c>
      <c r="AK42" s="10">
        <v>1.7578450000000001</v>
      </c>
      <c r="AL42" s="10">
        <v>1.732888</v>
      </c>
      <c r="AM42" s="10">
        <v>1.7076914999999999</v>
      </c>
      <c r="AN42" s="10">
        <v>1.6824037000000001</v>
      </c>
      <c r="AO42" s="10">
        <v>1.6571728999999999</v>
      </c>
      <c r="AP42" s="10">
        <v>1.6321471000000001</v>
      </c>
      <c r="AQ42" s="10">
        <v>1.6074747</v>
      </c>
      <c r="AR42" s="10">
        <v>1.5833039</v>
      </c>
      <c r="AS42" s="10">
        <v>1.5597828</v>
      </c>
      <c r="AT42" s="10">
        <v>1.5370349000000001</v>
      </c>
      <c r="AU42" s="10">
        <v>1.5150741999999999</v>
      </c>
      <c r="AV42" s="10">
        <v>1.4938844</v>
      </c>
      <c r="AW42" s="10">
        <v>1.4734491000000001</v>
      </c>
      <c r="AX42" s="10">
        <v>1.4537522</v>
      </c>
      <c r="AY42" s="10">
        <v>1.4347772999999999</v>
      </c>
      <c r="AZ42" s="10">
        <v>1.4165083000000001</v>
      </c>
      <c r="BA42" s="10">
        <v>1.3989288</v>
      </c>
      <c r="BB42" s="10">
        <v>1.3820224999999999</v>
      </c>
      <c r="BC42" s="10">
        <v>1.3657733000000001</v>
      </c>
      <c r="BD42" s="10">
        <v>1.3501647000000001</v>
      </c>
      <c r="BE42" s="10">
        <v>1.3351807</v>
      </c>
      <c r="BF42" s="10">
        <v>1.3208040999999999</v>
      </c>
      <c r="BG42" s="10">
        <v>1.3070155000000001</v>
      </c>
      <c r="BH42" s="10">
        <v>1.2937943000000001</v>
      </c>
      <c r="BI42" s="10">
        <v>1.28112</v>
      </c>
      <c r="BJ42" s="10">
        <v>1.2689722000000001</v>
      </c>
      <c r="BK42" s="10">
        <v>1.2573304999999999</v>
      </c>
      <c r="BL42" s="10">
        <v>1.2461743000000001</v>
      </c>
      <c r="BM42" s="10">
        <v>1.2354832</v>
      </c>
      <c r="BN42" s="10">
        <v>1.2252368</v>
      </c>
      <c r="BO42" s="10">
        <v>1.2154145999999999</v>
      </c>
      <c r="BP42" s="10">
        <v>1.2059960000000001</v>
      </c>
      <c r="BQ42" s="10">
        <v>1.1969608</v>
      </c>
      <c r="BR42" s="10">
        <v>1.1501618</v>
      </c>
      <c r="BS42" s="10">
        <v>1.1150966</v>
      </c>
      <c r="BU42" s="7">
        <v>1.26</v>
      </c>
      <c r="BV42" s="7">
        <v>1.38</v>
      </c>
      <c r="BW42" s="9">
        <v>82.797799999999995</v>
      </c>
    </row>
    <row r="43" spans="1:75" x14ac:dyDescent="0.25">
      <c r="A43" s="6">
        <f t="shared" si="5"/>
        <v>44613</v>
      </c>
      <c r="B43" s="13">
        <f t="shared" si="0"/>
        <v>2</v>
      </c>
      <c r="C43" s="13">
        <f t="shared" si="1"/>
        <v>2022</v>
      </c>
      <c r="D43">
        <f t="shared" si="2"/>
        <v>202202</v>
      </c>
      <c r="E43">
        <f t="shared" si="3"/>
        <v>1</v>
      </c>
      <c r="F43">
        <f t="shared" si="4"/>
        <v>202201</v>
      </c>
      <c r="G43" t="s">
        <v>230</v>
      </c>
      <c r="H43" s="9">
        <v>0.5</v>
      </c>
      <c r="I43" s="9">
        <v>0.44419999999999998</v>
      </c>
      <c r="J43" s="10">
        <v>0.65729959999999998</v>
      </c>
      <c r="K43" s="10">
        <v>0.90747440000000001</v>
      </c>
      <c r="L43" s="10">
        <v>1.1117159999999999</v>
      </c>
      <c r="M43" s="10">
        <v>1.2823183</v>
      </c>
      <c r="N43" s="10">
        <v>1.4247437000000001</v>
      </c>
      <c r="O43" s="10">
        <v>1.5401373</v>
      </c>
      <c r="P43" s="10">
        <v>1.6329548</v>
      </c>
      <c r="Q43" s="10">
        <v>1.7086831</v>
      </c>
      <c r="R43" s="10">
        <v>1.7726293</v>
      </c>
      <c r="S43" s="10">
        <v>1.8280166</v>
      </c>
      <c r="T43" s="10">
        <v>1.8761776999999999</v>
      </c>
      <c r="U43" s="10">
        <v>1.9174819999999999</v>
      </c>
      <c r="V43" s="10">
        <v>1.951565</v>
      </c>
      <c r="W43" s="10">
        <v>1.9785564</v>
      </c>
      <c r="X43" s="10">
        <v>1.9987672000000001</v>
      </c>
      <c r="Y43" s="10">
        <v>2.0125087000000002</v>
      </c>
      <c r="Z43" s="10">
        <v>2.0200922000000001</v>
      </c>
      <c r="AA43" s="10">
        <v>2.0218288000000002</v>
      </c>
      <c r="AB43" s="10">
        <v>2.0180989999999999</v>
      </c>
      <c r="AC43" s="10">
        <v>2.0095220999999999</v>
      </c>
      <c r="AD43" s="10">
        <v>1.9967691000000001</v>
      </c>
      <c r="AE43" s="10">
        <v>1.9805107</v>
      </c>
      <c r="AF43" s="10">
        <v>1.9614176999999999</v>
      </c>
      <c r="AG43" s="10">
        <v>1.940161</v>
      </c>
      <c r="AH43" s="10">
        <v>1.9173325000000001</v>
      </c>
      <c r="AI43" s="10">
        <v>1.8932081999999999</v>
      </c>
      <c r="AJ43" s="10">
        <v>1.8679848999999999</v>
      </c>
      <c r="AK43" s="10">
        <v>1.8418596</v>
      </c>
      <c r="AL43" s="10">
        <v>1.8150293</v>
      </c>
      <c r="AM43" s="10">
        <v>1.7876909999999999</v>
      </c>
      <c r="AN43" s="10">
        <v>1.7600416999999999</v>
      </c>
      <c r="AO43" s="10">
        <v>1.7322782000000001</v>
      </c>
      <c r="AP43" s="10">
        <v>1.7045976</v>
      </c>
      <c r="AQ43" s="10">
        <v>1.6771967999999999</v>
      </c>
      <c r="AR43" s="10">
        <v>1.6502726999999999</v>
      </c>
      <c r="AS43" s="10">
        <v>1.6240224999999999</v>
      </c>
      <c r="AT43" s="10">
        <v>1.5986119000000001</v>
      </c>
      <c r="AU43" s="10">
        <v>1.5740696999999999</v>
      </c>
      <c r="AV43" s="10">
        <v>1.5503868000000001</v>
      </c>
      <c r="AW43" s="10">
        <v>1.5275543</v>
      </c>
      <c r="AX43" s="10">
        <v>1.505563</v>
      </c>
      <c r="AY43" s="10">
        <v>1.4844037999999999</v>
      </c>
      <c r="AZ43" s="10">
        <v>1.4640678</v>
      </c>
      <c r="BA43" s="10">
        <v>1.4445458</v>
      </c>
      <c r="BB43" s="10">
        <v>1.4258287999999999</v>
      </c>
      <c r="BC43" s="10">
        <v>1.4079075999999999</v>
      </c>
      <c r="BD43" s="10">
        <v>1.3907734</v>
      </c>
      <c r="BE43" s="10">
        <v>1.3744168999999999</v>
      </c>
      <c r="BF43" s="10">
        <v>1.3588274</v>
      </c>
      <c r="BG43" s="10">
        <v>1.3439844999999999</v>
      </c>
      <c r="BH43" s="10">
        <v>1.3298646999999999</v>
      </c>
      <c r="BI43" s="10">
        <v>1.3164446000000001</v>
      </c>
      <c r="BJ43" s="10">
        <v>1.3037006</v>
      </c>
      <c r="BK43" s="10">
        <v>1.2916093</v>
      </c>
      <c r="BL43" s="10">
        <v>1.2801471</v>
      </c>
      <c r="BM43" s="10">
        <v>1.2692905000000001</v>
      </c>
      <c r="BN43" s="10">
        <v>1.2590161</v>
      </c>
      <c r="BO43" s="10">
        <v>1.2493003</v>
      </c>
      <c r="BP43" s="10">
        <v>1.2401196000000001</v>
      </c>
      <c r="BQ43" s="10">
        <v>1.2314505</v>
      </c>
      <c r="BR43" s="10">
        <v>1.1891464</v>
      </c>
      <c r="BS43" s="10">
        <v>1.1610701000000001</v>
      </c>
      <c r="BU43" s="7">
        <v>1.28</v>
      </c>
      <c r="BV43" s="7">
        <v>1.41</v>
      </c>
      <c r="BW43" s="9">
        <v>82.939700000000002</v>
      </c>
    </row>
    <row r="44" spans="1:75" x14ac:dyDescent="0.25">
      <c r="A44" s="6">
        <f t="shared" si="5"/>
        <v>44614</v>
      </c>
      <c r="B44" s="13">
        <f t="shared" si="0"/>
        <v>2</v>
      </c>
      <c r="C44" s="13">
        <f t="shared" si="1"/>
        <v>2022</v>
      </c>
      <c r="D44">
        <f t="shared" si="2"/>
        <v>202202</v>
      </c>
      <c r="E44">
        <f t="shared" si="3"/>
        <v>1</v>
      </c>
      <c r="F44">
        <f t="shared" si="4"/>
        <v>202201</v>
      </c>
      <c r="G44" t="s">
        <v>231</v>
      </c>
      <c r="H44" s="9">
        <v>0.5</v>
      </c>
      <c r="I44" s="9">
        <v>0.44490000000000002</v>
      </c>
      <c r="J44" s="10">
        <v>0.65261329999999995</v>
      </c>
      <c r="K44" s="10">
        <v>0.88854849999999996</v>
      </c>
      <c r="L44" s="10">
        <v>1.0936186999999999</v>
      </c>
      <c r="M44" s="10">
        <v>1.2726725999999999</v>
      </c>
      <c r="N44" s="10">
        <v>1.4245393</v>
      </c>
      <c r="O44" s="10">
        <v>1.5477996000000001</v>
      </c>
      <c r="P44" s="10">
        <v>1.6469031000000001</v>
      </c>
      <c r="Q44" s="10">
        <v>1.7283172</v>
      </c>
      <c r="R44" s="10">
        <v>1.7976064</v>
      </c>
      <c r="S44" s="10">
        <v>1.858481</v>
      </c>
      <c r="T44" s="10">
        <v>1.9121579</v>
      </c>
      <c r="U44" s="10">
        <v>1.9586774</v>
      </c>
      <c r="V44" s="10">
        <v>1.9969595</v>
      </c>
      <c r="W44" s="10">
        <v>2.0270717</v>
      </c>
      <c r="X44" s="10">
        <v>2.0494615</v>
      </c>
      <c r="Y44" s="10">
        <v>2.0645761</v>
      </c>
      <c r="Z44" s="10">
        <v>2.0728626999999999</v>
      </c>
      <c r="AA44" s="10">
        <v>2.0747686000000001</v>
      </c>
      <c r="AB44" s="10">
        <v>2.070808</v>
      </c>
      <c r="AC44" s="10">
        <v>2.0617257000000002</v>
      </c>
      <c r="AD44" s="10">
        <v>2.0483161000000001</v>
      </c>
      <c r="AE44" s="10">
        <v>2.0313739000000002</v>
      </c>
      <c r="AF44" s="10">
        <v>2.0116934999999998</v>
      </c>
      <c r="AG44" s="10">
        <v>1.9900694999999999</v>
      </c>
      <c r="AH44" s="10">
        <v>1.9671913999999999</v>
      </c>
      <c r="AI44" s="10">
        <v>1.9433285</v>
      </c>
      <c r="AJ44" s="10">
        <v>1.9186451</v>
      </c>
      <c r="AK44" s="10">
        <v>1.8933055999999999</v>
      </c>
      <c r="AL44" s="10">
        <v>1.8674740999999999</v>
      </c>
      <c r="AM44" s="10">
        <v>1.8413151000000001</v>
      </c>
      <c r="AN44" s="10">
        <v>1.8149928</v>
      </c>
      <c r="AO44" s="10">
        <v>1.7886715</v>
      </c>
      <c r="AP44" s="10">
        <v>1.7625154999999999</v>
      </c>
      <c r="AQ44" s="10">
        <v>1.7366889999999999</v>
      </c>
      <c r="AR44" s="10">
        <v>1.7113564999999999</v>
      </c>
      <c r="AS44" s="10">
        <v>1.6866821999999999</v>
      </c>
      <c r="AT44" s="10">
        <v>1.6628080999999999</v>
      </c>
      <c r="AU44" s="10">
        <v>1.6397564</v>
      </c>
      <c r="AV44" s="10">
        <v>1.6175089</v>
      </c>
      <c r="AW44" s="10">
        <v>1.5960475000000001</v>
      </c>
      <c r="AX44" s="10">
        <v>1.5753541</v>
      </c>
      <c r="AY44" s="10">
        <v>1.5554106000000001</v>
      </c>
      <c r="AZ44" s="10">
        <v>1.5361988</v>
      </c>
      <c r="BA44" s="10">
        <v>1.5177007</v>
      </c>
      <c r="BB44" s="10">
        <v>1.4998981</v>
      </c>
      <c r="BC44" s="10">
        <v>1.4827729000000001</v>
      </c>
      <c r="BD44" s="10">
        <v>1.466307</v>
      </c>
      <c r="BE44" s="10">
        <v>1.4504821999999999</v>
      </c>
      <c r="BF44" s="10">
        <v>1.4352811000000001</v>
      </c>
      <c r="BG44" s="10">
        <v>1.4206888</v>
      </c>
      <c r="BH44" s="10">
        <v>1.4066916</v>
      </c>
      <c r="BI44" s="10">
        <v>1.3932755999999999</v>
      </c>
      <c r="BJ44" s="10">
        <v>1.3804270000000001</v>
      </c>
      <c r="BK44" s="10">
        <v>1.3681318</v>
      </c>
      <c r="BL44" s="10">
        <v>1.3563763</v>
      </c>
      <c r="BM44" s="10">
        <v>1.3451466999999999</v>
      </c>
      <c r="BN44" s="10">
        <v>1.3344290000000001</v>
      </c>
      <c r="BO44" s="10">
        <v>1.3242094</v>
      </c>
      <c r="BP44" s="10">
        <v>1.3144741</v>
      </c>
      <c r="BQ44" s="10">
        <v>1.3052092</v>
      </c>
      <c r="BR44" s="10">
        <v>1.2588889999999999</v>
      </c>
      <c r="BS44" s="10">
        <v>1.2270201999999999</v>
      </c>
      <c r="BU44" s="7">
        <v>1.33</v>
      </c>
      <c r="BV44" s="7">
        <v>1.47</v>
      </c>
      <c r="BW44" s="9">
        <v>82.874200000000002</v>
      </c>
    </row>
    <row r="45" spans="1:75" x14ac:dyDescent="0.25">
      <c r="A45" s="6">
        <f t="shared" si="5"/>
        <v>44615</v>
      </c>
      <c r="B45" s="13">
        <f t="shared" si="0"/>
        <v>2</v>
      </c>
      <c r="C45" s="13">
        <f t="shared" si="1"/>
        <v>2022</v>
      </c>
      <c r="D45">
        <f t="shared" si="2"/>
        <v>202202</v>
      </c>
      <c r="E45">
        <f t="shared" si="3"/>
        <v>1</v>
      </c>
      <c r="F45">
        <f t="shared" si="4"/>
        <v>202201</v>
      </c>
      <c r="G45" t="s">
        <v>232</v>
      </c>
      <c r="H45" s="9">
        <v>0.5</v>
      </c>
      <c r="I45" s="9">
        <v>0.4451</v>
      </c>
      <c r="J45" s="10">
        <v>0.64280959999999998</v>
      </c>
      <c r="K45" s="10">
        <v>0.8596163</v>
      </c>
      <c r="L45" s="10">
        <v>1.0542563</v>
      </c>
      <c r="M45" s="10">
        <v>1.2268269999999999</v>
      </c>
      <c r="N45" s="10">
        <v>1.3735025999999999</v>
      </c>
      <c r="O45" s="10">
        <v>1.4929488</v>
      </c>
      <c r="P45" s="10">
        <v>1.5891065</v>
      </c>
      <c r="Q45" s="10">
        <v>1.6690088999999999</v>
      </c>
      <c r="R45" s="10">
        <v>1.7383002999999999</v>
      </c>
      <c r="S45" s="10">
        <v>1.8002803000000001</v>
      </c>
      <c r="T45" s="10">
        <v>1.8559000000000001</v>
      </c>
      <c r="U45" s="10">
        <v>1.9048487999999999</v>
      </c>
      <c r="V45" s="10">
        <v>1.9457574</v>
      </c>
      <c r="W45" s="10">
        <v>1.9785953000000001</v>
      </c>
      <c r="X45" s="10">
        <v>2.0037479999999999</v>
      </c>
      <c r="Y45" s="10">
        <v>2.0216009000000001</v>
      </c>
      <c r="Z45" s="10">
        <v>2.0325392999999998</v>
      </c>
      <c r="AA45" s="10">
        <v>2.0369487999999998</v>
      </c>
      <c r="AB45" s="10">
        <v>2.0352967</v>
      </c>
      <c r="AC45" s="10">
        <v>2.0283338</v>
      </c>
      <c r="AD45" s="10">
        <v>2.0168718000000001</v>
      </c>
      <c r="AE45" s="10">
        <v>2.0017225999999999</v>
      </c>
      <c r="AF45" s="10">
        <v>1.9836978000000001</v>
      </c>
      <c r="AG45" s="10">
        <v>1.9636093999999999</v>
      </c>
      <c r="AH45" s="10">
        <v>1.9421625</v>
      </c>
      <c r="AI45" s="10">
        <v>1.9196365</v>
      </c>
      <c r="AJ45" s="10">
        <v>1.896204</v>
      </c>
      <c r="AK45" s="10">
        <v>1.8720378</v>
      </c>
      <c r="AL45" s="10">
        <v>1.8473107</v>
      </c>
      <c r="AM45" s="10">
        <v>1.8221955000000001</v>
      </c>
      <c r="AN45" s="10">
        <v>1.7968648</v>
      </c>
      <c r="AO45" s="10">
        <v>1.7714915</v>
      </c>
      <c r="AP45" s="10">
        <v>1.7462481999999999</v>
      </c>
      <c r="AQ45" s="10">
        <v>1.7213077999999999</v>
      </c>
      <c r="AR45" s="10">
        <v>1.6968429</v>
      </c>
      <c r="AS45" s="10">
        <v>1.6730265</v>
      </c>
      <c r="AT45" s="10">
        <v>1.6500056999999999</v>
      </c>
      <c r="AU45" s="10">
        <v>1.6278043</v>
      </c>
      <c r="AV45" s="10">
        <v>1.6064084000000001</v>
      </c>
      <c r="AW45" s="10">
        <v>1.5858041</v>
      </c>
      <c r="AX45" s="10">
        <v>1.5659772000000001</v>
      </c>
      <c r="AY45" s="10">
        <v>1.5469139999999999</v>
      </c>
      <c r="AZ45" s="10">
        <v>1.5286005</v>
      </c>
      <c r="BA45" s="10">
        <v>1.5110226</v>
      </c>
      <c r="BB45" s="10">
        <v>1.4941666</v>
      </c>
      <c r="BC45" s="10">
        <v>1.4780183</v>
      </c>
      <c r="BD45" s="10">
        <v>1.4625638000000001</v>
      </c>
      <c r="BE45" s="10">
        <v>1.4477892999999999</v>
      </c>
      <c r="BF45" s="10">
        <v>1.4336802</v>
      </c>
      <c r="BG45" s="10">
        <v>1.4202201000000001</v>
      </c>
      <c r="BH45" s="10">
        <v>1.4073918000000001</v>
      </c>
      <c r="BI45" s="10">
        <v>1.3951781999999999</v>
      </c>
      <c r="BJ45" s="10">
        <v>1.3835624</v>
      </c>
      <c r="BK45" s="10">
        <v>1.3725270000000001</v>
      </c>
      <c r="BL45" s="10">
        <v>1.3620551000000001</v>
      </c>
      <c r="BM45" s="10">
        <v>1.3521296</v>
      </c>
      <c r="BN45" s="10">
        <v>1.3427332999999999</v>
      </c>
      <c r="BO45" s="10">
        <v>1.3338492</v>
      </c>
      <c r="BP45" s="10">
        <v>1.3254602</v>
      </c>
      <c r="BQ45" s="10">
        <v>1.3175490000000001</v>
      </c>
      <c r="BR45" s="10">
        <v>1.2793080999999999</v>
      </c>
      <c r="BS45" s="10">
        <v>1.2548514</v>
      </c>
      <c r="BU45" s="7">
        <v>1.29</v>
      </c>
      <c r="BV45" s="7">
        <v>1.48</v>
      </c>
      <c r="BW45" s="9">
        <v>82.691800000000001</v>
      </c>
    </row>
    <row r="46" spans="1:75" x14ac:dyDescent="0.25">
      <c r="A46" s="6">
        <f t="shared" si="5"/>
        <v>44616</v>
      </c>
      <c r="B46" s="13">
        <f t="shared" si="0"/>
        <v>2</v>
      </c>
      <c r="C46" s="13">
        <f t="shared" si="1"/>
        <v>2022</v>
      </c>
      <c r="D46">
        <f t="shared" si="2"/>
        <v>202202</v>
      </c>
      <c r="E46">
        <f t="shared" si="3"/>
        <v>1</v>
      </c>
      <c r="F46">
        <f t="shared" si="4"/>
        <v>202201</v>
      </c>
      <c r="G46" t="s">
        <v>233</v>
      </c>
      <c r="H46" s="9">
        <v>0.5</v>
      </c>
      <c r="I46" s="9">
        <v>0.4451</v>
      </c>
      <c r="J46" s="10">
        <v>0.64278409999999997</v>
      </c>
      <c r="K46" s="10">
        <v>0.85265150000000001</v>
      </c>
      <c r="L46" s="10">
        <v>1.0473132999999999</v>
      </c>
      <c r="M46" s="10">
        <v>1.2213057</v>
      </c>
      <c r="N46" s="10">
        <v>1.3677256</v>
      </c>
      <c r="O46" s="10">
        <v>1.4845341000000001</v>
      </c>
      <c r="P46" s="10">
        <v>1.5772177000000001</v>
      </c>
      <c r="Q46" s="10">
        <v>1.6540504</v>
      </c>
      <c r="R46" s="10">
        <v>1.7221599999999999</v>
      </c>
      <c r="S46" s="10">
        <v>1.7851836000000001</v>
      </c>
      <c r="T46" s="10">
        <v>1.8441414</v>
      </c>
      <c r="U46" s="10">
        <v>1.8980577000000001</v>
      </c>
      <c r="V46" s="10">
        <v>1.9447650000000001</v>
      </c>
      <c r="W46" s="10">
        <v>1.9837988</v>
      </c>
      <c r="X46" s="10">
        <v>2.0151959000000002</v>
      </c>
      <c r="Y46" s="10">
        <v>2.0389930000000001</v>
      </c>
      <c r="Z46" s="10">
        <v>2.0552266000000001</v>
      </c>
      <c r="AA46" s="10">
        <v>2.0639335999999999</v>
      </c>
      <c r="AB46" s="10">
        <v>2.0653283999999998</v>
      </c>
      <c r="AC46" s="10">
        <v>2.0602388</v>
      </c>
      <c r="AD46" s="10">
        <v>2.0496246999999999</v>
      </c>
      <c r="AE46" s="10">
        <v>2.0344460999999998</v>
      </c>
      <c r="AF46" s="10">
        <v>2.015663</v>
      </c>
      <c r="AG46" s="10">
        <v>1.9942352999999999</v>
      </c>
      <c r="AH46" s="10">
        <v>1.9710236999999999</v>
      </c>
      <c r="AI46" s="10">
        <v>1.9464039</v>
      </c>
      <c r="AJ46" s="10">
        <v>1.9206045</v>
      </c>
      <c r="AK46" s="10">
        <v>1.8938538</v>
      </c>
      <c r="AL46" s="10">
        <v>1.8663802</v>
      </c>
      <c r="AM46" s="10">
        <v>1.8384119999999999</v>
      </c>
      <c r="AN46" s="10">
        <v>1.8101777999999999</v>
      </c>
      <c r="AO46" s="10">
        <v>1.7819057</v>
      </c>
      <c r="AP46" s="10">
        <v>1.7538243</v>
      </c>
      <c r="AQ46" s="10">
        <v>1.7261618999999999</v>
      </c>
      <c r="AR46" s="10">
        <v>1.699147</v>
      </c>
      <c r="AS46" s="10">
        <v>1.6730077999999999</v>
      </c>
      <c r="AT46" s="10">
        <v>1.6479341999999999</v>
      </c>
      <c r="AU46" s="10">
        <v>1.6239463000000001</v>
      </c>
      <c r="AV46" s="10">
        <v>1.6010168</v>
      </c>
      <c r="AW46" s="10">
        <v>1.5791187</v>
      </c>
      <c r="AX46" s="10">
        <v>1.5582251</v>
      </c>
      <c r="AY46" s="10">
        <v>1.5383089000000001</v>
      </c>
      <c r="AZ46" s="10">
        <v>1.5193430000000001</v>
      </c>
      <c r="BA46" s="10">
        <v>1.5013004999999999</v>
      </c>
      <c r="BB46" s="10">
        <v>1.4841542000000001</v>
      </c>
      <c r="BC46" s="10">
        <v>1.4678770999999999</v>
      </c>
      <c r="BD46" s="10">
        <v>1.4524421999999999</v>
      </c>
      <c r="BE46" s="10">
        <v>1.4378225</v>
      </c>
      <c r="BF46" s="10">
        <v>1.4239907999999999</v>
      </c>
      <c r="BG46" s="10">
        <v>1.4109195000000001</v>
      </c>
      <c r="BH46" s="10">
        <v>1.3985809</v>
      </c>
      <c r="BI46" s="10">
        <v>1.3869472</v>
      </c>
      <c r="BJ46" s="10">
        <v>1.3759907</v>
      </c>
      <c r="BK46" s="10">
        <v>1.3656836000000001</v>
      </c>
      <c r="BL46" s="10">
        <v>1.3559983</v>
      </c>
      <c r="BM46" s="10">
        <v>1.3469070000000001</v>
      </c>
      <c r="BN46" s="10">
        <v>1.3383818999999999</v>
      </c>
      <c r="BO46" s="10">
        <v>1.3303954</v>
      </c>
      <c r="BP46" s="10">
        <v>1.3229196000000001</v>
      </c>
      <c r="BQ46" s="10">
        <v>1.3159269</v>
      </c>
      <c r="BR46" s="10">
        <v>1.2830012</v>
      </c>
      <c r="BS46" s="10">
        <v>1.2631441000000001</v>
      </c>
      <c r="BU46" s="7">
        <v>1.26</v>
      </c>
      <c r="BV46" s="7">
        <v>1.45</v>
      </c>
      <c r="BW46" s="9">
        <v>81.989099999999993</v>
      </c>
    </row>
    <row r="47" spans="1:75" x14ac:dyDescent="0.25">
      <c r="A47" s="6">
        <f t="shared" si="5"/>
        <v>44617</v>
      </c>
      <c r="B47" s="13">
        <f t="shared" si="0"/>
        <v>2</v>
      </c>
      <c r="C47" s="13">
        <f t="shared" si="1"/>
        <v>2022</v>
      </c>
      <c r="D47">
        <f t="shared" si="2"/>
        <v>202202</v>
      </c>
      <c r="E47">
        <f t="shared" si="3"/>
        <v>1</v>
      </c>
      <c r="F47">
        <f t="shared" si="4"/>
        <v>202201</v>
      </c>
      <c r="G47" t="s">
        <v>234</v>
      </c>
      <c r="H47" s="9">
        <v>0.5</v>
      </c>
      <c r="I47" s="9">
        <v>0.44490000000000002</v>
      </c>
      <c r="J47" s="10">
        <v>0.66018270000000001</v>
      </c>
      <c r="K47" s="10">
        <v>0.85902330000000005</v>
      </c>
      <c r="L47" s="10">
        <v>1.0471166000000001</v>
      </c>
      <c r="M47" s="10">
        <v>1.2146760000000001</v>
      </c>
      <c r="N47" s="10">
        <v>1.3551016</v>
      </c>
      <c r="O47" s="10">
        <v>1.4677559</v>
      </c>
      <c r="P47" s="10">
        <v>1.5579059</v>
      </c>
      <c r="Q47" s="10">
        <v>1.6328969</v>
      </c>
      <c r="R47" s="10">
        <v>1.6990616999999999</v>
      </c>
      <c r="S47" s="10">
        <v>1.7594848000000001</v>
      </c>
      <c r="T47" s="10">
        <v>1.8149649999999999</v>
      </c>
      <c r="U47" s="10">
        <v>1.8647073999999999</v>
      </c>
      <c r="V47" s="10">
        <v>1.9067932999999999</v>
      </c>
      <c r="W47" s="10">
        <v>1.9409479999999999</v>
      </c>
      <c r="X47" s="10">
        <v>1.967487</v>
      </c>
      <c r="Y47" s="10">
        <v>1.9867258999999999</v>
      </c>
      <c r="Z47" s="10">
        <v>1.9989802000000001</v>
      </c>
      <c r="AA47" s="10">
        <v>2.0045655999999998</v>
      </c>
      <c r="AB47" s="10">
        <v>2.0039015999999998</v>
      </c>
      <c r="AC47" s="10">
        <v>1.9977666999999999</v>
      </c>
      <c r="AD47" s="10">
        <v>1.9870166</v>
      </c>
      <c r="AE47" s="10">
        <v>1.9725074</v>
      </c>
      <c r="AF47" s="10">
        <v>1.9550947000000001</v>
      </c>
      <c r="AG47" s="10">
        <v>1.9356344000000001</v>
      </c>
      <c r="AH47" s="10">
        <v>1.9148795000000001</v>
      </c>
      <c r="AI47" s="10">
        <v>1.8931292</v>
      </c>
      <c r="AJ47" s="10">
        <v>1.8705571000000001</v>
      </c>
      <c r="AK47" s="10">
        <v>1.847337</v>
      </c>
      <c r="AL47" s="10">
        <v>1.8236429000000001</v>
      </c>
      <c r="AM47" s="10">
        <v>1.7996483999999999</v>
      </c>
      <c r="AN47" s="10">
        <v>1.7755274000000001</v>
      </c>
      <c r="AO47" s="10">
        <v>1.7514536000000001</v>
      </c>
      <c r="AP47" s="10">
        <v>1.7276009999999999</v>
      </c>
      <c r="AQ47" s="10">
        <v>1.7041432000000001</v>
      </c>
      <c r="AR47" s="10">
        <v>1.6812541000000001</v>
      </c>
      <c r="AS47" s="10">
        <v>1.6591075</v>
      </c>
      <c r="AT47" s="10">
        <v>1.6378474000000001</v>
      </c>
      <c r="AU47" s="10">
        <v>1.6174869999999999</v>
      </c>
      <c r="AV47" s="10">
        <v>1.5980030999999999</v>
      </c>
      <c r="AW47" s="10">
        <v>1.5793727</v>
      </c>
      <c r="AX47" s="10">
        <v>1.5615725</v>
      </c>
      <c r="AY47" s="10">
        <v>1.5445795</v>
      </c>
      <c r="AZ47" s="10">
        <v>1.5283705999999999</v>
      </c>
      <c r="BA47" s="10">
        <v>1.5129227000000001</v>
      </c>
      <c r="BB47" s="10">
        <v>1.4982127000000001</v>
      </c>
      <c r="BC47" s="10">
        <v>1.4842173000000001</v>
      </c>
      <c r="BD47" s="10">
        <v>1.4709137000000001</v>
      </c>
      <c r="BE47" s="10">
        <v>1.4582785</v>
      </c>
      <c r="BF47" s="10">
        <v>1.4462893000000001</v>
      </c>
      <c r="BG47" s="10">
        <v>1.4349258</v>
      </c>
      <c r="BH47" s="10">
        <v>1.4241684999999999</v>
      </c>
      <c r="BI47" s="10">
        <v>1.4139976999999999</v>
      </c>
      <c r="BJ47" s="10">
        <v>1.4043939999999999</v>
      </c>
      <c r="BK47" s="10">
        <v>1.3953377</v>
      </c>
      <c r="BL47" s="10">
        <v>1.3868092000000001</v>
      </c>
      <c r="BM47" s="10">
        <v>1.3787891000000001</v>
      </c>
      <c r="BN47" s="10">
        <v>1.3712576999999999</v>
      </c>
      <c r="BO47" s="10">
        <v>1.3641954999999999</v>
      </c>
      <c r="BP47" s="10">
        <v>1.3575828999999999</v>
      </c>
      <c r="BQ47" s="10">
        <v>1.3514002000000001</v>
      </c>
      <c r="BR47" s="10">
        <v>1.3224982000000001</v>
      </c>
      <c r="BS47" s="10">
        <v>1.3057179999999999</v>
      </c>
      <c r="BU47" s="7">
        <v>1.21</v>
      </c>
      <c r="BV47" s="7">
        <v>1.46</v>
      </c>
      <c r="BW47" s="9">
        <v>82.210300000000004</v>
      </c>
    </row>
    <row r="48" spans="1:75" x14ac:dyDescent="0.25">
      <c r="A48" s="6">
        <f t="shared" si="5"/>
        <v>44620</v>
      </c>
      <c r="B48" s="13">
        <f t="shared" si="0"/>
        <v>2</v>
      </c>
      <c r="C48" s="13">
        <f t="shared" si="1"/>
        <v>2022</v>
      </c>
      <c r="D48">
        <f t="shared" si="2"/>
        <v>202202</v>
      </c>
      <c r="E48">
        <f t="shared" si="3"/>
        <v>1</v>
      </c>
      <c r="F48">
        <f t="shared" si="4"/>
        <v>202201</v>
      </c>
      <c r="G48" t="s">
        <v>235</v>
      </c>
      <c r="H48" s="9">
        <v>0.5</v>
      </c>
      <c r="I48" s="9">
        <v>0.4451</v>
      </c>
      <c r="J48" s="10">
        <v>0.67276630000000004</v>
      </c>
      <c r="K48" s="10">
        <v>0.84406400000000004</v>
      </c>
      <c r="L48" s="10">
        <v>1.0289417000000001</v>
      </c>
      <c r="M48" s="10">
        <v>1.1926943000000001</v>
      </c>
      <c r="N48" s="10">
        <v>1.3217623000000001</v>
      </c>
      <c r="O48" s="10">
        <v>1.4170081999999999</v>
      </c>
      <c r="P48" s="10">
        <v>1.4856403</v>
      </c>
      <c r="Q48" s="10">
        <v>1.5387554999999999</v>
      </c>
      <c r="R48" s="10">
        <v>1.5852683999999999</v>
      </c>
      <c r="S48" s="10">
        <v>1.6297044999999999</v>
      </c>
      <c r="T48" s="10">
        <v>1.6728987</v>
      </c>
      <c r="U48" s="10">
        <v>1.7137967000000001</v>
      </c>
      <c r="V48" s="10">
        <v>1.7501926000000001</v>
      </c>
      <c r="W48" s="10">
        <v>1.7813378</v>
      </c>
      <c r="X48" s="10">
        <v>1.8069473</v>
      </c>
      <c r="Y48" s="10">
        <v>1.8267363000000001</v>
      </c>
      <c r="Z48" s="10">
        <v>1.8404199999999999</v>
      </c>
      <c r="AA48" s="10">
        <v>1.8477136000000001</v>
      </c>
      <c r="AB48" s="10">
        <v>1.8485115999999999</v>
      </c>
      <c r="AC48" s="10">
        <v>1.8435402999999999</v>
      </c>
      <c r="AD48" s="10">
        <v>1.8337669000000001</v>
      </c>
      <c r="AE48" s="10">
        <v>1.8201588</v>
      </c>
      <c r="AF48" s="10">
        <v>1.8036833000000001</v>
      </c>
      <c r="AG48" s="10">
        <v>1.7853076000000001</v>
      </c>
      <c r="AH48" s="10">
        <v>1.7658761000000001</v>
      </c>
      <c r="AI48" s="10">
        <v>1.7456898000000001</v>
      </c>
      <c r="AJ48" s="10">
        <v>1.7248999</v>
      </c>
      <c r="AK48" s="10">
        <v>1.7036575</v>
      </c>
      <c r="AL48" s="10">
        <v>1.6821139000000001</v>
      </c>
      <c r="AM48" s="10">
        <v>1.6604201000000001</v>
      </c>
      <c r="AN48" s="10">
        <v>1.6387274999999999</v>
      </c>
      <c r="AO48" s="10">
        <v>1.6171872</v>
      </c>
      <c r="AP48" s="10">
        <v>1.5959502999999999</v>
      </c>
      <c r="AQ48" s="10">
        <v>1.5751679999999999</v>
      </c>
      <c r="AR48" s="10">
        <v>1.5549915000000001</v>
      </c>
      <c r="AS48" s="10">
        <v>1.5355721</v>
      </c>
      <c r="AT48" s="10">
        <v>1.5170322000000001</v>
      </c>
      <c r="AU48" s="10">
        <v>1.4993685999999999</v>
      </c>
      <c r="AV48" s="10">
        <v>1.4825429999999999</v>
      </c>
      <c r="AW48" s="10">
        <v>1.4665174000000001</v>
      </c>
      <c r="AX48" s="10">
        <v>1.4512535</v>
      </c>
      <c r="AY48" s="10">
        <v>1.4367133000000001</v>
      </c>
      <c r="AZ48" s="10">
        <v>1.4228585</v>
      </c>
      <c r="BA48" s="10">
        <v>1.4096511</v>
      </c>
      <c r="BB48" s="10">
        <v>1.3970528</v>
      </c>
      <c r="BC48" s="10">
        <v>1.3850255</v>
      </c>
      <c r="BD48" s="10">
        <v>1.3735310000000001</v>
      </c>
      <c r="BE48" s="10">
        <v>1.3625312999999999</v>
      </c>
      <c r="BF48" s="10">
        <v>1.3519920000000001</v>
      </c>
      <c r="BG48" s="10">
        <v>1.3419002</v>
      </c>
      <c r="BH48" s="10">
        <v>1.3322498</v>
      </c>
      <c r="BI48" s="10">
        <v>1.3230348999999999</v>
      </c>
      <c r="BJ48" s="10">
        <v>1.3142495999999999</v>
      </c>
      <c r="BK48" s="10">
        <v>1.3058879000000001</v>
      </c>
      <c r="BL48" s="10">
        <v>1.2979438999999999</v>
      </c>
      <c r="BM48" s="10">
        <v>1.2904115</v>
      </c>
      <c r="BN48" s="10">
        <v>1.283285</v>
      </c>
      <c r="BO48" s="10">
        <v>1.2765582</v>
      </c>
      <c r="BP48" s="10">
        <v>1.2702252000000001</v>
      </c>
      <c r="BQ48" s="10">
        <v>1.2642802</v>
      </c>
      <c r="BR48" s="10">
        <v>1.2363724</v>
      </c>
      <c r="BS48" s="10">
        <v>1.2206216999999999</v>
      </c>
      <c r="BU48" s="7">
        <v>1.05</v>
      </c>
      <c r="BV48" s="7">
        <v>1.4</v>
      </c>
      <c r="BW48" s="9">
        <v>82.267899999999997</v>
      </c>
    </row>
    <row r="49" spans="1:75" x14ac:dyDescent="0.25">
      <c r="A49" s="6">
        <f t="shared" si="5"/>
        <v>44621</v>
      </c>
      <c r="B49" s="13">
        <f t="shared" si="0"/>
        <v>3</v>
      </c>
      <c r="C49" s="13">
        <f t="shared" si="1"/>
        <v>2022</v>
      </c>
      <c r="D49">
        <f t="shared" si="2"/>
        <v>202203</v>
      </c>
      <c r="E49">
        <f t="shared" si="3"/>
        <v>1</v>
      </c>
      <c r="F49">
        <f t="shared" si="4"/>
        <v>202201</v>
      </c>
      <c r="G49" t="s">
        <v>236</v>
      </c>
      <c r="H49" s="9">
        <v>0.5</v>
      </c>
      <c r="I49" s="9">
        <v>0.4451</v>
      </c>
      <c r="J49" s="10">
        <v>0.64926700000000004</v>
      </c>
      <c r="K49" s="10">
        <v>0.80079540000000005</v>
      </c>
      <c r="L49" s="10">
        <v>0.96907200000000004</v>
      </c>
      <c r="M49" s="10">
        <v>1.118401</v>
      </c>
      <c r="N49" s="10">
        <v>1.2332566</v>
      </c>
      <c r="O49" s="10">
        <v>1.3150147999999999</v>
      </c>
      <c r="P49" s="10">
        <v>1.3718106000000001</v>
      </c>
      <c r="Q49" s="10">
        <v>1.4141608999999999</v>
      </c>
      <c r="R49" s="10">
        <v>1.4497609</v>
      </c>
      <c r="S49" s="10">
        <v>1.4825839000000001</v>
      </c>
      <c r="T49" s="10">
        <v>1.5136987</v>
      </c>
      <c r="U49" s="10">
        <v>1.5424692</v>
      </c>
      <c r="V49" s="10">
        <v>1.5669150999999999</v>
      </c>
      <c r="W49" s="10">
        <v>1.5863928</v>
      </c>
      <c r="X49" s="10">
        <v>1.6007118</v>
      </c>
      <c r="Y49" s="10">
        <v>1.6096813999999999</v>
      </c>
      <c r="Z49" s="10">
        <v>1.6131111</v>
      </c>
      <c r="AA49" s="10">
        <v>1.6108104000000001</v>
      </c>
      <c r="AB49" s="10">
        <v>1.6027552</v>
      </c>
      <c r="AC49" s="10">
        <v>1.5896949</v>
      </c>
      <c r="AD49" s="10">
        <v>1.572603</v>
      </c>
      <c r="AE49" s="10">
        <v>1.5524529</v>
      </c>
      <c r="AF49" s="10">
        <v>1.5302179</v>
      </c>
      <c r="AG49" s="10">
        <v>1.5068714999999999</v>
      </c>
      <c r="AH49" s="10">
        <v>1.4832555999999999</v>
      </c>
      <c r="AI49" s="10">
        <v>1.4596306999999999</v>
      </c>
      <c r="AJ49" s="10">
        <v>1.4360972999999999</v>
      </c>
      <c r="AK49" s="10">
        <v>1.4127558</v>
      </c>
      <c r="AL49" s="10">
        <v>1.3897067000000001</v>
      </c>
      <c r="AM49" s="10">
        <v>1.3670503000000001</v>
      </c>
      <c r="AN49" s="10">
        <v>1.3448871</v>
      </c>
      <c r="AO49" s="10">
        <v>1.3233174000000001</v>
      </c>
      <c r="AP49" s="10">
        <v>1.3024416000000001</v>
      </c>
      <c r="AQ49" s="10">
        <v>1.2823602000000001</v>
      </c>
      <c r="AR49" s="10">
        <v>1.2631736</v>
      </c>
      <c r="AS49" s="10">
        <v>1.2449821999999999</v>
      </c>
      <c r="AT49" s="10">
        <v>1.2278667000000001</v>
      </c>
      <c r="AU49" s="10">
        <v>1.2118024000000001</v>
      </c>
      <c r="AV49" s="10">
        <v>1.1967292</v>
      </c>
      <c r="AW49" s="10">
        <v>1.1825867999999999</v>
      </c>
      <c r="AX49" s="10">
        <v>1.1693150999999999</v>
      </c>
      <c r="AY49" s="10">
        <v>1.1568539</v>
      </c>
      <c r="AZ49" s="10">
        <v>1.145143</v>
      </c>
      <c r="BA49" s="10">
        <v>1.1341222</v>
      </c>
      <c r="BB49" s="10">
        <v>1.1237313</v>
      </c>
      <c r="BC49" s="10">
        <v>1.1139102000000001</v>
      </c>
      <c r="BD49" s="10">
        <v>1.1045986999999999</v>
      </c>
      <c r="BE49" s="10">
        <v>1.0957364999999999</v>
      </c>
      <c r="BF49" s="10">
        <v>1.0872705</v>
      </c>
      <c r="BG49" s="10">
        <v>1.0791814</v>
      </c>
      <c r="BH49" s="10">
        <v>1.0714604000000001</v>
      </c>
      <c r="BI49" s="10">
        <v>1.0640984</v>
      </c>
      <c r="BJ49" s="10">
        <v>1.0570866999999999</v>
      </c>
      <c r="BK49" s="10">
        <v>1.0504163</v>
      </c>
      <c r="BL49" s="10">
        <v>1.0440784000000001</v>
      </c>
      <c r="BM49" s="10">
        <v>1.0380639</v>
      </c>
      <c r="BN49" s="10">
        <v>1.0323640999999999</v>
      </c>
      <c r="BO49" s="10">
        <v>1.0269699999999999</v>
      </c>
      <c r="BP49" s="10">
        <v>1.0218727000000001</v>
      </c>
      <c r="BQ49" s="10">
        <v>1.0170634000000001</v>
      </c>
      <c r="BR49" s="10">
        <v>0.99390800000000001</v>
      </c>
      <c r="BS49" s="10">
        <v>0.97980049999999996</v>
      </c>
      <c r="BU49" s="7">
        <v>0.8</v>
      </c>
      <c r="BV49" s="7">
        <v>1.1100000000000001</v>
      </c>
      <c r="BW49" s="9">
        <v>82.222200000000001</v>
      </c>
    </row>
    <row r="50" spans="1:75" x14ac:dyDescent="0.25">
      <c r="A50" s="6">
        <f t="shared" si="5"/>
        <v>44622</v>
      </c>
      <c r="B50" s="13">
        <f t="shared" si="0"/>
        <v>3</v>
      </c>
      <c r="C50" s="13">
        <f t="shared" si="1"/>
        <v>2022</v>
      </c>
      <c r="D50">
        <f t="shared" si="2"/>
        <v>202203</v>
      </c>
      <c r="E50">
        <f t="shared" si="3"/>
        <v>1</v>
      </c>
      <c r="F50">
        <f t="shared" si="4"/>
        <v>202201</v>
      </c>
      <c r="G50" t="s">
        <v>237</v>
      </c>
      <c r="H50" s="9">
        <v>0.5</v>
      </c>
      <c r="I50" s="9">
        <v>0.44500000000000001</v>
      </c>
      <c r="J50" s="10">
        <v>0.73309919999999995</v>
      </c>
      <c r="K50" s="10">
        <v>0.91480280000000003</v>
      </c>
      <c r="L50" s="10">
        <v>1.1120072000000001</v>
      </c>
      <c r="M50" s="10">
        <v>1.2824044999999999</v>
      </c>
      <c r="N50" s="10">
        <v>1.4140162000000001</v>
      </c>
      <c r="O50" s="10">
        <v>1.5110307999999999</v>
      </c>
      <c r="P50" s="10">
        <v>1.5814805000000001</v>
      </c>
      <c r="Q50" s="10">
        <v>1.6357425000000001</v>
      </c>
      <c r="R50" s="10">
        <v>1.6816153</v>
      </c>
      <c r="S50" s="10">
        <v>1.7230673000000001</v>
      </c>
      <c r="T50" s="10">
        <v>1.7612261</v>
      </c>
      <c r="U50" s="10">
        <v>1.7955932999999999</v>
      </c>
      <c r="V50" s="10">
        <v>1.8246255</v>
      </c>
      <c r="W50" s="10">
        <v>1.8478744</v>
      </c>
      <c r="X50" s="10">
        <v>1.8652542999999999</v>
      </c>
      <c r="Y50" s="10">
        <v>1.8766795000000001</v>
      </c>
      <c r="Z50" s="10">
        <v>1.8820642999999999</v>
      </c>
      <c r="AA50" s="10">
        <v>1.8813230999999999</v>
      </c>
      <c r="AB50" s="10">
        <v>1.8744867999999999</v>
      </c>
      <c r="AC50" s="10">
        <v>1.8622479999999999</v>
      </c>
      <c r="AD50" s="10">
        <v>1.8455317</v>
      </c>
      <c r="AE50" s="10">
        <v>1.8252633</v>
      </c>
      <c r="AF50" s="10">
        <v>1.8023681</v>
      </c>
      <c r="AG50" s="10">
        <v>1.7777714</v>
      </c>
      <c r="AH50" s="10">
        <v>1.7523040999999999</v>
      </c>
      <c r="AI50" s="10">
        <v>1.7262873999999999</v>
      </c>
      <c r="AJ50" s="10">
        <v>1.6998721999999999</v>
      </c>
      <c r="AK50" s="10">
        <v>1.6732089999999999</v>
      </c>
      <c r="AL50" s="10">
        <v>1.6464483000000001</v>
      </c>
      <c r="AM50" s="10">
        <v>1.6197406999999999</v>
      </c>
      <c r="AN50" s="10">
        <v>1.5932369</v>
      </c>
      <c r="AO50" s="10">
        <v>1.5670873000000001</v>
      </c>
      <c r="AP50" s="10">
        <v>1.5414425</v>
      </c>
      <c r="AQ50" s="10">
        <v>1.5164531000000001</v>
      </c>
      <c r="AR50" s="10">
        <v>1.4922696</v>
      </c>
      <c r="AS50" s="10">
        <v>1.4690426999999999</v>
      </c>
      <c r="AT50" s="10">
        <v>1.4468958999999999</v>
      </c>
      <c r="AU50" s="10">
        <v>1.4258207000000001</v>
      </c>
      <c r="AV50" s="10">
        <v>1.405769</v>
      </c>
      <c r="AW50" s="10">
        <v>1.3866921000000001</v>
      </c>
      <c r="AX50" s="10">
        <v>1.3685417</v>
      </c>
      <c r="AY50" s="10">
        <v>1.3512694000000001</v>
      </c>
      <c r="AZ50" s="10">
        <v>1.3348267</v>
      </c>
      <c r="BA50" s="10">
        <v>1.3191653000000001</v>
      </c>
      <c r="BB50" s="10">
        <v>1.3042366000000001</v>
      </c>
      <c r="BC50" s="10">
        <v>1.2899924</v>
      </c>
      <c r="BD50" s="10">
        <v>1.2763841</v>
      </c>
      <c r="BE50" s="10">
        <v>1.2633633</v>
      </c>
      <c r="BF50" s="10">
        <v>1.2508870000000001</v>
      </c>
      <c r="BG50" s="10">
        <v>1.2389353999999999</v>
      </c>
      <c r="BH50" s="10">
        <v>1.2274955000000001</v>
      </c>
      <c r="BI50" s="10">
        <v>1.2165541</v>
      </c>
      <c r="BJ50" s="10">
        <v>1.2060981</v>
      </c>
      <c r="BK50" s="10">
        <v>1.1961143000000001</v>
      </c>
      <c r="BL50" s="10">
        <v>1.1865895</v>
      </c>
      <c r="BM50" s="10">
        <v>1.1775106</v>
      </c>
      <c r="BN50" s="10">
        <v>1.1688645</v>
      </c>
      <c r="BO50" s="10">
        <v>1.1606379</v>
      </c>
      <c r="BP50" s="10">
        <v>1.1528178</v>
      </c>
      <c r="BQ50" s="10">
        <v>1.145391</v>
      </c>
      <c r="BR50" s="10">
        <v>1.1086185</v>
      </c>
      <c r="BS50" s="10">
        <v>1.0843008999999999</v>
      </c>
      <c r="BU50" s="7">
        <v>1.0900000000000001</v>
      </c>
      <c r="BV50" s="7">
        <v>1.27</v>
      </c>
      <c r="BW50" s="9">
        <v>82.340299999999999</v>
      </c>
    </row>
    <row r="51" spans="1:75" x14ac:dyDescent="0.25">
      <c r="A51" s="6">
        <f t="shared" si="5"/>
        <v>44623</v>
      </c>
      <c r="B51" s="13">
        <f t="shared" si="0"/>
        <v>3</v>
      </c>
      <c r="C51" s="13">
        <f t="shared" si="1"/>
        <v>2022</v>
      </c>
      <c r="D51">
        <f t="shared" si="2"/>
        <v>202203</v>
      </c>
      <c r="E51">
        <f t="shared" si="3"/>
        <v>1</v>
      </c>
      <c r="F51">
        <f t="shared" si="4"/>
        <v>202201</v>
      </c>
      <c r="G51" t="s">
        <v>238</v>
      </c>
      <c r="H51" s="9">
        <v>0.5</v>
      </c>
      <c r="I51" s="9">
        <v>0.44519999999999998</v>
      </c>
      <c r="J51" s="10">
        <v>0.68388280000000001</v>
      </c>
      <c r="K51" s="10">
        <v>0.95994619999999997</v>
      </c>
      <c r="L51" s="10">
        <v>1.1672400000000001</v>
      </c>
      <c r="M51" s="10">
        <v>1.3182176999999999</v>
      </c>
      <c r="N51" s="10">
        <v>1.4328623</v>
      </c>
      <c r="O51" s="10">
        <v>1.5222906</v>
      </c>
      <c r="P51" s="10">
        <v>1.5935893999999999</v>
      </c>
      <c r="Q51" s="10">
        <v>1.6535004</v>
      </c>
      <c r="R51" s="10">
        <v>1.7063292999999999</v>
      </c>
      <c r="S51" s="10">
        <v>1.7551726000000001</v>
      </c>
      <c r="T51" s="10">
        <v>1.8005481999999999</v>
      </c>
      <c r="U51" s="10">
        <v>1.8416678</v>
      </c>
      <c r="V51" s="10">
        <v>1.8767062000000001</v>
      </c>
      <c r="W51" s="10">
        <v>1.9051525</v>
      </c>
      <c r="X51" s="10">
        <v>1.926938</v>
      </c>
      <c r="Y51" s="10">
        <v>1.9419937</v>
      </c>
      <c r="Z51" s="10">
        <v>1.9502508000000001</v>
      </c>
      <c r="AA51" s="10">
        <v>1.9516404999999999</v>
      </c>
      <c r="AB51" s="10">
        <v>1.9462348</v>
      </c>
      <c r="AC51" s="10">
        <v>1.9348281000000001</v>
      </c>
      <c r="AD51" s="10">
        <v>1.9184455</v>
      </c>
      <c r="AE51" s="10">
        <v>1.8981121999999999</v>
      </c>
      <c r="AF51" s="10">
        <v>1.8748533999999999</v>
      </c>
      <c r="AG51" s="10">
        <v>1.8496942999999999</v>
      </c>
      <c r="AH51" s="10">
        <v>1.8235429000000001</v>
      </c>
      <c r="AI51" s="10">
        <v>1.7967360000000001</v>
      </c>
      <c r="AJ51" s="10">
        <v>1.7694367</v>
      </c>
      <c r="AK51" s="10">
        <v>1.7418079</v>
      </c>
      <c r="AL51" s="10">
        <v>1.7140124999999999</v>
      </c>
      <c r="AM51" s="10">
        <v>1.6862136999999999</v>
      </c>
      <c r="AN51" s="10">
        <v>1.6585744</v>
      </c>
      <c r="AO51" s="10">
        <v>1.6312576000000001</v>
      </c>
      <c r="AP51" s="10">
        <v>1.6044262</v>
      </c>
      <c r="AQ51" s="10">
        <v>1.5782433</v>
      </c>
      <c r="AR51" s="10">
        <v>1.5528717999999999</v>
      </c>
      <c r="AS51" s="10">
        <v>1.5284747000000001</v>
      </c>
      <c r="AT51" s="10">
        <v>1.5051832999999999</v>
      </c>
      <c r="AU51" s="10">
        <v>1.4829882999999999</v>
      </c>
      <c r="AV51" s="10">
        <v>1.4618420000000001</v>
      </c>
      <c r="AW51" s="10">
        <v>1.4416964999999999</v>
      </c>
      <c r="AX51" s="10">
        <v>1.4225038000000001</v>
      </c>
      <c r="AY51" s="10">
        <v>1.4042163000000001</v>
      </c>
      <c r="AZ51" s="10">
        <v>1.3867859</v>
      </c>
      <c r="BA51" s="10">
        <v>1.3701649</v>
      </c>
      <c r="BB51" s="10">
        <v>1.3543054000000001</v>
      </c>
      <c r="BC51" s="10">
        <v>1.3391595000000001</v>
      </c>
      <c r="BD51" s="10">
        <v>1.3246792999999999</v>
      </c>
      <c r="BE51" s="10">
        <v>1.3108171</v>
      </c>
      <c r="BF51" s="10">
        <v>1.2975303</v>
      </c>
      <c r="BG51" s="10">
        <v>1.2847991999999999</v>
      </c>
      <c r="BH51" s="10">
        <v>1.2726109999999999</v>
      </c>
      <c r="BI51" s="10">
        <v>1.2609524999999999</v>
      </c>
      <c r="BJ51" s="10">
        <v>1.2498108000000001</v>
      </c>
      <c r="BK51" s="10">
        <v>1.2391726000000001</v>
      </c>
      <c r="BL51" s="10">
        <v>1.229025</v>
      </c>
      <c r="BM51" s="10">
        <v>1.2193548999999999</v>
      </c>
      <c r="BN51" s="10">
        <v>1.2101493000000001</v>
      </c>
      <c r="BO51" s="10">
        <v>1.201395</v>
      </c>
      <c r="BP51" s="10">
        <v>1.1930791000000001</v>
      </c>
      <c r="BQ51" s="10">
        <v>1.1851885</v>
      </c>
      <c r="BR51" s="10">
        <v>1.1462652</v>
      </c>
      <c r="BS51" s="10">
        <v>1.1207009999999999</v>
      </c>
      <c r="BU51" s="7">
        <v>1.1299999999999999</v>
      </c>
      <c r="BV51" s="7">
        <v>1.31</v>
      </c>
      <c r="BW51" s="9">
        <v>82.547700000000006</v>
      </c>
    </row>
    <row r="52" spans="1:75" x14ac:dyDescent="0.25">
      <c r="A52" s="6">
        <f t="shared" si="5"/>
        <v>44624</v>
      </c>
      <c r="B52" s="13">
        <f t="shared" si="0"/>
        <v>3</v>
      </c>
      <c r="C52" s="13">
        <f t="shared" si="1"/>
        <v>2022</v>
      </c>
      <c r="D52">
        <f t="shared" si="2"/>
        <v>202203</v>
      </c>
      <c r="E52">
        <f t="shared" si="3"/>
        <v>1</v>
      </c>
      <c r="F52">
        <f t="shared" si="4"/>
        <v>202201</v>
      </c>
      <c r="G52" t="s">
        <v>239</v>
      </c>
      <c r="H52" s="9">
        <v>0.5</v>
      </c>
      <c r="I52" s="9">
        <v>0.44500000000000001</v>
      </c>
      <c r="J52" s="10">
        <v>0.73632399999999998</v>
      </c>
      <c r="K52" s="10">
        <v>0.91151219999999999</v>
      </c>
      <c r="L52" s="10">
        <v>1.1191167</v>
      </c>
      <c r="M52" s="10">
        <v>1.3020845000000001</v>
      </c>
      <c r="N52" s="10">
        <v>1.4420634000000001</v>
      </c>
      <c r="O52" s="10">
        <v>1.5436103999999999</v>
      </c>
      <c r="P52" s="10">
        <v>1.6173156</v>
      </c>
      <c r="Q52" s="10">
        <v>1.6745846</v>
      </c>
      <c r="R52" s="10">
        <v>1.7237563</v>
      </c>
      <c r="S52" s="10">
        <v>1.7686621</v>
      </c>
      <c r="T52" s="10">
        <v>1.8101191999999999</v>
      </c>
      <c r="U52" s="10">
        <v>1.8475524000000001</v>
      </c>
      <c r="V52" s="10">
        <v>1.8793023</v>
      </c>
      <c r="W52" s="10">
        <v>1.9048082</v>
      </c>
      <c r="X52" s="10">
        <v>1.9239854000000001</v>
      </c>
      <c r="Y52" s="10">
        <v>1.9367494000000001</v>
      </c>
      <c r="Z52" s="10">
        <v>1.9430155</v>
      </c>
      <c r="AA52" s="10">
        <v>1.9426992999999999</v>
      </c>
      <c r="AB52" s="10">
        <v>1.9358668000000001</v>
      </c>
      <c r="AC52" s="10">
        <v>1.9232837</v>
      </c>
      <c r="AD52" s="10">
        <v>1.905918</v>
      </c>
      <c r="AE52" s="10">
        <v>1.8847379</v>
      </c>
      <c r="AF52" s="10">
        <v>1.8607117</v>
      </c>
      <c r="AG52" s="10">
        <v>1.8348074000000001</v>
      </c>
      <c r="AH52" s="10">
        <v>1.8078715000000001</v>
      </c>
      <c r="AI52" s="10">
        <v>1.7802119999999999</v>
      </c>
      <c r="AJ52" s="10">
        <v>1.7519886</v>
      </c>
      <c r="AK52" s="10">
        <v>1.7233612</v>
      </c>
      <c r="AL52" s="10">
        <v>1.6944893000000001</v>
      </c>
      <c r="AM52" s="10">
        <v>1.6655327</v>
      </c>
      <c r="AN52" s="10">
        <v>1.6366512</v>
      </c>
      <c r="AO52" s="10">
        <v>1.6080044</v>
      </c>
      <c r="AP52" s="10">
        <v>1.579752</v>
      </c>
      <c r="AQ52" s="10">
        <v>1.5520537999999999</v>
      </c>
      <c r="AR52" s="10">
        <v>1.5250694</v>
      </c>
      <c r="AS52" s="10">
        <v>1.4989585999999999</v>
      </c>
      <c r="AT52" s="10">
        <v>1.4738521</v>
      </c>
      <c r="AU52" s="10">
        <v>1.4497523000000001</v>
      </c>
      <c r="AV52" s="10">
        <v>1.4266262999999999</v>
      </c>
      <c r="AW52" s="10">
        <v>1.4044411999999999</v>
      </c>
      <c r="AX52" s="10">
        <v>1.3831642</v>
      </c>
      <c r="AY52" s="10">
        <v>1.3627621999999999</v>
      </c>
      <c r="AZ52" s="10">
        <v>1.3432025999999999</v>
      </c>
      <c r="BA52" s="10">
        <v>1.3244522000000001</v>
      </c>
      <c r="BB52" s="10">
        <v>1.3064783</v>
      </c>
      <c r="BC52" s="10">
        <v>1.2892478999999999</v>
      </c>
      <c r="BD52" s="10">
        <v>1.2727280999999999</v>
      </c>
      <c r="BE52" s="10">
        <v>1.2568861</v>
      </c>
      <c r="BF52" s="10">
        <v>1.2416921999999999</v>
      </c>
      <c r="BG52" s="10">
        <v>1.2271311</v>
      </c>
      <c r="BH52" s="10">
        <v>1.2131915</v>
      </c>
      <c r="BI52" s="10">
        <v>1.199862</v>
      </c>
      <c r="BJ52" s="10">
        <v>1.1871315</v>
      </c>
      <c r="BK52" s="10">
        <v>1.1749885</v>
      </c>
      <c r="BL52" s="10">
        <v>1.1634218000000001</v>
      </c>
      <c r="BM52" s="10">
        <v>1.1524201000000001</v>
      </c>
      <c r="BN52" s="10">
        <v>1.141972</v>
      </c>
      <c r="BO52" s="10">
        <v>1.1320661999999999</v>
      </c>
      <c r="BP52" s="10">
        <v>1.1226913999999999</v>
      </c>
      <c r="BQ52" s="10">
        <v>1.1138363</v>
      </c>
      <c r="BR52" s="10">
        <v>1.0710192000000001</v>
      </c>
      <c r="BS52" s="10">
        <v>1.0442616</v>
      </c>
      <c r="BU52" s="7">
        <v>1.06</v>
      </c>
      <c r="BV52" s="7">
        <v>1.23</v>
      </c>
      <c r="BW52" s="9">
        <v>82.333200000000005</v>
      </c>
    </row>
    <row r="53" spans="1:75" x14ac:dyDescent="0.25">
      <c r="A53" s="6">
        <f t="shared" si="5"/>
        <v>44627</v>
      </c>
      <c r="B53" s="13">
        <f t="shared" si="0"/>
        <v>3</v>
      </c>
      <c r="C53" s="13">
        <f t="shared" si="1"/>
        <v>2022</v>
      </c>
      <c r="D53">
        <f t="shared" si="2"/>
        <v>202203</v>
      </c>
      <c r="E53">
        <f t="shared" si="3"/>
        <v>1</v>
      </c>
      <c r="F53">
        <f t="shared" si="4"/>
        <v>202201</v>
      </c>
      <c r="G53" t="s">
        <v>240</v>
      </c>
      <c r="H53" s="9">
        <v>0.5</v>
      </c>
      <c r="I53" s="9">
        <v>0.44479999999999997</v>
      </c>
      <c r="J53" s="10">
        <v>0.76084320000000005</v>
      </c>
      <c r="K53" s="10">
        <v>0.96482500000000004</v>
      </c>
      <c r="L53" s="10">
        <v>1.1902877999999999</v>
      </c>
      <c r="M53" s="10">
        <v>1.3857877000000001</v>
      </c>
      <c r="N53" s="10">
        <v>1.5334365000000001</v>
      </c>
      <c r="O53" s="10">
        <v>1.6390895000000001</v>
      </c>
      <c r="P53" s="10">
        <v>1.7150353</v>
      </c>
      <c r="Q53" s="10">
        <v>1.774381</v>
      </c>
      <c r="R53" s="10">
        <v>1.8261826000000001</v>
      </c>
      <c r="S53" s="10">
        <v>1.8746981</v>
      </c>
      <c r="T53" s="10">
        <v>1.9207455</v>
      </c>
      <c r="U53" s="10">
        <v>1.9633099000000001</v>
      </c>
      <c r="V53" s="10">
        <v>1.9999026</v>
      </c>
      <c r="W53" s="10">
        <v>2.0297950999999999</v>
      </c>
      <c r="X53" s="10">
        <v>2.0528374</v>
      </c>
      <c r="Y53" s="10">
        <v>2.0688797999999999</v>
      </c>
      <c r="Z53" s="10">
        <v>2.0777722000000001</v>
      </c>
      <c r="AA53" s="10">
        <v>2.0793647000000002</v>
      </c>
      <c r="AB53" s="10">
        <v>2.0736764999999999</v>
      </c>
      <c r="AC53" s="10">
        <v>2.0615101</v>
      </c>
      <c r="AD53" s="10">
        <v>2.0438950999999999</v>
      </c>
      <c r="AE53" s="10">
        <v>2.0218609999999999</v>
      </c>
      <c r="AF53" s="10">
        <v>1.9964375999999999</v>
      </c>
      <c r="AG53" s="10">
        <v>1.9686543999999999</v>
      </c>
      <c r="AH53" s="10">
        <v>1.9394172000000001</v>
      </c>
      <c r="AI53" s="10">
        <v>1.9090849000000001</v>
      </c>
      <c r="AJ53" s="10">
        <v>1.8778657000000001</v>
      </c>
      <c r="AK53" s="10">
        <v>1.8459675</v>
      </c>
      <c r="AL53" s="10">
        <v>1.8135984000000001</v>
      </c>
      <c r="AM53" s="10">
        <v>1.7809666</v>
      </c>
      <c r="AN53" s="10">
        <v>1.7482800000000001</v>
      </c>
      <c r="AO53" s="10">
        <v>1.7157468</v>
      </c>
      <c r="AP53" s="10">
        <v>1.683575</v>
      </c>
      <c r="AQ53" s="10">
        <v>1.6519727</v>
      </c>
      <c r="AR53" s="10">
        <v>1.621148</v>
      </c>
      <c r="AS53" s="10">
        <v>1.5913089</v>
      </c>
      <c r="AT53" s="10">
        <v>1.5626264999999999</v>
      </c>
      <c r="AU53" s="10">
        <v>1.5351083000000001</v>
      </c>
      <c r="AV53" s="10">
        <v>1.5087169</v>
      </c>
      <c r="AW53" s="10">
        <v>1.4834147</v>
      </c>
      <c r="AX53" s="10">
        <v>1.4591642</v>
      </c>
      <c r="AY53" s="10">
        <v>1.4359278</v>
      </c>
      <c r="AZ53" s="10">
        <v>1.4136682</v>
      </c>
      <c r="BA53" s="10">
        <v>1.3923477</v>
      </c>
      <c r="BB53" s="10">
        <v>1.3719288000000001</v>
      </c>
      <c r="BC53" s="10">
        <v>1.352374</v>
      </c>
      <c r="BD53" s="10">
        <v>1.3336458</v>
      </c>
      <c r="BE53" s="10">
        <v>1.3157067</v>
      </c>
      <c r="BF53" s="10">
        <v>1.2985211999999999</v>
      </c>
      <c r="BG53" s="10">
        <v>1.2820649</v>
      </c>
      <c r="BH53" s="10">
        <v>1.2663172</v>
      </c>
      <c r="BI53" s="10">
        <v>1.2512573</v>
      </c>
      <c r="BJ53" s="10">
        <v>1.2368645</v>
      </c>
      <c r="BK53" s="10">
        <v>1.2231182</v>
      </c>
      <c r="BL53" s="10">
        <v>1.2099977</v>
      </c>
      <c r="BM53" s="10">
        <v>1.1974823000000001</v>
      </c>
      <c r="BN53" s="10">
        <v>1.1855513</v>
      </c>
      <c r="BO53" s="10">
        <v>1.1741839999999999</v>
      </c>
      <c r="BP53" s="10">
        <v>1.1633598000000001</v>
      </c>
      <c r="BQ53" s="10">
        <v>1.1530579999999999</v>
      </c>
      <c r="BR53" s="10">
        <v>1.1014132000000001</v>
      </c>
      <c r="BS53" s="10">
        <v>1.0655391000000001</v>
      </c>
      <c r="BU53" s="7">
        <v>1.18</v>
      </c>
      <c r="BV53" s="7">
        <v>1.3</v>
      </c>
      <c r="BW53" s="9">
        <v>82.124099999999999</v>
      </c>
    </row>
    <row r="54" spans="1:75" x14ac:dyDescent="0.25">
      <c r="A54" s="6">
        <f t="shared" si="5"/>
        <v>44628</v>
      </c>
      <c r="B54" s="13">
        <f t="shared" si="0"/>
        <v>3</v>
      </c>
      <c r="C54" s="13">
        <f t="shared" si="1"/>
        <v>2022</v>
      </c>
      <c r="D54">
        <f t="shared" si="2"/>
        <v>202203</v>
      </c>
      <c r="E54">
        <f t="shared" si="3"/>
        <v>1</v>
      </c>
      <c r="F54">
        <f t="shared" si="4"/>
        <v>202201</v>
      </c>
      <c r="G54" t="s">
        <v>241</v>
      </c>
      <c r="H54" s="9">
        <v>0.5</v>
      </c>
      <c r="I54" s="9">
        <v>0.44440000000000002</v>
      </c>
      <c r="J54" s="10">
        <v>0.76396719999999996</v>
      </c>
      <c r="K54" s="10">
        <v>0.98240870000000002</v>
      </c>
      <c r="L54" s="10">
        <v>1.224146</v>
      </c>
      <c r="M54" s="10">
        <v>1.4355764</v>
      </c>
      <c r="N54" s="10">
        <v>1.597094</v>
      </c>
      <c r="O54" s="10">
        <v>1.7143946999999999</v>
      </c>
      <c r="P54" s="10">
        <v>1.7999167</v>
      </c>
      <c r="Q54" s="10">
        <v>1.8673346</v>
      </c>
      <c r="R54" s="10">
        <v>1.9261010000000001</v>
      </c>
      <c r="S54" s="10">
        <v>1.9807900000000001</v>
      </c>
      <c r="T54" s="10">
        <v>2.0322887000000001</v>
      </c>
      <c r="U54" s="10">
        <v>2.0793691000000001</v>
      </c>
      <c r="V54" s="10">
        <v>2.1192468999999998</v>
      </c>
      <c r="W54" s="10">
        <v>2.1511982000000001</v>
      </c>
      <c r="X54" s="10">
        <v>2.1751638</v>
      </c>
      <c r="Y54" s="10">
        <v>2.1910845999999999</v>
      </c>
      <c r="Z54" s="10">
        <v>2.1989013000000002</v>
      </c>
      <c r="AA54" s="10">
        <v>2.1985549</v>
      </c>
      <c r="AB54" s="10">
        <v>2.1901766999999999</v>
      </c>
      <c r="AC54" s="10">
        <v>2.1747830000000001</v>
      </c>
      <c r="AD54" s="10">
        <v>2.1536458999999999</v>
      </c>
      <c r="AE54" s="10">
        <v>2.1280378999999998</v>
      </c>
      <c r="AF54" s="10">
        <v>2.0992313999999999</v>
      </c>
      <c r="AG54" s="10">
        <v>2.0684988</v>
      </c>
      <c r="AH54" s="10">
        <v>2.0369449999999998</v>
      </c>
      <c r="AI54" s="10">
        <v>2.0049353999999999</v>
      </c>
      <c r="AJ54" s="10">
        <v>1.9726315000000001</v>
      </c>
      <c r="AK54" s="10">
        <v>1.9401948</v>
      </c>
      <c r="AL54" s="10">
        <v>1.9077866999999999</v>
      </c>
      <c r="AM54" s="10">
        <v>1.8755686</v>
      </c>
      <c r="AN54" s="10">
        <v>1.8437021</v>
      </c>
      <c r="AO54" s="10">
        <v>1.8123486</v>
      </c>
      <c r="AP54" s="10">
        <v>1.7816695</v>
      </c>
      <c r="AQ54" s="10">
        <v>1.7518263999999999</v>
      </c>
      <c r="AR54" s="10">
        <v>1.7229805</v>
      </c>
      <c r="AS54" s="10">
        <v>1.6952935</v>
      </c>
      <c r="AT54" s="10">
        <v>1.6688989999999999</v>
      </c>
      <c r="AU54" s="10">
        <v>1.6437816999999999</v>
      </c>
      <c r="AV54" s="10">
        <v>1.6198759</v>
      </c>
      <c r="AW54" s="10">
        <v>1.5971162000000001</v>
      </c>
      <c r="AX54" s="10">
        <v>1.575437</v>
      </c>
      <c r="AY54" s="10">
        <v>1.5547728999999999</v>
      </c>
      <c r="AZ54" s="10">
        <v>1.5350581999999999</v>
      </c>
      <c r="BA54" s="10">
        <v>1.5162275000000001</v>
      </c>
      <c r="BB54" s="10">
        <v>1.4982153</v>
      </c>
      <c r="BC54" s="10">
        <v>1.4809559000000001</v>
      </c>
      <c r="BD54" s="10">
        <v>1.4643839000000001</v>
      </c>
      <c r="BE54" s="10">
        <v>1.4484338000000001</v>
      </c>
      <c r="BF54" s="10">
        <v>1.4330472999999999</v>
      </c>
      <c r="BG54" s="10">
        <v>1.418202</v>
      </c>
      <c r="BH54" s="10">
        <v>1.4038862000000001</v>
      </c>
      <c r="BI54" s="10">
        <v>1.3900884</v>
      </c>
      <c r="BJ54" s="10">
        <v>1.376797</v>
      </c>
      <c r="BK54" s="10">
        <v>1.3640003000000001</v>
      </c>
      <c r="BL54" s="10">
        <v>1.3516866999999999</v>
      </c>
      <c r="BM54" s="10">
        <v>1.3398447</v>
      </c>
      <c r="BN54" s="10">
        <v>1.3284625999999999</v>
      </c>
      <c r="BO54" s="10">
        <v>1.3175288000000001</v>
      </c>
      <c r="BP54" s="10">
        <v>1.3070318000000001</v>
      </c>
      <c r="BQ54" s="10">
        <v>1.2969599000000001</v>
      </c>
      <c r="BR54" s="10">
        <v>1.2450619000000001</v>
      </c>
      <c r="BS54" s="10">
        <v>1.2070965</v>
      </c>
      <c r="BU54" s="7">
        <v>1.34</v>
      </c>
      <c r="BV54" s="7">
        <v>1.45</v>
      </c>
      <c r="BW54" s="9">
        <v>82.006399999999999</v>
      </c>
    </row>
    <row r="55" spans="1:75" x14ac:dyDescent="0.25">
      <c r="A55" s="6">
        <f t="shared" si="5"/>
        <v>44629</v>
      </c>
      <c r="B55" s="13">
        <f t="shared" si="0"/>
        <v>3</v>
      </c>
      <c r="C55" s="13">
        <f t="shared" si="1"/>
        <v>2022</v>
      </c>
      <c r="D55">
        <f t="shared" si="2"/>
        <v>202203</v>
      </c>
      <c r="E55">
        <f t="shared" si="3"/>
        <v>1</v>
      </c>
      <c r="F55">
        <f t="shared" si="4"/>
        <v>202201</v>
      </c>
      <c r="G55" t="s">
        <v>242</v>
      </c>
      <c r="H55" s="9">
        <v>0.5</v>
      </c>
      <c r="I55" s="9">
        <v>0.44440000000000002</v>
      </c>
      <c r="J55" s="10">
        <v>0.75570190000000004</v>
      </c>
      <c r="K55" s="10">
        <v>0.97064810000000001</v>
      </c>
      <c r="L55" s="10">
        <v>1.2095553000000001</v>
      </c>
      <c r="M55" s="10">
        <v>1.4250305999999999</v>
      </c>
      <c r="N55" s="10">
        <v>1.5966496999999999</v>
      </c>
      <c r="O55" s="10">
        <v>1.728251</v>
      </c>
      <c r="P55" s="10">
        <v>1.8288724000000001</v>
      </c>
      <c r="Q55" s="10">
        <v>1.9095918999999999</v>
      </c>
      <c r="R55" s="10">
        <v>1.9787409</v>
      </c>
      <c r="S55" s="10">
        <v>2.0406572999999999</v>
      </c>
      <c r="T55" s="10">
        <v>2.0965907000000001</v>
      </c>
      <c r="U55" s="10">
        <v>2.1460984000000001</v>
      </c>
      <c r="V55" s="10">
        <v>2.187627</v>
      </c>
      <c r="W55" s="10">
        <v>2.2208250999999999</v>
      </c>
      <c r="X55" s="10">
        <v>2.2457411999999999</v>
      </c>
      <c r="Y55" s="10">
        <v>2.2624238999999999</v>
      </c>
      <c r="Z55" s="10">
        <v>2.2709218999999998</v>
      </c>
      <c r="AA55" s="10">
        <v>2.2712835999999998</v>
      </c>
      <c r="AB55" s="10">
        <v>2.2636980000000002</v>
      </c>
      <c r="AC55" s="10">
        <v>2.2491479000000001</v>
      </c>
      <c r="AD55" s="10">
        <v>2.2288960000000002</v>
      </c>
      <c r="AE55" s="10">
        <v>2.2042047999999999</v>
      </c>
      <c r="AF55" s="10">
        <v>2.1763371</v>
      </c>
      <c r="AG55" s="10">
        <v>2.1465554999999998</v>
      </c>
      <c r="AH55" s="10">
        <v>2.1159862</v>
      </c>
      <c r="AI55" s="10">
        <v>2.0850197000000001</v>
      </c>
      <c r="AJ55" s="10">
        <v>2.0537996000000001</v>
      </c>
      <c r="AK55" s="10">
        <v>2.0224696999999998</v>
      </c>
      <c r="AL55" s="10">
        <v>1.9911737</v>
      </c>
      <c r="AM55" s="10">
        <v>1.9600552</v>
      </c>
      <c r="AN55" s="10">
        <v>1.9292578</v>
      </c>
      <c r="AO55" s="10">
        <v>1.8989251</v>
      </c>
      <c r="AP55" s="10">
        <v>1.8692009000000001</v>
      </c>
      <c r="AQ55" s="10">
        <v>1.8402288</v>
      </c>
      <c r="AR55" s="10">
        <v>1.8121524</v>
      </c>
      <c r="AS55" s="10">
        <v>1.7851154</v>
      </c>
      <c r="AT55" s="10">
        <v>1.7592333</v>
      </c>
      <c r="AU55" s="10">
        <v>1.7344846</v>
      </c>
      <c r="AV55" s="10">
        <v>1.7108061999999999</v>
      </c>
      <c r="AW55" s="10">
        <v>1.6881348</v>
      </c>
      <c r="AX55" s="10">
        <v>1.6664072999999999</v>
      </c>
      <c r="AY55" s="10">
        <v>1.6455603999999999</v>
      </c>
      <c r="AZ55" s="10">
        <v>1.6255310000000001</v>
      </c>
      <c r="BA55" s="10">
        <v>1.6062559000000001</v>
      </c>
      <c r="BB55" s="10">
        <v>1.5876718999999999</v>
      </c>
      <c r="BC55" s="10">
        <v>1.5697156999999999</v>
      </c>
      <c r="BD55" s="10">
        <v>1.5523241999999999</v>
      </c>
      <c r="BE55" s="10">
        <v>1.5354342000000001</v>
      </c>
      <c r="BF55" s="10">
        <v>1.5189919000000001</v>
      </c>
      <c r="BG55" s="10">
        <v>1.5029851999999999</v>
      </c>
      <c r="BH55" s="10">
        <v>1.4874132</v>
      </c>
      <c r="BI55" s="10">
        <v>1.4722751999999999</v>
      </c>
      <c r="BJ55" s="10">
        <v>1.4575704</v>
      </c>
      <c r="BK55" s="10">
        <v>1.4432982000000001</v>
      </c>
      <c r="BL55" s="10">
        <v>1.4294578</v>
      </c>
      <c r="BM55" s="10">
        <v>1.4160484</v>
      </c>
      <c r="BN55" s="10">
        <v>1.4030693000000001</v>
      </c>
      <c r="BO55" s="10">
        <v>1.3905198000000001</v>
      </c>
      <c r="BP55" s="10">
        <v>1.3783989999999999</v>
      </c>
      <c r="BQ55" s="10">
        <v>1.3667062999999999</v>
      </c>
      <c r="BR55" s="10">
        <v>1.3055737000000001</v>
      </c>
      <c r="BS55" s="10">
        <v>1.2601245999999999</v>
      </c>
      <c r="BU55" s="7">
        <v>1.41</v>
      </c>
      <c r="BV55" s="7">
        <v>1.51</v>
      </c>
      <c r="BW55" s="9">
        <v>81.559299999999993</v>
      </c>
    </row>
    <row r="56" spans="1:75" x14ac:dyDescent="0.25">
      <c r="A56" s="6">
        <f t="shared" si="5"/>
        <v>44630</v>
      </c>
      <c r="B56" s="13">
        <f t="shared" si="0"/>
        <v>3</v>
      </c>
      <c r="C56" s="13">
        <f t="shared" si="1"/>
        <v>2022</v>
      </c>
      <c r="D56">
        <f t="shared" si="2"/>
        <v>202203</v>
      </c>
      <c r="E56">
        <f t="shared" si="3"/>
        <v>1</v>
      </c>
      <c r="F56">
        <f t="shared" si="4"/>
        <v>202201</v>
      </c>
      <c r="G56" t="s">
        <v>243</v>
      </c>
      <c r="H56" s="9">
        <v>0.5</v>
      </c>
      <c r="I56" s="9">
        <v>0.4451</v>
      </c>
      <c r="J56" s="10">
        <v>0.75746219999999997</v>
      </c>
      <c r="K56" s="10">
        <v>0.97125669999999997</v>
      </c>
      <c r="L56" s="10">
        <v>1.2053693000000001</v>
      </c>
      <c r="M56" s="10">
        <v>1.4151263000000001</v>
      </c>
      <c r="N56" s="10">
        <v>1.582252</v>
      </c>
      <c r="O56" s="10">
        <v>1.7105755</v>
      </c>
      <c r="P56" s="10">
        <v>1.8099369999999999</v>
      </c>
      <c r="Q56" s="10">
        <v>1.8899995999999999</v>
      </c>
      <c r="R56" s="10">
        <v>1.9587996999999999</v>
      </c>
      <c r="S56" s="10">
        <v>2.0202933000000001</v>
      </c>
      <c r="T56" s="10">
        <v>2.0758836000000001</v>
      </c>
      <c r="U56" s="10">
        <v>2.1251514999999999</v>
      </c>
      <c r="V56" s="10">
        <v>2.1664957999999999</v>
      </c>
      <c r="W56" s="10">
        <v>2.1995401000000001</v>
      </c>
      <c r="X56" s="10">
        <v>2.2243118000000002</v>
      </c>
      <c r="Y56" s="10">
        <v>2.2408383999999999</v>
      </c>
      <c r="Z56" s="10">
        <v>2.2491474</v>
      </c>
      <c r="AA56" s="10">
        <v>2.2492662999999999</v>
      </c>
      <c r="AB56" s="10">
        <v>2.2413881999999998</v>
      </c>
      <c r="AC56" s="10">
        <v>2.226556</v>
      </c>
      <c r="AD56" s="10">
        <v>2.2060837000000002</v>
      </c>
      <c r="AE56" s="10">
        <v>2.1812854000000002</v>
      </c>
      <c r="AF56" s="10">
        <v>2.1534751000000001</v>
      </c>
      <c r="AG56" s="10">
        <v>2.1239672000000001</v>
      </c>
      <c r="AH56" s="10">
        <v>2.0939144000000001</v>
      </c>
      <c r="AI56" s="10">
        <v>2.0636834999999998</v>
      </c>
      <c r="AJ56" s="10">
        <v>2.0334021999999998</v>
      </c>
      <c r="AK56" s="10">
        <v>2.0031981000000001</v>
      </c>
      <c r="AL56" s="10">
        <v>1.9731985999999999</v>
      </c>
      <c r="AM56" s="10">
        <v>1.9435313999999999</v>
      </c>
      <c r="AN56" s="10">
        <v>1.9143239999999999</v>
      </c>
      <c r="AO56" s="10">
        <v>1.885704</v>
      </c>
      <c r="AP56" s="10">
        <v>1.8577991</v>
      </c>
      <c r="AQ56" s="10">
        <v>1.8307366</v>
      </c>
      <c r="AR56" s="10">
        <v>1.8046442</v>
      </c>
      <c r="AS56" s="10">
        <v>1.7796495999999999</v>
      </c>
      <c r="AT56" s="10">
        <v>1.7558506</v>
      </c>
      <c r="AU56" s="10">
        <v>1.7332147</v>
      </c>
      <c r="AV56" s="10">
        <v>1.7116735000000001</v>
      </c>
      <c r="AW56" s="10">
        <v>1.6911582999999999</v>
      </c>
      <c r="AX56" s="10">
        <v>1.6716008</v>
      </c>
      <c r="AY56" s="10">
        <v>1.6529322</v>
      </c>
      <c r="AZ56" s="10">
        <v>1.6350841</v>
      </c>
      <c r="BA56" s="10">
        <v>1.617988</v>
      </c>
      <c r="BB56" s="10">
        <v>1.6015752999999999</v>
      </c>
      <c r="BC56" s="10">
        <v>1.5857775999999999</v>
      </c>
      <c r="BD56" s="10">
        <v>1.5705260999999999</v>
      </c>
      <c r="BE56" s="10">
        <v>1.5557525000000001</v>
      </c>
      <c r="BF56" s="10">
        <v>1.5413984000000001</v>
      </c>
      <c r="BG56" s="10">
        <v>1.5274506999999999</v>
      </c>
      <c r="BH56" s="10">
        <v>1.5139088999999999</v>
      </c>
      <c r="BI56" s="10">
        <v>1.5007721000000001</v>
      </c>
      <c r="BJ56" s="10">
        <v>1.4880399</v>
      </c>
      <c r="BK56" s="10">
        <v>1.4757115999999999</v>
      </c>
      <c r="BL56" s="10">
        <v>1.4637865000000001</v>
      </c>
      <c r="BM56" s="10">
        <v>1.452264</v>
      </c>
      <c r="BN56" s="10">
        <v>1.4411434999999999</v>
      </c>
      <c r="BO56" s="10">
        <v>1.4304243000000001</v>
      </c>
      <c r="BP56" s="10">
        <v>1.4201058</v>
      </c>
      <c r="BQ56" s="10">
        <v>1.4101874000000001</v>
      </c>
      <c r="BR56" s="10">
        <v>1.3589762000000001</v>
      </c>
      <c r="BS56" s="10">
        <v>1.3216055</v>
      </c>
      <c r="BU56" s="7">
        <v>1.35</v>
      </c>
      <c r="BV56" s="7">
        <v>1.53</v>
      </c>
      <c r="BW56" s="9">
        <v>81.4863</v>
      </c>
    </row>
    <row r="57" spans="1:75" x14ac:dyDescent="0.25">
      <c r="A57" s="6">
        <f t="shared" si="5"/>
        <v>44631</v>
      </c>
      <c r="B57" s="13">
        <f t="shared" si="0"/>
        <v>3</v>
      </c>
      <c r="C57" s="13">
        <f t="shared" si="1"/>
        <v>2022</v>
      </c>
      <c r="D57">
        <f t="shared" si="2"/>
        <v>202203</v>
      </c>
      <c r="E57">
        <f t="shared" si="3"/>
        <v>1</v>
      </c>
      <c r="F57">
        <f t="shared" si="4"/>
        <v>202201</v>
      </c>
      <c r="G57" t="s">
        <v>244</v>
      </c>
      <c r="H57" s="9">
        <v>0.5</v>
      </c>
      <c r="I57" s="9">
        <v>0.44490000000000002</v>
      </c>
      <c r="J57" s="10">
        <v>0.76076690000000002</v>
      </c>
      <c r="K57" s="10">
        <v>0.98199040000000004</v>
      </c>
      <c r="L57" s="10">
        <v>1.2225735</v>
      </c>
      <c r="M57" s="10">
        <v>1.4381016</v>
      </c>
      <c r="N57" s="10">
        <v>1.6089812999999999</v>
      </c>
      <c r="O57" s="10">
        <v>1.7390916000000001</v>
      </c>
      <c r="P57" s="10">
        <v>1.8392485999999999</v>
      </c>
      <c r="Q57" s="10">
        <v>1.9208303</v>
      </c>
      <c r="R57" s="10">
        <v>1.9923553000000001</v>
      </c>
      <c r="S57" s="10">
        <v>2.0577215999999998</v>
      </c>
      <c r="T57" s="10">
        <v>2.1175166000000001</v>
      </c>
      <c r="U57" s="10">
        <v>2.1706921000000001</v>
      </c>
      <c r="V57" s="10">
        <v>2.2142076999999998</v>
      </c>
      <c r="W57" s="10">
        <v>2.2474268999999998</v>
      </c>
      <c r="X57" s="10">
        <v>2.2707354999999998</v>
      </c>
      <c r="Y57" s="10">
        <v>2.2845195999999999</v>
      </c>
      <c r="Z57" s="10">
        <v>2.2891653999999999</v>
      </c>
      <c r="AA57" s="10">
        <v>2.2850587999999998</v>
      </c>
      <c r="AB57" s="10">
        <v>2.2727312</v>
      </c>
      <c r="AC57" s="10">
        <v>2.2533862</v>
      </c>
      <c r="AD57" s="10">
        <v>2.2284226</v>
      </c>
      <c r="AE57" s="10">
        <v>2.1992392000000001</v>
      </c>
      <c r="AF57" s="10">
        <v>2.1672346999999998</v>
      </c>
      <c r="AG57" s="10">
        <v>2.1338078</v>
      </c>
      <c r="AH57" s="10">
        <v>2.1001617000000001</v>
      </c>
      <c r="AI57" s="10">
        <v>2.0666351000000001</v>
      </c>
      <c r="AJ57" s="10">
        <v>2.0333287000000002</v>
      </c>
      <c r="AK57" s="10">
        <v>2.0003427</v>
      </c>
      <c r="AL57" s="10">
        <v>1.9677777999999999</v>
      </c>
      <c r="AM57" s="10">
        <v>1.9357343</v>
      </c>
      <c r="AN57" s="10">
        <v>1.9043129000000001</v>
      </c>
      <c r="AO57" s="10">
        <v>1.8736138</v>
      </c>
      <c r="AP57" s="10">
        <v>1.8437376999999999</v>
      </c>
      <c r="AQ57" s="10">
        <v>1.8147850000000001</v>
      </c>
      <c r="AR57" s="10">
        <v>1.7868561999999999</v>
      </c>
      <c r="AS57" s="10">
        <v>1.7600517</v>
      </c>
      <c r="AT57" s="10">
        <v>1.7344476</v>
      </c>
      <c r="AU57" s="10">
        <v>1.7100115</v>
      </c>
      <c r="AV57" s="10">
        <v>1.6866814000000001</v>
      </c>
      <c r="AW57" s="10">
        <v>1.6643952</v>
      </c>
      <c r="AX57" s="10">
        <v>1.6430909</v>
      </c>
      <c r="AY57" s="10">
        <v>1.6227062000000001</v>
      </c>
      <c r="AZ57" s="10">
        <v>1.6031791</v>
      </c>
      <c r="BA57" s="10">
        <v>1.5844476000000001</v>
      </c>
      <c r="BB57" s="10">
        <v>1.5664495000000001</v>
      </c>
      <c r="BC57" s="10">
        <v>1.5491227000000001</v>
      </c>
      <c r="BD57" s="10">
        <v>1.5324051999999999</v>
      </c>
      <c r="BE57" s="10">
        <v>1.5162348999999999</v>
      </c>
      <c r="BF57" s="10">
        <v>1.5005586</v>
      </c>
      <c r="BG57" s="10">
        <v>1.4853635999999999</v>
      </c>
      <c r="BH57" s="10">
        <v>1.4706477</v>
      </c>
      <c r="BI57" s="10">
        <v>1.4564090999999999</v>
      </c>
      <c r="BJ57" s="10">
        <v>1.4426458</v>
      </c>
      <c r="BK57" s="10">
        <v>1.4293560000000001</v>
      </c>
      <c r="BL57" s="10">
        <v>1.4165375</v>
      </c>
      <c r="BM57" s="10">
        <v>1.4041887</v>
      </c>
      <c r="BN57" s="10">
        <v>1.3923072999999999</v>
      </c>
      <c r="BO57" s="10">
        <v>1.3808917000000001</v>
      </c>
      <c r="BP57" s="10">
        <v>1.3699397</v>
      </c>
      <c r="BQ57" s="10">
        <v>1.3594495</v>
      </c>
      <c r="BR57" s="10">
        <v>1.3060075</v>
      </c>
      <c r="BS57" s="10">
        <v>1.2681575</v>
      </c>
      <c r="BU57" s="7">
        <v>1.32</v>
      </c>
      <c r="BV57" s="7">
        <v>1.49</v>
      </c>
      <c r="BW57" s="9">
        <v>81.443200000000004</v>
      </c>
    </row>
    <row r="58" spans="1:75" x14ac:dyDescent="0.25">
      <c r="A58" s="6">
        <f t="shared" si="5"/>
        <v>44634</v>
      </c>
      <c r="B58" s="13">
        <f t="shared" si="0"/>
        <v>3</v>
      </c>
      <c r="C58" s="13">
        <f t="shared" si="1"/>
        <v>2022</v>
      </c>
      <c r="D58">
        <f t="shared" si="2"/>
        <v>202203</v>
      </c>
      <c r="E58">
        <f t="shared" si="3"/>
        <v>1</v>
      </c>
      <c r="F58">
        <f t="shared" si="4"/>
        <v>202201</v>
      </c>
      <c r="G58" t="s">
        <v>245</v>
      </c>
      <c r="H58" s="9">
        <v>0.5</v>
      </c>
      <c r="I58" s="9">
        <v>0.44450000000000001</v>
      </c>
      <c r="J58" s="10">
        <v>0.78777399999999997</v>
      </c>
      <c r="K58" s="10">
        <v>1.0110030000000001</v>
      </c>
      <c r="L58" s="10">
        <v>1.2475499999999999</v>
      </c>
      <c r="M58" s="10">
        <v>1.4607044</v>
      </c>
      <c r="N58" s="10">
        <v>1.6328885</v>
      </c>
      <c r="O58" s="10">
        <v>1.7677693999999999</v>
      </c>
      <c r="P58" s="10">
        <v>1.8743810999999999</v>
      </c>
      <c r="Q58" s="10">
        <v>1.9623660999999999</v>
      </c>
      <c r="R58" s="10">
        <v>2.0388552</v>
      </c>
      <c r="S58" s="10">
        <v>2.1075626999999999</v>
      </c>
      <c r="T58" s="10">
        <v>2.1693745999999998</v>
      </c>
      <c r="U58" s="10">
        <v>2.2236338</v>
      </c>
      <c r="V58" s="10">
        <v>2.2683515999999999</v>
      </c>
      <c r="W58" s="10">
        <v>2.3032583999999998</v>
      </c>
      <c r="X58" s="10">
        <v>2.3286457999999999</v>
      </c>
      <c r="Y58" s="10">
        <v>2.3448057000000002</v>
      </c>
      <c r="Z58" s="10">
        <v>2.3520295</v>
      </c>
      <c r="AA58" s="10">
        <v>2.3506089999999999</v>
      </c>
      <c r="AB58" s="10">
        <v>2.3409859000000002</v>
      </c>
      <c r="AC58" s="10">
        <v>2.3242988000000002</v>
      </c>
      <c r="AD58" s="10">
        <v>2.3018876000000001</v>
      </c>
      <c r="AE58" s="10">
        <v>2.2750925999999998</v>
      </c>
      <c r="AF58" s="10">
        <v>2.2452540000000001</v>
      </c>
      <c r="AG58" s="10">
        <v>2.2137120000000001</v>
      </c>
      <c r="AH58" s="10">
        <v>2.1816252999999999</v>
      </c>
      <c r="AI58" s="10">
        <v>2.1493517999999998</v>
      </c>
      <c r="AJ58" s="10">
        <v>2.1170284000000001</v>
      </c>
      <c r="AK58" s="10">
        <v>2.0847918999999999</v>
      </c>
      <c r="AL58" s="10">
        <v>2.0527791999999998</v>
      </c>
      <c r="AM58" s="10">
        <v>2.0211269999999999</v>
      </c>
      <c r="AN58" s="10">
        <v>1.9899723</v>
      </c>
      <c r="AO58" s="10">
        <v>1.959452</v>
      </c>
      <c r="AP58" s="10">
        <v>1.9297028000000001</v>
      </c>
      <c r="AQ58" s="10">
        <v>1.9008617000000001</v>
      </c>
      <c r="AR58" s="10">
        <v>1.8730655</v>
      </c>
      <c r="AS58" s="10">
        <v>1.8464510000000001</v>
      </c>
      <c r="AT58" s="10">
        <v>1.8211246000000001</v>
      </c>
      <c r="AU58" s="10">
        <v>1.7970583</v>
      </c>
      <c r="AV58" s="10">
        <v>1.7741865999999999</v>
      </c>
      <c r="AW58" s="10">
        <v>1.7524445</v>
      </c>
      <c r="AX58" s="10">
        <v>1.7317665</v>
      </c>
      <c r="AY58" s="10">
        <v>1.7120875</v>
      </c>
      <c r="AZ58" s="10">
        <v>1.6933423000000001</v>
      </c>
      <c r="BA58" s="10">
        <v>1.6754654</v>
      </c>
      <c r="BB58" s="10">
        <v>1.6583918</v>
      </c>
      <c r="BC58" s="10">
        <v>1.6420561</v>
      </c>
      <c r="BD58" s="10">
        <v>1.6263931</v>
      </c>
      <c r="BE58" s="10">
        <v>1.6113375000000001</v>
      </c>
      <c r="BF58" s="10">
        <v>1.5968309999999999</v>
      </c>
      <c r="BG58" s="10">
        <v>1.5828525</v>
      </c>
      <c r="BH58" s="10">
        <v>1.5693934</v>
      </c>
      <c r="BI58" s="10">
        <v>1.5564453</v>
      </c>
      <c r="BJ58" s="10">
        <v>1.5439993999999999</v>
      </c>
      <c r="BK58" s="10">
        <v>1.5320473999999999</v>
      </c>
      <c r="BL58" s="10">
        <v>1.5205805999999999</v>
      </c>
      <c r="BM58" s="10">
        <v>1.5095904</v>
      </c>
      <c r="BN58" s="10">
        <v>1.4990683</v>
      </c>
      <c r="BO58" s="10">
        <v>1.4890057999999999</v>
      </c>
      <c r="BP58" s="10">
        <v>1.4793943000000001</v>
      </c>
      <c r="BQ58" s="10">
        <v>1.4702252</v>
      </c>
      <c r="BR58" s="10">
        <v>1.4240895</v>
      </c>
      <c r="BS58" s="10">
        <v>1.3921380999999999</v>
      </c>
      <c r="BU58" s="7">
        <v>1.39</v>
      </c>
      <c r="BV58" s="7">
        <v>1.6</v>
      </c>
      <c r="BW58" s="9">
        <v>81.236699999999999</v>
      </c>
    </row>
    <row r="59" spans="1:75" x14ac:dyDescent="0.25">
      <c r="A59" s="6">
        <f t="shared" si="5"/>
        <v>44635</v>
      </c>
      <c r="B59" s="13">
        <f t="shared" si="0"/>
        <v>3</v>
      </c>
      <c r="C59" s="13">
        <f t="shared" si="1"/>
        <v>2022</v>
      </c>
      <c r="D59">
        <f t="shared" si="2"/>
        <v>202203</v>
      </c>
      <c r="E59">
        <f t="shared" si="3"/>
        <v>1</v>
      </c>
      <c r="F59">
        <f t="shared" si="4"/>
        <v>202201</v>
      </c>
      <c r="G59" t="s">
        <v>246</v>
      </c>
      <c r="H59" s="9">
        <v>0.5</v>
      </c>
      <c r="I59" s="9">
        <v>0.44500000000000001</v>
      </c>
      <c r="J59" s="10">
        <v>0.79447610000000002</v>
      </c>
      <c r="K59" s="10">
        <v>1.0198834000000001</v>
      </c>
      <c r="L59" s="10">
        <v>1.2550596000000001</v>
      </c>
      <c r="M59" s="10">
        <v>1.4669270000000001</v>
      </c>
      <c r="N59" s="10">
        <v>1.6389020000000001</v>
      </c>
      <c r="O59" s="10">
        <v>1.7744896999999999</v>
      </c>
      <c r="P59" s="10">
        <v>1.8817168</v>
      </c>
      <c r="Q59" s="10">
        <v>1.9694613999999999</v>
      </c>
      <c r="R59" s="10">
        <v>2.0444355000000001</v>
      </c>
      <c r="S59" s="10">
        <v>2.1105584999999998</v>
      </c>
      <c r="T59" s="10">
        <v>2.1692523000000001</v>
      </c>
      <c r="U59" s="10">
        <v>2.2202112999999999</v>
      </c>
      <c r="V59" s="10">
        <v>2.2620062999999999</v>
      </c>
      <c r="W59" s="10">
        <v>2.2944762000000001</v>
      </c>
      <c r="X59" s="10">
        <v>2.3178728999999998</v>
      </c>
      <c r="Y59" s="10">
        <v>2.3324484999999999</v>
      </c>
      <c r="Z59" s="10">
        <v>2.3384550000000002</v>
      </c>
      <c r="AA59" s="10">
        <v>2.3361443</v>
      </c>
      <c r="AB59" s="10">
        <v>2.3259173999999998</v>
      </c>
      <c r="AC59" s="10">
        <v>2.3088652999999999</v>
      </c>
      <c r="AD59" s="10">
        <v>2.2862790999999998</v>
      </c>
      <c r="AE59" s="10">
        <v>2.2594500000000002</v>
      </c>
      <c r="AF59" s="10">
        <v>2.2296692999999999</v>
      </c>
      <c r="AG59" s="10">
        <v>2.1982279</v>
      </c>
      <c r="AH59" s="10">
        <v>2.1662439</v>
      </c>
      <c r="AI59" s="10">
        <v>2.1340704000000001</v>
      </c>
      <c r="AJ59" s="10">
        <v>2.1018496999999998</v>
      </c>
      <c r="AK59" s="10">
        <v>2.0697239000000001</v>
      </c>
      <c r="AL59" s="10">
        <v>2.0378352</v>
      </c>
      <c r="AM59" s="10">
        <v>2.0063257999999999</v>
      </c>
      <c r="AN59" s="10">
        <v>1.975338</v>
      </c>
      <c r="AO59" s="10">
        <v>1.9450137000000001</v>
      </c>
      <c r="AP59" s="10">
        <v>1.9154954</v>
      </c>
      <c r="AQ59" s="10">
        <v>1.8869251</v>
      </c>
      <c r="AR59" s="10">
        <v>1.859445</v>
      </c>
      <c r="AS59" s="10">
        <v>1.8331974</v>
      </c>
      <c r="AT59" s="10">
        <v>1.8082985</v>
      </c>
      <c r="AU59" s="10">
        <v>1.7847246999999999</v>
      </c>
      <c r="AV59" s="10">
        <v>1.7624058</v>
      </c>
      <c r="AW59" s="10">
        <v>1.7412714</v>
      </c>
      <c r="AX59" s="10">
        <v>1.7212510999999999</v>
      </c>
      <c r="AY59" s="10">
        <v>1.7022746</v>
      </c>
      <c r="AZ59" s="10">
        <v>1.6842714999999999</v>
      </c>
      <c r="BA59" s="10">
        <v>1.6671715</v>
      </c>
      <c r="BB59" s="10">
        <v>1.6509041</v>
      </c>
      <c r="BC59" s="10">
        <v>1.6353991000000001</v>
      </c>
      <c r="BD59" s="10">
        <v>1.6205860999999999</v>
      </c>
      <c r="BE59" s="10">
        <v>1.6063946</v>
      </c>
      <c r="BF59" s="10">
        <v>1.5927623</v>
      </c>
      <c r="BG59" s="10">
        <v>1.5796652</v>
      </c>
      <c r="BH59" s="10">
        <v>1.5670911000000001</v>
      </c>
      <c r="BI59" s="10">
        <v>1.5550276999999999</v>
      </c>
      <c r="BJ59" s="10">
        <v>1.5434629</v>
      </c>
      <c r="BK59" s="10">
        <v>1.5323845</v>
      </c>
      <c r="BL59" s="10">
        <v>1.5217802</v>
      </c>
      <c r="BM59" s="10">
        <v>1.5116377000000001</v>
      </c>
      <c r="BN59" s="10">
        <v>1.5019450000000001</v>
      </c>
      <c r="BO59" s="10">
        <v>1.4926898</v>
      </c>
      <c r="BP59" s="10">
        <v>1.4838598000000001</v>
      </c>
      <c r="BQ59" s="10">
        <v>1.4754427999999999</v>
      </c>
      <c r="BR59" s="10">
        <v>1.4331286999999999</v>
      </c>
      <c r="BS59" s="10">
        <v>1.403805</v>
      </c>
      <c r="BU59" s="7">
        <v>1.37</v>
      </c>
      <c r="BV59" s="7">
        <v>1.59</v>
      </c>
      <c r="BW59" s="9">
        <v>81.436999999999998</v>
      </c>
    </row>
    <row r="60" spans="1:75" x14ac:dyDescent="0.25">
      <c r="A60" s="6">
        <f t="shared" si="5"/>
        <v>44636</v>
      </c>
      <c r="B60" s="13">
        <f t="shared" si="0"/>
        <v>3</v>
      </c>
      <c r="C60" s="13">
        <f t="shared" si="1"/>
        <v>2022</v>
      </c>
      <c r="D60">
        <f t="shared" si="2"/>
        <v>202203</v>
      </c>
      <c r="E60">
        <f t="shared" si="3"/>
        <v>1</v>
      </c>
      <c r="F60">
        <f t="shared" si="4"/>
        <v>202201</v>
      </c>
      <c r="G60" t="s">
        <v>247</v>
      </c>
      <c r="H60" s="9">
        <v>0.5</v>
      </c>
      <c r="I60" s="9">
        <v>0.44500000000000001</v>
      </c>
      <c r="J60" s="10">
        <v>0.80234130000000004</v>
      </c>
      <c r="K60" s="10">
        <v>1.0372678</v>
      </c>
      <c r="L60" s="10">
        <v>1.2828724</v>
      </c>
      <c r="M60" s="10">
        <v>1.5076585</v>
      </c>
      <c r="N60" s="10">
        <v>1.6916137</v>
      </c>
      <c r="O60" s="10">
        <v>1.8357498000000001</v>
      </c>
      <c r="P60" s="10">
        <v>1.9467831</v>
      </c>
      <c r="Q60" s="10">
        <v>2.0343597999999998</v>
      </c>
      <c r="R60" s="10">
        <v>2.1063086000000002</v>
      </c>
      <c r="S60" s="10">
        <v>2.1678554000000001</v>
      </c>
      <c r="T60" s="10">
        <v>2.2218190999999998</v>
      </c>
      <c r="U60" s="10">
        <v>2.2689658000000001</v>
      </c>
      <c r="V60" s="10">
        <v>2.3075473</v>
      </c>
      <c r="W60" s="10">
        <v>2.3371781999999999</v>
      </c>
      <c r="X60" s="10">
        <v>2.3580326999999999</v>
      </c>
      <c r="Y60" s="10">
        <v>2.370285</v>
      </c>
      <c r="Z60" s="10">
        <v>2.3741094</v>
      </c>
      <c r="AA60" s="10">
        <v>2.3696801999999999</v>
      </c>
      <c r="AB60" s="10">
        <v>2.3573092999999998</v>
      </c>
      <c r="AC60" s="10">
        <v>2.3380890000000001</v>
      </c>
      <c r="AD60" s="10">
        <v>2.3133859000000001</v>
      </c>
      <c r="AE60" s="10">
        <v>2.2845669000000002</v>
      </c>
      <c r="AF60" s="10">
        <v>2.2529989000000001</v>
      </c>
      <c r="AG60" s="10">
        <v>2.2200489999999999</v>
      </c>
      <c r="AH60" s="10">
        <v>2.1869296999999999</v>
      </c>
      <c r="AI60" s="10">
        <v>2.1540232000000001</v>
      </c>
      <c r="AJ60" s="10">
        <v>2.1214333000000001</v>
      </c>
      <c r="AK60" s="10">
        <v>2.0892634000000001</v>
      </c>
      <c r="AL60" s="10">
        <v>2.0576170999999999</v>
      </c>
      <c r="AM60" s="10">
        <v>2.0265979000000001</v>
      </c>
      <c r="AN60" s="10">
        <v>1.9963093999999999</v>
      </c>
      <c r="AO60" s="10">
        <v>1.9668551000000001</v>
      </c>
      <c r="AP60" s="10">
        <v>1.9383383999999999</v>
      </c>
      <c r="AQ60" s="10">
        <v>1.910863</v>
      </c>
      <c r="AR60" s="10">
        <v>1.8845323</v>
      </c>
      <c r="AS60" s="10">
        <v>1.8594499</v>
      </c>
      <c r="AT60" s="10">
        <v>1.8356948</v>
      </c>
      <c r="AU60" s="10">
        <v>1.8132269000000001</v>
      </c>
      <c r="AV60" s="10">
        <v>1.7919699</v>
      </c>
      <c r="AW60" s="10">
        <v>1.7718472999999999</v>
      </c>
      <c r="AX60" s="10">
        <v>1.7527828999999999</v>
      </c>
      <c r="AY60" s="10">
        <v>1.7347001</v>
      </c>
      <c r="AZ60" s="10">
        <v>1.7175225999999999</v>
      </c>
      <c r="BA60" s="10">
        <v>1.7011741</v>
      </c>
      <c r="BB60" s="10">
        <v>1.6855781000000001</v>
      </c>
      <c r="BC60" s="10">
        <v>1.6706582000000001</v>
      </c>
      <c r="BD60" s="10">
        <v>1.6563380999999999</v>
      </c>
      <c r="BE60" s="10">
        <v>1.6425414</v>
      </c>
      <c r="BF60" s="10">
        <v>1.6292024000000001</v>
      </c>
      <c r="BG60" s="10">
        <v>1.6163023000000001</v>
      </c>
      <c r="BH60" s="10">
        <v>1.6038357000000001</v>
      </c>
      <c r="BI60" s="10">
        <v>1.5917967</v>
      </c>
      <c r="BJ60" s="10">
        <v>1.5801799000000001</v>
      </c>
      <c r="BK60" s="10">
        <v>1.5689795</v>
      </c>
      <c r="BL60" s="10">
        <v>1.5581898999999999</v>
      </c>
      <c r="BM60" s="10">
        <v>1.5478054999999999</v>
      </c>
      <c r="BN60" s="10">
        <v>1.5378205</v>
      </c>
      <c r="BO60" s="10">
        <v>1.5282294000000001</v>
      </c>
      <c r="BP60" s="10">
        <v>1.5190265999999999</v>
      </c>
      <c r="BQ60" s="10">
        <v>1.5102062999999999</v>
      </c>
      <c r="BR60" s="10">
        <v>1.4650730000000001</v>
      </c>
      <c r="BS60" s="10">
        <v>1.4327182999999999</v>
      </c>
      <c r="BU60" s="7">
        <v>1.41</v>
      </c>
      <c r="BV60" s="7">
        <v>1.63</v>
      </c>
      <c r="BW60" s="9">
        <v>81.406700000000001</v>
      </c>
    </row>
    <row r="61" spans="1:75" x14ac:dyDescent="0.25">
      <c r="A61" s="6">
        <f t="shared" si="5"/>
        <v>44637</v>
      </c>
      <c r="B61" s="13">
        <f t="shared" si="0"/>
        <v>3</v>
      </c>
      <c r="C61" s="13">
        <f t="shared" si="1"/>
        <v>2022</v>
      </c>
      <c r="D61">
        <f t="shared" si="2"/>
        <v>202203</v>
      </c>
      <c r="E61">
        <f t="shared" si="3"/>
        <v>1</v>
      </c>
      <c r="F61">
        <f t="shared" si="4"/>
        <v>202201</v>
      </c>
      <c r="G61" t="s">
        <v>248</v>
      </c>
      <c r="H61" s="9">
        <v>0.75</v>
      </c>
      <c r="I61" s="9">
        <v>0.68859999999999999</v>
      </c>
      <c r="J61" s="10">
        <v>0.73358659999999998</v>
      </c>
      <c r="K61" s="10">
        <v>0.93225210000000003</v>
      </c>
      <c r="L61" s="10">
        <v>1.1373692</v>
      </c>
      <c r="M61" s="10">
        <v>1.3278905999999999</v>
      </c>
      <c r="N61" s="10">
        <v>1.4912582000000001</v>
      </c>
      <c r="O61" s="10">
        <v>1.6266392999999999</v>
      </c>
      <c r="P61" s="10">
        <v>1.7373038000000001</v>
      </c>
      <c r="Q61" s="10">
        <v>1.8272363</v>
      </c>
      <c r="R61" s="10">
        <v>1.9016644</v>
      </c>
      <c r="S61" s="10">
        <v>1.9642945999999999</v>
      </c>
      <c r="T61" s="10">
        <v>2.0177182</v>
      </c>
      <c r="U61" s="10">
        <v>2.0628967</v>
      </c>
      <c r="V61" s="10">
        <v>2.1000334999999999</v>
      </c>
      <c r="W61" s="10">
        <v>2.1293475000000002</v>
      </c>
      <c r="X61" s="10">
        <v>2.1510886999999999</v>
      </c>
      <c r="Y61" s="10">
        <v>2.1655074999999999</v>
      </c>
      <c r="Z61" s="10">
        <v>2.1728538999999998</v>
      </c>
      <c r="AA61" s="10">
        <v>2.173378</v>
      </c>
      <c r="AB61" s="10">
        <v>2.1674313999999999</v>
      </c>
      <c r="AC61" s="10">
        <v>2.1558853</v>
      </c>
      <c r="AD61" s="10">
        <v>2.1397767000000001</v>
      </c>
      <c r="AE61" s="10">
        <v>2.1201427000000002</v>
      </c>
      <c r="AF61" s="10">
        <v>2.0980205000000001</v>
      </c>
      <c r="AG61" s="10">
        <v>2.0744471999999998</v>
      </c>
      <c r="AH61" s="10">
        <v>2.0503342999999998</v>
      </c>
      <c r="AI61" s="10">
        <v>2.0259806</v>
      </c>
      <c r="AJ61" s="10">
        <v>2.0014987</v>
      </c>
      <c r="AK61" s="10">
        <v>1.9770007999999999</v>
      </c>
      <c r="AL61" s="10">
        <v>1.9525994</v>
      </c>
      <c r="AM61" s="10">
        <v>1.928407</v>
      </c>
      <c r="AN61" s="10">
        <v>1.904536</v>
      </c>
      <c r="AO61" s="10">
        <v>1.8810986999999999</v>
      </c>
      <c r="AP61" s="10">
        <v>1.8582076000000001</v>
      </c>
      <c r="AQ61" s="10">
        <v>1.8359751</v>
      </c>
      <c r="AR61" s="10">
        <v>1.8145135999999999</v>
      </c>
      <c r="AS61" s="10">
        <v>1.7939354999999999</v>
      </c>
      <c r="AT61" s="10">
        <v>1.7743282</v>
      </c>
      <c r="AU61" s="10">
        <v>1.7556681000000001</v>
      </c>
      <c r="AV61" s="10">
        <v>1.7379012</v>
      </c>
      <c r="AW61" s="10">
        <v>1.7209734000000001</v>
      </c>
      <c r="AX61" s="10">
        <v>1.7048306</v>
      </c>
      <c r="AY61" s="10">
        <v>1.6894188000000001</v>
      </c>
      <c r="AZ61" s="10">
        <v>1.6746837999999999</v>
      </c>
      <c r="BA61" s="10">
        <v>1.6605715999999999</v>
      </c>
      <c r="BB61" s="10">
        <v>1.6470281</v>
      </c>
      <c r="BC61" s="10">
        <v>1.6339992000000001</v>
      </c>
      <c r="BD61" s="10">
        <v>1.6214307999999999</v>
      </c>
      <c r="BE61" s="10">
        <v>1.6092690000000001</v>
      </c>
      <c r="BF61" s="10">
        <v>1.5974675</v>
      </c>
      <c r="BG61" s="10">
        <v>1.5860159</v>
      </c>
      <c r="BH61" s="10">
        <v>1.5749131999999999</v>
      </c>
      <c r="BI61" s="10">
        <v>1.5641586999999999</v>
      </c>
      <c r="BJ61" s="10">
        <v>1.5537513999999999</v>
      </c>
      <c r="BK61" s="10">
        <v>1.5436905000000001</v>
      </c>
      <c r="BL61" s="10">
        <v>1.5339753</v>
      </c>
      <c r="BM61" s="10">
        <v>1.5246047</v>
      </c>
      <c r="BN61" s="10">
        <v>1.5155780999999999</v>
      </c>
      <c r="BO61" s="10">
        <v>1.5068946000000001</v>
      </c>
      <c r="BP61" s="10">
        <v>1.4985531999999999</v>
      </c>
      <c r="BQ61" s="10">
        <v>1.4905531999999999</v>
      </c>
      <c r="BR61" s="10">
        <v>1.4496427999999999</v>
      </c>
      <c r="BS61" s="10">
        <v>1.420615</v>
      </c>
      <c r="BU61" s="7">
        <v>1.3</v>
      </c>
      <c r="BV61" s="7">
        <v>1.57</v>
      </c>
      <c r="BW61" s="9">
        <v>81.298400000000001</v>
      </c>
    </row>
    <row r="62" spans="1:75" x14ac:dyDescent="0.25">
      <c r="A62" s="6">
        <f t="shared" si="5"/>
        <v>44638</v>
      </c>
      <c r="B62" s="13">
        <f t="shared" si="0"/>
        <v>3</v>
      </c>
      <c r="C62" s="13">
        <f t="shared" si="1"/>
        <v>2022</v>
      </c>
      <c r="D62">
        <f t="shared" si="2"/>
        <v>202203</v>
      </c>
      <c r="E62">
        <f t="shared" si="3"/>
        <v>1</v>
      </c>
      <c r="F62">
        <f t="shared" si="4"/>
        <v>202201</v>
      </c>
      <c r="G62" t="s">
        <v>249</v>
      </c>
      <c r="H62" s="9">
        <v>0.75</v>
      </c>
      <c r="I62" s="9">
        <v>0.69130000000000003</v>
      </c>
      <c r="J62" s="10">
        <v>0.73586870000000004</v>
      </c>
      <c r="K62" s="10">
        <v>0.92855600000000005</v>
      </c>
      <c r="L62" s="10">
        <v>1.1234101000000001</v>
      </c>
      <c r="M62" s="10">
        <v>1.3034886999999999</v>
      </c>
      <c r="N62" s="10">
        <v>1.4593944999999999</v>
      </c>
      <c r="O62" s="10">
        <v>1.5897490000000001</v>
      </c>
      <c r="P62" s="10">
        <v>1.6964013</v>
      </c>
      <c r="Q62" s="10">
        <v>1.7831334000000001</v>
      </c>
      <c r="R62" s="10">
        <v>1.8550339</v>
      </c>
      <c r="S62" s="10">
        <v>1.9161357000000001</v>
      </c>
      <c r="T62" s="10">
        <v>1.9687874000000001</v>
      </c>
      <c r="U62" s="10">
        <v>2.0138791999999999</v>
      </c>
      <c r="V62" s="10">
        <v>2.0508931000000001</v>
      </c>
      <c r="W62" s="10">
        <v>2.0798272999999998</v>
      </c>
      <c r="X62" s="10">
        <v>2.1009940999999999</v>
      </c>
      <c r="Y62" s="10">
        <v>2.1147060999999998</v>
      </c>
      <c r="Z62" s="10">
        <v>2.1212756000000001</v>
      </c>
      <c r="AA62" s="10">
        <v>2.1210152</v>
      </c>
      <c r="AB62" s="10">
        <v>2.1143358000000001</v>
      </c>
      <c r="AC62" s="10">
        <v>2.1021046000000001</v>
      </c>
      <c r="AD62" s="10">
        <v>2.0853212999999999</v>
      </c>
      <c r="AE62" s="10">
        <v>2.0649856</v>
      </c>
      <c r="AF62" s="10">
        <v>2.0420970999999999</v>
      </c>
      <c r="AG62" s="10">
        <v>2.0176552999999999</v>
      </c>
      <c r="AH62" s="10">
        <v>1.9925288000000001</v>
      </c>
      <c r="AI62" s="10">
        <v>1.9670076000000001</v>
      </c>
      <c r="AJ62" s="10">
        <v>1.9412218999999999</v>
      </c>
      <c r="AK62" s="10">
        <v>1.9153017999999999</v>
      </c>
      <c r="AL62" s="10">
        <v>1.8893776</v>
      </c>
      <c r="AM62" s="10">
        <v>1.8635794999999999</v>
      </c>
      <c r="AN62" s="10">
        <v>1.8380377999999999</v>
      </c>
      <c r="AO62" s="10">
        <v>1.8128827000000001</v>
      </c>
      <c r="AP62" s="10">
        <v>1.7882444</v>
      </c>
      <c r="AQ62" s="10">
        <v>1.7642532</v>
      </c>
      <c r="AR62" s="10">
        <v>1.7410391999999999</v>
      </c>
      <c r="AS62" s="10">
        <v>1.7187326999999999</v>
      </c>
      <c r="AT62" s="10">
        <v>1.6974374999999999</v>
      </c>
      <c r="AU62" s="10">
        <v>1.6771402</v>
      </c>
      <c r="AV62" s="10">
        <v>1.6577953999999999</v>
      </c>
      <c r="AW62" s="10">
        <v>1.6393576000000001</v>
      </c>
      <c r="AX62" s="10">
        <v>1.6217813000000001</v>
      </c>
      <c r="AY62" s="10">
        <v>1.6050209</v>
      </c>
      <c r="AZ62" s="10">
        <v>1.5890309</v>
      </c>
      <c r="BA62" s="10">
        <v>1.573766</v>
      </c>
      <c r="BB62" s="10">
        <v>1.5591804</v>
      </c>
      <c r="BC62" s="10">
        <v>1.5452288000000001</v>
      </c>
      <c r="BD62" s="10">
        <v>1.5318655999999999</v>
      </c>
      <c r="BE62" s="10">
        <v>1.5190452999999999</v>
      </c>
      <c r="BF62" s="10">
        <v>1.5067279</v>
      </c>
      <c r="BG62" s="10">
        <v>1.4948973000000001</v>
      </c>
      <c r="BH62" s="10">
        <v>1.4835444</v>
      </c>
      <c r="BI62" s="10">
        <v>1.4726598</v>
      </c>
      <c r="BJ62" s="10">
        <v>1.4622341000000001</v>
      </c>
      <c r="BK62" s="10">
        <v>1.4522581000000001</v>
      </c>
      <c r="BL62" s="10">
        <v>1.4427224999999999</v>
      </c>
      <c r="BM62" s="10">
        <v>1.4336180000000001</v>
      </c>
      <c r="BN62" s="10">
        <v>1.4249352</v>
      </c>
      <c r="BO62" s="10">
        <v>1.4166649</v>
      </c>
      <c r="BP62" s="10">
        <v>1.4087977</v>
      </c>
      <c r="BQ62" s="10">
        <v>1.4013244</v>
      </c>
      <c r="BR62" s="10">
        <v>1.3643961</v>
      </c>
      <c r="BS62" s="10">
        <v>1.3402851</v>
      </c>
      <c r="BU62" s="7">
        <v>1.21</v>
      </c>
      <c r="BV62" s="7">
        <v>1.51</v>
      </c>
      <c r="BW62" s="9">
        <v>81.646000000000001</v>
      </c>
    </row>
    <row r="63" spans="1:75" x14ac:dyDescent="0.25">
      <c r="A63" s="6">
        <f t="shared" si="5"/>
        <v>44641</v>
      </c>
      <c r="B63" s="13">
        <f t="shared" si="0"/>
        <v>3</v>
      </c>
      <c r="C63" s="13">
        <f t="shared" si="1"/>
        <v>2022</v>
      </c>
      <c r="D63">
        <f t="shared" si="2"/>
        <v>202203</v>
      </c>
      <c r="E63">
        <f t="shared" si="3"/>
        <v>1</v>
      </c>
      <c r="F63">
        <f t="shared" si="4"/>
        <v>202201</v>
      </c>
      <c r="G63" t="s">
        <v>250</v>
      </c>
      <c r="H63" s="9">
        <v>0.75</v>
      </c>
      <c r="I63" s="9">
        <v>0.69120000000000004</v>
      </c>
      <c r="J63" s="10">
        <v>0.75435850000000004</v>
      </c>
      <c r="K63" s="10">
        <v>0.96702699999999997</v>
      </c>
      <c r="L63" s="10">
        <v>1.1726970999999999</v>
      </c>
      <c r="M63" s="10">
        <v>1.3627699</v>
      </c>
      <c r="N63" s="10">
        <v>1.5319328000000001</v>
      </c>
      <c r="O63" s="10">
        <v>1.6789353</v>
      </c>
      <c r="P63" s="10">
        <v>1.8041921999999999</v>
      </c>
      <c r="Q63" s="10">
        <v>1.9101286</v>
      </c>
      <c r="R63" s="10">
        <v>2.0002985</v>
      </c>
      <c r="S63" s="10">
        <v>2.0779470999999998</v>
      </c>
      <c r="T63" s="10">
        <v>2.1447096999999999</v>
      </c>
      <c r="U63" s="10">
        <v>2.2009653</v>
      </c>
      <c r="V63" s="10">
        <v>2.2460081000000001</v>
      </c>
      <c r="W63" s="10">
        <v>2.2801412000000001</v>
      </c>
      <c r="X63" s="10">
        <v>2.3040162999999998</v>
      </c>
      <c r="Y63" s="10">
        <v>2.3182849000000001</v>
      </c>
      <c r="Z63" s="10">
        <v>2.3235985000000001</v>
      </c>
      <c r="AA63" s="10">
        <v>2.3206085999999999</v>
      </c>
      <c r="AB63" s="10">
        <v>2.3100532999999999</v>
      </c>
      <c r="AC63" s="10">
        <v>2.2930716000000002</v>
      </c>
      <c r="AD63" s="10">
        <v>2.2709187000000002</v>
      </c>
      <c r="AE63" s="10">
        <v>2.2448500999999998</v>
      </c>
      <c r="AF63" s="10">
        <v>2.2161209999999998</v>
      </c>
      <c r="AG63" s="10">
        <v>2.1859867999999998</v>
      </c>
      <c r="AH63" s="10">
        <v>2.1555311000000001</v>
      </c>
      <c r="AI63" s="10">
        <v>2.1250803</v>
      </c>
      <c r="AJ63" s="10">
        <v>2.0947518999999999</v>
      </c>
      <c r="AK63" s="10">
        <v>2.0646632</v>
      </c>
      <c r="AL63" s="10">
        <v>2.0349316000000002</v>
      </c>
      <c r="AM63" s="10">
        <v>2.0056744000000002</v>
      </c>
      <c r="AN63" s="10">
        <v>1.9770091999999999</v>
      </c>
      <c r="AO63" s="10">
        <v>1.9490532</v>
      </c>
      <c r="AP63" s="10">
        <v>1.9219238999999999</v>
      </c>
      <c r="AQ63" s="10">
        <v>1.8957387000000001</v>
      </c>
      <c r="AR63" s="10">
        <v>1.8706149000000001</v>
      </c>
      <c r="AS63" s="10">
        <v>1.8466699</v>
      </c>
      <c r="AT63" s="10">
        <v>1.8239934</v>
      </c>
      <c r="AU63" s="10">
        <v>1.8025523000000001</v>
      </c>
      <c r="AV63" s="10">
        <v>1.7822799</v>
      </c>
      <c r="AW63" s="10">
        <v>1.7631094</v>
      </c>
      <c r="AX63" s="10">
        <v>1.7449737999999999</v>
      </c>
      <c r="AY63" s="10">
        <v>1.7278065</v>
      </c>
      <c r="AZ63" s="10">
        <v>1.7115406</v>
      </c>
      <c r="BA63" s="10">
        <v>1.6961093</v>
      </c>
      <c r="BB63" s="10">
        <v>1.6814458000000001</v>
      </c>
      <c r="BC63" s="10">
        <v>1.6674833</v>
      </c>
      <c r="BD63" s="10">
        <v>1.6541549</v>
      </c>
      <c r="BE63" s="10">
        <v>1.6413939</v>
      </c>
      <c r="BF63" s="10">
        <v>1.6291403</v>
      </c>
      <c r="BG63" s="10">
        <v>1.6173711</v>
      </c>
      <c r="BH63" s="10">
        <v>1.6060759</v>
      </c>
      <c r="BI63" s="10">
        <v>1.5952440000000001</v>
      </c>
      <c r="BJ63" s="10">
        <v>1.5848648999999999</v>
      </c>
      <c r="BK63" s="10">
        <v>1.5749280000000001</v>
      </c>
      <c r="BL63" s="10">
        <v>1.5654227999999999</v>
      </c>
      <c r="BM63" s="10">
        <v>1.5563388</v>
      </c>
      <c r="BN63" s="10">
        <v>1.5476654000000001</v>
      </c>
      <c r="BO63" s="10">
        <v>1.5393920000000001</v>
      </c>
      <c r="BP63" s="10">
        <v>1.5315080999999999</v>
      </c>
      <c r="BQ63" s="10">
        <v>1.5240031999999999</v>
      </c>
      <c r="BR63" s="10">
        <v>1.4865548</v>
      </c>
      <c r="BS63" s="10">
        <v>1.4614026</v>
      </c>
      <c r="BU63" s="7">
        <v>1.33</v>
      </c>
      <c r="BV63" s="7">
        <v>1.63</v>
      </c>
      <c r="BW63" s="9">
        <v>81.843599999999995</v>
      </c>
    </row>
    <row r="64" spans="1:75" x14ac:dyDescent="0.25">
      <c r="A64" s="6">
        <f t="shared" si="5"/>
        <v>44642</v>
      </c>
      <c r="B64" s="13">
        <f t="shared" si="0"/>
        <v>3</v>
      </c>
      <c r="C64" s="13">
        <f t="shared" si="1"/>
        <v>2022</v>
      </c>
      <c r="D64">
        <f t="shared" si="2"/>
        <v>202203</v>
      </c>
      <c r="E64">
        <f t="shared" si="3"/>
        <v>1</v>
      </c>
      <c r="F64">
        <f t="shared" si="4"/>
        <v>202201</v>
      </c>
      <c r="G64" t="s">
        <v>251</v>
      </c>
      <c r="H64" s="9">
        <v>0.75</v>
      </c>
      <c r="I64" s="9">
        <v>0.69059999999999999</v>
      </c>
      <c r="J64" s="10">
        <v>0.75649829999999996</v>
      </c>
      <c r="K64" s="10">
        <v>0.97685710000000003</v>
      </c>
      <c r="L64" s="10">
        <v>1.1881522</v>
      </c>
      <c r="M64" s="10">
        <v>1.3833177000000001</v>
      </c>
      <c r="N64" s="10">
        <v>1.5582111999999999</v>
      </c>
      <c r="O64" s="10">
        <v>1.7123006999999999</v>
      </c>
      <c r="P64" s="10">
        <v>1.8463875999999999</v>
      </c>
      <c r="Q64" s="10">
        <v>1.9630829999999999</v>
      </c>
      <c r="R64" s="10">
        <v>2.0653345000000001</v>
      </c>
      <c r="S64" s="10">
        <v>2.1557401999999999</v>
      </c>
      <c r="T64" s="10">
        <v>2.2354384</v>
      </c>
      <c r="U64" s="10">
        <v>2.3039983999999998</v>
      </c>
      <c r="V64" s="10">
        <v>2.3596381000000002</v>
      </c>
      <c r="W64" s="10">
        <v>2.4025107999999999</v>
      </c>
      <c r="X64" s="10">
        <v>2.433386</v>
      </c>
      <c r="Y64" s="10">
        <v>2.4530333999999998</v>
      </c>
      <c r="Z64" s="10">
        <v>2.4622228000000002</v>
      </c>
      <c r="AA64" s="10">
        <v>2.4617239</v>
      </c>
      <c r="AB64" s="10">
        <v>2.4524005999999998</v>
      </c>
      <c r="AC64" s="10">
        <v>2.4355536999999998</v>
      </c>
      <c r="AD64" s="10">
        <v>2.4126104000000002</v>
      </c>
      <c r="AE64" s="10">
        <v>2.3849982000000001</v>
      </c>
      <c r="AF64" s="10">
        <v>2.3541444</v>
      </c>
      <c r="AG64" s="10">
        <v>2.3214763</v>
      </c>
      <c r="AH64" s="10">
        <v>2.2882289999999998</v>
      </c>
      <c r="AI64" s="10">
        <v>2.2547872999999998</v>
      </c>
      <c r="AJ64" s="10">
        <v>2.2213020999999999</v>
      </c>
      <c r="AK64" s="10">
        <v>2.1879238999999999</v>
      </c>
      <c r="AL64" s="10">
        <v>2.1548033000000002</v>
      </c>
      <c r="AM64" s="10">
        <v>2.1220910000000002</v>
      </c>
      <c r="AN64" s="10">
        <v>2.0899375999999998</v>
      </c>
      <c r="AO64" s="10">
        <v>2.0584937999999999</v>
      </c>
      <c r="AP64" s="10">
        <v>2.0279101000000002</v>
      </c>
      <c r="AQ64" s="10">
        <v>1.9983373</v>
      </c>
      <c r="AR64" s="10">
        <v>1.9699259</v>
      </c>
      <c r="AS64" s="10">
        <v>1.9428266999999999</v>
      </c>
      <c r="AT64" s="10">
        <v>1.9171628000000001</v>
      </c>
      <c r="AU64" s="10">
        <v>1.8929106</v>
      </c>
      <c r="AV64" s="10">
        <v>1.8699969000000001</v>
      </c>
      <c r="AW64" s="10">
        <v>1.8483487999999999</v>
      </c>
      <c r="AX64" s="10">
        <v>1.827893</v>
      </c>
      <c r="AY64" s="10">
        <v>1.8085564999999999</v>
      </c>
      <c r="AZ64" s="10">
        <v>1.7902661</v>
      </c>
      <c r="BA64" s="10">
        <v>1.7729489</v>
      </c>
      <c r="BB64" s="10">
        <v>1.7565314999999999</v>
      </c>
      <c r="BC64" s="10">
        <v>1.7409410999999999</v>
      </c>
      <c r="BD64" s="10">
        <v>1.7261044000000001</v>
      </c>
      <c r="BE64" s="10">
        <v>1.7119484</v>
      </c>
      <c r="BF64" s="10">
        <v>1.6984075000000001</v>
      </c>
      <c r="BG64" s="10">
        <v>1.6854530999999999</v>
      </c>
      <c r="BH64" s="10">
        <v>1.6730678999999999</v>
      </c>
      <c r="BI64" s="10">
        <v>1.6612346</v>
      </c>
      <c r="BJ64" s="10">
        <v>1.6499356999999999</v>
      </c>
      <c r="BK64" s="10">
        <v>1.639154</v>
      </c>
      <c r="BL64" s="10">
        <v>1.6288720999999999</v>
      </c>
      <c r="BM64" s="10">
        <v>1.6190727</v>
      </c>
      <c r="BN64" s="10">
        <v>1.6097383000000001</v>
      </c>
      <c r="BO64" s="10">
        <v>1.6008517</v>
      </c>
      <c r="BP64" s="10">
        <v>1.5923955000000001</v>
      </c>
      <c r="BQ64" s="10">
        <v>1.5843522999999999</v>
      </c>
      <c r="BR64" s="10">
        <v>1.5441895000000001</v>
      </c>
      <c r="BS64" s="10">
        <v>1.5169123</v>
      </c>
      <c r="BU64" s="7">
        <v>1.42</v>
      </c>
      <c r="BV64" s="7">
        <v>1.71</v>
      </c>
      <c r="BW64" s="9">
        <v>82.303299999999993</v>
      </c>
    </row>
    <row r="65" spans="1:75" x14ac:dyDescent="0.25">
      <c r="A65" s="6">
        <f t="shared" si="5"/>
        <v>44643</v>
      </c>
      <c r="B65" s="13">
        <f t="shared" si="0"/>
        <v>3</v>
      </c>
      <c r="C65" s="13">
        <f t="shared" si="1"/>
        <v>2022</v>
      </c>
      <c r="D65">
        <f t="shared" si="2"/>
        <v>202203</v>
      </c>
      <c r="E65">
        <f t="shared" si="3"/>
        <v>1</v>
      </c>
      <c r="F65">
        <f t="shared" si="4"/>
        <v>202201</v>
      </c>
      <c r="G65" t="s">
        <v>252</v>
      </c>
      <c r="H65" s="9">
        <v>0.75</v>
      </c>
      <c r="I65" s="9">
        <v>0.69079999999999997</v>
      </c>
      <c r="J65" s="10">
        <v>0.75646329999999995</v>
      </c>
      <c r="K65" s="10">
        <v>0.96802619999999995</v>
      </c>
      <c r="L65" s="10">
        <v>1.1650084999999999</v>
      </c>
      <c r="M65" s="10">
        <v>1.3448102</v>
      </c>
      <c r="N65" s="10">
        <v>1.5051152999999999</v>
      </c>
      <c r="O65" s="10">
        <v>1.6459207</v>
      </c>
      <c r="P65" s="10">
        <v>1.7681857999999999</v>
      </c>
      <c r="Q65" s="10">
        <v>1.8744453000000001</v>
      </c>
      <c r="R65" s="10">
        <v>1.9676026</v>
      </c>
      <c r="S65" s="10">
        <v>2.0501035000000001</v>
      </c>
      <c r="T65" s="10">
        <v>2.1228744000000002</v>
      </c>
      <c r="U65" s="10">
        <v>2.1855462000000001</v>
      </c>
      <c r="V65" s="10">
        <v>2.2364277000000001</v>
      </c>
      <c r="W65" s="10">
        <v>2.2755708000000001</v>
      </c>
      <c r="X65" s="10">
        <v>2.3035996000000001</v>
      </c>
      <c r="Y65" s="10">
        <v>2.3211382999999999</v>
      </c>
      <c r="Z65" s="10">
        <v>2.3288109000000001</v>
      </c>
      <c r="AA65" s="10">
        <v>2.3272415999999998</v>
      </c>
      <c r="AB65" s="10">
        <v>2.3171488999999998</v>
      </c>
      <c r="AC65" s="10">
        <v>2.2997858999999998</v>
      </c>
      <c r="AD65" s="10">
        <v>2.2765938000000001</v>
      </c>
      <c r="AE65" s="10">
        <v>2.2490141000000001</v>
      </c>
      <c r="AF65" s="10">
        <v>2.2184881000000001</v>
      </c>
      <c r="AG65" s="10">
        <v>2.1864572999999998</v>
      </c>
      <c r="AH65" s="10">
        <v>2.1542004000000001</v>
      </c>
      <c r="AI65" s="10">
        <v>2.1221212999999999</v>
      </c>
      <c r="AJ65" s="10">
        <v>2.0903299</v>
      </c>
      <c r="AK65" s="10">
        <v>2.0589363000000001</v>
      </c>
      <c r="AL65" s="10">
        <v>2.0280505999999998</v>
      </c>
      <c r="AM65" s="10">
        <v>1.9977826000000001</v>
      </c>
      <c r="AN65" s="10">
        <v>1.9682424000000001</v>
      </c>
      <c r="AO65" s="10">
        <v>1.93954</v>
      </c>
      <c r="AP65" s="10">
        <v>1.9117853</v>
      </c>
      <c r="AQ65" s="10">
        <v>1.8850884000000001</v>
      </c>
      <c r="AR65" s="10">
        <v>1.8595591</v>
      </c>
      <c r="AS65" s="10">
        <v>1.8353075999999999</v>
      </c>
      <c r="AT65" s="10">
        <v>1.8124179</v>
      </c>
      <c r="AU65" s="10">
        <v>1.7908478999999999</v>
      </c>
      <c r="AV65" s="10">
        <v>1.7705169999999999</v>
      </c>
      <c r="AW65" s="10">
        <v>1.7513445999999999</v>
      </c>
      <c r="AX65" s="10">
        <v>1.7332504</v>
      </c>
      <c r="AY65" s="10">
        <v>1.7161535999999999</v>
      </c>
      <c r="AZ65" s="10">
        <v>1.6999736999999999</v>
      </c>
      <c r="BA65" s="10">
        <v>1.6846303</v>
      </c>
      <c r="BB65" s="10">
        <v>1.6700427</v>
      </c>
      <c r="BC65" s="10">
        <v>1.6561304999999999</v>
      </c>
      <c r="BD65" s="10">
        <v>1.6428130000000001</v>
      </c>
      <c r="BE65" s="10">
        <v>1.6300097</v>
      </c>
      <c r="BF65" s="10">
        <v>1.6176512000000001</v>
      </c>
      <c r="BG65" s="10">
        <v>1.6057170000000001</v>
      </c>
      <c r="BH65" s="10">
        <v>1.5942002</v>
      </c>
      <c r="BI65" s="10">
        <v>1.5830938999999999</v>
      </c>
      <c r="BJ65" s="10">
        <v>1.5723910999999999</v>
      </c>
      <c r="BK65" s="10">
        <v>1.5620849999999999</v>
      </c>
      <c r="BL65" s="10">
        <v>1.5521685000000001</v>
      </c>
      <c r="BM65" s="10">
        <v>1.5426348000000001</v>
      </c>
      <c r="BN65" s="10">
        <v>1.5334768999999999</v>
      </c>
      <c r="BO65" s="10">
        <v>1.5246879</v>
      </c>
      <c r="BP65" s="10">
        <v>1.5162609</v>
      </c>
      <c r="BQ65" s="10">
        <v>1.508189</v>
      </c>
      <c r="BR65" s="10">
        <v>1.4670183000000001</v>
      </c>
      <c r="BS65" s="10">
        <v>1.4380546999999999</v>
      </c>
      <c r="BU65" s="7">
        <v>1.35</v>
      </c>
      <c r="BV65" s="7">
        <v>1.61</v>
      </c>
      <c r="BW65" s="9">
        <v>82.111699999999999</v>
      </c>
    </row>
    <row r="66" spans="1:75" x14ac:dyDescent="0.25">
      <c r="A66" s="6">
        <f t="shared" si="5"/>
        <v>44644</v>
      </c>
      <c r="B66" s="13">
        <f t="shared" si="0"/>
        <v>3</v>
      </c>
      <c r="C66" s="13">
        <f t="shared" si="1"/>
        <v>2022</v>
      </c>
      <c r="D66">
        <f t="shared" si="2"/>
        <v>202203</v>
      </c>
      <c r="E66">
        <f t="shared" si="3"/>
        <v>1</v>
      </c>
      <c r="F66">
        <f t="shared" si="4"/>
        <v>202201</v>
      </c>
      <c r="G66" t="s">
        <v>253</v>
      </c>
      <c r="H66" s="9">
        <v>0.75</v>
      </c>
      <c r="I66" s="9">
        <v>0.69069999999999998</v>
      </c>
      <c r="J66" s="10">
        <v>0.76201620000000003</v>
      </c>
      <c r="K66" s="10">
        <v>0.98035669999999997</v>
      </c>
      <c r="L66" s="10">
        <v>1.1787973</v>
      </c>
      <c r="M66" s="10">
        <v>1.3588368</v>
      </c>
      <c r="N66" s="10">
        <v>1.5212611</v>
      </c>
      <c r="O66" s="10">
        <v>1.6656601</v>
      </c>
      <c r="P66" s="10">
        <v>1.7923034</v>
      </c>
      <c r="Q66" s="10">
        <v>1.9017788</v>
      </c>
      <c r="R66" s="10">
        <v>1.9965793000000001</v>
      </c>
      <c r="S66" s="10">
        <v>2.0786188000000001</v>
      </c>
      <c r="T66" s="10">
        <v>2.1495115</v>
      </c>
      <c r="U66" s="10">
        <v>2.2092977999999999</v>
      </c>
      <c r="V66" s="10">
        <v>2.2571289000000001</v>
      </c>
      <c r="W66" s="10">
        <v>2.2933045999999999</v>
      </c>
      <c r="X66" s="10">
        <v>2.3184719</v>
      </c>
      <c r="Y66" s="10">
        <v>2.3332777999999998</v>
      </c>
      <c r="Z66" s="10">
        <v>2.3383693000000001</v>
      </c>
      <c r="AA66" s="10">
        <v>2.3343932999999999</v>
      </c>
      <c r="AB66" s="10">
        <v>2.3221023999999999</v>
      </c>
      <c r="AC66" s="10">
        <v>2.3027905999999998</v>
      </c>
      <c r="AD66" s="10">
        <v>2.2779250000000002</v>
      </c>
      <c r="AE66" s="10">
        <v>2.2489724</v>
      </c>
      <c r="AF66" s="10">
        <v>2.2174</v>
      </c>
      <c r="AG66" s="10">
        <v>2.1846746000000001</v>
      </c>
      <c r="AH66" s="10">
        <v>2.1520757000000001</v>
      </c>
      <c r="AI66" s="10">
        <v>2.1199680000000001</v>
      </c>
      <c r="AJ66" s="10">
        <v>2.0884375999999998</v>
      </c>
      <c r="AK66" s="10">
        <v>2.0575709</v>
      </c>
      <c r="AL66" s="10">
        <v>2.0274540000000001</v>
      </c>
      <c r="AM66" s="10">
        <v>1.9981732999999999</v>
      </c>
      <c r="AN66" s="10">
        <v>1.9698150000000001</v>
      </c>
      <c r="AO66" s="10">
        <v>1.9424653000000001</v>
      </c>
      <c r="AP66" s="10">
        <v>1.9162105</v>
      </c>
      <c r="AQ66" s="10">
        <v>1.8911368</v>
      </c>
      <c r="AR66" s="10">
        <v>1.8673305</v>
      </c>
      <c r="AS66" s="10">
        <v>1.8448777999999999</v>
      </c>
      <c r="AT66" s="10">
        <v>1.8238383</v>
      </c>
      <c r="AU66" s="10">
        <v>1.804154</v>
      </c>
      <c r="AV66" s="10">
        <v>1.7857341</v>
      </c>
      <c r="AW66" s="10">
        <v>1.7684882</v>
      </c>
      <c r="AX66" s="10">
        <v>1.7523257999999999</v>
      </c>
      <c r="AY66" s="10">
        <v>1.7371561</v>
      </c>
      <c r="AZ66" s="10">
        <v>1.7228888</v>
      </c>
      <c r="BA66" s="10">
        <v>1.7094331</v>
      </c>
      <c r="BB66" s="10">
        <v>1.6966985999999999</v>
      </c>
      <c r="BC66" s="10">
        <v>1.6845946000000001</v>
      </c>
      <c r="BD66" s="10">
        <v>1.6730305999999999</v>
      </c>
      <c r="BE66" s="10">
        <v>1.6619161</v>
      </c>
      <c r="BF66" s="10">
        <v>1.6511734</v>
      </c>
      <c r="BG66" s="10">
        <v>1.6407818999999999</v>
      </c>
      <c r="BH66" s="10">
        <v>1.6307368</v>
      </c>
      <c r="BI66" s="10">
        <v>1.6210332999999999</v>
      </c>
      <c r="BJ66" s="10">
        <v>1.6116667</v>
      </c>
      <c r="BK66" s="10">
        <v>1.6026320000000001</v>
      </c>
      <c r="BL66" s="10">
        <v>1.5939245</v>
      </c>
      <c r="BM66" s="10">
        <v>1.5855393</v>
      </c>
      <c r="BN66" s="10">
        <v>1.5774717</v>
      </c>
      <c r="BO66" s="10">
        <v>1.5697167999999999</v>
      </c>
      <c r="BP66" s="10">
        <v>1.5622699</v>
      </c>
      <c r="BQ66" s="10">
        <v>1.555126</v>
      </c>
      <c r="BR66" s="10">
        <v>1.5185219000000001</v>
      </c>
      <c r="BS66" s="10">
        <v>1.4926064000000001</v>
      </c>
      <c r="BU66" s="7">
        <v>1.36</v>
      </c>
      <c r="BV66" s="7">
        <v>1.65</v>
      </c>
      <c r="BW66" s="9">
        <v>81.918599999999998</v>
      </c>
    </row>
    <row r="67" spans="1:75" x14ac:dyDescent="0.25">
      <c r="A67" s="6">
        <f t="shared" si="5"/>
        <v>44645</v>
      </c>
      <c r="B67" s="13">
        <f t="shared" si="0"/>
        <v>3</v>
      </c>
      <c r="C67" s="13">
        <f t="shared" si="1"/>
        <v>2022</v>
      </c>
      <c r="D67">
        <f t="shared" si="2"/>
        <v>202203</v>
      </c>
      <c r="E67">
        <f t="shared" si="3"/>
        <v>1</v>
      </c>
      <c r="F67">
        <f t="shared" si="4"/>
        <v>202201</v>
      </c>
      <c r="G67" t="s">
        <v>254</v>
      </c>
      <c r="H67" s="9">
        <v>0.75</v>
      </c>
      <c r="I67" s="9">
        <v>0.6905</v>
      </c>
      <c r="J67" s="10">
        <v>0.81052579999999996</v>
      </c>
      <c r="K67" s="10">
        <v>1.0083477000000001</v>
      </c>
      <c r="L67" s="10">
        <v>1.2066508</v>
      </c>
      <c r="M67" s="10">
        <v>1.3958472</v>
      </c>
      <c r="N67" s="10">
        <v>1.5704094</v>
      </c>
      <c r="O67" s="10">
        <v>1.7272902999999999</v>
      </c>
      <c r="P67" s="10">
        <v>1.8651849</v>
      </c>
      <c r="Q67" s="10">
        <v>1.9843265999999999</v>
      </c>
      <c r="R67" s="10">
        <v>2.0869445</v>
      </c>
      <c r="S67" s="10">
        <v>2.1751068999999998</v>
      </c>
      <c r="T67" s="10">
        <v>2.2504826000000002</v>
      </c>
      <c r="U67" s="10">
        <v>2.3135886000000001</v>
      </c>
      <c r="V67" s="10">
        <v>2.3635899</v>
      </c>
      <c r="W67" s="10">
        <v>2.4008620999999999</v>
      </c>
      <c r="X67" s="10">
        <v>2.4263154</v>
      </c>
      <c r="Y67" s="10">
        <v>2.4408604</v>
      </c>
      <c r="Z67" s="10">
        <v>2.4454077000000001</v>
      </c>
      <c r="AA67" s="10">
        <v>2.4408679000000002</v>
      </c>
      <c r="AB67" s="10">
        <v>2.4282165999999998</v>
      </c>
      <c r="AC67" s="10">
        <v>2.4087323999999999</v>
      </c>
      <c r="AD67" s="10">
        <v>2.3837811000000002</v>
      </c>
      <c r="AE67" s="10">
        <v>2.3547289</v>
      </c>
      <c r="AF67" s="10">
        <v>2.3229419</v>
      </c>
      <c r="AG67" s="10">
        <v>2.2897862</v>
      </c>
      <c r="AH67" s="10">
        <v>2.2564388000000002</v>
      </c>
      <c r="AI67" s="10">
        <v>2.2232427000000001</v>
      </c>
      <c r="AJ67" s="10">
        <v>2.1903109000000001</v>
      </c>
      <c r="AK67" s="10">
        <v>2.1577562000000001</v>
      </c>
      <c r="AL67" s="10">
        <v>2.1256914</v>
      </c>
      <c r="AM67" s="10">
        <v>2.0942295</v>
      </c>
      <c r="AN67" s="10">
        <v>2.0634833000000001</v>
      </c>
      <c r="AO67" s="10">
        <v>2.0335656000000002</v>
      </c>
      <c r="AP67" s="10">
        <v>2.0045894</v>
      </c>
      <c r="AQ67" s="10">
        <v>1.9766674</v>
      </c>
      <c r="AR67" s="10">
        <v>1.9499127000000001</v>
      </c>
      <c r="AS67" s="10">
        <v>1.9244379</v>
      </c>
      <c r="AT67" s="10">
        <v>1.9003277000000001</v>
      </c>
      <c r="AU67" s="10">
        <v>1.8775411</v>
      </c>
      <c r="AV67" s="10">
        <v>1.8560026999999999</v>
      </c>
      <c r="AW67" s="10">
        <v>1.8356368999999999</v>
      </c>
      <c r="AX67" s="10">
        <v>1.8163685000000001</v>
      </c>
      <c r="AY67" s="10">
        <v>1.7981218000000001</v>
      </c>
      <c r="AZ67" s="10">
        <v>1.7808215000000001</v>
      </c>
      <c r="BA67" s="10">
        <v>1.764392</v>
      </c>
      <c r="BB67" s="10">
        <v>1.7487579</v>
      </c>
      <c r="BC67" s="10">
        <v>1.7338438</v>
      </c>
      <c r="BD67" s="10">
        <v>1.7195742000000001</v>
      </c>
      <c r="BE67" s="10">
        <v>1.7058736999999999</v>
      </c>
      <c r="BF67" s="10">
        <v>1.6926766</v>
      </c>
      <c r="BG67" s="10">
        <v>1.6799615999999999</v>
      </c>
      <c r="BH67" s="10">
        <v>1.6677192000000001</v>
      </c>
      <c r="BI67" s="10">
        <v>1.65594</v>
      </c>
      <c r="BJ67" s="10">
        <v>1.6446145999999999</v>
      </c>
      <c r="BK67" s="10">
        <v>1.6337336</v>
      </c>
      <c r="BL67" s="10">
        <v>1.6232876999999999</v>
      </c>
      <c r="BM67" s="10">
        <v>1.6132674</v>
      </c>
      <c r="BN67" s="10">
        <v>1.6036633</v>
      </c>
      <c r="BO67" s="10">
        <v>1.5944659999999999</v>
      </c>
      <c r="BP67" s="10">
        <v>1.5856661000000001</v>
      </c>
      <c r="BQ67" s="10">
        <v>1.5772543000000001</v>
      </c>
      <c r="BR67" s="10">
        <v>1.534653</v>
      </c>
      <c r="BS67" s="10">
        <v>1.5051524999999999</v>
      </c>
      <c r="BU67" s="7">
        <v>1.42</v>
      </c>
      <c r="BV67" s="7">
        <v>1.69</v>
      </c>
      <c r="BW67" s="9">
        <v>82.038200000000003</v>
      </c>
    </row>
    <row r="68" spans="1:75" x14ac:dyDescent="0.25">
      <c r="A68" s="6">
        <f t="shared" si="5"/>
        <v>44648</v>
      </c>
      <c r="B68" s="13">
        <f t="shared" si="0"/>
        <v>3</v>
      </c>
      <c r="C68" s="13">
        <f t="shared" si="1"/>
        <v>2022</v>
      </c>
      <c r="D68">
        <f t="shared" si="2"/>
        <v>202203</v>
      </c>
      <c r="E68">
        <f t="shared" si="3"/>
        <v>1</v>
      </c>
      <c r="F68">
        <f t="shared" si="4"/>
        <v>202201</v>
      </c>
      <c r="G68" t="s">
        <v>255</v>
      </c>
      <c r="H68" s="9">
        <v>0.75</v>
      </c>
      <c r="I68" s="9">
        <v>0.69010000000000005</v>
      </c>
      <c r="J68" s="10">
        <v>0.77364639999999996</v>
      </c>
      <c r="K68" s="10">
        <v>1.0004481000000001</v>
      </c>
      <c r="L68" s="10">
        <v>1.2028481</v>
      </c>
      <c r="M68" s="10">
        <v>1.3845577</v>
      </c>
      <c r="N68" s="10">
        <v>1.5495858</v>
      </c>
      <c r="O68" s="10">
        <v>1.6976728999999999</v>
      </c>
      <c r="P68" s="10">
        <v>1.8289266</v>
      </c>
      <c r="Q68" s="10">
        <v>1.9443649000000001</v>
      </c>
      <c r="R68" s="10">
        <v>2.0457804999999998</v>
      </c>
      <c r="S68" s="10">
        <v>2.1350088</v>
      </c>
      <c r="T68" s="10">
        <v>2.2125504</v>
      </c>
      <c r="U68" s="10">
        <v>2.2779205</v>
      </c>
      <c r="V68" s="10">
        <v>2.3295333</v>
      </c>
      <c r="W68" s="10">
        <v>2.3677199999999998</v>
      </c>
      <c r="X68" s="10">
        <v>2.3934171000000002</v>
      </c>
      <c r="Y68" s="10">
        <v>2.4075614000000001</v>
      </c>
      <c r="Z68" s="10">
        <v>2.4110895999999999</v>
      </c>
      <c r="AA68" s="10">
        <v>2.4049382000000001</v>
      </c>
      <c r="AB68" s="10">
        <v>2.3901265</v>
      </c>
      <c r="AC68" s="10">
        <v>2.3680553999999998</v>
      </c>
      <c r="AD68" s="10">
        <v>2.3402368</v>
      </c>
      <c r="AE68" s="10">
        <v>2.3081827000000001</v>
      </c>
      <c r="AF68" s="10">
        <v>2.2734047999999998</v>
      </c>
      <c r="AG68" s="10">
        <v>2.2374151000000002</v>
      </c>
      <c r="AH68" s="10">
        <v>2.2015115000000001</v>
      </c>
      <c r="AI68" s="10">
        <v>2.1660482000000001</v>
      </c>
      <c r="AJ68" s="10">
        <v>2.1311189000000001</v>
      </c>
      <c r="AK68" s="10">
        <v>2.0968173999999999</v>
      </c>
      <c r="AL68" s="10">
        <v>2.0632372999999999</v>
      </c>
      <c r="AM68" s="10">
        <v>2.0304723</v>
      </c>
      <c r="AN68" s="10">
        <v>1.9986161</v>
      </c>
      <c r="AO68" s="10">
        <v>1.9677625999999999</v>
      </c>
      <c r="AP68" s="10">
        <v>1.9380052000000001</v>
      </c>
      <c r="AQ68" s="10">
        <v>1.9094378999999999</v>
      </c>
      <c r="AR68" s="10">
        <v>1.8821542</v>
      </c>
      <c r="AS68" s="10">
        <v>1.8562479000000001</v>
      </c>
      <c r="AT68" s="10">
        <v>1.8317861</v>
      </c>
      <c r="AU68" s="10">
        <v>1.8087188000000001</v>
      </c>
      <c r="AV68" s="10">
        <v>1.7869636</v>
      </c>
      <c r="AW68" s="10">
        <v>1.7664381</v>
      </c>
      <c r="AX68" s="10">
        <v>1.7470599</v>
      </c>
      <c r="AY68" s="10">
        <v>1.7287465</v>
      </c>
      <c r="AZ68" s="10">
        <v>1.7114156</v>
      </c>
      <c r="BA68" s="10">
        <v>1.6949848999999999</v>
      </c>
      <c r="BB68" s="10">
        <v>1.6793718</v>
      </c>
      <c r="BC68" s="10">
        <v>1.6644939999999999</v>
      </c>
      <c r="BD68" s="10">
        <v>1.650269</v>
      </c>
      <c r="BE68" s="10">
        <v>1.6366145999999999</v>
      </c>
      <c r="BF68" s="10">
        <v>1.6234573999999999</v>
      </c>
      <c r="BG68" s="10">
        <v>1.6107731999999999</v>
      </c>
      <c r="BH68" s="10">
        <v>1.5985544</v>
      </c>
      <c r="BI68" s="10">
        <v>1.5867933000000001</v>
      </c>
      <c r="BJ68" s="10">
        <v>1.5754821999999999</v>
      </c>
      <c r="BK68" s="10">
        <v>1.5646134</v>
      </c>
      <c r="BL68" s="10">
        <v>1.5541792000000001</v>
      </c>
      <c r="BM68" s="10">
        <v>1.5441720999999999</v>
      </c>
      <c r="BN68" s="10">
        <v>1.5345842000000001</v>
      </c>
      <c r="BO68" s="10">
        <v>1.5254079</v>
      </c>
      <c r="BP68" s="10">
        <v>1.5166355</v>
      </c>
      <c r="BQ68" s="10">
        <v>1.5082594</v>
      </c>
      <c r="BR68" s="10">
        <v>1.4659906</v>
      </c>
      <c r="BS68" s="10">
        <v>1.4366521999999999</v>
      </c>
      <c r="BU68" s="7">
        <v>1.36</v>
      </c>
      <c r="BV68" s="7">
        <v>1.62</v>
      </c>
      <c r="BW68" s="9">
        <v>81.495400000000004</v>
      </c>
    </row>
    <row r="69" spans="1:75" x14ac:dyDescent="0.25">
      <c r="A69" s="6">
        <f t="shared" si="5"/>
        <v>44649</v>
      </c>
      <c r="B69" s="13">
        <f t="shared" si="0"/>
        <v>3</v>
      </c>
      <c r="C69" s="13">
        <f t="shared" si="1"/>
        <v>2022</v>
      </c>
      <c r="D69">
        <f t="shared" si="2"/>
        <v>202203</v>
      </c>
      <c r="E69">
        <f t="shared" si="3"/>
        <v>1</v>
      </c>
      <c r="F69">
        <f t="shared" si="4"/>
        <v>202201</v>
      </c>
      <c r="G69" t="s">
        <v>256</v>
      </c>
      <c r="H69" s="9">
        <v>0.75</v>
      </c>
      <c r="I69" s="9">
        <v>0.69069999999999998</v>
      </c>
      <c r="J69" s="10">
        <v>0.77716280000000004</v>
      </c>
      <c r="K69" s="10">
        <v>1.0058331</v>
      </c>
      <c r="L69" s="10">
        <v>1.2051563999999999</v>
      </c>
      <c r="M69" s="10">
        <v>1.382422</v>
      </c>
      <c r="N69" s="10">
        <v>1.5438613999999999</v>
      </c>
      <c r="O69" s="10">
        <v>1.6896445</v>
      </c>
      <c r="P69" s="10">
        <v>1.8192056000000001</v>
      </c>
      <c r="Q69" s="10">
        <v>1.9333572000000001</v>
      </c>
      <c r="R69" s="10">
        <v>2.0337249000000002</v>
      </c>
      <c r="S69" s="10">
        <v>2.1223513000000001</v>
      </c>
      <c r="T69" s="10">
        <v>2.2000918999999999</v>
      </c>
      <c r="U69" s="10">
        <v>2.2662933000000001</v>
      </c>
      <c r="V69" s="10">
        <v>2.3191101999999999</v>
      </c>
      <c r="W69" s="10">
        <v>2.3587536999999998</v>
      </c>
      <c r="X69" s="10">
        <v>2.3860709</v>
      </c>
      <c r="Y69" s="10">
        <v>2.4019088000000002</v>
      </c>
      <c r="Z69" s="10">
        <v>2.4071145999999999</v>
      </c>
      <c r="AA69" s="10">
        <v>2.4025352</v>
      </c>
      <c r="AB69" s="10">
        <v>2.3891111</v>
      </c>
      <c r="AC69" s="10">
        <v>2.3682151999999999</v>
      </c>
      <c r="AD69" s="10">
        <v>2.3413457000000002</v>
      </c>
      <c r="AE69" s="10">
        <v>2.3100008000000001</v>
      </c>
      <c r="AF69" s="10">
        <v>2.2756788999999999</v>
      </c>
      <c r="AG69" s="10">
        <v>2.2398782000000002</v>
      </c>
      <c r="AH69" s="10">
        <v>2.2039618000000001</v>
      </c>
      <c r="AI69" s="10">
        <v>2.1684006999999998</v>
      </c>
      <c r="AJ69" s="10">
        <v>2.1333044000000001</v>
      </c>
      <c r="AK69" s="10">
        <v>2.0987814999999999</v>
      </c>
      <c r="AL69" s="10">
        <v>2.0649402000000001</v>
      </c>
      <c r="AM69" s="10">
        <v>2.0318890999999999</v>
      </c>
      <c r="AN69" s="10">
        <v>1.9997366000000001</v>
      </c>
      <c r="AO69" s="10">
        <v>1.9685912000000001</v>
      </c>
      <c r="AP69" s="10">
        <v>1.9385612000000001</v>
      </c>
      <c r="AQ69" s="10">
        <v>1.9097552</v>
      </c>
      <c r="AR69" s="10">
        <v>1.8822816</v>
      </c>
      <c r="AS69" s="10">
        <v>1.8562489</v>
      </c>
      <c r="AT69" s="10">
        <v>1.8317414999999999</v>
      </c>
      <c r="AU69" s="10">
        <v>1.8087153</v>
      </c>
      <c r="AV69" s="10">
        <v>1.7870828000000001</v>
      </c>
      <c r="AW69" s="10">
        <v>1.7667564</v>
      </c>
      <c r="AX69" s="10">
        <v>1.7476488999999999</v>
      </c>
      <c r="AY69" s="10">
        <v>1.7296726</v>
      </c>
      <c r="AZ69" s="10">
        <v>1.7127402</v>
      </c>
      <c r="BA69" s="10">
        <v>1.6967642000000001</v>
      </c>
      <c r="BB69" s="10">
        <v>1.681657</v>
      </c>
      <c r="BC69" s="10">
        <v>1.6673313000000001</v>
      </c>
      <c r="BD69" s="10">
        <v>1.6536995999999999</v>
      </c>
      <c r="BE69" s="10">
        <v>1.6406744</v>
      </c>
      <c r="BF69" s="10">
        <v>1.6281783999999999</v>
      </c>
      <c r="BG69" s="10">
        <v>1.6161833999999999</v>
      </c>
      <c r="BH69" s="10">
        <v>1.6046762999999999</v>
      </c>
      <c r="BI69" s="10">
        <v>1.5936437999999999</v>
      </c>
      <c r="BJ69" s="10">
        <v>1.5830728000000001</v>
      </c>
      <c r="BK69" s="10">
        <v>1.5729503</v>
      </c>
      <c r="BL69" s="10">
        <v>1.5632629</v>
      </c>
      <c r="BM69" s="10">
        <v>1.5539976</v>
      </c>
      <c r="BN69" s="10">
        <v>1.5451412</v>
      </c>
      <c r="BO69" s="10">
        <v>1.5366804999999999</v>
      </c>
      <c r="BP69" s="10">
        <v>1.5286023</v>
      </c>
      <c r="BQ69" s="10">
        <v>1.5208936</v>
      </c>
      <c r="BR69" s="10">
        <v>1.4819704</v>
      </c>
      <c r="BS69" s="10">
        <v>1.4549231</v>
      </c>
      <c r="BU69" s="7">
        <v>1.36</v>
      </c>
      <c r="BV69" s="7">
        <v>1.64</v>
      </c>
      <c r="BW69" s="9">
        <v>81.235600000000005</v>
      </c>
    </row>
    <row r="70" spans="1:75" x14ac:dyDescent="0.25">
      <c r="A70" s="6">
        <f t="shared" si="5"/>
        <v>44650</v>
      </c>
      <c r="B70" s="13">
        <f t="shared" si="0"/>
        <v>3</v>
      </c>
      <c r="C70" s="13">
        <f t="shared" si="1"/>
        <v>2022</v>
      </c>
      <c r="D70">
        <f t="shared" si="2"/>
        <v>202203</v>
      </c>
      <c r="E70">
        <f t="shared" si="3"/>
        <v>1</v>
      </c>
      <c r="F70">
        <f t="shared" si="4"/>
        <v>202201</v>
      </c>
      <c r="G70" t="s">
        <v>257</v>
      </c>
      <c r="H70" s="9">
        <v>0.75</v>
      </c>
      <c r="I70" s="9">
        <v>0.69</v>
      </c>
      <c r="J70" s="10">
        <v>0.77393970000000001</v>
      </c>
      <c r="K70" s="10">
        <v>1.0101013999999999</v>
      </c>
      <c r="L70" s="10">
        <v>1.2141477000000001</v>
      </c>
      <c r="M70" s="10">
        <v>1.3996947</v>
      </c>
      <c r="N70" s="10">
        <v>1.5720529000000001</v>
      </c>
      <c r="O70" s="10">
        <v>1.72837</v>
      </c>
      <c r="P70" s="10">
        <v>1.8668674999999999</v>
      </c>
      <c r="Q70" s="10">
        <v>1.9880528</v>
      </c>
      <c r="R70" s="10">
        <v>2.0936132000000001</v>
      </c>
      <c r="S70" s="10">
        <v>2.1858620000000002</v>
      </c>
      <c r="T70" s="10">
        <v>2.2658697999999999</v>
      </c>
      <c r="U70" s="10">
        <v>2.3333203</v>
      </c>
      <c r="V70" s="10">
        <v>2.3867208</v>
      </c>
      <c r="W70" s="10">
        <v>2.4264640000000002</v>
      </c>
      <c r="X70" s="10">
        <v>2.4535372999999998</v>
      </c>
      <c r="Y70" s="10">
        <v>2.4689283</v>
      </c>
      <c r="Z70" s="10">
        <v>2.4736243</v>
      </c>
      <c r="AA70" s="10">
        <v>2.4686129999999999</v>
      </c>
      <c r="AB70" s="10">
        <v>2.4549389000000001</v>
      </c>
      <c r="AC70" s="10">
        <v>2.43397</v>
      </c>
      <c r="AD70" s="10">
        <v>2.4071880999999999</v>
      </c>
      <c r="AE70" s="10">
        <v>2.3760750000000002</v>
      </c>
      <c r="AF70" s="10">
        <v>2.3421128000000002</v>
      </c>
      <c r="AG70" s="10">
        <v>2.3067833000000002</v>
      </c>
      <c r="AH70" s="10">
        <v>2.2714172000000001</v>
      </c>
      <c r="AI70" s="10">
        <v>2.2364435</v>
      </c>
      <c r="AJ70" s="10">
        <v>2.2019590999999998</v>
      </c>
      <c r="AK70" s="10">
        <v>2.1680600000000001</v>
      </c>
      <c r="AL70" s="10">
        <v>2.1348425</v>
      </c>
      <c r="AM70" s="10">
        <v>2.1024026999999998</v>
      </c>
      <c r="AN70" s="10">
        <v>2.0708369000000002</v>
      </c>
      <c r="AO70" s="10">
        <v>2.0402410999999998</v>
      </c>
      <c r="AP70" s="10">
        <v>2.0107115000000002</v>
      </c>
      <c r="AQ70" s="10">
        <v>1.9823443999999999</v>
      </c>
      <c r="AR70" s="10">
        <v>1.9552358999999999</v>
      </c>
      <c r="AS70" s="10">
        <v>1.9294822</v>
      </c>
      <c r="AT70" s="10">
        <v>1.9051552</v>
      </c>
      <c r="AU70" s="10">
        <v>1.8822083000000001</v>
      </c>
      <c r="AV70" s="10">
        <v>1.8605592</v>
      </c>
      <c r="AW70" s="10">
        <v>1.8401253</v>
      </c>
      <c r="AX70" s="10">
        <v>1.8208241999999999</v>
      </c>
      <c r="AY70" s="10">
        <v>1.8025732000000001</v>
      </c>
      <c r="AZ70" s="10">
        <v>1.78529</v>
      </c>
      <c r="BA70" s="10">
        <v>1.7688921</v>
      </c>
      <c r="BB70" s="10">
        <v>1.7532970000000001</v>
      </c>
      <c r="BC70" s="10">
        <v>1.7384221</v>
      </c>
      <c r="BD70" s="10">
        <v>1.7241849</v>
      </c>
      <c r="BE70" s="10">
        <v>1.7105030999999999</v>
      </c>
      <c r="BF70" s="10">
        <v>1.6973050999999999</v>
      </c>
      <c r="BG70" s="10">
        <v>1.6845684000000001</v>
      </c>
      <c r="BH70" s="10">
        <v>1.6722838</v>
      </c>
      <c r="BI70" s="10">
        <v>1.6604421</v>
      </c>
      <c r="BJ70" s="10">
        <v>1.6490343000000001</v>
      </c>
      <c r="BK70" s="10">
        <v>1.6380513000000001</v>
      </c>
      <c r="BL70" s="10">
        <v>1.6274838</v>
      </c>
      <c r="BM70" s="10">
        <v>1.6173227999999999</v>
      </c>
      <c r="BN70" s="10">
        <v>1.6075591</v>
      </c>
      <c r="BO70" s="10">
        <v>1.5981836</v>
      </c>
      <c r="BP70" s="10">
        <v>1.5891871</v>
      </c>
      <c r="BQ70" s="10">
        <v>1.5805606000000001</v>
      </c>
      <c r="BR70" s="10">
        <v>1.5362370000000001</v>
      </c>
      <c r="BS70" s="10">
        <v>1.5040122</v>
      </c>
      <c r="BU70" s="7">
        <v>1.38</v>
      </c>
      <c r="BV70" s="7">
        <v>1.68</v>
      </c>
      <c r="BW70" s="9">
        <v>81.1387</v>
      </c>
    </row>
    <row r="71" spans="1:75" x14ac:dyDescent="0.25">
      <c r="A71" s="6">
        <f t="shared" si="5"/>
        <v>44651</v>
      </c>
      <c r="B71" s="13">
        <f t="shared" si="0"/>
        <v>3</v>
      </c>
      <c r="C71" s="13">
        <f t="shared" si="1"/>
        <v>2022</v>
      </c>
      <c r="D71">
        <f t="shared" si="2"/>
        <v>202203</v>
      </c>
      <c r="E71">
        <f t="shared" si="3"/>
        <v>1</v>
      </c>
      <c r="F71">
        <f t="shared" si="4"/>
        <v>202201</v>
      </c>
      <c r="G71" t="s">
        <v>258</v>
      </c>
      <c r="H71" s="9">
        <v>0.75</v>
      </c>
      <c r="I71" s="9">
        <v>0.68959999999999999</v>
      </c>
      <c r="J71" s="10">
        <v>0.77889390000000003</v>
      </c>
      <c r="K71" s="10">
        <v>1.0085082999999999</v>
      </c>
      <c r="L71" s="10">
        <v>1.2040687000000001</v>
      </c>
      <c r="M71" s="10">
        <v>1.3821842</v>
      </c>
      <c r="N71" s="10">
        <v>1.5478953</v>
      </c>
      <c r="O71" s="10">
        <v>1.6982569999999999</v>
      </c>
      <c r="P71" s="10">
        <v>1.8317101</v>
      </c>
      <c r="Q71" s="10">
        <v>1.949076</v>
      </c>
      <c r="R71" s="10">
        <v>2.0521277000000002</v>
      </c>
      <c r="S71" s="10">
        <v>2.1414863</v>
      </c>
      <c r="T71" s="10">
        <v>2.2178315</v>
      </c>
      <c r="U71" s="10">
        <v>2.2806856999999998</v>
      </c>
      <c r="V71" s="10">
        <v>2.3296174999999999</v>
      </c>
      <c r="W71" s="10">
        <v>2.3653211999999999</v>
      </c>
      <c r="X71" s="10">
        <v>2.3887594999999999</v>
      </c>
      <c r="Y71" s="10">
        <v>2.4008948999999999</v>
      </c>
      <c r="Z71" s="10">
        <v>2.4026898999999999</v>
      </c>
      <c r="AA71" s="10">
        <v>2.3951069999999999</v>
      </c>
      <c r="AB71" s="10">
        <v>2.379175</v>
      </c>
      <c r="AC71" s="10">
        <v>2.3562609000000001</v>
      </c>
      <c r="AD71" s="10">
        <v>2.3278401</v>
      </c>
      <c r="AE71" s="10">
        <v>2.2953879000000001</v>
      </c>
      <c r="AF71" s="10">
        <v>2.2603797000000001</v>
      </c>
      <c r="AG71" s="10">
        <v>2.2242909000000002</v>
      </c>
      <c r="AH71" s="10">
        <v>2.1884256999999998</v>
      </c>
      <c r="AI71" s="10">
        <v>2.1531677</v>
      </c>
      <c r="AJ71" s="10">
        <v>2.1185915</v>
      </c>
      <c r="AK71" s="10">
        <v>2.0847715999999998</v>
      </c>
      <c r="AL71" s="10">
        <v>2.0517824999999998</v>
      </c>
      <c r="AM71" s="10">
        <v>2.0196985999999999</v>
      </c>
      <c r="AN71" s="10">
        <v>1.9885945</v>
      </c>
      <c r="AO71" s="10">
        <v>1.9585446</v>
      </c>
      <c r="AP71" s="10">
        <v>1.9296233</v>
      </c>
      <c r="AQ71" s="10">
        <v>1.9019052999999999</v>
      </c>
      <c r="AR71" s="10">
        <v>1.8754648</v>
      </c>
      <c r="AS71" s="10">
        <v>1.8503765000000001</v>
      </c>
      <c r="AT71" s="10">
        <v>1.8266903999999999</v>
      </c>
      <c r="AU71" s="10">
        <v>1.8043487</v>
      </c>
      <c r="AV71" s="10">
        <v>1.783264</v>
      </c>
      <c r="AW71" s="10">
        <v>1.7633487999999999</v>
      </c>
      <c r="AX71" s="10">
        <v>1.7445155000000001</v>
      </c>
      <c r="AY71" s="10">
        <v>1.7266767000000001</v>
      </c>
      <c r="AZ71" s="10">
        <v>1.7097450000000001</v>
      </c>
      <c r="BA71" s="10">
        <v>1.6936328</v>
      </c>
      <c r="BB71" s="10">
        <v>1.6782526</v>
      </c>
      <c r="BC71" s="10">
        <v>1.6635169999999999</v>
      </c>
      <c r="BD71" s="10">
        <v>1.6493385</v>
      </c>
      <c r="BE71" s="10">
        <v>1.6356295999999999</v>
      </c>
      <c r="BF71" s="10">
        <v>1.6223156000000001</v>
      </c>
      <c r="BG71" s="10">
        <v>1.609378</v>
      </c>
      <c r="BH71" s="10">
        <v>1.5968137</v>
      </c>
      <c r="BI71" s="10">
        <v>1.5846199999999999</v>
      </c>
      <c r="BJ71" s="10">
        <v>1.5727937999999999</v>
      </c>
      <c r="BK71" s="10">
        <v>1.5613321</v>
      </c>
      <c r="BL71" s="10">
        <v>1.5502320999999999</v>
      </c>
      <c r="BM71" s="10">
        <v>1.5394907</v>
      </c>
      <c r="BN71" s="10">
        <v>1.5291051</v>
      </c>
      <c r="BO71" s="10">
        <v>1.5190721</v>
      </c>
      <c r="BP71" s="10">
        <v>1.5093890000000001</v>
      </c>
      <c r="BQ71" s="10">
        <v>1.5000526999999999</v>
      </c>
      <c r="BR71" s="10">
        <v>1.4512531</v>
      </c>
      <c r="BS71" s="10">
        <v>1.4148011</v>
      </c>
      <c r="BU71" s="7">
        <v>1.36</v>
      </c>
      <c r="BV71" s="7">
        <v>1.6</v>
      </c>
      <c r="BW71" s="9">
        <v>81.229100000000003</v>
      </c>
    </row>
    <row r="72" spans="1:75" x14ac:dyDescent="0.25">
      <c r="A72" s="6">
        <f t="shared" si="5"/>
        <v>44652</v>
      </c>
      <c r="B72" s="13">
        <f t="shared" si="0"/>
        <v>4</v>
      </c>
      <c r="C72" s="13">
        <f t="shared" si="1"/>
        <v>2022</v>
      </c>
      <c r="D72">
        <f t="shared" si="2"/>
        <v>202204</v>
      </c>
      <c r="E72">
        <f t="shared" si="3"/>
        <v>2</v>
      </c>
      <c r="F72">
        <f t="shared" si="4"/>
        <v>202202</v>
      </c>
      <c r="G72" t="s">
        <v>259</v>
      </c>
      <c r="H72" s="9">
        <v>0.75</v>
      </c>
      <c r="I72" s="9">
        <v>0.69059999999999999</v>
      </c>
      <c r="J72" s="10">
        <v>0.78650310000000001</v>
      </c>
      <c r="K72" s="10">
        <v>1.015031</v>
      </c>
      <c r="L72" s="10">
        <v>1.2070008000000001</v>
      </c>
      <c r="M72" s="10">
        <v>1.3803756</v>
      </c>
      <c r="N72" s="10">
        <v>1.5436901000000001</v>
      </c>
      <c r="O72" s="10">
        <v>1.6955594</v>
      </c>
      <c r="P72" s="10">
        <v>1.8340141000000001</v>
      </c>
      <c r="Q72" s="10">
        <v>1.9578183</v>
      </c>
      <c r="R72" s="10">
        <v>2.0674671</v>
      </c>
      <c r="S72" s="10">
        <v>2.1635184999999999</v>
      </c>
      <c r="T72" s="10">
        <v>2.246553</v>
      </c>
      <c r="U72" s="10">
        <v>2.3156895999999998</v>
      </c>
      <c r="V72" s="10">
        <v>2.3693129000000002</v>
      </c>
      <c r="W72" s="10">
        <v>2.4079815</v>
      </c>
      <c r="X72" s="10">
        <v>2.4329725999999998</v>
      </c>
      <c r="Y72" s="10">
        <v>2.4455634000000002</v>
      </c>
      <c r="Z72" s="10">
        <v>2.4470310999999998</v>
      </c>
      <c r="AA72" s="10">
        <v>2.4386532000000001</v>
      </c>
      <c r="AB72" s="10">
        <v>2.4217371000000001</v>
      </c>
      <c r="AC72" s="10">
        <v>2.3977311000000001</v>
      </c>
      <c r="AD72" s="10">
        <v>2.3681241000000002</v>
      </c>
      <c r="AE72" s="10">
        <v>2.3344049999999998</v>
      </c>
      <c r="AF72" s="10">
        <v>2.2980627999999999</v>
      </c>
      <c r="AG72" s="10">
        <v>2.2605862999999999</v>
      </c>
      <c r="AH72" s="10">
        <v>2.2232726999999999</v>
      </c>
      <c r="AI72" s="10">
        <v>2.1864837000000001</v>
      </c>
      <c r="AJ72" s="10">
        <v>2.1502968</v>
      </c>
      <c r="AK72" s="10">
        <v>2.1147890999999999</v>
      </c>
      <c r="AL72" s="10">
        <v>2.0800377999999999</v>
      </c>
      <c r="AM72" s="10">
        <v>2.0461203000000001</v>
      </c>
      <c r="AN72" s="10">
        <v>2.0131136000000001</v>
      </c>
      <c r="AO72" s="10">
        <v>1.9810951999999999</v>
      </c>
      <c r="AP72" s="10">
        <v>1.9501421000000001</v>
      </c>
      <c r="AQ72" s="10">
        <v>1.9203317</v>
      </c>
      <c r="AR72" s="10">
        <v>1.8917411</v>
      </c>
      <c r="AS72" s="10">
        <v>1.8644476000000001</v>
      </c>
      <c r="AT72" s="10">
        <v>1.8385062000000001</v>
      </c>
      <c r="AU72" s="10">
        <v>1.8138736</v>
      </c>
      <c r="AV72" s="10">
        <v>1.7904793999999999</v>
      </c>
      <c r="AW72" s="10">
        <v>1.7682533</v>
      </c>
      <c r="AX72" s="10">
        <v>1.7471247999999999</v>
      </c>
      <c r="AY72" s="10">
        <v>1.7270235</v>
      </c>
      <c r="AZ72" s="10">
        <v>1.7078791</v>
      </c>
      <c r="BA72" s="10">
        <v>1.6896211999999999</v>
      </c>
      <c r="BB72" s="10">
        <v>1.6721794000000001</v>
      </c>
      <c r="BC72" s="10">
        <v>1.6554831999999999</v>
      </c>
      <c r="BD72" s="10">
        <v>1.6394625</v>
      </c>
      <c r="BE72" s="10">
        <v>1.6240466</v>
      </c>
      <c r="BF72" s="10">
        <v>1.6091746</v>
      </c>
      <c r="BG72" s="10">
        <v>1.5948268000000001</v>
      </c>
      <c r="BH72" s="10">
        <v>1.5809947</v>
      </c>
      <c r="BI72" s="10">
        <v>1.5676699000000001</v>
      </c>
      <c r="BJ72" s="10">
        <v>1.5548441</v>
      </c>
      <c r="BK72" s="10">
        <v>1.5425088</v>
      </c>
      <c r="BL72" s="10">
        <v>1.5306556</v>
      </c>
      <c r="BM72" s="10">
        <v>1.5192762</v>
      </c>
      <c r="BN72" s="10">
        <v>1.5083621</v>
      </c>
      <c r="BO72" s="10">
        <v>1.4979051000000001</v>
      </c>
      <c r="BP72" s="10">
        <v>1.4878966</v>
      </c>
      <c r="BQ72" s="10">
        <v>1.4783282</v>
      </c>
      <c r="BR72" s="10">
        <v>1.4297616</v>
      </c>
      <c r="BS72" s="10">
        <v>1.3953492000000001</v>
      </c>
      <c r="BU72" s="7">
        <v>1.38</v>
      </c>
      <c r="BV72" s="7">
        <v>1.6</v>
      </c>
      <c r="BW72" s="9">
        <v>81.256500000000003</v>
      </c>
    </row>
    <row r="73" spans="1:75" x14ac:dyDescent="0.25">
      <c r="A73" s="6">
        <f t="shared" si="5"/>
        <v>44655</v>
      </c>
      <c r="B73" s="13">
        <f t="shared" ref="B73:B136" si="6">MONTH(A73)</f>
        <v>4</v>
      </c>
      <c r="C73" s="13">
        <f t="shared" ref="C73:C136" si="7">YEAR(A73)</f>
        <v>2022</v>
      </c>
      <c r="D73">
        <f t="shared" ref="D73:D136" si="8">C73*100+B73</f>
        <v>202204</v>
      </c>
      <c r="E73">
        <f t="shared" ref="E73:E136" si="9">IF(B73&lt;4,1,IF(B73&lt;7,2,IF(B73&lt;10,3,4)))</f>
        <v>2</v>
      </c>
      <c r="F73">
        <f t="shared" ref="F73:F136" si="10">C73*100+E73</f>
        <v>202202</v>
      </c>
      <c r="G73" t="s">
        <v>260</v>
      </c>
      <c r="H73" s="9">
        <v>0.75</v>
      </c>
      <c r="I73" s="9">
        <v>0.69130000000000003</v>
      </c>
      <c r="J73" s="10">
        <v>0.79716770000000003</v>
      </c>
      <c r="K73" s="10">
        <v>1.0228379999999999</v>
      </c>
      <c r="L73" s="10">
        <v>1.2086281999999999</v>
      </c>
      <c r="M73" s="10">
        <v>1.3751081999999999</v>
      </c>
      <c r="N73" s="10">
        <v>1.5326302000000001</v>
      </c>
      <c r="O73" s="10">
        <v>1.6794331</v>
      </c>
      <c r="P73" s="10">
        <v>1.8132132000000001</v>
      </c>
      <c r="Q73" s="10">
        <v>1.933495</v>
      </c>
      <c r="R73" s="10">
        <v>2.0406930000000001</v>
      </c>
      <c r="S73" s="10">
        <v>2.1358681000000002</v>
      </c>
      <c r="T73" s="10">
        <v>2.2190938</v>
      </c>
      <c r="U73" s="10">
        <v>2.2893677000000001</v>
      </c>
      <c r="V73" s="10">
        <v>2.3447300000000002</v>
      </c>
      <c r="W73" s="10">
        <v>2.3855244999999998</v>
      </c>
      <c r="X73" s="10">
        <v>2.4127779</v>
      </c>
      <c r="Y73" s="10">
        <v>2.4275167999999998</v>
      </c>
      <c r="Z73" s="10">
        <v>2.4307679000000002</v>
      </c>
      <c r="AA73" s="10">
        <v>2.4235576999999999</v>
      </c>
      <c r="AB73" s="10">
        <v>2.4070032000000001</v>
      </c>
      <c r="AC73" s="10">
        <v>2.3826011999999999</v>
      </c>
      <c r="AD73" s="10">
        <v>2.3519483999999999</v>
      </c>
      <c r="AE73" s="10">
        <v>2.3166411999999998</v>
      </c>
      <c r="AF73" s="10">
        <v>2.2782762999999999</v>
      </c>
      <c r="AG73" s="10">
        <v>2.2384501999999999</v>
      </c>
      <c r="AH73" s="10">
        <v>2.1985361999999999</v>
      </c>
      <c r="AI73" s="10">
        <v>2.1589222000000001</v>
      </c>
      <c r="AJ73" s="10">
        <v>2.1197244</v>
      </c>
      <c r="AK73" s="10">
        <v>2.0810586</v>
      </c>
      <c r="AL73" s="10">
        <v>2.0430410000000001</v>
      </c>
      <c r="AM73" s="10">
        <v>2.0057874999999998</v>
      </c>
      <c r="AN73" s="10">
        <v>1.9694143</v>
      </c>
      <c r="AO73" s="10">
        <v>1.9340371999999999</v>
      </c>
      <c r="AP73" s="10">
        <v>1.8997724</v>
      </c>
      <c r="AQ73" s="10">
        <v>1.8667358999999999</v>
      </c>
      <c r="AR73" s="10">
        <v>1.8350436000000001</v>
      </c>
      <c r="AS73" s="10">
        <v>1.8048116999999999</v>
      </c>
      <c r="AT73" s="10">
        <v>1.7761273</v>
      </c>
      <c r="AU73" s="10">
        <v>1.7489509999999999</v>
      </c>
      <c r="AV73" s="10">
        <v>1.7232079</v>
      </c>
      <c r="AW73" s="10">
        <v>1.6988235</v>
      </c>
      <c r="AX73" s="10">
        <v>1.6757230999999999</v>
      </c>
      <c r="AY73" s="10">
        <v>1.653832</v>
      </c>
      <c r="AZ73" s="10">
        <v>1.6330756</v>
      </c>
      <c r="BA73" s="10">
        <v>1.6133793000000001</v>
      </c>
      <c r="BB73" s="10">
        <v>1.5946684</v>
      </c>
      <c r="BC73" s="10">
        <v>1.5768682000000001</v>
      </c>
      <c r="BD73" s="10">
        <v>1.5599041</v>
      </c>
      <c r="BE73" s="10">
        <v>1.5437015000000001</v>
      </c>
      <c r="BF73" s="10">
        <v>1.528192</v>
      </c>
      <c r="BG73" s="10">
        <v>1.5133455</v>
      </c>
      <c r="BH73" s="10">
        <v>1.4991459</v>
      </c>
      <c r="BI73" s="10">
        <v>1.4855772</v>
      </c>
      <c r="BJ73" s="10">
        <v>1.4726231000000001</v>
      </c>
      <c r="BK73" s="10">
        <v>1.4602676999999999</v>
      </c>
      <c r="BL73" s="10">
        <v>1.4484948</v>
      </c>
      <c r="BM73" s="10">
        <v>1.4372883999999999</v>
      </c>
      <c r="BN73" s="10">
        <v>1.4266323000000001</v>
      </c>
      <c r="BO73" s="10">
        <v>1.4165105</v>
      </c>
      <c r="BP73" s="10">
        <v>1.4069068</v>
      </c>
      <c r="BQ73" s="10">
        <v>1.3978052000000001</v>
      </c>
      <c r="BR73" s="10">
        <v>1.3529614999999999</v>
      </c>
      <c r="BS73" s="10">
        <v>1.3228941999999999</v>
      </c>
      <c r="BU73" s="7">
        <v>1.37</v>
      </c>
      <c r="BV73" s="7">
        <v>1.55</v>
      </c>
      <c r="BW73" s="9">
        <v>81.4101</v>
      </c>
    </row>
    <row r="74" spans="1:75" x14ac:dyDescent="0.25">
      <c r="A74" s="6">
        <f t="shared" si="5"/>
        <v>44656</v>
      </c>
      <c r="B74" s="13">
        <f t="shared" si="6"/>
        <v>4</v>
      </c>
      <c r="C74" s="13">
        <f t="shared" si="7"/>
        <v>2022</v>
      </c>
      <c r="D74">
        <f t="shared" si="8"/>
        <v>202204</v>
      </c>
      <c r="E74">
        <f t="shared" si="9"/>
        <v>2</v>
      </c>
      <c r="F74">
        <f t="shared" si="10"/>
        <v>202202</v>
      </c>
      <c r="G74" t="s">
        <v>261</v>
      </c>
      <c r="H74" s="9">
        <v>0.75</v>
      </c>
      <c r="I74" s="9">
        <v>0.6915</v>
      </c>
      <c r="J74" s="10">
        <v>0.80476760000000003</v>
      </c>
      <c r="K74" s="10">
        <v>1.0378193</v>
      </c>
      <c r="L74" s="10">
        <v>1.2278165000000001</v>
      </c>
      <c r="M74" s="10">
        <v>1.3990024000000001</v>
      </c>
      <c r="N74" s="10">
        <v>1.5628987999999999</v>
      </c>
      <c r="O74" s="10">
        <v>1.7171258</v>
      </c>
      <c r="P74" s="10">
        <v>1.8582532</v>
      </c>
      <c r="Q74" s="10">
        <v>1.9852688000000001</v>
      </c>
      <c r="R74" s="10">
        <v>2.0983722999999999</v>
      </c>
      <c r="S74" s="10">
        <v>2.1984702999999999</v>
      </c>
      <c r="T74" s="10">
        <v>2.2859576000000001</v>
      </c>
      <c r="U74" s="10">
        <v>2.3597492</v>
      </c>
      <c r="V74" s="10">
        <v>2.4182503</v>
      </c>
      <c r="W74" s="10">
        <v>2.4619705000000001</v>
      </c>
      <c r="X74" s="10">
        <v>2.4919907000000001</v>
      </c>
      <c r="Y74" s="10">
        <v>2.5093920000000001</v>
      </c>
      <c r="Z74" s="10">
        <v>2.5152553000000002</v>
      </c>
      <c r="AA74" s="10">
        <v>2.5106616000000002</v>
      </c>
      <c r="AB74" s="10">
        <v>2.4967617999999998</v>
      </c>
      <c r="AC74" s="10">
        <v>2.4750008999999999</v>
      </c>
      <c r="AD74" s="10">
        <v>2.4469012000000001</v>
      </c>
      <c r="AE74" s="10">
        <v>2.4139849</v>
      </c>
      <c r="AF74" s="10">
        <v>2.3777745000000001</v>
      </c>
      <c r="AG74" s="10">
        <v>2.3397920999999999</v>
      </c>
      <c r="AH74" s="10">
        <v>2.3013533000000002</v>
      </c>
      <c r="AI74" s="10">
        <v>2.2628607999999999</v>
      </c>
      <c r="AJ74" s="10">
        <v>2.2244652</v>
      </c>
      <c r="AK74" s="10">
        <v>2.1863174000000001</v>
      </c>
      <c r="AL74" s="10">
        <v>2.1485682000000002</v>
      </c>
      <c r="AM74" s="10">
        <v>2.1113685000000002</v>
      </c>
      <c r="AN74" s="10">
        <v>2.0748688999999998</v>
      </c>
      <c r="AO74" s="10">
        <v>2.0392203000000002</v>
      </c>
      <c r="AP74" s="10">
        <v>2.0045733999999999</v>
      </c>
      <c r="AQ74" s="10">
        <v>1.9710791000000001</v>
      </c>
      <c r="AR74" s="10">
        <v>1.9388882000000001</v>
      </c>
      <c r="AS74" s="10">
        <v>1.9081513999999999</v>
      </c>
      <c r="AT74" s="10">
        <v>1.8789921999999999</v>
      </c>
      <c r="AU74" s="10">
        <v>1.8513869000000001</v>
      </c>
      <c r="AV74" s="10">
        <v>1.8252622999999999</v>
      </c>
      <c r="AW74" s="10">
        <v>1.8005454999999999</v>
      </c>
      <c r="AX74" s="10">
        <v>1.7771633</v>
      </c>
      <c r="AY74" s="10">
        <v>1.7550425000000001</v>
      </c>
      <c r="AZ74" s="10">
        <v>1.73411</v>
      </c>
      <c r="BA74" s="10">
        <v>1.7142927999999999</v>
      </c>
      <c r="BB74" s="10">
        <v>1.6955178</v>
      </c>
      <c r="BC74" s="10">
        <v>1.6777116999999999</v>
      </c>
      <c r="BD74" s="10">
        <v>1.6608016000000001</v>
      </c>
      <c r="BE74" s="10">
        <v>1.6447143</v>
      </c>
      <c r="BF74" s="10">
        <v>1.6293827000000001</v>
      </c>
      <c r="BG74" s="10">
        <v>1.6147720999999999</v>
      </c>
      <c r="BH74" s="10">
        <v>1.6008587000000001</v>
      </c>
      <c r="BI74" s="10">
        <v>1.5876186999999999</v>
      </c>
      <c r="BJ74" s="10">
        <v>1.5750284000000001</v>
      </c>
      <c r="BK74" s="10">
        <v>1.5630637999999999</v>
      </c>
      <c r="BL74" s="10">
        <v>1.5517013</v>
      </c>
      <c r="BM74" s="10">
        <v>1.5409170000000001</v>
      </c>
      <c r="BN74" s="10">
        <v>1.5306869999999999</v>
      </c>
      <c r="BO74" s="10">
        <v>1.5209877000000001</v>
      </c>
      <c r="BP74" s="10">
        <v>1.5117951999999999</v>
      </c>
      <c r="BQ74" s="10">
        <v>1.5030855999999999</v>
      </c>
      <c r="BR74" s="10">
        <v>1.4600325000000001</v>
      </c>
      <c r="BS74" s="10">
        <v>1.4307608000000001</v>
      </c>
      <c r="BU74" s="7">
        <v>1.47</v>
      </c>
      <c r="BV74" s="7">
        <v>1.65</v>
      </c>
      <c r="BW74" s="9">
        <v>81.702299999999994</v>
      </c>
    </row>
    <row r="75" spans="1:75" x14ac:dyDescent="0.25">
      <c r="A75" s="6">
        <f t="shared" si="5"/>
        <v>44657</v>
      </c>
      <c r="B75" s="13">
        <f t="shared" si="6"/>
        <v>4</v>
      </c>
      <c r="C75" s="13">
        <f t="shared" si="7"/>
        <v>2022</v>
      </c>
      <c r="D75">
        <f t="shared" si="8"/>
        <v>202204</v>
      </c>
      <c r="E75">
        <f t="shared" si="9"/>
        <v>2</v>
      </c>
      <c r="F75">
        <f t="shared" si="10"/>
        <v>202202</v>
      </c>
      <c r="G75" t="s">
        <v>262</v>
      </c>
      <c r="H75" s="9">
        <v>0.75</v>
      </c>
      <c r="I75" s="9">
        <v>0.69189999999999996</v>
      </c>
      <c r="J75" s="10">
        <v>0.81576380000000004</v>
      </c>
      <c r="K75" s="10">
        <v>1.0372005</v>
      </c>
      <c r="L75" s="10">
        <v>1.2166901000000001</v>
      </c>
      <c r="M75" s="10">
        <v>1.3797088</v>
      </c>
      <c r="N75" s="10">
        <v>1.5385489000000001</v>
      </c>
      <c r="O75" s="10">
        <v>1.6911811000000001</v>
      </c>
      <c r="P75" s="10">
        <v>1.8337490999999999</v>
      </c>
      <c r="Q75" s="10">
        <v>1.9643451999999999</v>
      </c>
      <c r="R75" s="10">
        <v>2.0823461999999999</v>
      </c>
      <c r="S75" s="10">
        <v>2.1878687999999999</v>
      </c>
      <c r="T75" s="10">
        <v>2.2805594</v>
      </c>
      <c r="U75" s="10">
        <v>2.3589465999999999</v>
      </c>
      <c r="V75" s="10">
        <v>2.4209749999999999</v>
      </c>
      <c r="W75" s="10">
        <v>2.4671243</v>
      </c>
      <c r="X75" s="10">
        <v>2.4985713999999999</v>
      </c>
      <c r="Y75" s="10">
        <v>2.5164930000000001</v>
      </c>
      <c r="Z75" s="10">
        <v>2.5220658</v>
      </c>
      <c r="AA75" s="10">
        <v>2.5164667999999999</v>
      </c>
      <c r="AB75" s="10">
        <v>2.5009591000000002</v>
      </c>
      <c r="AC75" s="10">
        <v>2.4771695</v>
      </c>
      <c r="AD75" s="10">
        <v>2.4468203000000002</v>
      </c>
      <c r="AE75" s="10">
        <v>2.4116336999999999</v>
      </c>
      <c r="AF75" s="10">
        <v>2.3733319000000002</v>
      </c>
      <c r="AG75" s="10">
        <v>2.3336370999999998</v>
      </c>
      <c r="AH75" s="10">
        <v>2.2940740000000002</v>
      </c>
      <c r="AI75" s="10">
        <v>2.2551027000000001</v>
      </c>
      <c r="AJ75" s="10">
        <v>2.2168266999999999</v>
      </c>
      <c r="AK75" s="10">
        <v>2.1793490000000002</v>
      </c>
      <c r="AL75" s="10">
        <v>2.1427729000000002</v>
      </c>
      <c r="AM75" s="10">
        <v>2.1072015999999998</v>
      </c>
      <c r="AN75" s="10">
        <v>2.0727381</v>
      </c>
      <c r="AO75" s="10">
        <v>2.0394857000000002</v>
      </c>
      <c r="AP75" s="10">
        <v>2.0075474</v>
      </c>
      <c r="AQ75" s="10">
        <v>1.9770265</v>
      </c>
      <c r="AR75" s="10">
        <v>1.948026</v>
      </c>
      <c r="AS75" s="10">
        <v>1.9206493</v>
      </c>
      <c r="AT75" s="10">
        <v>1.8949715</v>
      </c>
      <c r="AU75" s="10">
        <v>1.8709323</v>
      </c>
      <c r="AV75" s="10">
        <v>1.8484301999999999</v>
      </c>
      <c r="AW75" s="10">
        <v>1.8273634000000001</v>
      </c>
      <c r="AX75" s="10">
        <v>1.8076304000000001</v>
      </c>
      <c r="AY75" s="10">
        <v>1.7891296000000001</v>
      </c>
      <c r="AZ75" s="10">
        <v>1.7717592</v>
      </c>
      <c r="BA75" s="10">
        <v>1.7554178</v>
      </c>
      <c r="BB75" s="10">
        <v>1.7400036000000001</v>
      </c>
      <c r="BC75" s="10">
        <v>1.7254151</v>
      </c>
      <c r="BD75" s="10">
        <v>1.7115505</v>
      </c>
      <c r="BE75" s="10">
        <v>1.6983083999999999</v>
      </c>
      <c r="BF75" s="10">
        <v>1.6855988</v>
      </c>
      <c r="BG75" s="10">
        <v>1.6733895000000001</v>
      </c>
      <c r="BH75" s="10">
        <v>1.6616660000000001</v>
      </c>
      <c r="BI75" s="10">
        <v>1.6504135</v>
      </c>
      <c r="BJ75" s="10">
        <v>1.6396173999999999</v>
      </c>
      <c r="BK75" s="10">
        <v>1.6292629999999999</v>
      </c>
      <c r="BL75" s="10">
        <v>1.6193356000000001</v>
      </c>
      <c r="BM75" s="10">
        <v>1.6098205999999999</v>
      </c>
      <c r="BN75" s="10">
        <v>1.6007032000000001</v>
      </c>
      <c r="BO75" s="10">
        <v>1.5919688999999999</v>
      </c>
      <c r="BP75" s="10">
        <v>1.5836029</v>
      </c>
      <c r="BQ75" s="10">
        <v>1.5755906</v>
      </c>
      <c r="BR75" s="10">
        <v>1.5344869000000001</v>
      </c>
      <c r="BS75" s="10">
        <v>1.5046271</v>
      </c>
      <c r="BU75" s="7">
        <v>1.47</v>
      </c>
      <c r="BV75" s="7">
        <v>1.7</v>
      </c>
      <c r="BW75" s="9">
        <v>81.633600000000001</v>
      </c>
    </row>
    <row r="76" spans="1:75" x14ac:dyDescent="0.25">
      <c r="A76" s="6">
        <f t="shared" si="5"/>
        <v>44658</v>
      </c>
      <c r="B76" s="13">
        <f t="shared" si="6"/>
        <v>4</v>
      </c>
      <c r="C76" s="13">
        <f t="shared" si="7"/>
        <v>2022</v>
      </c>
      <c r="D76">
        <f t="shared" si="8"/>
        <v>202204</v>
      </c>
      <c r="E76">
        <f t="shared" si="9"/>
        <v>2</v>
      </c>
      <c r="F76">
        <f t="shared" si="10"/>
        <v>202202</v>
      </c>
      <c r="G76" t="s">
        <v>263</v>
      </c>
      <c r="H76" s="9">
        <v>0.75</v>
      </c>
      <c r="I76" s="9">
        <v>0.69140000000000001</v>
      </c>
      <c r="J76" s="10">
        <v>0.83126800000000001</v>
      </c>
      <c r="K76" s="10">
        <v>1.0404559</v>
      </c>
      <c r="L76" s="10">
        <v>1.2158977</v>
      </c>
      <c r="M76" s="10">
        <v>1.3766803999999999</v>
      </c>
      <c r="N76" s="10">
        <v>1.5331153</v>
      </c>
      <c r="O76" s="10">
        <v>1.6841804</v>
      </c>
      <c r="P76" s="10">
        <v>1.8271548</v>
      </c>
      <c r="Q76" s="10">
        <v>1.9601128000000001</v>
      </c>
      <c r="R76" s="10">
        <v>2.0818341</v>
      </c>
      <c r="S76" s="10">
        <v>2.1911535999999998</v>
      </c>
      <c r="T76" s="10">
        <v>2.2872626999999999</v>
      </c>
      <c r="U76" s="10">
        <v>2.3683360000000002</v>
      </c>
      <c r="V76" s="10">
        <v>2.4320271</v>
      </c>
      <c r="W76" s="10">
        <v>2.4787914999999998</v>
      </c>
      <c r="X76" s="10">
        <v>2.5101802000000002</v>
      </c>
      <c r="Y76" s="10">
        <v>2.5277454000000001</v>
      </c>
      <c r="Z76" s="10">
        <v>2.5330396999999998</v>
      </c>
      <c r="AA76" s="10">
        <v>2.5276155</v>
      </c>
      <c r="AB76" s="10">
        <v>2.5130292000000001</v>
      </c>
      <c r="AC76" s="10">
        <v>2.4908573000000001</v>
      </c>
      <c r="AD76" s="10">
        <v>2.4626823999999998</v>
      </c>
      <c r="AE76" s="10">
        <v>2.4300875</v>
      </c>
      <c r="AF76" s="10">
        <v>2.3946551999999999</v>
      </c>
      <c r="AG76" s="10">
        <v>2.3579683999999999</v>
      </c>
      <c r="AH76" s="10">
        <v>2.3214066999999998</v>
      </c>
      <c r="AI76" s="10">
        <v>2.2853585000000001</v>
      </c>
      <c r="AJ76" s="10">
        <v>2.249911</v>
      </c>
      <c r="AK76" s="10">
        <v>2.2151512000000002</v>
      </c>
      <c r="AL76" s="10">
        <v>2.1811660000000002</v>
      </c>
      <c r="AM76" s="10">
        <v>2.1480426000000001</v>
      </c>
      <c r="AN76" s="10">
        <v>2.1158679</v>
      </c>
      <c r="AO76" s="10">
        <v>2.0847289999999998</v>
      </c>
      <c r="AP76" s="10">
        <v>2.0547127999999999</v>
      </c>
      <c r="AQ76" s="10">
        <v>2.0259064000000002</v>
      </c>
      <c r="AR76" s="10">
        <v>1.9983967</v>
      </c>
      <c r="AS76" s="10">
        <v>1.9722708</v>
      </c>
      <c r="AT76" s="10">
        <v>1.9475905</v>
      </c>
      <c r="AU76" s="10">
        <v>1.9243060000000001</v>
      </c>
      <c r="AV76" s="10">
        <v>1.9023369000000001</v>
      </c>
      <c r="AW76" s="10">
        <v>1.8816027</v>
      </c>
      <c r="AX76" s="10">
        <v>1.8620228999999999</v>
      </c>
      <c r="AY76" s="10">
        <v>1.8435170999999999</v>
      </c>
      <c r="AZ76" s="10">
        <v>1.8260046999999999</v>
      </c>
      <c r="BA76" s="10">
        <v>1.8094053999999999</v>
      </c>
      <c r="BB76" s="10">
        <v>1.7936386</v>
      </c>
      <c r="BC76" s="10">
        <v>1.7786238999999999</v>
      </c>
      <c r="BD76" s="10">
        <v>1.7642807</v>
      </c>
      <c r="BE76" s="10">
        <v>1.7505288000000001</v>
      </c>
      <c r="BF76" s="10">
        <v>1.7372974999999999</v>
      </c>
      <c r="BG76" s="10">
        <v>1.7245611999999999</v>
      </c>
      <c r="BH76" s="10">
        <v>1.7123063000000001</v>
      </c>
      <c r="BI76" s="10">
        <v>1.7005192</v>
      </c>
      <c r="BJ76" s="10">
        <v>1.6891864999999999</v>
      </c>
      <c r="BK76" s="10">
        <v>1.6782945</v>
      </c>
      <c r="BL76" s="10">
        <v>1.6678298</v>
      </c>
      <c r="BM76" s="10">
        <v>1.6577788</v>
      </c>
      <c r="BN76" s="10">
        <v>1.648128</v>
      </c>
      <c r="BO76" s="10">
        <v>1.6388638</v>
      </c>
      <c r="BP76" s="10">
        <v>1.6299726999999999</v>
      </c>
      <c r="BQ76" s="10">
        <v>1.6214412</v>
      </c>
      <c r="BR76" s="10">
        <v>1.5773864</v>
      </c>
      <c r="BS76" s="10">
        <v>1.5449355</v>
      </c>
      <c r="BU76" s="7">
        <v>1.48</v>
      </c>
      <c r="BV76" s="7">
        <v>1.72</v>
      </c>
      <c r="BW76" s="9">
        <v>81.529899999999998</v>
      </c>
    </row>
    <row r="77" spans="1:75" x14ac:dyDescent="0.25">
      <c r="A77" s="6">
        <f t="shared" si="5"/>
        <v>44659</v>
      </c>
      <c r="B77" s="13">
        <f t="shared" si="6"/>
        <v>4</v>
      </c>
      <c r="C77" s="13">
        <f t="shared" si="7"/>
        <v>2022</v>
      </c>
      <c r="D77">
        <f t="shared" si="8"/>
        <v>202204</v>
      </c>
      <c r="E77">
        <f t="shared" si="9"/>
        <v>2</v>
      </c>
      <c r="F77">
        <f t="shared" si="10"/>
        <v>202202</v>
      </c>
      <c r="G77" t="s">
        <v>264</v>
      </c>
      <c r="H77" s="9">
        <v>0.75</v>
      </c>
      <c r="I77" s="9">
        <v>0.69120000000000004</v>
      </c>
      <c r="J77" s="10">
        <v>0.84339330000000001</v>
      </c>
      <c r="K77" s="10">
        <v>1.0431528000000001</v>
      </c>
      <c r="L77" s="10">
        <v>1.2119161000000001</v>
      </c>
      <c r="M77" s="10">
        <v>1.3705503999999999</v>
      </c>
      <c r="N77" s="10">
        <v>1.5283528</v>
      </c>
      <c r="O77" s="10">
        <v>1.682499</v>
      </c>
      <c r="P77" s="10">
        <v>1.8293493000000001</v>
      </c>
      <c r="Q77" s="10">
        <v>1.9662409999999999</v>
      </c>
      <c r="R77" s="10">
        <v>2.0914560999999998</v>
      </c>
      <c r="S77" s="10">
        <v>2.2036047000000001</v>
      </c>
      <c r="T77" s="10">
        <v>2.3017373999999999</v>
      </c>
      <c r="U77" s="10">
        <v>2.3842254000000001</v>
      </c>
      <c r="V77" s="10">
        <v>2.4493190999999999</v>
      </c>
      <c r="W77" s="10">
        <v>2.4976870999999998</v>
      </c>
      <c r="X77" s="10">
        <v>2.5308373</v>
      </c>
      <c r="Y77" s="10">
        <v>2.5502777999999999</v>
      </c>
      <c r="Z77" s="10">
        <v>2.5575169</v>
      </c>
      <c r="AA77" s="10">
        <v>2.5540628000000001</v>
      </c>
      <c r="AB77" s="10">
        <v>2.5414292000000001</v>
      </c>
      <c r="AC77" s="10">
        <v>2.5211554</v>
      </c>
      <c r="AD77" s="10">
        <v>2.4947878000000001</v>
      </c>
      <c r="AE77" s="10">
        <v>2.463873</v>
      </c>
      <c r="AF77" s="10">
        <v>2.4299575</v>
      </c>
      <c r="AG77" s="10">
        <v>2.3945878</v>
      </c>
      <c r="AH77" s="10">
        <v>2.3590938000000001</v>
      </c>
      <c r="AI77" s="10">
        <v>2.3238482</v>
      </c>
      <c r="AJ77" s="10">
        <v>2.2889599999999999</v>
      </c>
      <c r="AK77" s="10">
        <v>2.2545380000000002</v>
      </c>
      <c r="AL77" s="10">
        <v>2.2206909000000001</v>
      </c>
      <c r="AM77" s="10">
        <v>2.1875276000000001</v>
      </c>
      <c r="AN77" s="10">
        <v>2.155157</v>
      </c>
      <c r="AO77" s="10">
        <v>2.1236879000000002</v>
      </c>
      <c r="AP77" s="10">
        <v>2.0932290999999998</v>
      </c>
      <c r="AQ77" s="10">
        <v>2.0638895000000002</v>
      </c>
      <c r="AR77" s="10">
        <v>2.0357778</v>
      </c>
      <c r="AS77" s="10">
        <v>2.0090029999999999</v>
      </c>
      <c r="AT77" s="10">
        <v>1.9836463</v>
      </c>
      <c r="AU77" s="10">
        <v>1.9596674999999999</v>
      </c>
      <c r="AV77" s="10">
        <v>1.9369928000000001</v>
      </c>
      <c r="AW77" s="10">
        <v>1.9155483</v>
      </c>
      <c r="AX77" s="10">
        <v>1.8952602000000001</v>
      </c>
      <c r="AY77" s="10">
        <v>1.8760547999999999</v>
      </c>
      <c r="AZ77" s="10">
        <v>1.8578583</v>
      </c>
      <c r="BA77" s="10">
        <v>1.8405967999999999</v>
      </c>
      <c r="BB77" s="10">
        <v>1.8241966000000001</v>
      </c>
      <c r="BC77" s="10">
        <v>1.8085838000000001</v>
      </c>
      <c r="BD77" s="10">
        <v>1.7936846</v>
      </c>
      <c r="BE77" s="10">
        <v>1.7794253</v>
      </c>
      <c r="BF77" s="10">
        <v>1.7657408999999999</v>
      </c>
      <c r="BG77" s="10">
        <v>1.7526056000000001</v>
      </c>
      <c r="BH77" s="10">
        <v>1.7400042</v>
      </c>
      <c r="BI77" s="10">
        <v>1.7279218999999999</v>
      </c>
      <c r="BJ77" s="10">
        <v>1.7163435</v>
      </c>
      <c r="BK77" s="10">
        <v>1.7052539</v>
      </c>
      <c r="BL77" s="10">
        <v>1.6946382</v>
      </c>
      <c r="BM77" s="10">
        <v>1.6844812</v>
      </c>
      <c r="BN77" s="10">
        <v>1.674768</v>
      </c>
      <c r="BO77" s="10">
        <v>1.6654834999999999</v>
      </c>
      <c r="BP77" s="10">
        <v>1.6566126000000001</v>
      </c>
      <c r="BQ77" s="10">
        <v>1.6481403999999999</v>
      </c>
      <c r="BR77" s="10">
        <v>1.6051685</v>
      </c>
      <c r="BS77" s="10">
        <v>1.5747799</v>
      </c>
      <c r="BU77" s="7">
        <v>1.5</v>
      </c>
      <c r="BV77" s="7">
        <v>1.76</v>
      </c>
      <c r="BW77" s="9">
        <v>81.312299999999993</v>
      </c>
    </row>
    <row r="78" spans="1:75" x14ac:dyDescent="0.25">
      <c r="A78" s="6">
        <f t="shared" ref="A78:A141" si="11">+A73+7</f>
        <v>44662</v>
      </c>
      <c r="B78" s="13">
        <f t="shared" si="6"/>
        <v>4</v>
      </c>
      <c r="C78" s="13">
        <f t="shared" si="7"/>
        <v>2022</v>
      </c>
      <c r="D78">
        <f t="shared" si="8"/>
        <v>202204</v>
      </c>
      <c r="E78">
        <f t="shared" si="9"/>
        <v>2</v>
      </c>
      <c r="F78">
        <f t="shared" si="10"/>
        <v>202202</v>
      </c>
      <c r="G78" t="s">
        <v>265</v>
      </c>
      <c r="H78" s="9">
        <v>0.75</v>
      </c>
      <c r="I78" s="9">
        <v>0.69020000000000004</v>
      </c>
      <c r="J78" s="10">
        <v>0.86225160000000001</v>
      </c>
      <c r="K78" s="10">
        <v>1.0614218</v>
      </c>
      <c r="L78" s="10">
        <v>1.2335786</v>
      </c>
      <c r="M78" s="10">
        <v>1.3941797</v>
      </c>
      <c r="N78" s="10">
        <v>1.5527096</v>
      </c>
      <c r="O78" s="10">
        <v>1.7077263</v>
      </c>
      <c r="P78" s="10">
        <v>1.8559721</v>
      </c>
      <c r="Q78" s="10">
        <v>1.9956183999999999</v>
      </c>
      <c r="R78" s="10">
        <v>2.1252586</v>
      </c>
      <c r="S78" s="10">
        <v>2.2437946000000002</v>
      </c>
      <c r="T78" s="10">
        <v>2.3495905000000001</v>
      </c>
      <c r="U78" s="10">
        <v>2.4405263000000001</v>
      </c>
      <c r="V78" s="10">
        <v>2.5137884000000001</v>
      </c>
      <c r="W78" s="10">
        <v>2.5698446000000001</v>
      </c>
      <c r="X78" s="10">
        <v>2.6101024000000002</v>
      </c>
      <c r="Y78" s="10">
        <v>2.6359691000000001</v>
      </c>
      <c r="Z78" s="10">
        <v>2.6488523000000002</v>
      </c>
      <c r="AA78" s="10">
        <v>2.6501592</v>
      </c>
      <c r="AB78" s="10">
        <v>2.6413392</v>
      </c>
      <c r="AC78" s="10">
        <v>2.6240177</v>
      </c>
      <c r="AD78" s="10">
        <v>2.5998663</v>
      </c>
      <c r="AE78" s="10">
        <v>2.5705566000000002</v>
      </c>
      <c r="AF78" s="10">
        <v>2.5377602000000001</v>
      </c>
      <c r="AG78" s="10">
        <v>2.5031487000000001</v>
      </c>
      <c r="AH78" s="10">
        <v>2.4681614000000001</v>
      </c>
      <c r="AI78" s="10">
        <v>2.4332120000000002</v>
      </c>
      <c r="AJ78" s="10">
        <v>2.3984312000000001</v>
      </c>
      <c r="AK78" s="10">
        <v>2.3639496000000002</v>
      </c>
      <c r="AL78" s="10">
        <v>2.329898</v>
      </c>
      <c r="AM78" s="10">
        <v>2.2964071000000001</v>
      </c>
      <c r="AN78" s="10">
        <v>2.2636075999999998</v>
      </c>
      <c r="AO78" s="10">
        <v>2.2316302000000001</v>
      </c>
      <c r="AP78" s="10">
        <v>2.2006055</v>
      </c>
      <c r="AQ78" s="10">
        <v>2.1706644000000002</v>
      </c>
      <c r="AR78" s="10">
        <v>2.1419374000000002</v>
      </c>
      <c r="AS78" s="10">
        <v>2.1145551999999999</v>
      </c>
      <c r="AT78" s="10">
        <v>2.0886182</v>
      </c>
      <c r="AU78" s="10">
        <v>2.0640920999999999</v>
      </c>
      <c r="AV78" s="10">
        <v>2.0409054000000002</v>
      </c>
      <c r="AW78" s="10">
        <v>2.0189868999999998</v>
      </c>
      <c r="AX78" s="10">
        <v>1.9982651</v>
      </c>
      <c r="AY78" s="10">
        <v>1.9786687000000001</v>
      </c>
      <c r="AZ78" s="10">
        <v>1.9601264</v>
      </c>
      <c r="BA78" s="10">
        <v>1.9425668</v>
      </c>
      <c r="BB78" s="10">
        <v>1.9259185000000001</v>
      </c>
      <c r="BC78" s="10">
        <v>1.9101101</v>
      </c>
      <c r="BD78" s="10">
        <v>1.8950704</v>
      </c>
      <c r="BE78" s="10">
        <v>1.8807278000000001</v>
      </c>
      <c r="BF78" s="10">
        <v>1.8670177999999999</v>
      </c>
      <c r="BG78" s="10">
        <v>1.8539114000000001</v>
      </c>
      <c r="BH78" s="10">
        <v>1.8413915999999999</v>
      </c>
      <c r="BI78" s="10">
        <v>1.8294416</v>
      </c>
      <c r="BJ78" s="10">
        <v>1.8180444</v>
      </c>
      <c r="BK78" s="10">
        <v>1.8071831</v>
      </c>
      <c r="BL78" s="10">
        <v>1.7968408</v>
      </c>
      <c r="BM78" s="10">
        <v>1.7870006000000001</v>
      </c>
      <c r="BN78" s="10">
        <v>1.7776456</v>
      </c>
      <c r="BO78" s="10">
        <v>1.7687588000000001</v>
      </c>
      <c r="BP78" s="10">
        <v>1.7603233</v>
      </c>
      <c r="BQ78" s="10">
        <v>1.7523222000000001</v>
      </c>
      <c r="BR78" s="10">
        <v>1.7127133999999999</v>
      </c>
      <c r="BS78" s="10">
        <v>1.6858442</v>
      </c>
      <c r="BU78" s="7">
        <v>1.56</v>
      </c>
      <c r="BV78" s="7">
        <v>1.85</v>
      </c>
      <c r="BW78" s="9">
        <v>81.486699999999999</v>
      </c>
    </row>
    <row r="79" spans="1:75" x14ac:dyDescent="0.25">
      <c r="A79" s="6">
        <f t="shared" si="11"/>
        <v>44663</v>
      </c>
      <c r="B79" s="13">
        <f t="shared" si="6"/>
        <v>4</v>
      </c>
      <c r="C79" s="13">
        <f t="shared" si="7"/>
        <v>2022</v>
      </c>
      <c r="D79">
        <f t="shared" si="8"/>
        <v>202204</v>
      </c>
      <c r="E79">
        <f t="shared" si="9"/>
        <v>2</v>
      </c>
      <c r="F79">
        <f t="shared" si="10"/>
        <v>202202</v>
      </c>
      <c r="G79" t="s">
        <v>266</v>
      </c>
      <c r="H79" s="9">
        <v>0.75</v>
      </c>
      <c r="I79" s="9">
        <v>0.69059999999999999</v>
      </c>
      <c r="J79" s="10">
        <v>0.86928430000000001</v>
      </c>
      <c r="K79" s="10">
        <v>1.0660464999999999</v>
      </c>
      <c r="L79" s="10">
        <v>1.2350927</v>
      </c>
      <c r="M79" s="10">
        <v>1.3889578</v>
      </c>
      <c r="N79" s="10">
        <v>1.5380539</v>
      </c>
      <c r="O79" s="10">
        <v>1.6835251</v>
      </c>
      <c r="P79" s="10">
        <v>1.8240771</v>
      </c>
      <c r="Q79" s="10">
        <v>1.9586882999999999</v>
      </c>
      <c r="R79" s="10">
        <v>2.0855562999999999</v>
      </c>
      <c r="S79" s="10">
        <v>2.2025336000000002</v>
      </c>
      <c r="T79" s="10">
        <v>2.3074922999999998</v>
      </c>
      <c r="U79" s="10">
        <v>2.3975716</v>
      </c>
      <c r="V79" s="10">
        <v>2.4696775999999998</v>
      </c>
      <c r="W79" s="10">
        <v>2.5242613</v>
      </c>
      <c r="X79" s="10">
        <v>2.5627258999999998</v>
      </c>
      <c r="Y79" s="10">
        <v>2.5864745999999998</v>
      </c>
      <c r="Z79" s="10">
        <v>2.5969106000000002</v>
      </c>
      <c r="AA79" s="10">
        <v>2.595437</v>
      </c>
      <c r="AB79" s="10">
        <v>2.5835224000000001</v>
      </c>
      <c r="AC79" s="10">
        <v>2.5629095999999998</v>
      </c>
      <c r="AD79" s="10">
        <v>2.5354135000000002</v>
      </c>
      <c r="AE79" s="10">
        <v>2.5028489999999999</v>
      </c>
      <c r="AF79" s="10">
        <v>2.4670310999999998</v>
      </c>
      <c r="AG79" s="10">
        <v>2.4297746</v>
      </c>
      <c r="AH79" s="10">
        <v>2.3926365000000001</v>
      </c>
      <c r="AI79" s="10">
        <v>2.3560338000000001</v>
      </c>
      <c r="AJ79" s="10">
        <v>2.3200694999999998</v>
      </c>
      <c r="AK79" s="10">
        <v>2.2848465</v>
      </c>
      <c r="AL79" s="10">
        <v>2.2504675000000001</v>
      </c>
      <c r="AM79" s="10">
        <v>2.2170353999999999</v>
      </c>
      <c r="AN79" s="10">
        <v>2.1846530999999998</v>
      </c>
      <c r="AO79" s="10">
        <v>2.1534233999999999</v>
      </c>
      <c r="AP79" s="10">
        <v>2.1234492</v>
      </c>
      <c r="AQ79" s="10">
        <v>2.0948332000000001</v>
      </c>
      <c r="AR79" s="10">
        <v>2.0676784000000001</v>
      </c>
      <c r="AS79" s="10">
        <v>2.0420875999999999</v>
      </c>
      <c r="AT79" s="10">
        <v>2.0181387000000002</v>
      </c>
      <c r="AU79" s="10">
        <v>1.9957750000000001</v>
      </c>
      <c r="AV79" s="10">
        <v>1.9748949</v>
      </c>
      <c r="AW79" s="10">
        <v>1.9553966</v>
      </c>
      <c r="AX79" s="10">
        <v>1.9371784000000001</v>
      </c>
      <c r="AY79" s="10">
        <v>1.9201385</v>
      </c>
      <c r="AZ79" s="10">
        <v>1.9041752999999999</v>
      </c>
      <c r="BA79" s="10">
        <v>1.8891871</v>
      </c>
      <c r="BB79" s="10">
        <v>1.8750720000000001</v>
      </c>
      <c r="BC79" s="10">
        <v>1.8617284000000001</v>
      </c>
      <c r="BD79" s="10">
        <v>1.8490545</v>
      </c>
      <c r="BE79" s="10">
        <v>1.8369485999999999</v>
      </c>
      <c r="BF79" s="10">
        <v>1.8253208000000001</v>
      </c>
      <c r="BG79" s="10">
        <v>1.8141392999999999</v>
      </c>
      <c r="BH79" s="10">
        <v>1.8033897999999999</v>
      </c>
      <c r="BI79" s="10">
        <v>1.7930579</v>
      </c>
      <c r="BJ79" s="10">
        <v>1.7831294</v>
      </c>
      <c r="BK79" s="10">
        <v>1.7735898999999999</v>
      </c>
      <c r="BL79" s="10">
        <v>1.7644253000000001</v>
      </c>
      <c r="BM79" s="10">
        <v>1.7556212</v>
      </c>
      <c r="BN79" s="10">
        <v>1.7471633</v>
      </c>
      <c r="BO79" s="10">
        <v>1.7390374</v>
      </c>
      <c r="BP79" s="10">
        <v>1.7312291</v>
      </c>
      <c r="BQ79" s="10">
        <v>1.7237241999999999</v>
      </c>
      <c r="BR79" s="10">
        <v>1.6847049999999999</v>
      </c>
      <c r="BS79" s="10">
        <v>1.6556740999999999</v>
      </c>
      <c r="BU79" s="7">
        <v>1.51</v>
      </c>
      <c r="BV79" s="7">
        <v>1.8</v>
      </c>
      <c r="BW79" s="9">
        <v>81.503600000000006</v>
      </c>
    </row>
    <row r="80" spans="1:75" x14ac:dyDescent="0.25">
      <c r="A80" s="6">
        <f t="shared" si="11"/>
        <v>44664</v>
      </c>
      <c r="B80" s="13">
        <f t="shared" si="6"/>
        <v>4</v>
      </c>
      <c r="C80" s="13">
        <f t="shared" si="7"/>
        <v>2022</v>
      </c>
      <c r="D80">
        <f t="shared" si="8"/>
        <v>202204</v>
      </c>
      <c r="E80">
        <f t="shared" si="9"/>
        <v>2</v>
      </c>
      <c r="F80">
        <f t="shared" si="10"/>
        <v>202202</v>
      </c>
      <c r="G80" t="s">
        <v>267</v>
      </c>
      <c r="H80" s="9">
        <v>0.75</v>
      </c>
      <c r="I80" s="9">
        <v>0.6905</v>
      </c>
      <c r="J80" s="10">
        <v>0.90026689999999998</v>
      </c>
      <c r="K80" s="10">
        <v>1.1002615</v>
      </c>
      <c r="L80" s="10">
        <v>1.2704610000000001</v>
      </c>
      <c r="M80" s="10">
        <v>1.4241927000000001</v>
      </c>
      <c r="N80" s="10">
        <v>1.5716517000000001</v>
      </c>
      <c r="O80" s="10">
        <v>1.7145611000000001</v>
      </c>
      <c r="P80" s="10">
        <v>1.8526339000000001</v>
      </c>
      <c r="Q80" s="10">
        <v>1.9856407</v>
      </c>
      <c r="R80" s="10">
        <v>2.1119762999999998</v>
      </c>
      <c r="S80" s="10">
        <v>2.2292209000000001</v>
      </c>
      <c r="T80" s="10">
        <v>2.3346182999999998</v>
      </c>
      <c r="U80" s="10">
        <v>2.4248653999999998</v>
      </c>
      <c r="V80" s="10">
        <v>2.4960270000000002</v>
      </c>
      <c r="W80" s="10">
        <v>2.5485918000000001</v>
      </c>
      <c r="X80" s="10">
        <v>2.5842630999999998</v>
      </c>
      <c r="Y80" s="10">
        <v>2.6047446999999999</v>
      </c>
      <c r="Z80" s="10">
        <v>2.6117401</v>
      </c>
      <c r="AA80" s="10">
        <v>2.6069528000000002</v>
      </c>
      <c r="AB80" s="10">
        <v>2.5921009000000002</v>
      </c>
      <c r="AC80" s="10">
        <v>2.5689633000000001</v>
      </c>
      <c r="AD80" s="10">
        <v>2.5393346000000001</v>
      </c>
      <c r="AE80" s="10">
        <v>2.5050096000000002</v>
      </c>
      <c r="AF80" s="10">
        <v>2.4677829999999998</v>
      </c>
      <c r="AG80" s="10">
        <v>2.4294495999999999</v>
      </c>
      <c r="AH80" s="10">
        <v>2.3915924</v>
      </c>
      <c r="AI80" s="10">
        <v>2.3546535</v>
      </c>
      <c r="AJ80" s="10">
        <v>2.3186930000000001</v>
      </c>
      <c r="AK80" s="10">
        <v>2.2837705000000001</v>
      </c>
      <c r="AL80" s="10">
        <v>2.2499454999999999</v>
      </c>
      <c r="AM80" s="10">
        <v>2.2172778000000002</v>
      </c>
      <c r="AN80" s="10">
        <v>2.1858270000000002</v>
      </c>
      <c r="AO80" s="10">
        <v>2.1556525999999998</v>
      </c>
      <c r="AP80" s="10">
        <v>2.1268142999999999</v>
      </c>
      <c r="AQ80" s="10">
        <v>2.0993719</v>
      </c>
      <c r="AR80" s="10">
        <v>2.0733847999999999</v>
      </c>
      <c r="AS80" s="10">
        <v>2.0489126999999998</v>
      </c>
      <c r="AT80" s="10">
        <v>2.0259942</v>
      </c>
      <c r="AU80" s="10">
        <v>2.0045652999999999</v>
      </c>
      <c r="AV80" s="10">
        <v>1.9845306</v>
      </c>
      <c r="AW80" s="10">
        <v>1.965795</v>
      </c>
      <c r="AX80" s="10">
        <v>1.9482630000000001</v>
      </c>
      <c r="AY80" s="10">
        <v>1.9318394999999999</v>
      </c>
      <c r="AZ80" s="10">
        <v>1.9164291</v>
      </c>
      <c r="BA80" s="10">
        <v>1.9019366</v>
      </c>
      <c r="BB80" s="10">
        <v>1.8882665999999999</v>
      </c>
      <c r="BC80" s="10">
        <v>1.8753238999999999</v>
      </c>
      <c r="BD80" s="10">
        <v>1.8630131999999999</v>
      </c>
      <c r="BE80" s="10">
        <v>1.8512392</v>
      </c>
      <c r="BF80" s="10">
        <v>1.8399193</v>
      </c>
      <c r="BG80" s="10">
        <v>1.8290268000000001</v>
      </c>
      <c r="BH80" s="10">
        <v>1.8185503000000001</v>
      </c>
      <c r="BI80" s="10">
        <v>1.8084785000000001</v>
      </c>
      <c r="BJ80" s="10">
        <v>1.7988001</v>
      </c>
      <c r="BK80" s="10">
        <v>1.7895038000000001</v>
      </c>
      <c r="BL80" s="10">
        <v>1.7805782999999999</v>
      </c>
      <c r="BM80" s="10">
        <v>1.7720123000000001</v>
      </c>
      <c r="BN80" s="10">
        <v>1.7637944999999999</v>
      </c>
      <c r="BO80" s="10">
        <v>1.7559134000000001</v>
      </c>
      <c r="BP80" s="10">
        <v>1.7483579</v>
      </c>
      <c r="BQ80" s="10">
        <v>1.7411166</v>
      </c>
      <c r="BR80" s="10">
        <v>1.7039168</v>
      </c>
      <c r="BS80" s="10">
        <v>1.6768947999999999</v>
      </c>
      <c r="BU80" s="7">
        <v>1.49</v>
      </c>
      <c r="BV80" s="7">
        <v>1.81</v>
      </c>
      <c r="BW80" s="9">
        <v>81.639600000000002</v>
      </c>
    </row>
    <row r="81" spans="1:75" x14ac:dyDescent="0.25">
      <c r="A81" s="6">
        <f t="shared" si="11"/>
        <v>44665</v>
      </c>
      <c r="B81" s="13">
        <f t="shared" si="6"/>
        <v>4</v>
      </c>
      <c r="C81" s="13">
        <f t="shared" si="7"/>
        <v>2022</v>
      </c>
      <c r="D81">
        <f t="shared" si="8"/>
        <v>202204</v>
      </c>
      <c r="E81">
        <f t="shared" si="9"/>
        <v>2</v>
      </c>
      <c r="F81">
        <f t="shared" si="10"/>
        <v>202202</v>
      </c>
      <c r="G81" t="s">
        <v>268</v>
      </c>
      <c r="H81" s="9">
        <v>0.75</v>
      </c>
      <c r="I81" s="9">
        <v>0.69079999999999997</v>
      </c>
      <c r="J81" s="10">
        <v>0.91676650000000004</v>
      </c>
      <c r="K81" s="10">
        <v>1.1146715</v>
      </c>
      <c r="L81" s="10">
        <v>1.2905475</v>
      </c>
      <c r="M81" s="10">
        <v>1.4552974000000001</v>
      </c>
      <c r="N81" s="10">
        <v>1.6152791</v>
      </c>
      <c r="O81" s="10">
        <v>1.7693232999999999</v>
      </c>
      <c r="P81" s="10">
        <v>1.9156515000000001</v>
      </c>
      <c r="Q81" s="10">
        <v>2.0539288999999998</v>
      </c>
      <c r="R81" s="10">
        <v>2.1830728000000001</v>
      </c>
      <c r="S81" s="10">
        <v>2.3008166999999999</v>
      </c>
      <c r="T81" s="10">
        <v>2.4051418999999998</v>
      </c>
      <c r="U81" s="10">
        <v>2.4931749000000001</v>
      </c>
      <c r="V81" s="10">
        <v>2.5619705000000002</v>
      </c>
      <c r="W81" s="10">
        <v>2.6122293000000001</v>
      </c>
      <c r="X81" s="10">
        <v>2.6456084</v>
      </c>
      <c r="Y81" s="10">
        <v>2.6637648999999999</v>
      </c>
      <c r="Z81" s="10">
        <v>2.6683558000000001</v>
      </c>
      <c r="AA81" s="10">
        <v>2.6610382000000001</v>
      </c>
      <c r="AB81" s="10">
        <v>2.6435053000000002</v>
      </c>
      <c r="AC81" s="10">
        <v>2.6176346000000001</v>
      </c>
      <c r="AD81" s="10">
        <v>2.5853628999999998</v>
      </c>
      <c r="AE81" s="10">
        <v>2.5486266999999998</v>
      </c>
      <c r="AF81" s="10">
        <v>2.5093627999999999</v>
      </c>
      <c r="AG81" s="10">
        <v>2.4695079</v>
      </c>
      <c r="AH81" s="10">
        <v>2.4307371</v>
      </c>
      <c r="AI81" s="10">
        <v>2.3934506999999998</v>
      </c>
      <c r="AJ81" s="10">
        <v>2.3576611999999999</v>
      </c>
      <c r="AK81" s="10">
        <v>2.3233809000000001</v>
      </c>
      <c r="AL81" s="10">
        <v>2.2906222999999999</v>
      </c>
      <c r="AM81" s="10">
        <v>2.2593975999999998</v>
      </c>
      <c r="AN81" s="10">
        <v>2.2297193000000002</v>
      </c>
      <c r="AO81" s="10">
        <v>2.2015997999999999</v>
      </c>
      <c r="AP81" s="10">
        <v>2.1750512999999998</v>
      </c>
      <c r="AQ81" s="10">
        <v>2.1500862999999999</v>
      </c>
      <c r="AR81" s="10">
        <v>2.1267171</v>
      </c>
      <c r="AS81" s="10">
        <v>2.1049562000000002</v>
      </c>
      <c r="AT81" s="10">
        <v>2.0847956999999999</v>
      </c>
      <c r="AU81" s="10">
        <v>2.0661391999999998</v>
      </c>
      <c r="AV81" s="10">
        <v>2.0488658000000002</v>
      </c>
      <c r="AW81" s="10">
        <v>2.0328545</v>
      </c>
      <c r="AX81" s="10">
        <v>2.0179844999999998</v>
      </c>
      <c r="AY81" s="10">
        <v>2.0041346999999998</v>
      </c>
      <c r="AZ81" s="10">
        <v>1.9911843</v>
      </c>
      <c r="BA81" s="10">
        <v>1.9790122999999999</v>
      </c>
      <c r="BB81" s="10">
        <v>1.9674978999999999</v>
      </c>
      <c r="BC81" s="10">
        <v>1.9565199</v>
      </c>
      <c r="BD81" s="10">
        <v>1.9459576000000001</v>
      </c>
      <c r="BE81" s="10">
        <v>1.9356899999999999</v>
      </c>
      <c r="BF81" s="10">
        <v>1.9256150000000001</v>
      </c>
      <c r="BG81" s="10">
        <v>1.9157135000000001</v>
      </c>
      <c r="BH81" s="10">
        <v>1.9059893000000001</v>
      </c>
      <c r="BI81" s="10">
        <v>1.8964463</v>
      </c>
      <c r="BJ81" s="10">
        <v>1.8870884000000001</v>
      </c>
      <c r="BK81" s="10">
        <v>1.8779195</v>
      </c>
      <c r="BL81" s="10">
        <v>1.8689433</v>
      </c>
      <c r="BM81" s="10">
        <v>1.8601637</v>
      </c>
      <c r="BN81" s="10">
        <v>1.8515846</v>
      </c>
      <c r="BO81" s="10">
        <v>1.8432097999999999</v>
      </c>
      <c r="BP81" s="10">
        <v>1.8350432000000001</v>
      </c>
      <c r="BQ81" s="10">
        <v>1.8270886</v>
      </c>
      <c r="BR81" s="10">
        <v>1.7841488999999999</v>
      </c>
      <c r="BS81" s="10">
        <v>1.750537</v>
      </c>
      <c r="BU81" s="7">
        <v>1.56</v>
      </c>
      <c r="BV81" s="7">
        <v>1.89</v>
      </c>
      <c r="BW81" s="9">
        <v>81.968800000000002</v>
      </c>
    </row>
    <row r="82" spans="1:75" x14ac:dyDescent="0.25">
      <c r="A82" s="6">
        <f t="shared" si="11"/>
        <v>44666</v>
      </c>
      <c r="B82" s="13">
        <f t="shared" si="6"/>
        <v>4</v>
      </c>
      <c r="C82" s="13">
        <f t="shared" si="7"/>
        <v>2022</v>
      </c>
      <c r="D82">
        <f t="shared" si="8"/>
        <v>202204</v>
      </c>
      <c r="E82">
        <f t="shared" si="9"/>
        <v>2</v>
      </c>
      <c r="F82">
        <f t="shared" si="10"/>
        <v>202202</v>
      </c>
      <c r="G82" t="s">
        <v>269</v>
      </c>
      <c r="H82" s="9">
        <v>0.75</v>
      </c>
      <c r="I82" s="9" t="e">
        <v>#N/A</v>
      </c>
      <c r="J82" s="10" t="e">
        <v>#N/A</v>
      </c>
      <c r="K82" s="10" t="e">
        <v>#N/A</v>
      </c>
      <c r="L82" s="10" t="e">
        <v>#N/A</v>
      </c>
      <c r="M82" s="10" t="e">
        <v>#N/A</v>
      </c>
      <c r="N82" s="10" t="e">
        <v>#N/A</v>
      </c>
      <c r="O82" s="10" t="e">
        <v>#N/A</v>
      </c>
      <c r="P82" s="10" t="e">
        <v>#N/A</v>
      </c>
      <c r="Q82" s="10" t="e">
        <v>#N/A</v>
      </c>
      <c r="R82" s="10" t="e">
        <v>#N/A</v>
      </c>
      <c r="S82" s="10" t="e">
        <v>#N/A</v>
      </c>
      <c r="T82" s="10" t="e">
        <v>#N/A</v>
      </c>
      <c r="U82" s="10" t="e">
        <v>#N/A</v>
      </c>
      <c r="V82" s="10" t="e">
        <v>#N/A</v>
      </c>
      <c r="W82" s="10" t="e">
        <v>#N/A</v>
      </c>
      <c r="X82" s="10" t="e">
        <v>#N/A</v>
      </c>
      <c r="Y82" s="10" t="e">
        <v>#N/A</v>
      </c>
      <c r="Z82" s="10" t="e">
        <v>#N/A</v>
      </c>
      <c r="AA82" s="10" t="e">
        <v>#N/A</v>
      </c>
      <c r="AB82" s="10" t="e">
        <v>#N/A</v>
      </c>
      <c r="AC82" s="10" t="e">
        <v>#N/A</v>
      </c>
      <c r="AD82" s="10" t="e">
        <v>#N/A</v>
      </c>
      <c r="AE82" s="10" t="e">
        <v>#N/A</v>
      </c>
      <c r="AF82" s="10" t="e">
        <v>#N/A</v>
      </c>
      <c r="AG82" s="10" t="e">
        <v>#N/A</v>
      </c>
      <c r="AH82" s="10" t="e">
        <v>#N/A</v>
      </c>
      <c r="AI82" s="10" t="e">
        <v>#N/A</v>
      </c>
      <c r="AJ82" s="10" t="e">
        <v>#N/A</v>
      </c>
      <c r="AK82" s="10" t="e">
        <v>#N/A</v>
      </c>
      <c r="AL82" s="10" t="e">
        <v>#N/A</v>
      </c>
      <c r="AM82" s="10" t="e">
        <v>#N/A</v>
      </c>
      <c r="AN82" s="10" t="e">
        <v>#N/A</v>
      </c>
      <c r="AO82" s="10" t="e">
        <v>#N/A</v>
      </c>
      <c r="AP82" s="10" t="e">
        <v>#N/A</v>
      </c>
      <c r="AQ82" s="10" t="e">
        <v>#N/A</v>
      </c>
      <c r="AR82" s="10" t="e">
        <v>#N/A</v>
      </c>
      <c r="AS82" s="10" t="e">
        <v>#N/A</v>
      </c>
      <c r="AT82" s="10" t="e">
        <v>#N/A</v>
      </c>
      <c r="AU82" s="10" t="e">
        <v>#N/A</v>
      </c>
      <c r="AV82" s="10" t="e">
        <v>#N/A</v>
      </c>
      <c r="AW82" s="10" t="e">
        <v>#N/A</v>
      </c>
      <c r="AX82" s="10" t="e">
        <v>#N/A</v>
      </c>
      <c r="AY82" s="10" t="e">
        <v>#N/A</v>
      </c>
      <c r="AZ82" s="10" t="e">
        <v>#N/A</v>
      </c>
      <c r="BA82" s="10" t="e">
        <v>#N/A</v>
      </c>
      <c r="BB82" s="10" t="e">
        <v>#N/A</v>
      </c>
      <c r="BC82" s="10" t="e">
        <v>#N/A</v>
      </c>
      <c r="BD82" s="10" t="e">
        <v>#N/A</v>
      </c>
      <c r="BE82" s="10" t="e">
        <v>#N/A</v>
      </c>
      <c r="BF82" s="10" t="e">
        <v>#N/A</v>
      </c>
      <c r="BG82" s="10" t="e">
        <v>#N/A</v>
      </c>
      <c r="BH82" s="10" t="e">
        <v>#N/A</v>
      </c>
      <c r="BI82" s="10" t="e">
        <v>#N/A</v>
      </c>
      <c r="BJ82" s="10" t="e">
        <v>#N/A</v>
      </c>
      <c r="BK82" s="10" t="e">
        <v>#N/A</v>
      </c>
      <c r="BL82" s="10" t="e">
        <v>#N/A</v>
      </c>
      <c r="BM82" s="10" t="e">
        <v>#N/A</v>
      </c>
      <c r="BN82" s="10" t="e">
        <v>#N/A</v>
      </c>
      <c r="BO82" s="10" t="e">
        <v>#N/A</v>
      </c>
      <c r="BP82" s="10" t="e">
        <v>#N/A</v>
      </c>
      <c r="BQ82" s="10" t="e">
        <v>#N/A</v>
      </c>
      <c r="BR82" s="10" t="e">
        <v>#N/A</v>
      </c>
      <c r="BS82" s="10" t="e">
        <v>#N/A</v>
      </c>
      <c r="BU82" s="7" t="e">
        <v>#N/A</v>
      </c>
      <c r="BV82" s="7">
        <v>1.9</v>
      </c>
      <c r="BW82" s="9" t="e">
        <v>#N/A</v>
      </c>
    </row>
    <row r="83" spans="1:75" x14ac:dyDescent="0.25">
      <c r="A83" s="6">
        <f t="shared" si="11"/>
        <v>44669</v>
      </c>
      <c r="B83" s="13">
        <f t="shared" si="6"/>
        <v>4</v>
      </c>
      <c r="C83" s="13">
        <f t="shared" si="7"/>
        <v>2022</v>
      </c>
      <c r="D83">
        <f t="shared" si="8"/>
        <v>202204</v>
      </c>
      <c r="E83">
        <f t="shared" si="9"/>
        <v>2</v>
      </c>
      <c r="F83">
        <f t="shared" si="10"/>
        <v>202202</v>
      </c>
      <c r="G83" t="s">
        <v>270</v>
      </c>
      <c r="H83" s="9">
        <v>0.75</v>
      </c>
      <c r="I83" s="9" t="e">
        <v>#N/A</v>
      </c>
      <c r="J83" s="10" t="e">
        <v>#N/A</v>
      </c>
      <c r="K83" s="10" t="e">
        <v>#N/A</v>
      </c>
      <c r="L83" s="10" t="e">
        <v>#N/A</v>
      </c>
      <c r="M83" s="10" t="e">
        <v>#N/A</v>
      </c>
      <c r="N83" s="10" t="e">
        <v>#N/A</v>
      </c>
      <c r="O83" s="10" t="e">
        <v>#N/A</v>
      </c>
      <c r="P83" s="10" t="e">
        <v>#N/A</v>
      </c>
      <c r="Q83" s="10" t="e">
        <v>#N/A</v>
      </c>
      <c r="R83" s="10" t="e">
        <v>#N/A</v>
      </c>
      <c r="S83" s="10" t="e">
        <v>#N/A</v>
      </c>
      <c r="T83" s="10" t="e">
        <v>#N/A</v>
      </c>
      <c r="U83" s="10" t="e">
        <v>#N/A</v>
      </c>
      <c r="V83" s="10" t="e">
        <v>#N/A</v>
      </c>
      <c r="W83" s="10" t="e">
        <v>#N/A</v>
      </c>
      <c r="X83" s="10" t="e">
        <v>#N/A</v>
      </c>
      <c r="Y83" s="10" t="e">
        <v>#N/A</v>
      </c>
      <c r="Z83" s="10" t="e">
        <v>#N/A</v>
      </c>
      <c r="AA83" s="10" t="e">
        <v>#N/A</v>
      </c>
      <c r="AB83" s="10" t="e">
        <v>#N/A</v>
      </c>
      <c r="AC83" s="10" t="e">
        <v>#N/A</v>
      </c>
      <c r="AD83" s="10" t="e">
        <v>#N/A</v>
      </c>
      <c r="AE83" s="10" t="e">
        <v>#N/A</v>
      </c>
      <c r="AF83" s="10" t="e">
        <v>#N/A</v>
      </c>
      <c r="AG83" s="10" t="e">
        <v>#N/A</v>
      </c>
      <c r="AH83" s="10" t="e">
        <v>#N/A</v>
      </c>
      <c r="AI83" s="10" t="e">
        <v>#N/A</v>
      </c>
      <c r="AJ83" s="10" t="e">
        <v>#N/A</v>
      </c>
      <c r="AK83" s="10" t="e">
        <v>#N/A</v>
      </c>
      <c r="AL83" s="10" t="e">
        <v>#N/A</v>
      </c>
      <c r="AM83" s="10" t="e">
        <v>#N/A</v>
      </c>
      <c r="AN83" s="10" t="e">
        <v>#N/A</v>
      </c>
      <c r="AO83" s="10" t="e">
        <v>#N/A</v>
      </c>
      <c r="AP83" s="10" t="e">
        <v>#N/A</v>
      </c>
      <c r="AQ83" s="10" t="e">
        <v>#N/A</v>
      </c>
      <c r="AR83" s="10" t="e">
        <v>#N/A</v>
      </c>
      <c r="AS83" s="10" t="e">
        <v>#N/A</v>
      </c>
      <c r="AT83" s="10" t="e">
        <v>#N/A</v>
      </c>
      <c r="AU83" s="10" t="e">
        <v>#N/A</v>
      </c>
      <c r="AV83" s="10" t="e">
        <v>#N/A</v>
      </c>
      <c r="AW83" s="10" t="e">
        <v>#N/A</v>
      </c>
      <c r="AX83" s="10" t="e">
        <v>#N/A</v>
      </c>
      <c r="AY83" s="10" t="e">
        <v>#N/A</v>
      </c>
      <c r="AZ83" s="10" t="e">
        <v>#N/A</v>
      </c>
      <c r="BA83" s="10" t="e">
        <v>#N/A</v>
      </c>
      <c r="BB83" s="10" t="e">
        <v>#N/A</v>
      </c>
      <c r="BC83" s="10" t="e">
        <v>#N/A</v>
      </c>
      <c r="BD83" s="10" t="e">
        <v>#N/A</v>
      </c>
      <c r="BE83" s="10" t="e">
        <v>#N/A</v>
      </c>
      <c r="BF83" s="10" t="e">
        <v>#N/A</v>
      </c>
      <c r="BG83" s="10" t="e">
        <v>#N/A</v>
      </c>
      <c r="BH83" s="10" t="e">
        <v>#N/A</v>
      </c>
      <c r="BI83" s="10" t="e">
        <v>#N/A</v>
      </c>
      <c r="BJ83" s="10" t="e">
        <v>#N/A</v>
      </c>
      <c r="BK83" s="10" t="e">
        <v>#N/A</v>
      </c>
      <c r="BL83" s="10" t="e">
        <v>#N/A</v>
      </c>
      <c r="BM83" s="10" t="e">
        <v>#N/A</v>
      </c>
      <c r="BN83" s="10" t="e">
        <v>#N/A</v>
      </c>
      <c r="BO83" s="10" t="e">
        <v>#N/A</v>
      </c>
      <c r="BP83" s="10" t="e">
        <v>#N/A</v>
      </c>
      <c r="BQ83" s="10" t="e">
        <v>#N/A</v>
      </c>
      <c r="BR83" s="10" t="e">
        <v>#N/A</v>
      </c>
      <c r="BS83" s="10" t="e">
        <v>#N/A</v>
      </c>
      <c r="BU83" s="7" t="e">
        <v>#N/A</v>
      </c>
      <c r="BV83" s="7">
        <v>1.88</v>
      </c>
      <c r="BW83" s="9" t="e">
        <v>#N/A</v>
      </c>
    </row>
    <row r="84" spans="1:75" x14ac:dyDescent="0.25">
      <c r="A84" s="6">
        <f t="shared" si="11"/>
        <v>44670</v>
      </c>
      <c r="B84" s="13">
        <f t="shared" si="6"/>
        <v>4</v>
      </c>
      <c r="C84" s="13">
        <f t="shared" si="7"/>
        <v>2022</v>
      </c>
      <c r="D84">
        <f t="shared" si="8"/>
        <v>202204</v>
      </c>
      <c r="E84">
        <f t="shared" si="9"/>
        <v>2</v>
      </c>
      <c r="F84">
        <f t="shared" si="10"/>
        <v>202202</v>
      </c>
      <c r="G84" t="s">
        <v>271</v>
      </c>
      <c r="H84" s="9">
        <v>0.75</v>
      </c>
      <c r="I84" s="9">
        <v>0.69020000000000004</v>
      </c>
      <c r="J84" s="10">
        <v>0.97750709999999996</v>
      </c>
      <c r="K84" s="10">
        <v>1.1316387999999999</v>
      </c>
      <c r="L84" s="10">
        <v>1.3046769</v>
      </c>
      <c r="M84" s="10">
        <v>1.4810365000000001</v>
      </c>
      <c r="N84" s="10">
        <v>1.6517139999999999</v>
      </c>
      <c r="O84" s="10">
        <v>1.8129344000000001</v>
      </c>
      <c r="P84" s="10">
        <v>1.9636415</v>
      </c>
      <c r="Q84" s="10">
        <v>2.1043235</v>
      </c>
      <c r="R84" s="10">
        <v>2.2342542000000001</v>
      </c>
      <c r="S84" s="10">
        <v>2.3518713999999998</v>
      </c>
      <c r="T84" s="10">
        <v>2.4555707</v>
      </c>
      <c r="U84" s="10">
        <v>2.5429295000000001</v>
      </c>
      <c r="V84" s="10">
        <v>2.6117962000000001</v>
      </c>
      <c r="W84" s="10">
        <v>2.6630566</v>
      </c>
      <c r="X84" s="10">
        <v>2.6983709</v>
      </c>
      <c r="Y84" s="10">
        <v>2.7193991999999998</v>
      </c>
      <c r="Z84" s="10">
        <v>2.7278017000000001</v>
      </c>
      <c r="AA84" s="10">
        <v>2.7252386</v>
      </c>
      <c r="AB84" s="10">
        <v>2.7133528999999998</v>
      </c>
      <c r="AC84" s="10">
        <v>2.6937156</v>
      </c>
      <c r="AD84" s="10">
        <v>2.6678788</v>
      </c>
      <c r="AE84" s="10">
        <v>2.6373945999999999</v>
      </c>
      <c r="AF84" s="10">
        <v>2.603815</v>
      </c>
      <c r="AG84" s="10">
        <v>2.5686922000000001</v>
      </c>
      <c r="AH84" s="10">
        <v>2.5333625</v>
      </c>
      <c r="AI84" s="10">
        <v>2.4982096</v>
      </c>
      <c r="AJ84" s="10">
        <v>2.4633544999999999</v>
      </c>
      <c r="AK84" s="10">
        <v>2.4289179999999999</v>
      </c>
      <c r="AL84" s="10">
        <v>2.3950212</v>
      </c>
      <c r="AM84" s="10">
        <v>2.3617849</v>
      </c>
      <c r="AN84" s="10">
        <v>2.3293301</v>
      </c>
      <c r="AO84" s="10">
        <v>2.2977777000000001</v>
      </c>
      <c r="AP84" s="10">
        <v>2.2672487000000001</v>
      </c>
      <c r="AQ84" s="10">
        <v>2.2378638999999998</v>
      </c>
      <c r="AR84" s="10">
        <v>2.2097443999999999</v>
      </c>
      <c r="AS84" s="10">
        <v>2.1830110999999999</v>
      </c>
      <c r="AT84" s="10">
        <v>2.1577641000000001</v>
      </c>
      <c r="AU84" s="10">
        <v>2.1339807999999998</v>
      </c>
      <c r="AV84" s="10">
        <v>2.1115929000000002</v>
      </c>
      <c r="AW84" s="10">
        <v>2.0905320000000001</v>
      </c>
      <c r="AX84" s="10">
        <v>2.0707298999999999</v>
      </c>
      <c r="AY84" s="10">
        <v>2.0521183000000001</v>
      </c>
      <c r="AZ84" s="10">
        <v>2.0346289</v>
      </c>
      <c r="BA84" s="10">
        <v>2.0181933999999999</v>
      </c>
      <c r="BB84" s="10">
        <v>2.0027434999999998</v>
      </c>
      <c r="BC84" s="10">
        <v>1.9882108999999999</v>
      </c>
      <c r="BD84" s="10">
        <v>1.9745272</v>
      </c>
      <c r="BE84" s="10">
        <v>1.9616243</v>
      </c>
      <c r="BF84" s="10">
        <v>1.9494397000000001</v>
      </c>
      <c r="BG84" s="10">
        <v>1.9379401999999999</v>
      </c>
      <c r="BH84" s="10">
        <v>1.9271012000000001</v>
      </c>
      <c r="BI84" s="10">
        <v>1.9168982000000001</v>
      </c>
      <c r="BJ84" s="10">
        <v>1.9073066999999999</v>
      </c>
      <c r="BK84" s="10">
        <v>1.8983023000000001</v>
      </c>
      <c r="BL84" s="10">
        <v>1.8898603</v>
      </c>
      <c r="BM84" s="10">
        <v>1.8819565</v>
      </c>
      <c r="BN84" s="10">
        <v>1.8745661</v>
      </c>
      <c r="BO84" s="10">
        <v>1.8676648</v>
      </c>
      <c r="BP84" s="10">
        <v>1.8612280000000001</v>
      </c>
      <c r="BQ84" s="10">
        <v>1.8552313</v>
      </c>
      <c r="BR84" s="10">
        <v>1.8275227999999999</v>
      </c>
      <c r="BS84" s="10">
        <v>1.8119270000000001</v>
      </c>
      <c r="BU84" s="7">
        <v>1.59</v>
      </c>
      <c r="BV84" s="7">
        <v>1.99</v>
      </c>
      <c r="BW84" s="9">
        <v>81.708500000000001</v>
      </c>
    </row>
    <row r="85" spans="1:75" x14ac:dyDescent="0.25">
      <c r="A85" s="6">
        <f t="shared" si="11"/>
        <v>44671</v>
      </c>
      <c r="B85" s="13">
        <f t="shared" si="6"/>
        <v>4</v>
      </c>
      <c r="C85" s="13">
        <f t="shared" si="7"/>
        <v>2022</v>
      </c>
      <c r="D85">
        <f t="shared" si="8"/>
        <v>202204</v>
      </c>
      <c r="E85">
        <f t="shared" si="9"/>
        <v>2</v>
      </c>
      <c r="F85">
        <f t="shared" si="10"/>
        <v>202202</v>
      </c>
      <c r="G85" t="s">
        <v>272</v>
      </c>
      <c r="H85" s="9">
        <v>0.75</v>
      </c>
      <c r="I85" s="9">
        <v>0.69040000000000001</v>
      </c>
      <c r="J85" s="10">
        <v>0.98454960000000002</v>
      </c>
      <c r="K85" s="10">
        <v>1.1343656</v>
      </c>
      <c r="L85" s="10">
        <v>1.3075093</v>
      </c>
      <c r="M85" s="10">
        <v>1.4849827</v>
      </c>
      <c r="N85" s="10">
        <v>1.6561272</v>
      </c>
      <c r="O85" s="10">
        <v>1.8171075000000001</v>
      </c>
      <c r="P85" s="10">
        <v>1.9671053000000001</v>
      </c>
      <c r="Q85" s="10">
        <v>2.1068745</v>
      </c>
      <c r="R85" s="10">
        <v>2.2360600000000002</v>
      </c>
      <c r="S85" s="10">
        <v>2.3533255999999998</v>
      </c>
      <c r="T85" s="10">
        <v>2.4568140000000001</v>
      </c>
      <c r="U85" s="10">
        <v>2.5440206999999999</v>
      </c>
      <c r="V85" s="10">
        <v>2.6123756</v>
      </c>
      <c r="W85" s="10">
        <v>2.6626557000000002</v>
      </c>
      <c r="X85" s="10">
        <v>2.6965249</v>
      </c>
      <c r="Y85" s="10">
        <v>2.7156473999999999</v>
      </c>
      <c r="Z85" s="10">
        <v>2.7216870000000002</v>
      </c>
      <c r="AA85" s="10">
        <v>2.7163078000000001</v>
      </c>
      <c r="AB85" s="10">
        <v>2.7011810000000001</v>
      </c>
      <c r="AC85" s="10">
        <v>2.6780073999999998</v>
      </c>
      <c r="AD85" s="10">
        <v>2.6484958000000001</v>
      </c>
      <c r="AE85" s="10">
        <v>2.6143550000000002</v>
      </c>
      <c r="AF85" s="10">
        <v>2.5772938999999999</v>
      </c>
      <c r="AG85" s="10">
        <v>2.5390210999999998</v>
      </c>
      <c r="AH85" s="10">
        <v>2.5010468000000001</v>
      </c>
      <c r="AI85" s="10">
        <v>2.4638103999999998</v>
      </c>
      <c r="AJ85" s="10">
        <v>2.4273924999999998</v>
      </c>
      <c r="AK85" s="10">
        <v>2.3918735</v>
      </c>
      <c r="AL85" s="10">
        <v>2.3573338000000001</v>
      </c>
      <c r="AM85" s="10">
        <v>2.3238538000000002</v>
      </c>
      <c r="AN85" s="10">
        <v>2.2915138000000002</v>
      </c>
      <c r="AO85" s="10">
        <v>2.2603943000000002</v>
      </c>
      <c r="AP85" s="10">
        <v>2.2305755</v>
      </c>
      <c r="AQ85" s="10">
        <v>2.2021380000000002</v>
      </c>
      <c r="AR85" s="10">
        <v>2.1751619999999998</v>
      </c>
      <c r="AS85" s="10">
        <v>2.1497278999999998</v>
      </c>
      <c r="AT85" s="10">
        <v>2.1258946000000001</v>
      </c>
      <c r="AU85" s="10">
        <v>2.1036052000000001</v>
      </c>
      <c r="AV85" s="10">
        <v>2.0827638999999998</v>
      </c>
      <c r="AW85" s="10">
        <v>2.0632749000000001</v>
      </c>
      <c r="AX85" s="10">
        <v>2.0450425000000001</v>
      </c>
      <c r="AY85" s="10">
        <v>2.0279707999999999</v>
      </c>
      <c r="AZ85" s="10">
        <v>2.0119641000000001</v>
      </c>
      <c r="BA85" s="10">
        <v>1.9969266000000001</v>
      </c>
      <c r="BB85" s="10">
        <v>1.9827625</v>
      </c>
      <c r="BC85" s="10">
        <v>1.969376</v>
      </c>
      <c r="BD85" s="10">
        <v>1.9566713</v>
      </c>
      <c r="BE85" s="10">
        <v>1.9445526</v>
      </c>
      <c r="BF85" s="10">
        <v>1.9329367</v>
      </c>
      <c r="BG85" s="10">
        <v>1.9217947</v>
      </c>
      <c r="BH85" s="10">
        <v>1.9111132</v>
      </c>
      <c r="BI85" s="10">
        <v>1.9008786</v>
      </c>
      <c r="BJ85" s="10">
        <v>1.8910773999999999</v>
      </c>
      <c r="BK85" s="10">
        <v>1.881696</v>
      </c>
      <c r="BL85" s="10">
        <v>1.8727209</v>
      </c>
      <c r="BM85" s="10">
        <v>1.8641384999999999</v>
      </c>
      <c r="BN85" s="10">
        <v>1.8559353000000001</v>
      </c>
      <c r="BO85" s="10">
        <v>1.8480977999999999</v>
      </c>
      <c r="BP85" s="10">
        <v>1.8406123999999999</v>
      </c>
      <c r="BQ85" s="10">
        <v>1.8334655</v>
      </c>
      <c r="BR85" s="10">
        <v>1.7972760999999999</v>
      </c>
      <c r="BS85" s="10">
        <v>1.7719278000000001</v>
      </c>
      <c r="BU85" s="7">
        <v>1.57</v>
      </c>
      <c r="BV85" s="7">
        <v>1.93</v>
      </c>
      <c r="BW85" s="9">
        <v>81.759</v>
      </c>
    </row>
    <row r="86" spans="1:75" x14ac:dyDescent="0.25">
      <c r="A86" s="6">
        <f t="shared" si="11"/>
        <v>44672</v>
      </c>
      <c r="B86" s="13">
        <f t="shared" si="6"/>
        <v>4</v>
      </c>
      <c r="C86" s="13">
        <f t="shared" si="7"/>
        <v>2022</v>
      </c>
      <c r="D86">
        <f t="shared" si="8"/>
        <v>202204</v>
      </c>
      <c r="E86">
        <f t="shared" si="9"/>
        <v>2</v>
      </c>
      <c r="F86">
        <f t="shared" si="10"/>
        <v>202202</v>
      </c>
      <c r="G86" t="s">
        <v>273</v>
      </c>
      <c r="H86" s="9">
        <v>0.75</v>
      </c>
      <c r="I86" s="9">
        <v>0.69040000000000001</v>
      </c>
      <c r="J86" s="10">
        <v>1.0799067</v>
      </c>
      <c r="K86" s="10">
        <v>1.2566873999999999</v>
      </c>
      <c r="L86" s="10">
        <v>1.4660016</v>
      </c>
      <c r="M86" s="10">
        <v>1.6751555</v>
      </c>
      <c r="N86" s="10">
        <v>1.8665144</v>
      </c>
      <c r="O86" s="10">
        <v>2.0366881000000001</v>
      </c>
      <c r="P86" s="10">
        <v>2.1876125000000002</v>
      </c>
      <c r="Q86" s="10">
        <v>2.3234746999999998</v>
      </c>
      <c r="R86" s="10">
        <v>2.4469362000000001</v>
      </c>
      <c r="S86" s="10">
        <v>2.5580726</v>
      </c>
      <c r="T86" s="10">
        <v>2.6560839999999999</v>
      </c>
      <c r="U86" s="10">
        <v>2.7386436000000001</v>
      </c>
      <c r="V86" s="10">
        <v>2.8029236000000002</v>
      </c>
      <c r="W86" s="10">
        <v>2.8494464000000002</v>
      </c>
      <c r="X86" s="10">
        <v>2.8796322999999999</v>
      </c>
      <c r="Y86" s="10">
        <v>2.8949018999999998</v>
      </c>
      <c r="Z86" s="10">
        <v>2.8966756999999999</v>
      </c>
      <c r="AA86" s="10">
        <v>2.886374</v>
      </c>
      <c r="AB86" s="10">
        <v>2.8654863000000002</v>
      </c>
      <c r="AC86" s="10">
        <v>2.8358550999999999</v>
      </c>
      <c r="AD86" s="10">
        <v>2.7994355</v>
      </c>
      <c r="AE86" s="10">
        <v>2.7581826999999999</v>
      </c>
      <c r="AF86" s="10">
        <v>2.7140520000000001</v>
      </c>
      <c r="AG86" s="10">
        <v>2.6689986999999999</v>
      </c>
      <c r="AH86" s="10">
        <v>2.6247199999999999</v>
      </c>
      <c r="AI86" s="10">
        <v>2.5816549000000002</v>
      </c>
      <c r="AJ86" s="10">
        <v>2.5398600999999998</v>
      </c>
      <c r="AK86" s="10">
        <v>2.4993916999999999</v>
      </c>
      <c r="AL86" s="10">
        <v>2.4603062000000002</v>
      </c>
      <c r="AM86" s="10">
        <v>2.4226599000000002</v>
      </c>
      <c r="AN86" s="10">
        <v>2.3865091999999999</v>
      </c>
      <c r="AO86" s="10">
        <v>2.3519104</v>
      </c>
      <c r="AP86" s="10">
        <v>2.3189198000000002</v>
      </c>
      <c r="AQ86" s="10">
        <v>2.2875937999999998</v>
      </c>
      <c r="AR86" s="10">
        <v>2.2579886999999998</v>
      </c>
      <c r="AS86" s="10">
        <v>2.2301609</v>
      </c>
      <c r="AT86" s="10">
        <v>2.2041438000000002</v>
      </c>
      <c r="AU86" s="10">
        <v>2.1798582</v>
      </c>
      <c r="AV86" s="10">
        <v>2.1571910999999999</v>
      </c>
      <c r="AW86" s="10">
        <v>2.1360294</v>
      </c>
      <c r="AX86" s="10">
        <v>2.1162599000000002</v>
      </c>
      <c r="AY86" s="10">
        <v>2.0977693999999998</v>
      </c>
      <c r="AZ86" s="10">
        <v>2.0804448</v>
      </c>
      <c r="BA86" s="10">
        <v>2.0641729999999998</v>
      </c>
      <c r="BB86" s="10">
        <v>2.0488407999999998</v>
      </c>
      <c r="BC86" s="10">
        <v>2.0343350999999998</v>
      </c>
      <c r="BD86" s="10">
        <v>2.0205427</v>
      </c>
      <c r="BE86" s="10">
        <v>2.0073504</v>
      </c>
      <c r="BF86" s="10">
        <v>1.9946607000000001</v>
      </c>
      <c r="BG86" s="10">
        <v>1.9824444000000001</v>
      </c>
      <c r="BH86" s="10">
        <v>1.9706912000000001</v>
      </c>
      <c r="BI86" s="10">
        <v>1.9593908</v>
      </c>
      <c r="BJ86" s="10">
        <v>1.9485329</v>
      </c>
      <c r="BK86" s="10">
        <v>1.9381073</v>
      </c>
      <c r="BL86" s="10">
        <v>1.9281036</v>
      </c>
      <c r="BM86" s="10">
        <v>1.9185117</v>
      </c>
      <c r="BN86" s="10">
        <v>1.9093211999999999</v>
      </c>
      <c r="BO86" s="10">
        <v>1.9005217999999999</v>
      </c>
      <c r="BP86" s="10">
        <v>1.8921033</v>
      </c>
      <c r="BQ86" s="10">
        <v>1.8840554</v>
      </c>
      <c r="BR86" s="10">
        <v>1.8431446</v>
      </c>
      <c r="BS86" s="10">
        <v>1.8140145000000001</v>
      </c>
      <c r="BU86" s="7">
        <v>1.76</v>
      </c>
      <c r="BV86" s="7">
        <v>2.0299999999999998</v>
      </c>
      <c r="BW86" s="9">
        <v>81.836600000000004</v>
      </c>
    </row>
    <row r="87" spans="1:75" x14ac:dyDescent="0.25">
      <c r="A87" s="6">
        <f t="shared" si="11"/>
        <v>44673</v>
      </c>
      <c r="B87" s="13">
        <f t="shared" si="6"/>
        <v>4</v>
      </c>
      <c r="C87" s="13">
        <f t="shared" si="7"/>
        <v>2022</v>
      </c>
      <c r="D87">
        <f t="shared" si="8"/>
        <v>202204</v>
      </c>
      <c r="E87">
        <f t="shared" si="9"/>
        <v>2</v>
      </c>
      <c r="F87">
        <f t="shared" si="10"/>
        <v>202202</v>
      </c>
      <c r="G87" t="s">
        <v>274</v>
      </c>
      <c r="H87" s="9">
        <v>0.75</v>
      </c>
      <c r="I87" s="9">
        <v>0.6905</v>
      </c>
      <c r="J87" s="10">
        <v>1.0291901000000001</v>
      </c>
      <c r="K87" s="10">
        <v>1.2060207999999999</v>
      </c>
      <c r="L87" s="10">
        <v>1.4117846000000001</v>
      </c>
      <c r="M87" s="10">
        <v>1.6158124</v>
      </c>
      <c r="N87" s="10">
        <v>1.8019129</v>
      </c>
      <c r="O87" s="10">
        <v>1.9664470000000001</v>
      </c>
      <c r="P87" s="10">
        <v>2.1115900999999999</v>
      </c>
      <c r="Q87" s="10">
        <v>2.2410030999999999</v>
      </c>
      <c r="R87" s="10">
        <v>2.3575211</v>
      </c>
      <c r="S87" s="10">
        <v>2.4616250000000002</v>
      </c>
      <c r="T87" s="10">
        <v>2.5528130999999998</v>
      </c>
      <c r="U87" s="10">
        <v>2.6294464</v>
      </c>
      <c r="V87" s="10">
        <v>2.6896667000000001</v>
      </c>
      <c r="W87" s="10">
        <v>2.7340648000000001</v>
      </c>
      <c r="X87" s="10">
        <v>2.7640102</v>
      </c>
      <c r="Y87" s="10">
        <v>2.7808722000000001</v>
      </c>
      <c r="Z87" s="10">
        <v>2.7860201</v>
      </c>
      <c r="AA87" s="10">
        <v>2.7808234999999999</v>
      </c>
      <c r="AB87" s="10">
        <v>2.7666674000000002</v>
      </c>
      <c r="AC87" s="10">
        <v>2.7450093</v>
      </c>
      <c r="AD87" s="10">
        <v>2.7173278999999999</v>
      </c>
      <c r="AE87" s="10">
        <v>2.6851018999999998</v>
      </c>
      <c r="AF87" s="10">
        <v>2.6498097999999999</v>
      </c>
      <c r="AG87" s="10">
        <v>2.6129302999999999</v>
      </c>
      <c r="AH87" s="10">
        <v>2.575739</v>
      </c>
      <c r="AI87" s="10">
        <v>2.5386156</v>
      </c>
      <c r="AJ87" s="10">
        <v>2.5016924</v>
      </c>
      <c r="AK87" s="10">
        <v>2.4651017</v>
      </c>
      <c r="AL87" s="10">
        <v>2.428976</v>
      </c>
      <c r="AM87" s="10">
        <v>2.3934475000000002</v>
      </c>
      <c r="AN87" s="10">
        <v>2.3586486999999998</v>
      </c>
      <c r="AO87" s="10">
        <v>2.3247119000000001</v>
      </c>
      <c r="AP87" s="10">
        <v>2.2917694000000002</v>
      </c>
      <c r="AQ87" s="10">
        <v>2.2599537000000001</v>
      </c>
      <c r="AR87" s="10">
        <v>2.2293970000000001</v>
      </c>
      <c r="AS87" s="10">
        <v>2.2002318000000001</v>
      </c>
      <c r="AT87" s="10">
        <v>2.1725601000000001</v>
      </c>
      <c r="AU87" s="10">
        <v>2.1463502999999999</v>
      </c>
      <c r="AV87" s="10">
        <v>2.1215337999999999</v>
      </c>
      <c r="AW87" s="10">
        <v>2.0980420999999998</v>
      </c>
      <c r="AX87" s="10">
        <v>2.0758065999999999</v>
      </c>
      <c r="AY87" s="10">
        <v>2.0547588999999999</v>
      </c>
      <c r="AZ87" s="10">
        <v>2.0348304000000002</v>
      </c>
      <c r="BA87" s="10">
        <v>2.0159524000000002</v>
      </c>
      <c r="BB87" s="10">
        <v>1.9980566</v>
      </c>
      <c r="BC87" s="10">
        <v>1.9810744</v>
      </c>
      <c r="BD87" s="10">
        <v>1.9649371</v>
      </c>
      <c r="BE87" s="10">
        <v>1.9495762999999999</v>
      </c>
      <c r="BF87" s="10">
        <v>1.9349305999999999</v>
      </c>
      <c r="BG87" s="10">
        <v>1.9209700000000001</v>
      </c>
      <c r="BH87" s="10">
        <v>1.9076732000000001</v>
      </c>
      <c r="BI87" s="10">
        <v>1.8950189</v>
      </c>
      <c r="BJ87" s="10">
        <v>1.8829857000000001</v>
      </c>
      <c r="BK87" s="10">
        <v>1.8715525</v>
      </c>
      <c r="BL87" s="10">
        <v>1.8606978999999999</v>
      </c>
      <c r="BM87" s="10">
        <v>1.8504004999999999</v>
      </c>
      <c r="BN87" s="10">
        <v>1.8406392</v>
      </c>
      <c r="BO87" s="10">
        <v>1.8313926</v>
      </c>
      <c r="BP87" s="10">
        <v>1.8226393999999999</v>
      </c>
      <c r="BQ87" s="10">
        <v>1.8143583999999999</v>
      </c>
      <c r="BR87" s="10">
        <v>1.7737373000000001</v>
      </c>
      <c r="BS87" s="10">
        <v>1.7468299</v>
      </c>
      <c r="BU87" s="7">
        <v>1.72</v>
      </c>
      <c r="BV87" s="7">
        <v>1.97</v>
      </c>
      <c r="BW87" s="9">
        <v>81.032799999999995</v>
      </c>
    </row>
    <row r="88" spans="1:75" x14ac:dyDescent="0.25">
      <c r="A88" s="6">
        <f t="shared" si="11"/>
        <v>44676</v>
      </c>
      <c r="B88" s="13">
        <f t="shared" si="6"/>
        <v>4</v>
      </c>
      <c r="C88" s="13">
        <f t="shared" si="7"/>
        <v>2022</v>
      </c>
      <c r="D88">
        <f t="shared" si="8"/>
        <v>202204</v>
      </c>
      <c r="E88">
        <f t="shared" si="9"/>
        <v>2</v>
      </c>
      <c r="F88">
        <f t="shared" si="10"/>
        <v>202202</v>
      </c>
      <c r="G88" t="s">
        <v>275</v>
      </c>
      <c r="H88" s="9">
        <v>0.75</v>
      </c>
      <c r="I88" s="9">
        <v>0.68989999999999996</v>
      </c>
      <c r="J88" s="10">
        <v>1.0121962</v>
      </c>
      <c r="K88" s="10">
        <v>1.1924333</v>
      </c>
      <c r="L88" s="10">
        <v>1.3919608000000001</v>
      </c>
      <c r="M88" s="10">
        <v>1.5866905</v>
      </c>
      <c r="N88" s="10">
        <v>1.7602930999999999</v>
      </c>
      <c r="O88" s="10">
        <v>1.9096153</v>
      </c>
      <c r="P88" s="10">
        <v>2.0371826</v>
      </c>
      <c r="Q88" s="10">
        <v>2.1480397999999998</v>
      </c>
      <c r="R88" s="10">
        <v>2.2459927</v>
      </c>
      <c r="S88" s="10">
        <v>2.3331871</v>
      </c>
      <c r="T88" s="10">
        <v>2.4096384</v>
      </c>
      <c r="U88" s="10">
        <v>2.4741088000000002</v>
      </c>
      <c r="V88" s="10">
        <v>2.5245104</v>
      </c>
      <c r="W88" s="10">
        <v>2.5612145000000002</v>
      </c>
      <c r="X88" s="10">
        <v>2.5853082000000001</v>
      </c>
      <c r="Y88" s="10">
        <v>2.5978783000000001</v>
      </c>
      <c r="Z88" s="10">
        <v>2.6000119000000002</v>
      </c>
      <c r="AA88" s="10">
        <v>2.5927958000000002</v>
      </c>
      <c r="AB88" s="10">
        <v>2.5773725000000001</v>
      </c>
      <c r="AC88" s="10">
        <v>2.5551170999999999</v>
      </c>
      <c r="AD88" s="10">
        <v>2.527466</v>
      </c>
      <c r="AE88" s="10">
        <v>2.4958553000000001</v>
      </c>
      <c r="AF88" s="10">
        <v>2.4617216000000002</v>
      </c>
      <c r="AG88" s="10">
        <v>2.426501</v>
      </c>
      <c r="AH88" s="10">
        <v>2.3914259000000002</v>
      </c>
      <c r="AI88" s="10">
        <v>2.3568272000000001</v>
      </c>
      <c r="AJ88" s="10">
        <v>2.3227875999999998</v>
      </c>
      <c r="AK88" s="10">
        <v>2.2893895</v>
      </c>
      <c r="AL88" s="10">
        <v>2.2567154999999999</v>
      </c>
      <c r="AM88" s="10">
        <v>2.2248478999999999</v>
      </c>
      <c r="AN88" s="10">
        <v>2.1938694999999999</v>
      </c>
      <c r="AO88" s="10">
        <v>2.1638625999999999</v>
      </c>
      <c r="AP88" s="10">
        <v>2.1349097000000001</v>
      </c>
      <c r="AQ88" s="10">
        <v>2.1070935</v>
      </c>
      <c r="AR88" s="10">
        <v>2.0804963000000001</v>
      </c>
      <c r="AS88" s="10">
        <v>2.0552006999999999</v>
      </c>
      <c r="AT88" s="10">
        <v>2.0312663999999998</v>
      </c>
      <c r="AU88" s="10">
        <v>2.0086525000000002</v>
      </c>
      <c r="AV88" s="10">
        <v>1.9872903</v>
      </c>
      <c r="AW88" s="10">
        <v>1.9671110999999999</v>
      </c>
      <c r="AX88" s="10">
        <v>1.9480462999999999</v>
      </c>
      <c r="AY88" s="10">
        <v>1.9300271</v>
      </c>
      <c r="AZ88" s="10">
        <v>1.9129849000000001</v>
      </c>
      <c r="BA88" s="10">
        <v>1.8968510999999999</v>
      </c>
      <c r="BB88" s="10">
        <v>1.8815568</v>
      </c>
      <c r="BC88" s="10">
        <v>1.8670335</v>
      </c>
      <c r="BD88" s="10">
        <v>1.8532124999999999</v>
      </c>
      <c r="BE88" s="10">
        <v>1.8400251000000001</v>
      </c>
      <c r="BF88" s="10">
        <v>1.8274096</v>
      </c>
      <c r="BG88" s="10">
        <v>1.8153423</v>
      </c>
      <c r="BH88" s="10">
        <v>1.8038118000000001</v>
      </c>
      <c r="BI88" s="10">
        <v>1.7928071999999999</v>
      </c>
      <c r="BJ88" s="10">
        <v>1.7823173000000001</v>
      </c>
      <c r="BK88" s="10">
        <v>1.7723309</v>
      </c>
      <c r="BL88" s="10">
        <v>1.7628368000000001</v>
      </c>
      <c r="BM88" s="10">
        <v>1.753824</v>
      </c>
      <c r="BN88" s="10">
        <v>1.7452813</v>
      </c>
      <c r="BO88" s="10">
        <v>1.7371975</v>
      </c>
      <c r="BP88" s="10">
        <v>1.7295616</v>
      </c>
      <c r="BQ88" s="10">
        <v>1.7223622999999999</v>
      </c>
      <c r="BR88" s="10">
        <v>1.6876872000000001</v>
      </c>
      <c r="BS88" s="10">
        <v>1.6657694000000001</v>
      </c>
      <c r="BU88" s="7">
        <v>1.57</v>
      </c>
      <c r="BV88" s="7">
        <v>1.85</v>
      </c>
      <c r="BW88" s="9">
        <v>80.648899999999998</v>
      </c>
    </row>
    <row r="89" spans="1:75" x14ac:dyDescent="0.25">
      <c r="A89" s="6">
        <f t="shared" si="11"/>
        <v>44677</v>
      </c>
      <c r="B89" s="13">
        <f t="shared" si="6"/>
        <v>4</v>
      </c>
      <c r="C89" s="13">
        <f t="shared" si="7"/>
        <v>2022</v>
      </c>
      <c r="D89">
        <f t="shared" si="8"/>
        <v>202204</v>
      </c>
      <c r="E89">
        <f t="shared" si="9"/>
        <v>2</v>
      </c>
      <c r="F89">
        <f t="shared" si="10"/>
        <v>202202</v>
      </c>
      <c r="G89" t="s">
        <v>276</v>
      </c>
      <c r="H89" s="9">
        <v>0.75</v>
      </c>
      <c r="I89" s="9">
        <v>0.69030000000000002</v>
      </c>
      <c r="J89" s="10">
        <v>1.0100268999999999</v>
      </c>
      <c r="K89" s="10">
        <v>1.1912065999999999</v>
      </c>
      <c r="L89" s="10">
        <v>1.3896115</v>
      </c>
      <c r="M89" s="10">
        <v>1.5835589000000001</v>
      </c>
      <c r="N89" s="10">
        <v>1.7570452000000001</v>
      </c>
      <c r="O89" s="10">
        <v>1.9059299000000001</v>
      </c>
      <c r="P89" s="10">
        <v>2.0313715000000001</v>
      </c>
      <c r="Q89" s="10">
        <v>2.1381798999999999</v>
      </c>
      <c r="R89" s="10">
        <v>2.2305611999999999</v>
      </c>
      <c r="S89" s="10">
        <v>2.3113792000000002</v>
      </c>
      <c r="T89" s="10">
        <v>2.3815053000000002</v>
      </c>
      <c r="U89" s="10">
        <v>2.4399736000000001</v>
      </c>
      <c r="V89" s="10">
        <v>2.4850688000000001</v>
      </c>
      <c r="W89" s="10">
        <v>2.5172121000000001</v>
      </c>
      <c r="X89" s="10">
        <v>2.5374216999999999</v>
      </c>
      <c r="Y89" s="10">
        <v>2.5467157</v>
      </c>
      <c r="Z89" s="10">
        <v>2.5461122</v>
      </c>
      <c r="AA89" s="10">
        <v>2.5366293999999998</v>
      </c>
      <c r="AB89" s="10">
        <v>2.5193443000000002</v>
      </c>
      <c r="AC89" s="10">
        <v>2.4955812000000002</v>
      </c>
      <c r="AD89" s="10">
        <v>2.4667294000000002</v>
      </c>
      <c r="AE89" s="10">
        <v>2.4341780000000002</v>
      </c>
      <c r="AF89" s="10">
        <v>2.3993164999999999</v>
      </c>
      <c r="AG89" s="10">
        <v>2.3635339000000002</v>
      </c>
      <c r="AH89" s="10">
        <v>2.3280219999999998</v>
      </c>
      <c r="AI89" s="10">
        <v>2.2931005</v>
      </c>
      <c r="AJ89" s="10">
        <v>2.2588482999999999</v>
      </c>
      <c r="AK89" s="10">
        <v>2.2253446000000001</v>
      </c>
      <c r="AL89" s="10">
        <v>2.1926682999999998</v>
      </c>
      <c r="AM89" s="10">
        <v>2.1608984000000002</v>
      </c>
      <c r="AN89" s="10">
        <v>2.1301139999999998</v>
      </c>
      <c r="AO89" s="10">
        <v>2.1003942000000002</v>
      </c>
      <c r="AP89" s="10">
        <v>2.0718177999999998</v>
      </c>
      <c r="AQ89" s="10">
        <v>2.0444640000000001</v>
      </c>
      <c r="AR89" s="10">
        <v>2.0184118999999998</v>
      </c>
      <c r="AS89" s="10">
        <v>1.9937403</v>
      </c>
      <c r="AT89" s="10">
        <v>1.9705089</v>
      </c>
      <c r="AU89" s="10">
        <v>1.9486725</v>
      </c>
      <c r="AV89" s="10">
        <v>1.9281508999999999</v>
      </c>
      <c r="AW89" s="10">
        <v>1.9088636999999999</v>
      </c>
      <c r="AX89" s="10">
        <v>1.8907305999999999</v>
      </c>
      <c r="AY89" s="10">
        <v>1.8736713</v>
      </c>
      <c r="AZ89" s="10">
        <v>1.8576055</v>
      </c>
      <c r="BA89" s="10">
        <v>1.8424528</v>
      </c>
      <c r="BB89" s="10">
        <v>1.828133</v>
      </c>
      <c r="BC89" s="10">
        <v>1.8145658</v>
      </c>
      <c r="BD89" s="10">
        <v>1.8016707999999999</v>
      </c>
      <c r="BE89" s="10">
        <v>1.7893676999999999</v>
      </c>
      <c r="BF89" s="10">
        <v>1.7775852999999999</v>
      </c>
      <c r="BG89" s="10">
        <v>1.7662968999999999</v>
      </c>
      <c r="BH89" s="10">
        <v>1.7554894000000001</v>
      </c>
      <c r="BI89" s="10">
        <v>1.7451494000000001</v>
      </c>
      <c r="BJ89" s="10">
        <v>1.7352637</v>
      </c>
      <c r="BK89" s="10">
        <v>1.7258192000000001</v>
      </c>
      <c r="BL89" s="10">
        <v>1.7168026999999999</v>
      </c>
      <c r="BM89" s="10">
        <v>1.7082009</v>
      </c>
      <c r="BN89" s="10">
        <v>1.7000006999999999</v>
      </c>
      <c r="BO89" s="10">
        <v>1.6921888</v>
      </c>
      <c r="BP89" s="10">
        <v>1.684752</v>
      </c>
      <c r="BQ89" s="10">
        <v>1.6776770999999999</v>
      </c>
      <c r="BR89" s="10">
        <v>1.6423184</v>
      </c>
      <c r="BS89" s="10">
        <v>1.6180549</v>
      </c>
      <c r="BU89" s="7">
        <v>1.5</v>
      </c>
      <c r="BV89" s="7">
        <v>1.82</v>
      </c>
      <c r="BW89" s="9">
        <v>80.272400000000005</v>
      </c>
    </row>
    <row r="90" spans="1:75" x14ac:dyDescent="0.25">
      <c r="A90" s="6">
        <f t="shared" si="11"/>
        <v>44678</v>
      </c>
      <c r="B90" s="13">
        <f t="shared" si="6"/>
        <v>4</v>
      </c>
      <c r="C90" s="13">
        <f t="shared" si="7"/>
        <v>2022</v>
      </c>
      <c r="D90">
        <f t="shared" si="8"/>
        <v>202204</v>
      </c>
      <c r="E90">
        <f t="shared" si="9"/>
        <v>2</v>
      </c>
      <c r="F90">
        <f t="shared" si="10"/>
        <v>202202</v>
      </c>
      <c r="G90" t="s">
        <v>277</v>
      </c>
      <c r="H90" s="9">
        <v>0.75</v>
      </c>
      <c r="I90" s="9">
        <v>0.69020000000000004</v>
      </c>
      <c r="J90" s="10">
        <v>1.0096871000000001</v>
      </c>
      <c r="K90" s="10">
        <v>1.1844644</v>
      </c>
      <c r="L90" s="10">
        <v>1.3757817000000001</v>
      </c>
      <c r="M90" s="10">
        <v>1.5639892</v>
      </c>
      <c r="N90" s="10">
        <v>1.7330931999999999</v>
      </c>
      <c r="O90" s="10">
        <v>1.8792420000000001</v>
      </c>
      <c r="P90" s="10">
        <v>2.0033579000000001</v>
      </c>
      <c r="Q90" s="10">
        <v>2.1099116000000002</v>
      </c>
      <c r="R90" s="10">
        <v>2.2031470999999998</v>
      </c>
      <c r="S90" s="10">
        <v>2.2856508999999998</v>
      </c>
      <c r="T90" s="10">
        <v>2.3578567000000001</v>
      </c>
      <c r="U90" s="10">
        <v>2.4184971000000002</v>
      </c>
      <c r="V90" s="10">
        <v>2.4652861000000001</v>
      </c>
      <c r="W90" s="10">
        <v>2.4985558999999999</v>
      </c>
      <c r="X90" s="10">
        <v>2.5193827999999998</v>
      </c>
      <c r="Y90" s="10">
        <v>2.5288431</v>
      </c>
      <c r="Z90" s="10">
        <v>2.5280130999999999</v>
      </c>
      <c r="AA90" s="10">
        <v>2.5179692</v>
      </c>
      <c r="AB90" s="10">
        <v>2.4998497</v>
      </c>
      <c r="AC90" s="10">
        <v>2.4750540000000001</v>
      </c>
      <c r="AD90" s="10">
        <v>2.4450501</v>
      </c>
      <c r="AE90" s="10">
        <v>2.4113058000000001</v>
      </c>
      <c r="AF90" s="10">
        <v>2.3752892000000001</v>
      </c>
      <c r="AG90" s="10">
        <v>2.3384683000000002</v>
      </c>
      <c r="AH90" s="10">
        <v>2.3021387</v>
      </c>
      <c r="AI90" s="10">
        <v>2.2666699000000001</v>
      </c>
      <c r="AJ90" s="10">
        <v>2.2321203999999999</v>
      </c>
      <c r="AK90" s="10">
        <v>2.1985484999999998</v>
      </c>
      <c r="AL90" s="10">
        <v>2.1660127</v>
      </c>
      <c r="AM90" s="10">
        <v>2.1345711999999999</v>
      </c>
      <c r="AN90" s="10">
        <v>2.1042825000000001</v>
      </c>
      <c r="AO90" s="10">
        <v>2.075205</v>
      </c>
      <c r="AP90" s="10">
        <v>2.0473968999999999</v>
      </c>
      <c r="AQ90" s="10">
        <v>2.0209166999999999</v>
      </c>
      <c r="AR90" s="10">
        <v>1.9958226999999999</v>
      </c>
      <c r="AS90" s="10">
        <v>1.9721732999999999</v>
      </c>
      <c r="AT90" s="10">
        <v>1.950007</v>
      </c>
      <c r="AU90" s="10">
        <v>1.9292659999999999</v>
      </c>
      <c r="AV90" s="10">
        <v>1.9098628</v>
      </c>
      <c r="AW90" s="10">
        <v>1.89171</v>
      </c>
      <c r="AX90" s="10">
        <v>1.8747205</v>
      </c>
      <c r="AY90" s="10">
        <v>1.8588066999999999</v>
      </c>
      <c r="AZ90" s="10">
        <v>1.8438813999999999</v>
      </c>
      <c r="BA90" s="10">
        <v>1.8298573</v>
      </c>
      <c r="BB90" s="10">
        <v>1.8166469000000001</v>
      </c>
      <c r="BC90" s="10">
        <v>1.8041628999999999</v>
      </c>
      <c r="BD90" s="10">
        <v>1.7923180000000001</v>
      </c>
      <c r="BE90" s="10">
        <v>1.7810248</v>
      </c>
      <c r="BF90" s="10">
        <v>1.7702073</v>
      </c>
      <c r="BG90" s="10">
        <v>1.7598398</v>
      </c>
      <c r="BH90" s="10">
        <v>1.7499102</v>
      </c>
      <c r="BI90" s="10">
        <v>1.7404066</v>
      </c>
      <c r="BJ90" s="10">
        <v>1.7313168999999999</v>
      </c>
      <c r="BK90" s="10">
        <v>1.7226292000000001</v>
      </c>
      <c r="BL90" s="10">
        <v>1.7143314999999999</v>
      </c>
      <c r="BM90" s="10">
        <v>1.7064117999999999</v>
      </c>
      <c r="BN90" s="10">
        <v>1.6988581</v>
      </c>
      <c r="BO90" s="10">
        <v>1.6916585</v>
      </c>
      <c r="BP90" s="10">
        <v>1.684801</v>
      </c>
      <c r="BQ90" s="10">
        <v>1.6782735</v>
      </c>
      <c r="BR90" s="10">
        <v>1.6455956</v>
      </c>
      <c r="BS90" s="10">
        <v>1.6231553999999999</v>
      </c>
      <c r="BU90" s="7">
        <v>1.49</v>
      </c>
      <c r="BV90" s="7">
        <v>1.81</v>
      </c>
      <c r="BW90" s="9">
        <v>80.122699999999995</v>
      </c>
    </row>
    <row r="91" spans="1:75" x14ac:dyDescent="0.25">
      <c r="A91" s="6">
        <f t="shared" si="11"/>
        <v>44679</v>
      </c>
      <c r="B91" s="13">
        <f t="shared" si="6"/>
        <v>4</v>
      </c>
      <c r="C91" s="13">
        <f t="shared" si="7"/>
        <v>2022</v>
      </c>
      <c r="D91">
        <f t="shared" si="8"/>
        <v>202204</v>
      </c>
      <c r="E91">
        <f t="shared" si="9"/>
        <v>2</v>
      </c>
      <c r="F91">
        <f t="shared" si="10"/>
        <v>202202</v>
      </c>
      <c r="G91" t="s">
        <v>278</v>
      </c>
      <c r="H91" s="9">
        <v>0.75</v>
      </c>
      <c r="I91" s="9">
        <v>0.68959999999999999</v>
      </c>
      <c r="J91" s="10">
        <v>1.0152349000000001</v>
      </c>
      <c r="K91" s="10">
        <v>1.2104817999999999</v>
      </c>
      <c r="L91" s="10">
        <v>1.4134869999999999</v>
      </c>
      <c r="M91" s="10">
        <v>1.6075695999999999</v>
      </c>
      <c r="N91" s="10">
        <v>1.7792106000000001</v>
      </c>
      <c r="O91" s="10">
        <v>1.926193</v>
      </c>
      <c r="P91" s="10">
        <v>2.0500398999999998</v>
      </c>
      <c r="Q91" s="10">
        <v>2.1551149999999999</v>
      </c>
      <c r="R91" s="10">
        <v>2.2459650999999998</v>
      </c>
      <c r="S91" s="10">
        <v>2.3249745000000002</v>
      </c>
      <c r="T91" s="10">
        <v>2.3931703</v>
      </c>
      <c r="U91" s="10">
        <v>2.4497252</v>
      </c>
      <c r="V91" s="10">
        <v>2.4931880999999998</v>
      </c>
      <c r="W91" s="10">
        <v>2.5240014</v>
      </c>
      <c r="X91" s="10">
        <v>2.5431216999999999</v>
      </c>
      <c r="Y91" s="10">
        <v>2.5515053000000001</v>
      </c>
      <c r="Z91" s="10">
        <v>2.5501087999999998</v>
      </c>
      <c r="AA91" s="10">
        <v>2.5398884000000002</v>
      </c>
      <c r="AB91" s="10">
        <v>2.5218636999999999</v>
      </c>
      <c r="AC91" s="10">
        <v>2.4973766999999998</v>
      </c>
      <c r="AD91" s="10">
        <v>2.4678722999999998</v>
      </c>
      <c r="AE91" s="10">
        <v>2.4347956000000002</v>
      </c>
      <c r="AF91" s="10">
        <v>2.3995917000000002</v>
      </c>
      <c r="AG91" s="10">
        <v>2.3637057000000001</v>
      </c>
      <c r="AH91" s="10">
        <v>2.3283944999999999</v>
      </c>
      <c r="AI91" s="10">
        <v>2.2939973999999999</v>
      </c>
      <c r="AJ91" s="10">
        <v>2.2605746999999998</v>
      </c>
      <c r="AK91" s="10">
        <v>2.2281867000000002</v>
      </c>
      <c r="AL91" s="10">
        <v>2.1968936000000001</v>
      </c>
      <c r="AM91" s="10">
        <v>2.1667554999999998</v>
      </c>
      <c r="AN91" s="10">
        <v>2.1378327000000001</v>
      </c>
      <c r="AO91" s="10">
        <v>2.1101852999999999</v>
      </c>
      <c r="AP91" s="10">
        <v>2.0838736999999998</v>
      </c>
      <c r="AQ91" s="10">
        <v>2.0589578999999998</v>
      </c>
      <c r="AR91" s="10">
        <v>2.0354983</v>
      </c>
      <c r="AS91" s="10">
        <v>2.0135550000000002</v>
      </c>
      <c r="AT91" s="10">
        <v>1.9931639999999999</v>
      </c>
      <c r="AU91" s="10">
        <v>1.9742550999999999</v>
      </c>
      <c r="AV91" s="10">
        <v>1.9567285999999999</v>
      </c>
      <c r="AW91" s="10">
        <v>1.9404844999999999</v>
      </c>
      <c r="AX91" s="10">
        <v>1.9254233000000001</v>
      </c>
      <c r="AY91" s="10">
        <v>1.9114452</v>
      </c>
      <c r="AZ91" s="10">
        <v>1.8984504</v>
      </c>
      <c r="BA91" s="10">
        <v>1.8863392000000001</v>
      </c>
      <c r="BB91" s="10">
        <v>1.8750119000000001</v>
      </c>
      <c r="BC91" s="10">
        <v>1.8643687</v>
      </c>
      <c r="BD91" s="10">
        <v>1.8543099000000001</v>
      </c>
      <c r="BE91" s="10">
        <v>1.8447357</v>
      </c>
      <c r="BF91" s="10">
        <v>1.8355598</v>
      </c>
      <c r="BG91" s="10">
        <v>1.8267549000000001</v>
      </c>
      <c r="BH91" s="10">
        <v>1.8183102</v>
      </c>
      <c r="BI91" s="10">
        <v>1.8102147</v>
      </c>
      <c r="BJ91" s="10">
        <v>1.8024576000000001</v>
      </c>
      <c r="BK91" s="10">
        <v>1.7950276999999999</v>
      </c>
      <c r="BL91" s="10">
        <v>1.7879144</v>
      </c>
      <c r="BM91" s="10">
        <v>1.7811064999999999</v>
      </c>
      <c r="BN91" s="10">
        <v>1.7745933</v>
      </c>
      <c r="BO91" s="10">
        <v>1.7683637999999999</v>
      </c>
      <c r="BP91" s="10">
        <v>1.7624070000000001</v>
      </c>
      <c r="BQ91" s="10">
        <v>1.7567121000000001</v>
      </c>
      <c r="BR91" s="10">
        <v>1.727765</v>
      </c>
      <c r="BS91" s="10">
        <v>1.7075244999999999</v>
      </c>
      <c r="BU91" s="7">
        <v>1.55</v>
      </c>
      <c r="BV91" s="7">
        <v>1.87</v>
      </c>
      <c r="BW91" s="9">
        <v>79.840900000000005</v>
      </c>
    </row>
    <row r="92" spans="1:75" x14ac:dyDescent="0.25">
      <c r="A92" s="6">
        <f t="shared" si="11"/>
        <v>44680</v>
      </c>
      <c r="B92" s="13">
        <f t="shared" si="6"/>
        <v>4</v>
      </c>
      <c r="C92" s="13">
        <f t="shared" si="7"/>
        <v>2022</v>
      </c>
      <c r="D92">
        <f t="shared" si="8"/>
        <v>202204</v>
      </c>
      <c r="E92">
        <f t="shared" si="9"/>
        <v>2</v>
      </c>
      <c r="F92">
        <f t="shared" si="10"/>
        <v>202202</v>
      </c>
      <c r="G92" t="s">
        <v>279</v>
      </c>
      <c r="H92" s="9">
        <v>0.75</v>
      </c>
      <c r="I92" s="9">
        <v>0.69069999999999998</v>
      </c>
      <c r="J92" s="10">
        <v>1.0331931000000001</v>
      </c>
      <c r="K92" s="10">
        <v>1.2361321999999999</v>
      </c>
      <c r="L92" s="10">
        <v>1.4466988000000001</v>
      </c>
      <c r="M92" s="10">
        <v>1.6472819000000001</v>
      </c>
      <c r="N92" s="10">
        <v>1.8235783999999999</v>
      </c>
      <c r="O92" s="10">
        <v>1.9742979000000001</v>
      </c>
      <c r="P92" s="10">
        <v>2.1018593999999999</v>
      </c>
      <c r="Q92" s="10">
        <v>2.2096186000000002</v>
      </c>
      <c r="R92" s="10">
        <v>2.3023908999999998</v>
      </c>
      <c r="S92" s="10">
        <v>2.3831585999999998</v>
      </c>
      <c r="T92" s="10">
        <v>2.4530633000000002</v>
      </c>
      <c r="U92" s="10">
        <v>2.5114679</v>
      </c>
      <c r="V92" s="10">
        <v>2.5560079999999998</v>
      </c>
      <c r="W92" s="10">
        <v>2.5868861000000001</v>
      </c>
      <c r="X92" s="10">
        <v>2.6053255000000002</v>
      </c>
      <c r="Y92" s="10">
        <v>2.6125500000000001</v>
      </c>
      <c r="Z92" s="10">
        <v>2.6097836000000001</v>
      </c>
      <c r="AA92" s="10">
        <v>2.5982500000000002</v>
      </c>
      <c r="AB92" s="10">
        <v>2.5791978000000002</v>
      </c>
      <c r="AC92" s="10">
        <v>2.5539904999999998</v>
      </c>
      <c r="AD92" s="10">
        <v>2.5240243000000002</v>
      </c>
      <c r="AE92" s="10">
        <v>2.4906958000000001</v>
      </c>
      <c r="AF92" s="10">
        <v>2.4554014</v>
      </c>
      <c r="AG92" s="10">
        <v>2.4195378000000001</v>
      </c>
      <c r="AH92" s="10">
        <v>2.3842970999999999</v>
      </c>
      <c r="AI92" s="10">
        <v>2.3499707999999999</v>
      </c>
      <c r="AJ92" s="10">
        <v>2.3166015999999998</v>
      </c>
      <c r="AK92" s="10">
        <v>2.2842321999999999</v>
      </c>
      <c r="AL92" s="10">
        <v>2.2529053000000001</v>
      </c>
      <c r="AM92" s="10">
        <v>2.2226636000000002</v>
      </c>
      <c r="AN92" s="10">
        <v>2.1935498999999998</v>
      </c>
      <c r="AO92" s="10">
        <v>2.1656067999999999</v>
      </c>
      <c r="AP92" s="10">
        <v>2.1388772</v>
      </c>
      <c r="AQ92" s="10">
        <v>2.1134035999999998</v>
      </c>
      <c r="AR92" s="10">
        <v>2.0892289000000002</v>
      </c>
      <c r="AS92" s="10">
        <v>2.0663957000000002</v>
      </c>
      <c r="AT92" s="10">
        <v>2.0449288999999999</v>
      </c>
      <c r="AU92" s="10">
        <v>2.0247739999999999</v>
      </c>
      <c r="AV92" s="10">
        <v>2.0058547999999998</v>
      </c>
      <c r="AW92" s="10">
        <v>1.9880951</v>
      </c>
      <c r="AX92" s="10">
        <v>1.9714186</v>
      </c>
      <c r="AY92" s="10">
        <v>1.9557491</v>
      </c>
      <c r="AZ92" s="10">
        <v>1.9410103999999999</v>
      </c>
      <c r="BA92" s="10">
        <v>1.9271263000000001</v>
      </c>
      <c r="BB92" s="10">
        <v>1.9140204000000001</v>
      </c>
      <c r="BC92" s="10">
        <v>1.9016166000000001</v>
      </c>
      <c r="BD92" s="10">
        <v>1.8898386</v>
      </c>
      <c r="BE92" s="10">
        <v>1.8786102</v>
      </c>
      <c r="BF92" s="10">
        <v>1.8678650000000001</v>
      </c>
      <c r="BG92" s="10">
        <v>1.8575797000000001</v>
      </c>
      <c r="BH92" s="10">
        <v>1.8477428</v>
      </c>
      <c r="BI92" s="10">
        <v>1.8383430999999999</v>
      </c>
      <c r="BJ92" s="10">
        <v>1.8293693</v>
      </c>
      <c r="BK92" s="10">
        <v>1.8208097999999999</v>
      </c>
      <c r="BL92" s="10">
        <v>1.8126534999999999</v>
      </c>
      <c r="BM92" s="10">
        <v>1.804889</v>
      </c>
      <c r="BN92" s="10">
        <v>1.7975048</v>
      </c>
      <c r="BO92" s="10">
        <v>1.7904895999999999</v>
      </c>
      <c r="BP92" s="10">
        <v>1.7838320999999999</v>
      </c>
      <c r="BQ92" s="10">
        <v>1.7775209999999999</v>
      </c>
      <c r="BR92" s="10">
        <v>1.7464885000000001</v>
      </c>
      <c r="BS92" s="10">
        <v>1.7262609</v>
      </c>
      <c r="BU92" s="7">
        <v>1.6</v>
      </c>
      <c r="BV92" s="7">
        <v>1.91</v>
      </c>
      <c r="BW92" s="9">
        <v>80.365499999999997</v>
      </c>
    </row>
    <row r="93" spans="1:75" x14ac:dyDescent="0.25">
      <c r="A93" s="6">
        <f t="shared" si="11"/>
        <v>44683</v>
      </c>
      <c r="B93" s="13">
        <f t="shared" si="6"/>
        <v>5</v>
      </c>
      <c r="C93" s="13">
        <f t="shared" si="7"/>
        <v>2022</v>
      </c>
      <c r="D93">
        <f t="shared" si="8"/>
        <v>202205</v>
      </c>
      <c r="E93">
        <f t="shared" si="9"/>
        <v>2</v>
      </c>
      <c r="F93">
        <f t="shared" si="10"/>
        <v>202202</v>
      </c>
      <c r="G93" t="s">
        <v>280</v>
      </c>
      <c r="H93" s="9">
        <v>0.75</v>
      </c>
      <c r="I93" s="9" t="e">
        <v>#N/A</v>
      </c>
      <c r="J93" s="10" t="e">
        <v>#N/A</v>
      </c>
      <c r="K93" s="10" t="e">
        <v>#N/A</v>
      </c>
      <c r="L93" s="10" t="e">
        <v>#N/A</v>
      </c>
      <c r="M93" s="10" t="e">
        <v>#N/A</v>
      </c>
      <c r="N93" s="10" t="e">
        <v>#N/A</v>
      </c>
      <c r="O93" s="10" t="e">
        <v>#N/A</v>
      </c>
      <c r="P93" s="10" t="e">
        <v>#N/A</v>
      </c>
      <c r="Q93" s="10" t="e">
        <v>#N/A</v>
      </c>
      <c r="R93" s="10" t="e">
        <v>#N/A</v>
      </c>
      <c r="S93" s="10" t="e">
        <v>#N/A</v>
      </c>
      <c r="T93" s="10" t="e">
        <v>#N/A</v>
      </c>
      <c r="U93" s="10" t="e">
        <v>#N/A</v>
      </c>
      <c r="V93" s="10" t="e">
        <v>#N/A</v>
      </c>
      <c r="W93" s="10" t="e">
        <v>#N/A</v>
      </c>
      <c r="X93" s="10" t="e">
        <v>#N/A</v>
      </c>
      <c r="Y93" s="10" t="e">
        <v>#N/A</v>
      </c>
      <c r="Z93" s="10" t="e">
        <v>#N/A</v>
      </c>
      <c r="AA93" s="10" t="e">
        <v>#N/A</v>
      </c>
      <c r="AB93" s="10" t="e">
        <v>#N/A</v>
      </c>
      <c r="AC93" s="10" t="e">
        <v>#N/A</v>
      </c>
      <c r="AD93" s="10" t="e">
        <v>#N/A</v>
      </c>
      <c r="AE93" s="10" t="e">
        <v>#N/A</v>
      </c>
      <c r="AF93" s="10" t="e">
        <v>#N/A</v>
      </c>
      <c r="AG93" s="10" t="e">
        <v>#N/A</v>
      </c>
      <c r="AH93" s="10" t="e">
        <v>#N/A</v>
      </c>
      <c r="AI93" s="10" t="e">
        <v>#N/A</v>
      </c>
      <c r="AJ93" s="10" t="e">
        <v>#N/A</v>
      </c>
      <c r="AK93" s="10" t="e">
        <v>#N/A</v>
      </c>
      <c r="AL93" s="10" t="e">
        <v>#N/A</v>
      </c>
      <c r="AM93" s="10" t="e">
        <v>#N/A</v>
      </c>
      <c r="AN93" s="10" t="e">
        <v>#N/A</v>
      </c>
      <c r="AO93" s="10" t="e">
        <v>#N/A</v>
      </c>
      <c r="AP93" s="10" t="e">
        <v>#N/A</v>
      </c>
      <c r="AQ93" s="10" t="e">
        <v>#N/A</v>
      </c>
      <c r="AR93" s="10" t="e">
        <v>#N/A</v>
      </c>
      <c r="AS93" s="10" t="e">
        <v>#N/A</v>
      </c>
      <c r="AT93" s="10" t="e">
        <v>#N/A</v>
      </c>
      <c r="AU93" s="10" t="e">
        <v>#N/A</v>
      </c>
      <c r="AV93" s="10" t="e">
        <v>#N/A</v>
      </c>
      <c r="AW93" s="10" t="e">
        <v>#N/A</v>
      </c>
      <c r="AX93" s="10" t="e">
        <v>#N/A</v>
      </c>
      <c r="AY93" s="10" t="e">
        <v>#N/A</v>
      </c>
      <c r="AZ93" s="10" t="e">
        <v>#N/A</v>
      </c>
      <c r="BA93" s="10" t="e">
        <v>#N/A</v>
      </c>
      <c r="BB93" s="10" t="e">
        <v>#N/A</v>
      </c>
      <c r="BC93" s="10" t="e">
        <v>#N/A</v>
      </c>
      <c r="BD93" s="10" t="e">
        <v>#N/A</v>
      </c>
      <c r="BE93" s="10" t="e">
        <v>#N/A</v>
      </c>
      <c r="BF93" s="10" t="e">
        <v>#N/A</v>
      </c>
      <c r="BG93" s="10" t="e">
        <v>#N/A</v>
      </c>
      <c r="BH93" s="10" t="e">
        <v>#N/A</v>
      </c>
      <c r="BI93" s="10" t="e">
        <v>#N/A</v>
      </c>
      <c r="BJ93" s="10" t="e">
        <v>#N/A</v>
      </c>
      <c r="BK93" s="10" t="e">
        <v>#N/A</v>
      </c>
      <c r="BL93" s="10" t="e">
        <v>#N/A</v>
      </c>
      <c r="BM93" s="10" t="e">
        <v>#N/A</v>
      </c>
      <c r="BN93" s="10" t="e">
        <v>#N/A</v>
      </c>
      <c r="BO93" s="10" t="e">
        <v>#N/A</v>
      </c>
      <c r="BP93" s="10" t="e">
        <v>#N/A</v>
      </c>
      <c r="BQ93" s="10" t="e">
        <v>#N/A</v>
      </c>
      <c r="BR93" s="10" t="e">
        <v>#N/A</v>
      </c>
      <c r="BS93" s="10" t="e">
        <v>#N/A</v>
      </c>
      <c r="BU93" s="7">
        <v>1.58</v>
      </c>
      <c r="BV93" s="7">
        <v>1.9</v>
      </c>
      <c r="BW93" s="9" t="e">
        <v>#N/A</v>
      </c>
    </row>
    <row r="94" spans="1:75" x14ac:dyDescent="0.25">
      <c r="A94" s="6">
        <f t="shared" si="11"/>
        <v>44684</v>
      </c>
      <c r="B94" s="13">
        <f t="shared" si="6"/>
        <v>5</v>
      </c>
      <c r="C94" s="13">
        <f t="shared" si="7"/>
        <v>2022</v>
      </c>
      <c r="D94">
        <f t="shared" si="8"/>
        <v>202205</v>
      </c>
      <c r="E94">
        <f t="shared" si="9"/>
        <v>2</v>
      </c>
      <c r="F94">
        <f t="shared" si="10"/>
        <v>202202</v>
      </c>
      <c r="G94" t="s">
        <v>281</v>
      </c>
      <c r="H94" s="9">
        <v>0.75</v>
      </c>
      <c r="I94" s="9">
        <v>0.69059999999999999</v>
      </c>
      <c r="J94" s="10">
        <v>1.0550917</v>
      </c>
      <c r="K94" s="10">
        <v>1.2727672999999999</v>
      </c>
      <c r="L94" s="10">
        <v>1.492292</v>
      </c>
      <c r="M94" s="10">
        <v>1.7002609</v>
      </c>
      <c r="N94" s="10">
        <v>1.8813465</v>
      </c>
      <c r="O94" s="10">
        <v>2.0347202000000002</v>
      </c>
      <c r="P94" s="10">
        <v>2.1633003999999998</v>
      </c>
      <c r="Q94" s="10">
        <v>2.2716196000000002</v>
      </c>
      <c r="R94" s="10">
        <v>2.3642204000000002</v>
      </c>
      <c r="S94" s="10">
        <v>2.4442308000000001</v>
      </c>
      <c r="T94" s="10">
        <v>2.5126146</v>
      </c>
      <c r="U94" s="10">
        <v>2.5691438999999998</v>
      </c>
      <c r="V94" s="10">
        <v>2.6126706</v>
      </c>
      <c r="W94" s="10">
        <v>2.6436199999999999</v>
      </c>
      <c r="X94" s="10">
        <v>2.6628973</v>
      </c>
      <c r="Y94" s="10">
        <v>2.6714076000000002</v>
      </c>
      <c r="Z94" s="10">
        <v>2.6700560000000002</v>
      </c>
      <c r="AA94" s="10">
        <v>2.6597477</v>
      </c>
      <c r="AB94" s="10">
        <v>2.6414628000000002</v>
      </c>
      <c r="AC94" s="10">
        <v>2.6165284999999998</v>
      </c>
      <c r="AD94" s="10">
        <v>2.5863730999999999</v>
      </c>
      <c r="AE94" s="10">
        <v>2.5524244999999999</v>
      </c>
      <c r="AF94" s="10">
        <v>2.5161107999999999</v>
      </c>
      <c r="AG94" s="10">
        <v>2.4788602000000002</v>
      </c>
      <c r="AH94" s="10">
        <v>2.4418994000000001</v>
      </c>
      <c r="AI94" s="10">
        <v>2.4055664000000001</v>
      </c>
      <c r="AJ94" s="10">
        <v>2.3699542</v>
      </c>
      <c r="AK94" s="10">
        <v>2.3351554999999999</v>
      </c>
      <c r="AL94" s="10">
        <v>2.3012632000000002</v>
      </c>
      <c r="AM94" s="10">
        <v>2.2683703</v>
      </c>
      <c r="AN94" s="10">
        <v>2.2365694</v>
      </c>
      <c r="AO94" s="10">
        <v>2.2059536</v>
      </c>
      <c r="AP94" s="10">
        <v>2.1766155999999999</v>
      </c>
      <c r="AQ94" s="10">
        <v>2.1486481999999998</v>
      </c>
      <c r="AR94" s="10">
        <v>2.1221445000000001</v>
      </c>
      <c r="AS94" s="10">
        <v>2.0971970999999998</v>
      </c>
      <c r="AT94" s="10">
        <v>2.0738786999999999</v>
      </c>
      <c r="AU94" s="10">
        <v>2.0521417</v>
      </c>
      <c r="AV94" s="10">
        <v>2.0318936999999999</v>
      </c>
      <c r="AW94" s="10">
        <v>2.0130425999999999</v>
      </c>
      <c r="AX94" s="10">
        <v>1.9954962000000001</v>
      </c>
      <c r="AY94" s="10">
        <v>1.9791620999999999</v>
      </c>
      <c r="AZ94" s="10">
        <v>1.9639481000000001</v>
      </c>
      <c r="BA94" s="10">
        <v>1.9497621000000001</v>
      </c>
      <c r="BB94" s="10">
        <v>1.9365117000000001</v>
      </c>
      <c r="BC94" s="10">
        <v>1.9241047</v>
      </c>
      <c r="BD94" s="10">
        <v>1.9124487999999999</v>
      </c>
      <c r="BE94" s="10">
        <v>1.9014519000000001</v>
      </c>
      <c r="BF94" s="10">
        <v>1.8910305999999999</v>
      </c>
      <c r="BG94" s="10">
        <v>1.881149</v>
      </c>
      <c r="BH94" s="10">
        <v>1.8717874000000001</v>
      </c>
      <c r="BI94" s="10">
        <v>1.8629262</v>
      </c>
      <c r="BJ94" s="10">
        <v>1.8545453999999999</v>
      </c>
      <c r="BK94" s="10">
        <v>1.8466255</v>
      </c>
      <c r="BL94" s="10">
        <v>1.8391466000000001</v>
      </c>
      <c r="BM94" s="10">
        <v>1.8320889</v>
      </c>
      <c r="BN94" s="10">
        <v>1.8254328</v>
      </c>
      <c r="BO94" s="10">
        <v>1.8191584999999999</v>
      </c>
      <c r="BP94" s="10">
        <v>1.8132462</v>
      </c>
      <c r="BQ94" s="10">
        <v>1.8076762</v>
      </c>
      <c r="BR94" s="10">
        <v>1.7807421999999999</v>
      </c>
      <c r="BS94" s="10">
        <v>1.7636312999999999</v>
      </c>
      <c r="BU94" s="7">
        <v>1.65</v>
      </c>
      <c r="BV94" s="7">
        <v>1.95</v>
      </c>
      <c r="BW94" s="9">
        <v>80.182199999999995</v>
      </c>
    </row>
    <row r="95" spans="1:75" x14ac:dyDescent="0.25">
      <c r="A95" s="6">
        <f t="shared" si="11"/>
        <v>44685</v>
      </c>
      <c r="B95" s="13">
        <f t="shared" si="6"/>
        <v>5</v>
      </c>
      <c r="C95" s="13">
        <f t="shared" si="7"/>
        <v>2022</v>
      </c>
      <c r="D95">
        <f t="shared" si="8"/>
        <v>202205</v>
      </c>
      <c r="E95">
        <f t="shared" si="9"/>
        <v>2</v>
      </c>
      <c r="F95">
        <f t="shared" si="10"/>
        <v>202202</v>
      </c>
      <c r="G95" t="s">
        <v>282</v>
      </c>
      <c r="H95" s="9">
        <v>0.75</v>
      </c>
      <c r="I95" s="9">
        <v>0.69099999999999995</v>
      </c>
      <c r="J95" s="10">
        <v>1.0461372</v>
      </c>
      <c r="K95" s="10">
        <v>1.2635624000000001</v>
      </c>
      <c r="L95" s="10">
        <v>1.4856499999999999</v>
      </c>
      <c r="M95" s="10">
        <v>1.7013775</v>
      </c>
      <c r="N95" s="10">
        <v>1.8926485</v>
      </c>
      <c r="O95" s="10">
        <v>2.0551845000000002</v>
      </c>
      <c r="P95" s="10">
        <v>2.1905345000000001</v>
      </c>
      <c r="Q95" s="10">
        <v>2.3031934000000001</v>
      </c>
      <c r="R95" s="10">
        <v>2.3986276000000002</v>
      </c>
      <c r="S95" s="10">
        <v>2.4802206</v>
      </c>
      <c r="T95" s="10">
        <v>2.5498267000000001</v>
      </c>
      <c r="U95" s="10">
        <v>2.6071067000000001</v>
      </c>
      <c r="V95" s="10">
        <v>2.6509575000000001</v>
      </c>
      <c r="W95" s="10">
        <v>2.6818499999999998</v>
      </c>
      <c r="X95" s="10">
        <v>2.7006909000000001</v>
      </c>
      <c r="Y95" s="10">
        <v>2.7083868</v>
      </c>
      <c r="Z95" s="10">
        <v>2.7058445</v>
      </c>
      <c r="AA95" s="10">
        <v>2.6939706000000001</v>
      </c>
      <c r="AB95" s="10">
        <v>2.6737424000000001</v>
      </c>
      <c r="AC95" s="10">
        <v>2.6465386</v>
      </c>
      <c r="AD95" s="10">
        <v>2.6138785000000002</v>
      </c>
      <c r="AE95" s="10">
        <v>2.5772816999999999</v>
      </c>
      <c r="AF95" s="10">
        <v>2.538268</v>
      </c>
      <c r="AG95" s="10">
        <v>2.4983569000000001</v>
      </c>
      <c r="AH95" s="10">
        <v>2.4589105999999998</v>
      </c>
      <c r="AI95" s="10">
        <v>2.4203524999999999</v>
      </c>
      <c r="AJ95" s="10">
        <v>2.3827603000000002</v>
      </c>
      <c r="AK95" s="10">
        <v>2.3462106</v>
      </c>
      <c r="AL95" s="10">
        <v>2.3107804000000001</v>
      </c>
      <c r="AM95" s="10">
        <v>2.2765466999999999</v>
      </c>
      <c r="AN95" s="10">
        <v>2.2435860999999999</v>
      </c>
      <c r="AO95" s="10">
        <v>2.2119757</v>
      </c>
      <c r="AP95" s="10">
        <v>2.1817923000000001</v>
      </c>
      <c r="AQ95" s="10">
        <v>2.1531126999999999</v>
      </c>
      <c r="AR95" s="10">
        <v>2.1260138999999998</v>
      </c>
      <c r="AS95" s="10">
        <v>2.1005726999999998</v>
      </c>
      <c r="AT95" s="10">
        <v>2.0768442999999999</v>
      </c>
      <c r="AU95" s="10">
        <v>2.054767</v>
      </c>
      <c r="AV95" s="10">
        <v>2.03424</v>
      </c>
      <c r="AW95" s="10">
        <v>2.0151623000000001</v>
      </c>
      <c r="AX95" s="10">
        <v>1.9974331999999999</v>
      </c>
      <c r="AY95" s="10">
        <v>1.9809516</v>
      </c>
      <c r="AZ95" s="10">
        <v>1.9656168000000001</v>
      </c>
      <c r="BA95" s="10">
        <v>1.9513278999999999</v>
      </c>
      <c r="BB95" s="10">
        <v>1.9379839999999999</v>
      </c>
      <c r="BC95" s="10">
        <v>1.9254841</v>
      </c>
      <c r="BD95" s="10">
        <v>1.9137275</v>
      </c>
      <c r="BE95" s="10">
        <v>1.9026132</v>
      </c>
      <c r="BF95" s="10">
        <v>1.8920515</v>
      </c>
      <c r="BG95" s="10">
        <v>1.8820075999999999</v>
      </c>
      <c r="BH95" s="10">
        <v>1.872463</v>
      </c>
      <c r="BI95" s="10">
        <v>1.8633994</v>
      </c>
      <c r="BJ95" s="10">
        <v>1.8547984</v>
      </c>
      <c r="BK95" s="10">
        <v>1.8466416999999999</v>
      </c>
      <c r="BL95" s="10">
        <v>1.838911</v>
      </c>
      <c r="BM95" s="10">
        <v>1.831588</v>
      </c>
      <c r="BN95" s="10">
        <v>1.8246541999999999</v>
      </c>
      <c r="BO95" s="10">
        <v>1.8180913000000001</v>
      </c>
      <c r="BP95" s="10">
        <v>1.8118810000000001</v>
      </c>
      <c r="BQ95" s="10">
        <v>1.8060050000000001</v>
      </c>
      <c r="BR95" s="10">
        <v>1.7770999999999999</v>
      </c>
      <c r="BS95" s="10">
        <v>1.7577858</v>
      </c>
      <c r="BU95" s="7">
        <v>1.64</v>
      </c>
      <c r="BV95" s="7">
        <v>1.97</v>
      </c>
      <c r="BW95" s="9">
        <v>80.070499999999996</v>
      </c>
    </row>
    <row r="96" spans="1:75" x14ac:dyDescent="0.25">
      <c r="A96" s="6">
        <f t="shared" si="11"/>
        <v>44686</v>
      </c>
      <c r="B96" s="13">
        <f t="shared" si="6"/>
        <v>5</v>
      </c>
      <c r="C96" s="13">
        <f t="shared" si="7"/>
        <v>2022</v>
      </c>
      <c r="D96">
        <f t="shared" si="8"/>
        <v>202205</v>
      </c>
      <c r="E96">
        <f t="shared" si="9"/>
        <v>2</v>
      </c>
      <c r="F96">
        <f t="shared" si="10"/>
        <v>202202</v>
      </c>
      <c r="G96" t="s">
        <v>283</v>
      </c>
      <c r="H96" s="9">
        <v>1</v>
      </c>
      <c r="I96" s="9">
        <v>0.93820000000000003</v>
      </c>
      <c r="J96" s="10">
        <v>0.99368489999999998</v>
      </c>
      <c r="K96" s="10">
        <v>1.1896013999999999</v>
      </c>
      <c r="L96" s="10">
        <v>1.3852564000000001</v>
      </c>
      <c r="M96" s="10">
        <v>1.5764026</v>
      </c>
      <c r="N96" s="10">
        <v>1.7506132000000001</v>
      </c>
      <c r="O96" s="10">
        <v>1.9032819999999999</v>
      </c>
      <c r="P96" s="10">
        <v>2.0347502999999998</v>
      </c>
      <c r="Q96" s="10">
        <v>2.1463309000000002</v>
      </c>
      <c r="R96" s="10">
        <v>2.2414149000000001</v>
      </c>
      <c r="S96" s="10">
        <v>2.322425</v>
      </c>
      <c r="T96" s="10">
        <v>2.3908163</v>
      </c>
      <c r="U96" s="10">
        <v>2.4468896999999998</v>
      </c>
      <c r="V96" s="10">
        <v>2.4908972999999999</v>
      </c>
      <c r="W96" s="10">
        <v>2.5235194999999999</v>
      </c>
      <c r="X96" s="10">
        <v>2.5455334999999999</v>
      </c>
      <c r="Y96" s="10">
        <v>2.5577163999999999</v>
      </c>
      <c r="Z96" s="10">
        <v>2.5608455000000001</v>
      </c>
      <c r="AA96" s="10">
        <v>2.5556979000000002</v>
      </c>
      <c r="AB96" s="10">
        <v>2.5431176999999998</v>
      </c>
      <c r="AC96" s="10">
        <v>2.5242903999999999</v>
      </c>
      <c r="AD96" s="10">
        <v>2.5005109000000001</v>
      </c>
      <c r="AE96" s="10">
        <v>2.473074</v>
      </c>
      <c r="AF96" s="10">
        <v>2.4432746000000001</v>
      </c>
      <c r="AG96" s="10">
        <v>2.4124075</v>
      </c>
      <c r="AH96" s="10">
        <v>2.3816207</v>
      </c>
      <c r="AI96" s="10">
        <v>2.3512705999999999</v>
      </c>
      <c r="AJ96" s="10">
        <v>2.3214484</v>
      </c>
      <c r="AK96" s="10">
        <v>2.2922452</v>
      </c>
      <c r="AL96" s="10">
        <v>2.2637518000000001</v>
      </c>
      <c r="AM96" s="10">
        <v>2.2360593</v>
      </c>
      <c r="AN96" s="10">
        <v>2.2092586999999999</v>
      </c>
      <c r="AO96" s="10">
        <v>2.1834410000000002</v>
      </c>
      <c r="AP96" s="10">
        <v>2.1586972000000002</v>
      </c>
      <c r="AQ96" s="10">
        <v>2.1351182</v>
      </c>
      <c r="AR96" s="10">
        <v>2.1127951</v>
      </c>
      <c r="AS96" s="10">
        <v>2.0918188</v>
      </c>
      <c r="AT96" s="10">
        <v>2.0722564000000001</v>
      </c>
      <c r="AU96" s="10">
        <v>2.0540574999999999</v>
      </c>
      <c r="AV96" s="10">
        <v>2.0371362</v>
      </c>
      <c r="AW96" s="10">
        <v>2.0214066000000002</v>
      </c>
      <c r="AX96" s="10">
        <v>2.0067829000000001</v>
      </c>
      <c r="AY96" s="10">
        <v>1.993179</v>
      </c>
      <c r="AZ96" s="10">
        <v>1.9805090000000001</v>
      </c>
      <c r="BA96" s="10">
        <v>1.9686870999999999</v>
      </c>
      <c r="BB96" s="10">
        <v>1.9576273</v>
      </c>
      <c r="BC96" s="10">
        <v>1.9472436</v>
      </c>
      <c r="BD96" s="10">
        <v>1.9374502</v>
      </c>
      <c r="BE96" s="10">
        <v>1.9281611999999999</v>
      </c>
      <c r="BF96" s="10">
        <v>1.9193017000000001</v>
      </c>
      <c r="BG96" s="10">
        <v>1.9108467</v>
      </c>
      <c r="BH96" s="10">
        <v>1.9027845000000001</v>
      </c>
      <c r="BI96" s="10">
        <v>1.8951035000000001</v>
      </c>
      <c r="BJ96" s="10">
        <v>1.8877922</v>
      </c>
      <c r="BK96" s="10">
        <v>1.8808389000000001</v>
      </c>
      <c r="BL96" s="10">
        <v>1.8742321</v>
      </c>
      <c r="BM96" s="10">
        <v>1.8679603</v>
      </c>
      <c r="BN96" s="10">
        <v>1.8620118000000001</v>
      </c>
      <c r="BO96" s="10">
        <v>1.8563750000000001</v>
      </c>
      <c r="BP96" s="10">
        <v>1.8510384</v>
      </c>
      <c r="BQ96" s="10">
        <v>1.8459904</v>
      </c>
      <c r="BR96" s="10">
        <v>1.8213771000000001</v>
      </c>
      <c r="BS96" s="10">
        <v>1.805828</v>
      </c>
      <c r="BU96" s="7">
        <v>1.55</v>
      </c>
      <c r="BV96" s="7">
        <v>1.97</v>
      </c>
      <c r="BW96" s="9">
        <v>79.393500000000003</v>
      </c>
    </row>
    <row r="97" spans="1:75" x14ac:dyDescent="0.25">
      <c r="A97" s="6">
        <f t="shared" si="11"/>
        <v>44687</v>
      </c>
      <c r="B97" s="13">
        <f t="shared" si="6"/>
        <v>5</v>
      </c>
      <c r="C97" s="13">
        <f t="shared" si="7"/>
        <v>2022</v>
      </c>
      <c r="D97">
        <f t="shared" si="8"/>
        <v>202205</v>
      </c>
      <c r="E97">
        <f t="shared" si="9"/>
        <v>2</v>
      </c>
      <c r="F97">
        <f t="shared" si="10"/>
        <v>202202</v>
      </c>
      <c r="G97" t="s">
        <v>284</v>
      </c>
      <c r="H97" s="9">
        <v>1</v>
      </c>
      <c r="I97" s="9">
        <v>0.94089999999999996</v>
      </c>
      <c r="J97" s="10">
        <v>1.0026311999999999</v>
      </c>
      <c r="K97" s="10">
        <v>1.2003505999999999</v>
      </c>
      <c r="L97" s="10">
        <v>1.3914514</v>
      </c>
      <c r="M97" s="10">
        <v>1.5747576999999999</v>
      </c>
      <c r="N97" s="10">
        <v>1.7433145000000001</v>
      </c>
      <c r="O97" s="10">
        <v>1.8951852</v>
      </c>
      <c r="P97" s="10">
        <v>2.0302864999999999</v>
      </c>
      <c r="Q97" s="10">
        <v>2.1484730999999999</v>
      </c>
      <c r="R97" s="10">
        <v>2.2507316999999998</v>
      </c>
      <c r="S97" s="10">
        <v>2.3381535000000002</v>
      </c>
      <c r="T97" s="10">
        <v>2.4111817000000002</v>
      </c>
      <c r="U97" s="10">
        <v>2.4701341000000001</v>
      </c>
      <c r="V97" s="10">
        <v>2.5151618999999998</v>
      </c>
      <c r="W97" s="10">
        <v>2.5472524000000001</v>
      </c>
      <c r="X97" s="10">
        <v>2.5676796</v>
      </c>
      <c r="Y97" s="10">
        <v>2.5777173000000002</v>
      </c>
      <c r="Z97" s="10">
        <v>2.5786395999999998</v>
      </c>
      <c r="AA97" s="10">
        <v>2.5717203</v>
      </c>
      <c r="AB97" s="10">
        <v>2.5582163000000002</v>
      </c>
      <c r="AC97" s="10">
        <v>2.5393058000000002</v>
      </c>
      <c r="AD97" s="10">
        <v>2.5161440000000002</v>
      </c>
      <c r="AE97" s="10">
        <v>2.4898861999999999</v>
      </c>
      <c r="AF97" s="10">
        <v>2.4616875999999999</v>
      </c>
      <c r="AG97" s="10">
        <v>2.4327033999999998</v>
      </c>
      <c r="AH97" s="10">
        <v>2.4039410999999999</v>
      </c>
      <c r="AI97" s="10">
        <v>2.3756872000000002</v>
      </c>
      <c r="AJ97" s="10">
        <v>2.3480091000000001</v>
      </c>
      <c r="AK97" s="10">
        <v>2.3209740000000001</v>
      </c>
      <c r="AL97" s="10">
        <v>2.2946491999999998</v>
      </c>
      <c r="AM97" s="10">
        <v>2.2691018999999999</v>
      </c>
      <c r="AN97" s="10">
        <v>2.2443993999999998</v>
      </c>
      <c r="AO97" s="10">
        <v>2.2206089000000002</v>
      </c>
      <c r="AP97" s="10">
        <v>2.1977977000000002</v>
      </c>
      <c r="AQ97" s="10">
        <v>2.1760329999999999</v>
      </c>
      <c r="AR97" s="10">
        <v>2.1553822</v>
      </c>
      <c r="AS97" s="10">
        <v>2.1359124</v>
      </c>
      <c r="AT97" s="10">
        <v>2.1176705999999998</v>
      </c>
      <c r="AU97" s="10">
        <v>2.1006143000000002</v>
      </c>
      <c r="AV97" s="10">
        <v>2.0846762999999999</v>
      </c>
      <c r="AW97" s="10">
        <v>2.0697893000000001</v>
      </c>
      <c r="AX97" s="10">
        <v>2.0558860999999999</v>
      </c>
      <c r="AY97" s="10">
        <v>2.0428994999999999</v>
      </c>
      <c r="AZ97" s="10">
        <v>2.0307621999999999</v>
      </c>
      <c r="BA97" s="10">
        <v>2.0194070000000002</v>
      </c>
      <c r="BB97" s="10">
        <v>2.0087666</v>
      </c>
      <c r="BC97" s="10">
        <v>1.9987740000000001</v>
      </c>
      <c r="BD97" s="10">
        <v>1.9893616999999999</v>
      </c>
      <c r="BE97" s="10">
        <v>1.9804625</v>
      </c>
      <c r="BF97" s="10">
        <v>1.9720176</v>
      </c>
      <c r="BG97" s="10">
        <v>1.9640044999999999</v>
      </c>
      <c r="BH97" s="10">
        <v>1.9564106999999999</v>
      </c>
      <c r="BI97" s="10">
        <v>1.9492240000000001</v>
      </c>
      <c r="BJ97" s="10">
        <v>1.9424319000000001</v>
      </c>
      <c r="BK97" s="10">
        <v>1.9360222</v>
      </c>
      <c r="BL97" s="10">
        <v>1.9299823</v>
      </c>
      <c r="BM97" s="10">
        <v>1.9242999999999999</v>
      </c>
      <c r="BN97" s="10">
        <v>1.9189628999999999</v>
      </c>
      <c r="BO97" s="10">
        <v>1.9139587</v>
      </c>
      <c r="BP97" s="10">
        <v>1.9092749</v>
      </c>
      <c r="BQ97" s="10">
        <v>1.9048991</v>
      </c>
      <c r="BR97" s="10">
        <v>1.8846315</v>
      </c>
      <c r="BS97" s="10">
        <v>1.8736094000000001</v>
      </c>
      <c r="BU97" s="7">
        <v>1.51</v>
      </c>
      <c r="BV97" s="7">
        <v>2.0099999999999998</v>
      </c>
      <c r="BW97" s="9">
        <v>79.217600000000004</v>
      </c>
    </row>
    <row r="98" spans="1:75" x14ac:dyDescent="0.25">
      <c r="A98" s="6">
        <f t="shared" si="11"/>
        <v>44690</v>
      </c>
      <c r="B98" s="13">
        <f t="shared" si="6"/>
        <v>5</v>
      </c>
      <c r="C98" s="13">
        <f t="shared" si="7"/>
        <v>2022</v>
      </c>
      <c r="D98">
        <f t="shared" si="8"/>
        <v>202205</v>
      </c>
      <c r="E98">
        <f t="shared" si="9"/>
        <v>2</v>
      </c>
      <c r="F98">
        <f t="shared" si="10"/>
        <v>202202</v>
      </c>
      <c r="G98" t="s">
        <v>285</v>
      </c>
      <c r="H98" s="9">
        <v>1</v>
      </c>
      <c r="I98" s="9">
        <v>0.94030000000000002</v>
      </c>
      <c r="J98" s="10">
        <v>1.0085881000000001</v>
      </c>
      <c r="K98" s="10">
        <v>1.2047798000000001</v>
      </c>
      <c r="L98" s="10">
        <v>1.3878060000000001</v>
      </c>
      <c r="M98" s="10">
        <v>1.5591343</v>
      </c>
      <c r="N98" s="10">
        <v>1.7151414</v>
      </c>
      <c r="O98" s="10">
        <v>1.8560551000000001</v>
      </c>
      <c r="P98" s="10">
        <v>1.9828427</v>
      </c>
      <c r="Q98" s="10">
        <v>2.0954584000000001</v>
      </c>
      <c r="R98" s="10">
        <v>2.1938333000000001</v>
      </c>
      <c r="S98" s="10">
        <v>2.2781844000000002</v>
      </c>
      <c r="T98" s="10">
        <v>2.3484159999999998</v>
      </c>
      <c r="U98" s="10">
        <v>2.4047988999999999</v>
      </c>
      <c r="V98" s="10">
        <v>2.4473862999999998</v>
      </c>
      <c r="W98" s="10">
        <v>2.4772180000000001</v>
      </c>
      <c r="X98" s="10">
        <v>2.4956349000000002</v>
      </c>
      <c r="Y98" s="10">
        <v>2.5039777999999999</v>
      </c>
      <c r="Z98" s="10">
        <v>2.5035873999999998</v>
      </c>
      <c r="AA98" s="10">
        <v>2.4958046999999999</v>
      </c>
      <c r="AB98" s="10">
        <v>2.4819355000000001</v>
      </c>
      <c r="AC98" s="10">
        <v>2.4631245000000002</v>
      </c>
      <c r="AD98" s="10">
        <v>2.4404691999999999</v>
      </c>
      <c r="AE98" s="10">
        <v>2.4150675000000001</v>
      </c>
      <c r="AF98" s="10">
        <v>2.3880167999999999</v>
      </c>
      <c r="AG98" s="10">
        <v>2.3604150000000002</v>
      </c>
      <c r="AH98" s="10">
        <v>2.3332014000000001</v>
      </c>
      <c r="AI98" s="10">
        <v>2.3066165000000001</v>
      </c>
      <c r="AJ98" s="10">
        <v>2.2807081</v>
      </c>
      <c r="AK98" s="10">
        <v>2.2555236999999999</v>
      </c>
      <c r="AL98" s="10">
        <v>2.2311112</v>
      </c>
      <c r="AM98" s="10">
        <v>2.2075181000000001</v>
      </c>
      <c r="AN98" s="10">
        <v>2.1847922</v>
      </c>
      <c r="AO98" s="10">
        <v>2.1629813000000002</v>
      </c>
      <c r="AP98" s="10">
        <v>2.1421329</v>
      </c>
      <c r="AQ98" s="10">
        <v>2.1222946999999999</v>
      </c>
      <c r="AR98" s="10">
        <v>2.1035146</v>
      </c>
      <c r="AS98" s="10">
        <v>2.0858401</v>
      </c>
      <c r="AT98" s="10">
        <v>2.0693024000000002</v>
      </c>
      <c r="AU98" s="10">
        <v>2.0538596</v>
      </c>
      <c r="AV98" s="10">
        <v>2.0394497</v>
      </c>
      <c r="AW98" s="10">
        <v>2.0260106000000002</v>
      </c>
      <c r="AX98" s="10">
        <v>2.0134802000000001</v>
      </c>
      <c r="AY98" s="10">
        <v>2.0017965000000002</v>
      </c>
      <c r="AZ98" s="10">
        <v>1.9908975</v>
      </c>
      <c r="BA98" s="10">
        <v>1.980721</v>
      </c>
      <c r="BB98" s="10">
        <v>1.9712050999999999</v>
      </c>
      <c r="BC98" s="10">
        <v>1.9622876</v>
      </c>
      <c r="BD98" s="10">
        <v>1.9539066</v>
      </c>
      <c r="BE98" s="10">
        <v>1.9459998999999999</v>
      </c>
      <c r="BF98" s="10">
        <v>1.9385117999999999</v>
      </c>
      <c r="BG98" s="10">
        <v>1.9314199000000001</v>
      </c>
      <c r="BH98" s="10">
        <v>1.9247133999999999</v>
      </c>
      <c r="BI98" s="10">
        <v>1.9183812</v>
      </c>
      <c r="BJ98" s="10">
        <v>1.9124121999999999</v>
      </c>
      <c r="BK98" s="10">
        <v>1.9067955999999999</v>
      </c>
      <c r="BL98" s="10">
        <v>1.9015204000000001</v>
      </c>
      <c r="BM98" s="10">
        <v>1.8965755</v>
      </c>
      <c r="BN98" s="10">
        <v>1.8919499</v>
      </c>
      <c r="BO98" s="10">
        <v>1.8876326999999999</v>
      </c>
      <c r="BP98" s="10">
        <v>1.8836128999999999</v>
      </c>
      <c r="BQ98" s="10">
        <v>1.8798794999999999</v>
      </c>
      <c r="BR98" s="10">
        <v>1.863048</v>
      </c>
      <c r="BS98" s="10">
        <v>1.8548020000000001</v>
      </c>
      <c r="BU98" s="7">
        <v>1.39</v>
      </c>
      <c r="BV98" s="7">
        <v>1.96</v>
      </c>
      <c r="BW98" s="9">
        <v>79.302099999999996</v>
      </c>
    </row>
    <row r="99" spans="1:75" x14ac:dyDescent="0.25">
      <c r="A99" s="6">
        <f t="shared" si="11"/>
        <v>44691</v>
      </c>
      <c r="B99" s="13">
        <f t="shared" si="6"/>
        <v>5</v>
      </c>
      <c r="C99" s="13">
        <f t="shared" si="7"/>
        <v>2022</v>
      </c>
      <c r="D99">
        <f t="shared" si="8"/>
        <v>202205</v>
      </c>
      <c r="E99">
        <f t="shared" si="9"/>
        <v>2</v>
      </c>
      <c r="F99">
        <f t="shared" si="10"/>
        <v>202202</v>
      </c>
      <c r="G99" t="s">
        <v>286</v>
      </c>
      <c r="H99" s="9">
        <v>1</v>
      </c>
      <c r="I99" s="9">
        <v>0.93969999999999998</v>
      </c>
      <c r="J99" s="10">
        <v>1.0152454</v>
      </c>
      <c r="K99" s="10">
        <v>1.2135982999999999</v>
      </c>
      <c r="L99" s="10">
        <v>1.3892207999999999</v>
      </c>
      <c r="M99" s="10">
        <v>1.5476342999999999</v>
      </c>
      <c r="N99" s="10">
        <v>1.6899200999999999</v>
      </c>
      <c r="O99" s="10">
        <v>1.8193459000000001</v>
      </c>
      <c r="P99" s="10">
        <v>1.9378318999999999</v>
      </c>
      <c r="Q99" s="10">
        <v>2.0450159999999999</v>
      </c>
      <c r="R99" s="10">
        <v>2.1396327999999998</v>
      </c>
      <c r="S99" s="10">
        <v>2.2210502000000001</v>
      </c>
      <c r="T99" s="10">
        <v>2.2888117000000001</v>
      </c>
      <c r="U99" s="10">
        <v>2.3429893000000002</v>
      </c>
      <c r="V99" s="10">
        <v>2.3838794999999999</v>
      </c>
      <c r="W99" s="10">
        <v>2.4125524</v>
      </c>
      <c r="X99" s="10">
        <v>2.4302815</v>
      </c>
      <c r="Y99" s="10">
        <v>2.4383404999999998</v>
      </c>
      <c r="Z99" s="10">
        <v>2.4380028</v>
      </c>
      <c r="AA99" s="10">
        <v>2.430542</v>
      </c>
      <c r="AB99" s="10">
        <v>2.4171990000000001</v>
      </c>
      <c r="AC99" s="10">
        <v>2.3990640000000001</v>
      </c>
      <c r="AD99" s="10">
        <v>2.3771833999999998</v>
      </c>
      <c r="AE99" s="10">
        <v>2.3526037999999998</v>
      </c>
      <c r="AF99" s="10">
        <v>2.3263714000000002</v>
      </c>
      <c r="AG99" s="10">
        <v>2.2995328000000002</v>
      </c>
      <c r="AH99" s="10">
        <v>2.2729843999999999</v>
      </c>
      <c r="AI99" s="10">
        <v>2.2469608000000001</v>
      </c>
      <c r="AJ99" s="10">
        <v>2.2215139000000002</v>
      </c>
      <c r="AK99" s="10">
        <v>2.1966956</v>
      </c>
      <c r="AL99" s="10">
        <v>2.1725579000000002</v>
      </c>
      <c r="AM99" s="10">
        <v>2.1491527000000001</v>
      </c>
      <c r="AN99" s="10">
        <v>2.1265318</v>
      </c>
      <c r="AO99" s="10">
        <v>2.1047473000000001</v>
      </c>
      <c r="AP99" s="10">
        <v>2.0838510000000001</v>
      </c>
      <c r="AQ99" s="10">
        <v>2.0638947999999999</v>
      </c>
      <c r="AR99" s="10">
        <v>2.0449307000000001</v>
      </c>
      <c r="AS99" s="10">
        <v>2.0270106000000001</v>
      </c>
      <c r="AT99" s="10">
        <v>2.0101724999999999</v>
      </c>
      <c r="AU99" s="10">
        <v>1.9943797999999999</v>
      </c>
      <c r="AV99" s="10">
        <v>1.9795707</v>
      </c>
      <c r="AW99" s="10">
        <v>1.9656834000000001</v>
      </c>
      <c r="AX99" s="10">
        <v>1.9526561</v>
      </c>
      <c r="AY99" s="10">
        <v>1.9404272</v>
      </c>
      <c r="AZ99" s="10">
        <v>1.9289346999999999</v>
      </c>
      <c r="BA99" s="10">
        <v>1.9181170000000001</v>
      </c>
      <c r="BB99" s="10">
        <v>1.9079123</v>
      </c>
      <c r="BC99" s="10">
        <v>1.8982589000000001</v>
      </c>
      <c r="BD99" s="10">
        <v>1.8890948000000001</v>
      </c>
      <c r="BE99" s="10">
        <v>1.8803585</v>
      </c>
      <c r="BF99" s="10">
        <v>1.8719954000000001</v>
      </c>
      <c r="BG99" s="10">
        <v>1.8639866</v>
      </c>
      <c r="BH99" s="10">
        <v>1.8563239</v>
      </c>
      <c r="BI99" s="10">
        <v>1.8489994000000001</v>
      </c>
      <c r="BJ99" s="10">
        <v>1.8420048</v>
      </c>
      <c r="BK99" s="10">
        <v>1.835332</v>
      </c>
      <c r="BL99" s="10">
        <v>1.828973</v>
      </c>
      <c r="BM99" s="10">
        <v>1.8229196999999999</v>
      </c>
      <c r="BN99" s="10">
        <v>1.8171638999999999</v>
      </c>
      <c r="BO99" s="10">
        <v>1.8116975</v>
      </c>
      <c r="BP99" s="10">
        <v>1.8065125</v>
      </c>
      <c r="BQ99" s="10">
        <v>1.8016007000000001</v>
      </c>
      <c r="BR99" s="10">
        <v>1.7775955999999999</v>
      </c>
      <c r="BS99" s="10">
        <v>1.7624888000000001</v>
      </c>
      <c r="BU99" s="7">
        <v>1.33</v>
      </c>
      <c r="BV99" s="7">
        <v>1.85</v>
      </c>
      <c r="BW99" s="9">
        <v>79.292000000000002</v>
      </c>
    </row>
    <row r="100" spans="1:75" x14ac:dyDescent="0.25">
      <c r="A100" s="6">
        <f t="shared" si="11"/>
        <v>44692</v>
      </c>
      <c r="B100" s="13">
        <f t="shared" si="6"/>
        <v>5</v>
      </c>
      <c r="C100" s="13">
        <f t="shared" si="7"/>
        <v>2022</v>
      </c>
      <c r="D100">
        <f t="shared" si="8"/>
        <v>202205</v>
      </c>
      <c r="E100">
        <f t="shared" si="9"/>
        <v>2</v>
      </c>
      <c r="F100">
        <f t="shared" si="10"/>
        <v>202202</v>
      </c>
      <c r="G100" t="s">
        <v>287</v>
      </c>
      <c r="H100" s="9">
        <v>1</v>
      </c>
      <c r="I100" s="9">
        <v>0.9405</v>
      </c>
      <c r="J100" s="10">
        <v>1.0169683</v>
      </c>
      <c r="K100" s="10">
        <v>1.221967</v>
      </c>
      <c r="L100" s="10">
        <v>1.3979857</v>
      </c>
      <c r="M100" s="10">
        <v>1.5538227</v>
      </c>
      <c r="N100" s="10">
        <v>1.6927052</v>
      </c>
      <c r="O100" s="10">
        <v>1.8180544999999999</v>
      </c>
      <c r="P100" s="10">
        <v>1.9321206</v>
      </c>
      <c r="Q100" s="10">
        <v>2.0351108</v>
      </c>
      <c r="R100" s="10">
        <v>2.1264040999999998</v>
      </c>
      <c r="S100" s="10">
        <v>2.2048624999999999</v>
      </c>
      <c r="T100" s="10">
        <v>2.2701878999999998</v>
      </c>
      <c r="U100" s="10">
        <v>2.3216326999999999</v>
      </c>
      <c r="V100" s="10">
        <v>2.3591232</v>
      </c>
      <c r="W100" s="10">
        <v>2.3838167000000001</v>
      </c>
      <c r="X100" s="10">
        <v>2.3971300000000002</v>
      </c>
      <c r="Y100" s="10">
        <v>2.4004797999999998</v>
      </c>
      <c r="Z100" s="10">
        <v>2.3952827000000001</v>
      </c>
      <c r="AA100" s="10">
        <v>2.3829554000000002</v>
      </c>
      <c r="AB100" s="10">
        <v>2.3648821999999998</v>
      </c>
      <c r="AC100" s="10">
        <v>2.3422649</v>
      </c>
      <c r="AD100" s="10">
        <v>2.3162406999999998</v>
      </c>
      <c r="AE100" s="10">
        <v>2.2879467</v>
      </c>
      <c r="AF100" s="10">
        <v>2.2585202999999998</v>
      </c>
      <c r="AG100" s="10">
        <v>2.2290985999999999</v>
      </c>
      <c r="AH100" s="10">
        <v>2.2006777</v>
      </c>
      <c r="AI100" s="10">
        <v>2.1734936999999999</v>
      </c>
      <c r="AJ100" s="10">
        <v>2.1475281000000002</v>
      </c>
      <c r="AK100" s="10">
        <v>2.1227619999999998</v>
      </c>
      <c r="AL100" s="10">
        <v>2.0991765999999998</v>
      </c>
      <c r="AM100" s="10">
        <v>2.0767530999999999</v>
      </c>
      <c r="AN100" s="10">
        <v>2.0554725999999999</v>
      </c>
      <c r="AO100" s="10">
        <v>2.0353164000000001</v>
      </c>
      <c r="AP100" s="10">
        <v>2.0162656000000001</v>
      </c>
      <c r="AQ100" s="10">
        <v>1.9983013999999999</v>
      </c>
      <c r="AR100" s="10">
        <v>1.9814050000000001</v>
      </c>
      <c r="AS100" s="10">
        <v>1.9655575999999999</v>
      </c>
      <c r="AT100" s="10">
        <v>1.9507333</v>
      </c>
      <c r="AU100" s="10">
        <v>1.9368719999999999</v>
      </c>
      <c r="AV100" s="10">
        <v>1.9239031</v>
      </c>
      <c r="AW100" s="10">
        <v>1.9117561999999999</v>
      </c>
      <c r="AX100" s="10">
        <v>1.9003604999999999</v>
      </c>
      <c r="AY100" s="10">
        <v>1.8896455999999999</v>
      </c>
      <c r="AZ100" s="10">
        <v>1.8795409000000001</v>
      </c>
      <c r="BA100" s="10">
        <v>1.8699758</v>
      </c>
      <c r="BB100" s="10">
        <v>1.8608796999999999</v>
      </c>
      <c r="BC100" s="10">
        <v>1.8521821999999999</v>
      </c>
      <c r="BD100" s="10">
        <v>1.8438125999999999</v>
      </c>
      <c r="BE100" s="10">
        <v>1.8357003999999999</v>
      </c>
      <c r="BF100" s="10">
        <v>1.8277862</v>
      </c>
      <c r="BG100" s="10">
        <v>1.8200599</v>
      </c>
      <c r="BH100" s="10">
        <v>1.8125251</v>
      </c>
      <c r="BI100" s="10">
        <v>1.8051854000000001</v>
      </c>
      <c r="BJ100" s="10">
        <v>1.7980442000000001</v>
      </c>
      <c r="BK100" s="10">
        <v>1.7911052999999999</v>
      </c>
      <c r="BL100" s="10">
        <v>1.7843722</v>
      </c>
      <c r="BM100" s="10">
        <v>1.7778483</v>
      </c>
      <c r="BN100" s="10">
        <v>1.7715373999999999</v>
      </c>
      <c r="BO100" s="10">
        <v>1.7654429</v>
      </c>
      <c r="BP100" s="10">
        <v>1.7595684</v>
      </c>
      <c r="BQ100" s="10">
        <v>1.7539174</v>
      </c>
      <c r="BR100" s="10">
        <v>1.7248908999999999</v>
      </c>
      <c r="BS100" s="10">
        <v>1.7047171000000001</v>
      </c>
      <c r="BU100" s="7">
        <v>1.29</v>
      </c>
      <c r="BV100" s="7">
        <v>1.8</v>
      </c>
      <c r="BW100" s="9">
        <v>79.435100000000006</v>
      </c>
    </row>
    <row r="101" spans="1:75" x14ac:dyDescent="0.25">
      <c r="A101" s="6">
        <f t="shared" si="11"/>
        <v>44693</v>
      </c>
      <c r="B101" s="13">
        <f t="shared" si="6"/>
        <v>5</v>
      </c>
      <c r="C101" s="13">
        <f t="shared" si="7"/>
        <v>2022</v>
      </c>
      <c r="D101">
        <f t="shared" si="8"/>
        <v>202205</v>
      </c>
      <c r="E101">
        <f t="shared" si="9"/>
        <v>2</v>
      </c>
      <c r="F101">
        <f t="shared" si="10"/>
        <v>202202</v>
      </c>
      <c r="G101" t="s">
        <v>288</v>
      </c>
      <c r="H101" s="9">
        <v>1</v>
      </c>
      <c r="I101" s="9">
        <v>0.94010000000000005</v>
      </c>
      <c r="J101" s="10">
        <v>1.0198281</v>
      </c>
      <c r="K101" s="10">
        <v>1.2224412</v>
      </c>
      <c r="L101" s="10">
        <v>1.3978531000000001</v>
      </c>
      <c r="M101" s="10">
        <v>1.5545008</v>
      </c>
      <c r="N101" s="10">
        <v>1.6940499</v>
      </c>
      <c r="O101" s="10">
        <v>1.8179917000000001</v>
      </c>
      <c r="P101" s="10">
        <v>1.9279018000000001</v>
      </c>
      <c r="Q101" s="10">
        <v>2.0233284999999999</v>
      </c>
      <c r="R101" s="10">
        <v>2.1042022</v>
      </c>
      <c r="S101" s="10">
        <v>2.1706067</v>
      </c>
      <c r="T101" s="10">
        <v>2.2231257000000002</v>
      </c>
      <c r="U101" s="10">
        <v>2.2621346999999998</v>
      </c>
      <c r="V101" s="10">
        <v>2.2886248</v>
      </c>
      <c r="W101" s="10">
        <v>2.3038709000000002</v>
      </c>
      <c r="X101" s="10">
        <v>2.3091678</v>
      </c>
      <c r="Y101" s="10">
        <v>2.3058106999999999</v>
      </c>
      <c r="Z101" s="10">
        <v>2.2950946000000001</v>
      </c>
      <c r="AA101" s="10">
        <v>2.2783147000000001</v>
      </c>
      <c r="AB101" s="10">
        <v>2.2567311999999999</v>
      </c>
      <c r="AC101" s="10">
        <v>2.2314262999999999</v>
      </c>
      <c r="AD101" s="10">
        <v>2.2034254</v>
      </c>
      <c r="AE101" s="10">
        <v>2.1737538999999999</v>
      </c>
      <c r="AF101" s="10">
        <v>2.1434369000000002</v>
      </c>
      <c r="AG101" s="10">
        <v>2.1134998999999999</v>
      </c>
      <c r="AH101" s="10">
        <v>2.0848230000000001</v>
      </c>
      <c r="AI101" s="10">
        <v>2.0575792000000002</v>
      </c>
      <c r="AJ101" s="10">
        <v>2.0317262999999999</v>
      </c>
      <c r="AK101" s="10">
        <v>2.0072220000000001</v>
      </c>
      <c r="AL101" s="10">
        <v>1.9840239</v>
      </c>
      <c r="AM101" s="10">
        <v>1.9620899000000001</v>
      </c>
      <c r="AN101" s="10">
        <v>1.9413776</v>
      </c>
      <c r="AO101" s="10">
        <v>1.9218447000000001</v>
      </c>
      <c r="AP101" s="10">
        <v>1.9034489999999999</v>
      </c>
      <c r="AQ101" s="10">
        <v>1.8861481</v>
      </c>
      <c r="AR101" s="10">
        <v>1.8698998</v>
      </c>
      <c r="AS101" s="10">
        <v>1.8546617999999999</v>
      </c>
      <c r="AT101" s="10">
        <v>1.8403875999999999</v>
      </c>
      <c r="AU101" s="10">
        <v>1.8270123</v>
      </c>
      <c r="AV101" s="10">
        <v>1.8144658</v>
      </c>
      <c r="AW101" s="10">
        <v>1.8026778999999999</v>
      </c>
      <c r="AX101" s="10">
        <v>1.7915787000000001</v>
      </c>
      <c r="AY101" s="10">
        <v>1.7810980000000001</v>
      </c>
      <c r="AZ101" s="10">
        <v>1.7711659</v>
      </c>
      <c r="BA101" s="10">
        <v>1.7617121</v>
      </c>
      <c r="BB101" s="10">
        <v>1.7526667</v>
      </c>
      <c r="BC101" s="10">
        <v>1.7439595999999999</v>
      </c>
      <c r="BD101" s="10">
        <v>1.7355206000000001</v>
      </c>
      <c r="BE101" s="10">
        <v>1.7272798</v>
      </c>
      <c r="BF101" s="10">
        <v>1.7191789</v>
      </c>
      <c r="BG101" s="10">
        <v>1.7112122000000001</v>
      </c>
      <c r="BH101" s="10">
        <v>1.7033882</v>
      </c>
      <c r="BI101" s="10">
        <v>1.6957157</v>
      </c>
      <c r="BJ101" s="10">
        <v>1.6882033999999999</v>
      </c>
      <c r="BK101" s="10">
        <v>1.6808597999999999</v>
      </c>
      <c r="BL101" s="10">
        <v>1.6736936</v>
      </c>
      <c r="BM101" s="10">
        <v>1.6667136</v>
      </c>
      <c r="BN101" s="10">
        <v>1.6599284000000001</v>
      </c>
      <c r="BO101" s="10">
        <v>1.6533466000000001</v>
      </c>
      <c r="BP101" s="10">
        <v>1.6469769000000001</v>
      </c>
      <c r="BQ101" s="10">
        <v>1.640828</v>
      </c>
      <c r="BR101" s="10">
        <v>1.6088853000000001</v>
      </c>
      <c r="BS101" s="10">
        <v>1.5860396000000001</v>
      </c>
      <c r="BU101" s="7">
        <v>1.18</v>
      </c>
      <c r="BV101" s="7">
        <v>1.68</v>
      </c>
      <c r="BW101" s="9">
        <v>79.322199999999995</v>
      </c>
    </row>
    <row r="102" spans="1:75" x14ac:dyDescent="0.25">
      <c r="A102" s="6">
        <f t="shared" si="11"/>
        <v>44694</v>
      </c>
      <c r="B102" s="13">
        <f t="shared" si="6"/>
        <v>5</v>
      </c>
      <c r="C102" s="13">
        <f t="shared" si="7"/>
        <v>2022</v>
      </c>
      <c r="D102">
        <f t="shared" si="8"/>
        <v>202205</v>
      </c>
      <c r="E102">
        <f t="shared" si="9"/>
        <v>2</v>
      </c>
      <c r="F102">
        <f t="shared" si="10"/>
        <v>202202</v>
      </c>
      <c r="G102" t="s">
        <v>289</v>
      </c>
      <c r="H102" s="9">
        <v>1</v>
      </c>
      <c r="I102" s="9">
        <v>0.93979999999999997</v>
      </c>
      <c r="J102" s="10">
        <v>1.028724</v>
      </c>
      <c r="K102" s="10">
        <v>1.241012</v>
      </c>
      <c r="L102" s="10">
        <v>1.4220109000000001</v>
      </c>
      <c r="M102" s="10">
        <v>1.5818553</v>
      </c>
      <c r="N102" s="10">
        <v>1.7230544999999999</v>
      </c>
      <c r="O102" s="10">
        <v>1.8468492999999999</v>
      </c>
      <c r="P102" s="10">
        <v>1.9552027999999999</v>
      </c>
      <c r="Q102" s="10">
        <v>2.0491014000000001</v>
      </c>
      <c r="R102" s="10">
        <v>2.1293427999999999</v>
      </c>
      <c r="S102" s="10">
        <v>2.1966081000000002</v>
      </c>
      <c r="T102" s="10">
        <v>2.2511223</v>
      </c>
      <c r="U102" s="10">
        <v>2.2931324000000002</v>
      </c>
      <c r="V102" s="10">
        <v>2.3228540999999998</v>
      </c>
      <c r="W102" s="10">
        <v>2.3412970999999998</v>
      </c>
      <c r="X102" s="10">
        <v>2.3497341</v>
      </c>
      <c r="Y102" s="10">
        <v>2.3494375000000001</v>
      </c>
      <c r="Z102" s="10">
        <v>2.3416801</v>
      </c>
      <c r="AA102" s="10">
        <v>2.3277344000000002</v>
      </c>
      <c r="AB102" s="10">
        <v>2.3088332999999999</v>
      </c>
      <c r="AC102" s="10">
        <v>2.2860257000000002</v>
      </c>
      <c r="AD102" s="10">
        <v>2.2603067000000001</v>
      </c>
      <c r="AE102" s="10">
        <v>2.2326717999999999</v>
      </c>
      <c r="AF102" s="10">
        <v>2.2041164000000002</v>
      </c>
      <c r="AG102" s="10">
        <v>2.1756357</v>
      </c>
      <c r="AH102" s="10">
        <v>2.1480731999999998</v>
      </c>
      <c r="AI102" s="10">
        <v>2.1216015000000001</v>
      </c>
      <c r="AJ102" s="10">
        <v>2.0962084000000001</v>
      </c>
      <c r="AK102" s="10">
        <v>2.0718812999999998</v>
      </c>
      <c r="AL102" s="10">
        <v>2.0486080000000002</v>
      </c>
      <c r="AM102" s="10">
        <v>2.0263760999999998</v>
      </c>
      <c r="AN102" s="10">
        <v>2.0051732000000002</v>
      </c>
      <c r="AO102" s="10">
        <v>1.9849869</v>
      </c>
      <c r="AP102" s="10">
        <v>1.9658047999999999</v>
      </c>
      <c r="AQ102" s="10">
        <v>1.9476146000000001</v>
      </c>
      <c r="AR102" s="10">
        <v>1.9304037999999999</v>
      </c>
      <c r="AS102" s="10">
        <v>1.9141602</v>
      </c>
      <c r="AT102" s="10">
        <v>1.8988638</v>
      </c>
      <c r="AU102" s="10">
        <v>1.8844618</v>
      </c>
      <c r="AV102" s="10">
        <v>1.8708918999999999</v>
      </c>
      <c r="AW102" s="10">
        <v>1.8580920999999999</v>
      </c>
      <c r="AX102" s="10">
        <v>1.8460003</v>
      </c>
      <c r="AY102" s="10">
        <v>1.8345545000000001</v>
      </c>
      <c r="AZ102" s="10">
        <v>1.8236924999999999</v>
      </c>
      <c r="BA102" s="10">
        <v>1.8133523</v>
      </c>
      <c r="BB102" s="10">
        <v>1.8034717</v>
      </c>
      <c r="BC102" s="10">
        <v>1.7939887000000001</v>
      </c>
      <c r="BD102" s="10">
        <v>1.7848412</v>
      </c>
      <c r="BE102" s="10">
        <v>1.7759670999999999</v>
      </c>
      <c r="BF102" s="10">
        <v>1.7673143</v>
      </c>
      <c r="BG102" s="10">
        <v>1.7588747</v>
      </c>
      <c r="BH102" s="10">
        <v>1.7506523000000001</v>
      </c>
      <c r="BI102" s="10">
        <v>1.7426514</v>
      </c>
      <c r="BJ102" s="10">
        <v>1.7348758</v>
      </c>
      <c r="BK102" s="10">
        <v>1.7273297000000001</v>
      </c>
      <c r="BL102" s="10">
        <v>1.7200172</v>
      </c>
      <c r="BM102" s="10">
        <v>1.7129422999999999</v>
      </c>
      <c r="BN102" s="10">
        <v>1.7061090000000001</v>
      </c>
      <c r="BO102" s="10">
        <v>1.6995216</v>
      </c>
      <c r="BP102" s="10">
        <v>1.693184</v>
      </c>
      <c r="BQ102" s="10">
        <v>1.6871003</v>
      </c>
      <c r="BR102" s="10">
        <v>1.6561261</v>
      </c>
      <c r="BS102" s="10">
        <v>1.6351233999999999</v>
      </c>
      <c r="BU102" s="7">
        <v>1.25</v>
      </c>
      <c r="BV102" s="7">
        <v>1.75</v>
      </c>
      <c r="BW102" s="9">
        <v>79.353399999999993</v>
      </c>
    </row>
    <row r="103" spans="1:75" x14ac:dyDescent="0.25">
      <c r="A103" s="6">
        <f t="shared" si="11"/>
        <v>44697</v>
      </c>
      <c r="B103" s="13">
        <f t="shared" si="6"/>
        <v>5</v>
      </c>
      <c r="C103" s="13">
        <f t="shared" si="7"/>
        <v>2022</v>
      </c>
      <c r="D103">
        <f t="shared" si="8"/>
        <v>202205</v>
      </c>
      <c r="E103">
        <f t="shared" si="9"/>
        <v>2</v>
      </c>
      <c r="F103">
        <f t="shared" si="10"/>
        <v>202202</v>
      </c>
      <c r="G103" t="s">
        <v>290</v>
      </c>
      <c r="H103" s="9">
        <v>1</v>
      </c>
      <c r="I103" s="9">
        <v>0.93979999999999997</v>
      </c>
      <c r="J103" s="10">
        <v>1.0409659</v>
      </c>
      <c r="K103" s="10">
        <v>1.2728965999999999</v>
      </c>
      <c r="L103" s="10">
        <v>1.4636583999999999</v>
      </c>
      <c r="M103" s="10">
        <v>1.6256021</v>
      </c>
      <c r="N103" s="10">
        <v>1.7649159999999999</v>
      </c>
      <c r="O103" s="10">
        <v>1.8848670999999999</v>
      </c>
      <c r="P103" s="10">
        <v>1.9886256</v>
      </c>
      <c r="Q103" s="10">
        <v>2.0783833999999999</v>
      </c>
      <c r="R103" s="10">
        <v>2.1554142999999999</v>
      </c>
      <c r="S103" s="10">
        <v>2.2205088000000002</v>
      </c>
      <c r="T103" s="10">
        <v>2.2737384999999999</v>
      </c>
      <c r="U103" s="10">
        <v>2.3150965999999999</v>
      </c>
      <c r="V103" s="10">
        <v>2.3444137</v>
      </c>
      <c r="W103" s="10">
        <v>2.3625539</v>
      </c>
      <c r="X103" s="10">
        <v>2.3706779</v>
      </c>
      <c r="Y103" s="10">
        <v>2.3699463000000001</v>
      </c>
      <c r="Z103" s="10">
        <v>2.3615197000000001</v>
      </c>
      <c r="AA103" s="10">
        <v>2.3465587999999999</v>
      </c>
      <c r="AB103" s="10">
        <v>2.3262138000000001</v>
      </c>
      <c r="AC103" s="10">
        <v>2.3015876999999998</v>
      </c>
      <c r="AD103" s="10">
        <v>2.2737693999999999</v>
      </c>
      <c r="AE103" s="10">
        <v>2.2438479</v>
      </c>
      <c r="AF103" s="10">
        <v>2.2129123000000002</v>
      </c>
      <c r="AG103" s="10">
        <v>2.1820515</v>
      </c>
      <c r="AH103" s="10">
        <v>2.1521892999999999</v>
      </c>
      <c r="AI103" s="10">
        <v>2.1235184</v>
      </c>
      <c r="AJ103" s="10">
        <v>2.0960302999999998</v>
      </c>
      <c r="AK103" s="10">
        <v>2.0697165000000002</v>
      </c>
      <c r="AL103" s="10">
        <v>2.0445682000000001</v>
      </c>
      <c r="AM103" s="10">
        <v>2.0205771000000001</v>
      </c>
      <c r="AN103" s="10">
        <v>1.9977343999999999</v>
      </c>
      <c r="AO103" s="10">
        <v>1.9760314999999999</v>
      </c>
      <c r="AP103" s="10">
        <v>1.95546</v>
      </c>
      <c r="AQ103" s="10">
        <v>1.9360111</v>
      </c>
      <c r="AR103" s="10">
        <v>1.9176762999999999</v>
      </c>
      <c r="AS103" s="10">
        <v>1.900447</v>
      </c>
      <c r="AT103" s="10">
        <v>1.8843056</v>
      </c>
      <c r="AU103" s="10">
        <v>1.8691941999999999</v>
      </c>
      <c r="AV103" s="10">
        <v>1.8550439000000001</v>
      </c>
      <c r="AW103" s="10">
        <v>1.8417859999999999</v>
      </c>
      <c r="AX103" s="10">
        <v>1.8293515</v>
      </c>
      <c r="AY103" s="10">
        <v>1.8176715999999999</v>
      </c>
      <c r="AZ103" s="10">
        <v>1.8066774000000001</v>
      </c>
      <c r="BA103" s="10">
        <v>1.7963001999999999</v>
      </c>
      <c r="BB103" s="10">
        <v>1.7864709000000001</v>
      </c>
      <c r="BC103" s="10">
        <v>1.7771207</v>
      </c>
      <c r="BD103" s="10">
        <v>1.7681808999999999</v>
      </c>
      <c r="BE103" s="10">
        <v>1.7595824</v>
      </c>
      <c r="BF103" s="10">
        <v>1.7512650000000001</v>
      </c>
      <c r="BG103" s="10">
        <v>1.7432133999999999</v>
      </c>
      <c r="BH103" s="10">
        <v>1.7354278000000001</v>
      </c>
      <c r="BI103" s="10">
        <v>1.7279083</v>
      </c>
      <c r="BJ103" s="10">
        <v>1.720655</v>
      </c>
      <c r="BK103" s="10">
        <v>1.713668</v>
      </c>
      <c r="BL103" s="10">
        <v>1.7069475000000001</v>
      </c>
      <c r="BM103" s="10">
        <v>1.7004934</v>
      </c>
      <c r="BN103" s="10">
        <v>1.6943060000000001</v>
      </c>
      <c r="BO103" s="10">
        <v>1.6883854</v>
      </c>
      <c r="BP103" s="10">
        <v>1.6827316000000001</v>
      </c>
      <c r="BQ103" s="10">
        <v>1.6773448</v>
      </c>
      <c r="BR103" s="10">
        <v>1.6506014</v>
      </c>
      <c r="BS103" s="10">
        <v>1.6332819000000001</v>
      </c>
      <c r="BU103" s="7">
        <v>1.23</v>
      </c>
      <c r="BV103" s="7">
        <v>1.74</v>
      </c>
      <c r="BW103" s="9">
        <v>79.545000000000002</v>
      </c>
    </row>
    <row r="104" spans="1:75" x14ac:dyDescent="0.25">
      <c r="A104" s="6">
        <f t="shared" si="11"/>
        <v>44698</v>
      </c>
      <c r="B104" s="13">
        <f t="shared" si="6"/>
        <v>5</v>
      </c>
      <c r="C104" s="13">
        <f t="shared" si="7"/>
        <v>2022</v>
      </c>
      <c r="D104">
        <f t="shared" si="8"/>
        <v>202205</v>
      </c>
      <c r="E104">
        <f t="shared" si="9"/>
        <v>2</v>
      </c>
      <c r="F104">
        <f t="shared" si="10"/>
        <v>202202</v>
      </c>
      <c r="G104" t="s">
        <v>291</v>
      </c>
      <c r="H104" s="9">
        <v>1</v>
      </c>
      <c r="I104" s="9">
        <v>0.93979999999999997</v>
      </c>
      <c r="J104" s="10">
        <v>1.0761297000000001</v>
      </c>
      <c r="K104" s="10">
        <v>1.3508632</v>
      </c>
      <c r="L104" s="10">
        <v>1.577636</v>
      </c>
      <c r="M104" s="10">
        <v>1.7673482</v>
      </c>
      <c r="N104" s="10">
        <v>1.9258314000000001</v>
      </c>
      <c r="O104" s="10">
        <v>2.0591482000000001</v>
      </c>
      <c r="P104" s="10">
        <v>2.1725515</v>
      </c>
      <c r="Q104" s="10">
        <v>2.2703562000000002</v>
      </c>
      <c r="R104" s="10">
        <v>2.3550705000000001</v>
      </c>
      <c r="S104" s="10">
        <v>2.4280118000000002</v>
      </c>
      <c r="T104" s="10">
        <v>2.4891958000000001</v>
      </c>
      <c r="U104" s="10">
        <v>2.5381977</v>
      </c>
      <c r="V104" s="10">
        <v>2.5743898999999999</v>
      </c>
      <c r="W104" s="10">
        <v>2.5984590999999999</v>
      </c>
      <c r="X104" s="10">
        <v>2.6114590999999998</v>
      </c>
      <c r="Y104" s="10">
        <v>2.6144436</v>
      </c>
      <c r="Z104" s="10">
        <v>2.6084665999999999</v>
      </c>
      <c r="AA104" s="10">
        <v>2.5945817999999998</v>
      </c>
      <c r="AB104" s="10">
        <v>2.5738805999999999</v>
      </c>
      <c r="AC104" s="10">
        <v>2.5476291</v>
      </c>
      <c r="AD104" s="10">
        <v>2.5171439000000002</v>
      </c>
      <c r="AE104" s="10">
        <v>2.4837419000000001</v>
      </c>
      <c r="AF104" s="10">
        <v>2.4487396000000001</v>
      </c>
      <c r="AG104" s="10">
        <v>2.4134536999999998</v>
      </c>
      <c r="AH104" s="10">
        <v>2.3790062999999999</v>
      </c>
      <c r="AI104" s="10">
        <v>2.3456600999999999</v>
      </c>
      <c r="AJ104" s="10">
        <v>2.3134410000000001</v>
      </c>
      <c r="AK104" s="10">
        <v>2.2823745999999998</v>
      </c>
      <c r="AL104" s="10">
        <v>2.2524867999999998</v>
      </c>
      <c r="AM104" s="10">
        <v>2.2238033000000001</v>
      </c>
      <c r="AN104" s="10">
        <v>2.1963496999999998</v>
      </c>
      <c r="AO104" s="10">
        <v>2.1701519999999999</v>
      </c>
      <c r="AP104" s="10">
        <v>2.1452357000000002</v>
      </c>
      <c r="AQ104" s="10">
        <v>2.1216267000000002</v>
      </c>
      <c r="AR104" s="10">
        <v>2.0993507</v>
      </c>
      <c r="AS104" s="10">
        <v>2.0784335</v>
      </c>
      <c r="AT104" s="10">
        <v>2.0588869999999999</v>
      </c>
      <c r="AU104" s="10">
        <v>2.0406488</v>
      </c>
      <c r="AV104" s="10">
        <v>2.0236318</v>
      </c>
      <c r="AW104" s="10">
        <v>2.0077486000000002</v>
      </c>
      <c r="AX104" s="10">
        <v>1.992912</v>
      </c>
      <c r="AY104" s="10">
        <v>1.9790346999999999</v>
      </c>
      <c r="AZ104" s="10">
        <v>1.9660294</v>
      </c>
      <c r="BA104" s="10">
        <v>1.9538089000000001</v>
      </c>
      <c r="BB104" s="10">
        <v>1.9422858999999999</v>
      </c>
      <c r="BC104" s="10">
        <v>1.9313731999999999</v>
      </c>
      <c r="BD104" s="10">
        <v>1.9209833999999999</v>
      </c>
      <c r="BE104" s="10">
        <v>1.9110294000000001</v>
      </c>
      <c r="BF104" s="10">
        <v>1.9014348000000001</v>
      </c>
      <c r="BG104" s="10">
        <v>1.8921777</v>
      </c>
      <c r="BH104" s="10">
        <v>1.8832521</v>
      </c>
      <c r="BI104" s="10">
        <v>1.8746525000000001</v>
      </c>
      <c r="BJ104" s="10">
        <v>1.8663730999999999</v>
      </c>
      <c r="BK104" s="10">
        <v>1.8584082</v>
      </c>
      <c r="BL104" s="10">
        <v>1.8507521</v>
      </c>
      <c r="BM104" s="10">
        <v>1.843399</v>
      </c>
      <c r="BN104" s="10">
        <v>1.8363432</v>
      </c>
      <c r="BO104" s="10">
        <v>1.8295790999999999</v>
      </c>
      <c r="BP104" s="10">
        <v>1.8231008</v>
      </c>
      <c r="BQ104" s="10">
        <v>1.8169027</v>
      </c>
      <c r="BR104" s="10">
        <v>1.7854341</v>
      </c>
      <c r="BS104" s="10">
        <v>1.7635586000000001</v>
      </c>
      <c r="BU104" s="7">
        <v>1.45</v>
      </c>
      <c r="BV104" s="7">
        <v>1.9</v>
      </c>
      <c r="BW104" s="9">
        <v>80.337100000000007</v>
      </c>
    </row>
    <row r="105" spans="1:75" x14ac:dyDescent="0.25">
      <c r="A105" s="6">
        <f t="shared" si="11"/>
        <v>44699</v>
      </c>
      <c r="B105" s="13">
        <f t="shared" si="6"/>
        <v>5</v>
      </c>
      <c r="C105" s="13">
        <f t="shared" si="7"/>
        <v>2022</v>
      </c>
      <c r="D105">
        <f t="shared" si="8"/>
        <v>202205</v>
      </c>
      <c r="E105">
        <f t="shared" si="9"/>
        <v>2</v>
      </c>
      <c r="F105">
        <f t="shared" si="10"/>
        <v>202202</v>
      </c>
      <c r="G105" t="s">
        <v>292</v>
      </c>
      <c r="H105" s="9">
        <v>1</v>
      </c>
      <c r="I105" s="9">
        <v>0.93940000000000001</v>
      </c>
      <c r="J105" s="10">
        <v>1.0919087000000001</v>
      </c>
      <c r="K105" s="10">
        <v>1.3417437000000001</v>
      </c>
      <c r="L105" s="10">
        <v>1.5508324</v>
      </c>
      <c r="M105" s="10">
        <v>1.7287612000000001</v>
      </c>
      <c r="N105" s="10">
        <v>1.8799987</v>
      </c>
      <c r="O105" s="10">
        <v>2.0088995999999999</v>
      </c>
      <c r="P105" s="10">
        <v>2.1193366</v>
      </c>
      <c r="Q105" s="10">
        <v>2.2144764000000001</v>
      </c>
      <c r="R105" s="10">
        <v>2.2965767000000001</v>
      </c>
      <c r="S105" s="10">
        <v>2.3665601000000001</v>
      </c>
      <c r="T105" s="10">
        <v>2.4250503000000001</v>
      </c>
      <c r="U105" s="10">
        <v>2.4714581</v>
      </c>
      <c r="V105" s="10">
        <v>2.5052063000000002</v>
      </c>
      <c r="W105" s="10">
        <v>2.5270467999999999</v>
      </c>
      <c r="X105" s="10">
        <v>2.5380581000000002</v>
      </c>
      <c r="Y105" s="10">
        <v>2.5393184</v>
      </c>
      <c r="Z105" s="10">
        <v>2.5319060000000002</v>
      </c>
      <c r="AA105" s="10">
        <v>2.5168992000000001</v>
      </c>
      <c r="AB105" s="10">
        <v>2.4954044999999998</v>
      </c>
      <c r="AC105" s="10">
        <v>2.4686873999999999</v>
      </c>
      <c r="AD105" s="10">
        <v>2.4380698000000001</v>
      </c>
      <c r="AE105" s="10">
        <v>2.4048731999999999</v>
      </c>
      <c r="AF105" s="10">
        <v>2.3704196</v>
      </c>
      <c r="AG105" s="10">
        <v>2.3360306</v>
      </c>
      <c r="AH105" s="10">
        <v>2.3028637999999999</v>
      </c>
      <c r="AI105" s="10">
        <v>2.2711918999999998</v>
      </c>
      <c r="AJ105" s="10">
        <v>2.2409913000000001</v>
      </c>
      <c r="AK105" s="10">
        <v>2.2122380000000001</v>
      </c>
      <c r="AL105" s="10">
        <v>2.1849080000000001</v>
      </c>
      <c r="AM105" s="10">
        <v>2.1589775000000002</v>
      </c>
      <c r="AN105" s="10">
        <v>2.1344226000000002</v>
      </c>
      <c r="AO105" s="10">
        <v>2.1112191</v>
      </c>
      <c r="AP105" s="10">
        <v>2.0893434000000002</v>
      </c>
      <c r="AQ105" s="10">
        <v>2.0687712999999999</v>
      </c>
      <c r="AR105" s="10">
        <v>2.0494789999999998</v>
      </c>
      <c r="AS105" s="10">
        <v>2.0314424999999998</v>
      </c>
      <c r="AT105" s="10">
        <v>2.0146288999999999</v>
      </c>
      <c r="AU105" s="10">
        <v>1.9989618</v>
      </c>
      <c r="AV105" s="10">
        <v>1.9843512000000001</v>
      </c>
      <c r="AW105" s="10">
        <v>1.9707075000000001</v>
      </c>
      <c r="AX105" s="10">
        <v>1.9579407</v>
      </c>
      <c r="AY105" s="10">
        <v>1.9459610000000001</v>
      </c>
      <c r="AZ105" s="10">
        <v>1.9346787000000001</v>
      </c>
      <c r="BA105" s="10">
        <v>1.9240037999999999</v>
      </c>
      <c r="BB105" s="10">
        <v>1.9138466999999999</v>
      </c>
      <c r="BC105" s="10">
        <v>1.9041174999999999</v>
      </c>
      <c r="BD105" s="10">
        <v>1.8947263000000001</v>
      </c>
      <c r="BE105" s="10">
        <v>1.8855834</v>
      </c>
      <c r="BF105" s="10">
        <v>1.8766136</v>
      </c>
      <c r="BG105" s="10">
        <v>1.8678068999999999</v>
      </c>
      <c r="BH105" s="10">
        <v>1.8591708</v>
      </c>
      <c r="BI105" s="10">
        <v>1.8507133</v>
      </c>
      <c r="BJ105" s="10">
        <v>1.8424419999999999</v>
      </c>
      <c r="BK105" s="10">
        <v>1.8343647000000001</v>
      </c>
      <c r="BL105" s="10">
        <v>1.8264891000000001</v>
      </c>
      <c r="BM105" s="10">
        <v>1.8188230999999999</v>
      </c>
      <c r="BN105" s="10">
        <v>1.8113744000000001</v>
      </c>
      <c r="BO105" s="10">
        <v>1.8041507000000001</v>
      </c>
      <c r="BP105" s="10">
        <v>1.7971598</v>
      </c>
      <c r="BQ105" s="10">
        <v>1.7904093999999999</v>
      </c>
      <c r="BR105" s="10">
        <v>1.7552439</v>
      </c>
      <c r="BS105" s="10">
        <v>1.7297882</v>
      </c>
      <c r="BU105" s="7">
        <v>1.46</v>
      </c>
      <c r="BV105" s="7">
        <v>1.87</v>
      </c>
      <c r="BW105" s="9">
        <v>80.049000000000007</v>
      </c>
    </row>
    <row r="106" spans="1:75" x14ac:dyDescent="0.25">
      <c r="A106" s="6">
        <f t="shared" si="11"/>
        <v>44700</v>
      </c>
      <c r="B106" s="13">
        <f t="shared" si="6"/>
        <v>5</v>
      </c>
      <c r="C106" s="13">
        <f t="shared" si="7"/>
        <v>2022</v>
      </c>
      <c r="D106">
        <f t="shared" si="8"/>
        <v>202205</v>
      </c>
      <c r="E106">
        <f t="shared" si="9"/>
        <v>2</v>
      </c>
      <c r="F106">
        <f t="shared" si="10"/>
        <v>202202</v>
      </c>
      <c r="G106" t="s">
        <v>293</v>
      </c>
      <c r="H106" s="9">
        <v>1</v>
      </c>
      <c r="I106" s="9">
        <v>0.93920000000000003</v>
      </c>
      <c r="J106" s="10">
        <v>1.1045478</v>
      </c>
      <c r="K106" s="10">
        <v>1.3578817000000001</v>
      </c>
      <c r="L106" s="10">
        <v>1.5692854000000001</v>
      </c>
      <c r="M106" s="10">
        <v>1.7483183</v>
      </c>
      <c r="N106" s="10">
        <v>1.9006491000000001</v>
      </c>
      <c r="O106" s="10">
        <v>2.0308546999999999</v>
      </c>
      <c r="P106" s="10">
        <v>2.1435749999999998</v>
      </c>
      <c r="Q106" s="10">
        <v>2.2413123000000001</v>
      </c>
      <c r="R106" s="10">
        <v>2.3257374999999998</v>
      </c>
      <c r="S106" s="10">
        <v>2.3973037000000001</v>
      </c>
      <c r="T106" s="10">
        <v>2.4560897000000002</v>
      </c>
      <c r="U106" s="10">
        <v>2.5016630000000002</v>
      </c>
      <c r="V106" s="10">
        <v>2.5340699</v>
      </c>
      <c r="W106" s="10">
        <v>2.5543391</v>
      </c>
      <c r="X106" s="10">
        <v>2.5637158000000002</v>
      </c>
      <c r="Y106" s="10">
        <v>2.5634451999999999</v>
      </c>
      <c r="Z106" s="10">
        <v>2.5547724999999999</v>
      </c>
      <c r="AA106" s="10">
        <v>2.5389430000000002</v>
      </c>
      <c r="AB106" s="10">
        <v>2.5171915</v>
      </c>
      <c r="AC106" s="10">
        <v>2.4906991999999999</v>
      </c>
      <c r="AD106" s="10">
        <v>2.4606303999999999</v>
      </c>
      <c r="AE106" s="10">
        <v>2.4281492</v>
      </c>
      <c r="AF106" s="10">
        <v>2.3944200000000002</v>
      </c>
      <c r="AG106" s="10">
        <v>2.3606067999999998</v>
      </c>
      <c r="AH106" s="10">
        <v>2.3277158</v>
      </c>
      <c r="AI106" s="10">
        <v>2.2959819000000001</v>
      </c>
      <c r="AJ106" s="10">
        <v>2.2654057999999999</v>
      </c>
      <c r="AK106" s="10">
        <v>2.2359876999999999</v>
      </c>
      <c r="AL106" s="10">
        <v>2.2077281000000002</v>
      </c>
      <c r="AM106" s="10">
        <v>2.1806274000000001</v>
      </c>
      <c r="AN106" s="10">
        <v>2.1546859999999999</v>
      </c>
      <c r="AO106" s="10">
        <v>2.1299043000000002</v>
      </c>
      <c r="AP106" s="10">
        <v>2.1062827999999998</v>
      </c>
      <c r="AQ106" s="10">
        <v>2.0838217999999999</v>
      </c>
      <c r="AR106" s="10">
        <v>2.0625217999999998</v>
      </c>
      <c r="AS106" s="10">
        <v>2.0423832000000002</v>
      </c>
      <c r="AT106" s="10">
        <v>2.0233951999999999</v>
      </c>
      <c r="AU106" s="10">
        <v>2.0054978999999999</v>
      </c>
      <c r="AV106" s="10">
        <v>1.9886177</v>
      </c>
      <c r="AW106" s="10">
        <v>1.9726811</v>
      </c>
      <c r="AX106" s="10">
        <v>1.9576145</v>
      </c>
      <c r="AY106" s="10">
        <v>1.9433444</v>
      </c>
      <c r="AZ106" s="10">
        <v>1.9297972000000001</v>
      </c>
      <c r="BA106" s="10">
        <v>1.9168993999999999</v>
      </c>
      <c r="BB106" s="10">
        <v>1.9045774</v>
      </c>
      <c r="BC106" s="10">
        <v>1.8927575999999999</v>
      </c>
      <c r="BD106" s="10">
        <v>1.8813667000000001</v>
      </c>
      <c r="BE106" s="10">
        <v>1.8703308000000001</v>
      </c>
      <c r="BF106" s="10">
        <v>1.859588</v>
      </c>
      <c r="BG106" s="10">
        <v>1.8491264000000001</v>
      </c>
      <c r="BH106" s="10">
        <v>1.8389479</v>
      </c>
      <c r="BI106" s="10">
        <v>1.8290546999999999</v>
      </c>
      <c r="BJ106" s="10">
        <v>1.8194486000000001</v>
      </c>
      <c r="BK106" s="10">
        <v>1.8101319</v>
      </c>
      <c r="BL106" s="10">
        <v>1.8011064000000001</v>
      </c>
      <c r="BM106" s="10">
        <v>1.7923741</v>
      </c>
      <c r="BN106" s="10">
        <v>1.7839373000000001</v>
      </c>
      <c r="BO106" s="10">
        <v>1.7757977</v>
      </c>
      <c r="BP106" s="10">
        <v>1.7679575000000001</v>
      </c>
      <c r="BQ106" s="10">
        <v>1.7604187</v>
      </c>
      <c r="BR106" s="10">
        <v>1.7216107</v>
      </c>
      <c r="BS106" s="10">
        <v>1.6940565999999999</v>
      </c>
      <c r="BU106" s="7">
        <v>1.49</v>
      </c>
      <c r="BV106" s="7">
        <v>1.87</v>
      </c>
      <c r="BW106" s="9">
        <v>80.215199999999996</v>
      </c>
    </row>
    <row r="107" spans="1:75" x14ac:dyDescent="0.25">
      <c r="A107" s="6">
        <f t="shared" si="11"/>
        <v>44701</v>
      </c>
      <c r="B107" s="13">
        <f t="shared" si="6"/>
        <v>5</v>
      </c>
      <c r="C107" s="13">
        <f t="shared" si="7"/>
        <v>2022</v>
      </c>
      <c r="D107">
        <f t="shared" si="8"/>
        <v>202205</v>
      </c>
      <c r="E107">
        <f t="shared" si="9"/>
        <v>2</v>
      </c>
      <c r="F107">
        <f t="shared" si="10"/>
        <v>202202</v>
      </c>
      <c r="G107" t="s">
        <v>294</v>
      </c>
      <c r="H107" s="9">
        <v>1</v>
      </c>
      <c r="I107" s="9">
        <v>0.93889999999999996</v>
      </c>
      <c r="J107" s="10">
        <v>1.1062525000000001</v>
      </c>
      <c r="K107" s="10">
        <v>1.3509259</v>
      </c>
      <c r="L107" s="10">
        <v>1.5550141</v>
      </c>
      <c r="M107" s="10">
        <v>1.7307082</v>
      </c>
      <c r="N107" s="10">
        <v>1.8833352000000001</v>
      </c>
      <c r="O107" s="10">
        <v>2.0152595999999998</v>
      </c>
      <c r="P107" s="10">
        <v>2.1293072</v>
      </c>
      <c r="Q107" s="10">
        <v>2.2276075999999998</v>
      </c>
      <c r="R107" s="10">
        <v>2.3115622999999998</v>
      </c>
      <c r="S107" s="10">
        <v>2.3820681000000001</v>
      </c>
      <c r="T107" s="10">
        <v>2.4393516000000002</v>
      </c>
      <c r="U107" s="10">
        <v>2.4835951000000001</v>
      </c>
      <c r="V107" s="10">
        <v>2.5151739000000002</v>
      </c>
      <c r="W107" s="10">
        <v>2.5351243000000001</v>
      </c>
      <c r="X107" s="10">
        <v>2.5446819000000001</v>
      </c>
      <c r="Y107" s="10">
        <v>2.5450824999999999</v>
      </c>
      <c r="Z107" s="10">
        <v>2.5375616000000001</v>
      </c>
      <c r="AA107" s="10">
        <v>2.5233550999999999</v>
      </c>
      <c r="AB107" s="10">
        <v>2.5036733999999998</v>
      </c>
      <c r="AC107" s="10">
        <v>2.4796092000000001</v>
      </c>
      <c r="AD107" s="10">
        <v>2.4522214</v>
      </c>
      <c r="AE107" s="10">
        <v>2.4225686999999998</v>
      </c>
      <c r="AF107" s="10">
        <v>2.3917101000000001</v>
      </c>
      <c r="AG107" s="10">
        <v>2.3607041999999998</v>
      </c>
      <c r="AH107" s="10">
        <v>2.3304510999999999</v>
      </c>
      <c r="AI107" s="10">
        <v>2.3011507</v>
      </c>
      <c r="AJ107" s="10">
        <v>2.2728093999999999</v>
      </c>
      <c r="AK107" s="10">
        <v>2.2454336000000001</v>
      </c>
      <c r="AL107" s="10">
        <v>2.2190297999999999</v>
      </c>
      <c r="AM107" s="10">
        <v>2.1936043999999999</v>
      </c>
      <c r="AN107" s="10">
        <v>2.1691639999999999</v>
      </c>
      <c r="AO107" s="10">
        <v>2.145715</v>
      </c>
      <c r="AP107" s="10">
        <v>2.1232638000000001</v>
      </c>
      <c r="AQ107" s="10">
        <v>2.101817</v>
      </c>
      <c r="AR107" s="10">
        <v>2.0813809000000001</v>
      </c>
      <c r="AS107" s="10">
        <v>2.0619621000000001</v>
      </c>
      <c r="AT107" s="10">
        <v>2.0435561999999998</v>
      </c>
      <c r="AU107" s="10">
        <v>2.0261117999999998</v>
      </c>
      <c r="AV107" s="10">
        <v>2.0095641999999998</v>
      </c>
      <c r="AW107" s="10">
        <v>1.993849</v>
      </c>
      <c r="AX107" s="10">
        <v>1.9789014</v>
      </c>
      <c r="AY107" s="10">
        <v>1.9646568</v>
      </c>
      <c r="AZ107" s="10">
        <v>1.9510508</v>
      </c>
      <c r="BA107" s="10">
        <v>1.9380187</v>
      </c>
      <c r="BB107" s="10">
        <v>1.9254959</v>
      </c>
      <c r="BC107" s="10">
        <v>1.9134177999999999</v>
      </c>
      <c r="BD107" s="10">
        <v>1.9017198</v>
      </c>
      <c r="BE107" s="10">
        <v>1.8903373999999999</v>
      </c>
      <c r="BF107" s="10">
        <v>1.8792165000000001</v>
      </c>
      <c r="BG107" s="10">
        <v>1.8683494</v>
      </c>
      <c r="BH107" s="10">
        <v>1.8577414000000001</v>
      </c>
      <c r="BI107" s="10">
        <v>1.8473976000000001</v>
      </c>
      <c r="BJ107" s="10">
        <v>1.8373233</v>
      </c>
      <c r="BK107" s="10">
        <v>1.8275237</v>
      </c>
      <c r="BL107" s="10">
        <v>1.818004</v>
      </c>
      <c r="BM107" s="10">
        <v>1.8087693</v>
      </c>
      <c r="BN107" s="10">
        <v>1.7998248999999999</v>
      </c>
      <c r="BO107" s="10">
        <v>1.7911760000000001</v>
      </c>
      <c r="BP107" s="10">
        <v>1.7828278</v>
      </c>
      <c r="BQ107" s="10">
        <v>1.7747854999999999</v>
      </c>
      <c r="BR107" s="10">
        <v>1.7331949</v>
      </c>
      <c r="BS107" s="10">
        <v>1.7036145</v>
      </c>
      <c r="BU107" s="7">
        <v>1.5</v>
      </c>
      <c r="BV107" s="7">
        <v>1.87</v>
      </c>
      <c r="BW107" s="9">
        <v>80.062200000000004</v>
      </c>
    </row>
    <row r="108" spans="1:75" x14ac:dyDescent="0.25">
      <c r="A108" s="6">
        <f t="shared" si="11"/>
        <v>44704</v>
      </c>
      <c r="B108" s="13">
        <f t="shared" si="6"/>
        <v>5</v>
      </c>
      <c r="C108" s="13">
        <f t="shared" si="7"/>
        <v>2022</v>
      </c>
      <c r="D108">
        <f t="shared" si="8"/>
        <v>202205</v>
      </c>
      <c r="E108">
        <f t="shared" si="9"/>
        <v>2</v>
      </c>
      <c r="F108">
        <f t="shared" si="10"/>
        <v>202202</v>
      </c>
      <c r="G108" t="s">
        <v>295</v>
      </c>
      <c r="H108" s="9">
        <v>1</v>
      </c>
      <c r="I108" s="9">
        <v>0.93930000000000002</v>
      </c>
      <c r="J108" s="10">
        <v>1.1294348999999999</v>
      </c>
      <c r="K108" s="10">
        <v>1.36334</v>
      </c>
      <c r="L108" s="10">
        <v>1.572149</v>
      </c>
      <c r="M108" s="10">
        <v>1.7567898</v>
      </c>
      <c r="N108" s="10">
        <v>1.9181663</v>
      </c>
      <c r="O108" s="10">
        <v>2.0582153000000001</v>
      </c>
      <c r="P108" s="10">
        <v>2.1794473999999999</v>
      </c>
      <c r="Q108" s="10">
        <v>2.2844343</v>
      </c>
      <c r="R108" s="10">
        <v>2.3748635</v>
      </c>
      <c r="S108" s="10">
        <v>2.4516575</v>
      </c>
      <c r="T108" s="10">
        <v>2.5148472000000002</v>
      </c>
      <c r="U108" s="10">
        <v>2.5643874000000002</v>
      </c>
      <c r="V108" s="10">
        <v>2.6002409000000002</v>
      </c>
      <c r="W108" s="10">
        <v>2.6234630999999999</v>
      </c>
      <c r="X108" s="10">
        <v>2.6354079000000001</v>
      </c>
      <c r="Y108" s="10">
        <v>2.6374297000000002</v>
      </c>
      <c r="Z108" s="10">
        <v>2.6308824999999998</v>
      </c>
      <c r="AA108" s="10">
        <v>2.6171205999999998</v>
      </c>
      <c r="AB108" s="10">
        <v>2.5974637999999999</v>
      </c>
      <c r="AC108" s="10">
        <v>2.5730737000000001</v>
      </c>
      <c r="AD108" s="10">
        <v>2.5450659</v>
      </c>
      <c r="AE108" s="10">
        <v>2.5145561000000001</v>
      </c>
      <c r="AF108" s="10">
        <v>2.4826597000000001</v>
      </c>
      <c r="AG108" s="10">
        <v>2.4504926</v>
      </c>
      <c r="AH108" s="10">
        <v>2.4190051000000001</v>
      </c>
      <c r="AI108" s="10">
        <v>2.3884192</v>
      </c>
      <c r="AJ108" s="10">
        <v>2.3587555</v>
      </c>
      <c r="AK108" s="10">
        <v>2.3300348</v>
      </c>
      <c r="AL108" s="10">
        <v>2.3022779</v>
      </c>
      <c r="AM108" s="10">
        <v>2.2755055999999998</v>
      </c>
      <c r="AN108" s="10">
        <v>2.2497386000000001</v>
      </c>
      <c r="AO108" s="10">
        <v>2.2249976</v>
      </c>
      <c r="AP108" s="10">
        <v>2.2013034999999999</v>
      </c>
      <c r="AQ108" s="10">
        <v>2.178677</v>
      </c>
      <c r="AR108" s="10">
        <v>2.1571387999999998</v>
      </c>
      <c r="AS108" s="10">
        <v>2.1367096999999999</v>
      </c>
      <c r="AT108" s="10">
        <v>2.1173978</v>
      </c>
      <c r="AU108" s="10">
        <v>2.0991548999999998</v>
      </c>
      <c r="AV108" s="10">
        <v>2.0819174999999999</v>
      </c>
      <c r="AW108" s="10">
        <v>2.0656219</v>
      </c>
      <c r="AX108" s="10">
        <v>2.0502045999999998</v>
      </c>
      <c r="AY108" s="10">
        <v>2.0356019000000001</v>
      </c>
      <c r="AZ108" s="10">
        <v>2.0217502999999999</v>
      </c>
      <c r="BA108" s="10">
        <v>2.0085861</v>
      </c>
      <c r="BB108" s="10">
        <v>1.9960458000000001</v>
      </c>
      <c r="BC108" s="10">
        <v>1.9840658</v>
      </c>
      <c r="BD108" s="10">
        <v>1.9725824000000001</v>
      </c>
      <c r="BE108" s="10">
        <v>1.9615320999999999</v>
      </c>
      <c r="BF108" s="10">
        <v>1.950858</v>
      </c>
      <c r="BG108" s="10">
        <v>1.9405429000000001</v>
      </c>
      <c r="BH108" s="10">
        <v>1.9305842</v>
      </c>
      <c r="BI108" s="10">
        <v>1.9209794</v>
      </c>
      <c r="BJ108" s="10">
        <v>1.9117261999999999</v>
      </c>
      <c r="BK108" s="10">
        <v>1.9028219</v>
      </c>
      <c r="BL108" s="10">
        <v>1.8942641</v>
      </c>
      <c r="BM108" s="10">
        <v>1.8860503</v>
      </c>
      <c r="BN108" s="10">
        <v>1.8781779999999999</v>
      </c>
      <c r="BO108" s="10">
        <v>1.8706448</v>
      </c>
      <c r="BP108" s="10">
        <v>1.863448</v>
      </c>
      <c r="BQ108" s="10">
        <v>1.8565853000000001</v>
      </c>
      <c r="BR108" s="10">
        <v>1.8223003</v>
      </c>
      <c r="BS108" s="10">
        <v>1.7995124</v>
      </c>
      <c r="BU108" s="7">
        <v>1.58</v>
      </c>
      <c r="BV108" s="7">
        <v>1.97</v>
      </c>
      <c r="BW108" s="9">
        <v>80.223699999999994</v>
      </c>
    </row>
    <row r="109" spans="1:75" x14ac:dyDescent="0.25">
      <c r="A109" s="6">
        <f t="shared" si="11"/>
        <v>44705</v>
      </c>
      <c r="B109" s="13">
        <f t="shared" si="6"/>
        <v>5</v>
      </c>
      <c r="C109" s="13">
        <f t="shared" si="7"/>
        <v>2022</v>
      </c>
      <c r="D109">
        <f t="shared" si="8"/>
        <v>202205</v>
      </c>
      <c r="E109">
        <f t="shared" si="9"/>
        <v>2</v>
      </c>
      <c r="F109">
        <f t="shared" si="10"/>
        <v>202202</v>
      </c>
      <c r="G109" t="s">
        <v>296</v>
      </c>
      <c r="H109" s="9">
        <v>1</v>
      </c>
      <c r="I109" s="9">
        <v>0.93910000000000005</v>
      </c>
      <c r="J109" s="10">
        <v>1.1245860999999999</v>
      </c>
      <c r="K109" s="10">
        <v>1.3325232</v>
      </c>
      <c r="L109" s="10">
        <v>1.5199587000000001</v>
      </c>
      <c r="M109" s="10">
        <v>1.6880529</v>
      </c>
      <c r="N109" s="10">
        <v>1.8360995</v>
      </c>
      <c r="O109" s="10">
        <v>1.9643934999999999</v>
      </c>
      <c r="P109" s="10">
        <v>2.0731228000000002</v>
      </c>
      <c r="Q109" s="10">
        <v>2.1647872000000001</v>
      </c>
      <c r="R109" s="10">
        <v>2.2414458000000002</v>
      </c>
      <c r="S109" s="10">
        <v>2.305186</v>
      </c>
      <c r="T109" s="10">
        <v>2.3570072</v>
      </c>
      <c r="U109" s="10">
        <v>2.3975127999999999</v>
      </c>
      <c r="V109" s="10">
        <v>2.4274300000000002</v>
      </c>
      <c r="W109" s="10">
        <v>2.4477047000000001</v>
      </c>
      <c r="X109" s="10">
        <v>2.4593327999999999</v>
      </c>
      <c r="Y109" s="10">
        <v>2.4633105</v>
      </c>
      <c r="Z109" s="10">
        <v>2.4606336</v>
      </c>
      <c r="AA109" s="10">
        <v>2.4522982</v>
      </c>
      <c r="AB109" s="10">
        <v>2.4392752999999998</v>
      </c>
      <c r="AC109" s="10">
        <v>2.4224207999999998</v>
      </c>
      <c r="AD109" s="10">
        <v>2.4025571000000001</v>
      </c>
      <c r="AE109" s="10">
        <v>2.3805065999999999</v>
      </c>
      <c r="AF109" s="10">
        <v>2.3570916999999998</v>
      </c>
      <c r="AG109" s="10">
        <v>2.3331349000000001</v>
      </c>
      <c r="AH109" s="10">
        <v>2.3093423</v>
      </c>
      <c r="AI109" s="10">
        <v>2.2859072</v>
      </c>
      <c r="AJ109" s="10">
        <v>2.2628811</v>
      </c>
      <c r="AK109" s="10">
        <v>2.2403156000000002</v>
      </c>
      <c r="AL109" s="10">
        <v>2.2182624999999998</v>
      </c>
      <c r="AM109" s="10">
        <v>2.1967732999999998</v>
      </c>
      <c r="AN109" s="10">
        <v>2.1758996000000002</v>
      </c>
      <c r="AO109" s="10">
        <v>2.1556929999999999</v>
      </c>
      <c r="AP109" s="10">
        <v>2.1362052999999999</v>
      </c>
      <c r="AQ109" s="10">
        <v>2.1174879</v>
      </c>
      <c r="AR109" s="10">
        <v>2.0995925999999998</v>
      </c>
      <c r="AS109" s="10">
        <v>2.0825708999999999</v>
      </c>
      <c r="AT109" s="10">
        <v>2.0664625000000001</v>
      </c>
      <c r="AU109" s="10">
        <v>2.0512353000000001</v>
      </c>
      <c r="AV109" s="10">
        <v>2.0368308000000002</v>
      </c>
      <c r="AW109" s="10">
        <v>2.0231905000000001</v>
      </c>
      <c r="AX109" s="10">
        <v>2.0102559000000002</v>
      </c>
      <c r="AY109" s="10">
        <v>1.9979685</v>
      </c>
      <c r="AZ109" s="10">
        <v>1.9862698000000001</v>
      </c>
      <c r="BA109" s="10">
        <v>1.9751011999999999</v>
      </c>
      <c r="BB109" s="10">
        <v>1.9644041999999999</v>
      </c>
      <c r="BC109" s="10">
        <v>1.9541204000000001</v>
      </c>
      <c r="BD109" s="10">
        <v>1.9441911999999999</v>
      </c>
      <c r="BE109" s="10">
        <v>1.934558</v>
      </c>
      <c r="BF109" s="10">
        <v>1.9251696</v>
      </c>
      <c r="BG109" s="10">
        <v>1.9160124999999999</v>
      </c>
      <c r="BH109" s="10">
        <v>1.9070863</v>
      </c>
      <c r="BI109" s="10">
        <v>1.8983905000000001</v>
      </c>
      <c r="BJ109" s="10">
        <v>1.8899246999999999</v>
      </c>
      <c r="BK109" s="10">
        <v>1.8816884</v>
      </c>
      <c r="BL109" s="10">
        <v>1.8736811</v>
      </c>
      <c r="BM109" s="10">
        <v>1.8659022000000001</v>
      </c>
      <c r="BN109" s="10">
        <v>1.8583514999999999</v>
      </c>
      <c r="BO109" s="10">
        <v>1.8510282</v>
      </c>
      <c r="BP109" s="10">
        <v>1.8439321</v>
      </c>
      <c r="BQ109" s="10">
        <v>1.8370626000000001</v>
      </c>
      <c r="BR109" s="10">
        <v>1.8008120000000001</v>
      </c>
      <c r="BS109" s="10">
        <v>1.7740197</v>
      </c>
      <c r="BU109" s="7">
        <v>1.45</v>
      </c>
      <c r="BV109" s="7">
        <v>1.89</v>
      </c>
      <c r="BW109" s="9">
        <v>79.723699999999994</v>
      </c>
    </row>
    <row r="110" spans="1:75" x14ac:dyDescent="0.25">
      <c r="A110" s="6">
        <f t="shared" si="11"/>
        <v>44706</v>
      </c>
      <c r="B110" s="13">
        <f t="shared" si="6"/>
        <v>5</v>
      </c>
      <c r="C110" s="13">
        <f t="shared" si="7"/>
        <v>2022</v>
      </c>
      <c r="D110">
        <f t="shared" si="8"/>
        <v>202205</v>
      </c>
      <c r="E110">
        <f t="shared" si="9"/>
        <v>2</v>
      </c>
      <c r="F110">
        <f t="shared" si="10"/>
        <v>202202</v>
      </c>
      <c r="G110" t="s">
        <v>297</v>
      </c>
      <c r="H110" s="9">
        <v>1</v>
      </c>
      <c r="I110" s="9">
        <v>0.93840000000000001</v>
      </c>
      <c r="J110" s="10">
        <v>1.1392027</v>
      </c>
      <c r="K110" s="10">
        <v>1.3402172000000001</v>
      </c>
      <c r="L110" s="10">
        <v>1.5248447000000001</v>
      </c>
      <c r="M110" s="10">
        <v>1.6948715999999999</v>
      </c>
      <c r="N110" s="10">
        <v>1.8479193</v>
      </c>
      <c r="O110" s="10">
        <v>1.9818595999999999</v>
      </c>
      <c r="P110" s="10">
        <v>2.0954502000000002</v>
      </c>
      <c r="Q110" s="10">
        <v>2.1903728</v>
      </c>
      <c r="R110" s="10">
        <v>2.2688864999999998</v>
      </c>
      <c r="S110" s="10">
        <v>2.3328753</v>
      </c>
      <c r="T110" s="10">
        <v>2.3841937999999998</v>
      </c>
      <c r="U110" s="10">
        <v>2.4233156</v>
      </c>
      <c r="V110" s="10">
        <v>2.4511747000000002</v>
      </c>
      <c r="W110" s="10">
        <v>2.4688376000000001</v>
      </c>
      <c r="X110" s="10">
        <v>2.4773369000000001</v>
      </c>
      <c r="Y110" s="10">
        <v>2.4777051999999999</v>
      </c>
      <c r="Z110" s="10">
        <v>2.4709750000000001</v>
      </c>
      <c r="AA110" s="10">
        <v>2.4581789000000001</v>
      </c>
      <c r="AB110" s="10">
        <v>2.4403464000000001</v>
      </c>
      <c r="AC110" s="10">
        <v>2.4184899999999998</v>
      </c>
      <c r="AD110" s="10">
        <v>2.3936161</v>
      </c>
      <c r="AE110" s="10">
        <v>2.3667311</v>
      </c>
      <c r="AF110" s="10">
        <v>2.3388414000000002</v>
      </c>
      <c r="AG110" s="10">
        <v>2.3109533999999998</v>
      </c>
      <c r="AH110" s="10">
        <v>2.2839624999999999</v>
      </c>
      <c r="AI110" s="10">
        <v>2.2581012999999999</v>
      </c>
      <c r="AJ110" s="10">
        <v>2.2333584000000002</v>
      </c>
      <c r="AK110" s="10">
        <v>2.2097218000000001</v>
      </c>
      <c r="AL110" s="10">
        <v>2.1871795000000001</v>
      </c>
      <c r="AM110" s="10">
        <v>2.1657198000000002</v>
      </c>
      <c r="AN110" s="10">
        <v>2.1453305999999999</v>
      </c>
      <c r="AO110" s="10">
        <v>2.1260001000000002</v>
      </c>
      <c r="AP110" s="10">
        <v>2.1077162</v>
      </c>
      <c r="AQ110" s="10">
        <v>2.0904671000000001</v>
      </c>
      <c r="AR110" s="10">
        <v>2.0742408999999999</v>
      </c>
      <c r="AS110" s="10">
        <v>2.0590256999999998</v>
      </c>
      <c r="AT110" s="10">
        <v>2.0448021000000001</v>
      </c>
      <c r="AU110" s="10">
        <v>2.0315116999999998</v>
      </c>
      <c r="AV110" s="10">
        <v>2.0190825000000001</v>
      </c>
      <c r="AW110" s="10">
        <v>2.0074428000000002</v>
      </c>
      <c r="AX110" s="10">
        <v>1.9965207</v>
      </c>
      <c r="AY110" s="10">
        <v>1.9862445</v>
      </c>
      <c r="AZ110" s="10">
        <v>1.9765423</v>
      </c>
      <c r="BA110" s="10">
        <v>1.9673423000000001</v>
      </c>
      <c r="BB110" s="10">
        <v>1.9585726000000001</v>
      </c>
      <c r="BC110" s="10">
        <v>1.9501615000000001</v>
      </c>
      <c r="BD110" s="10">
        <v>1.9420371000000001</v>
      </c>
      <c r="BE110" s="10">
        <v>1.9341276999999999</v>
      </c>
      <c r="BF110" s="10">
        <v>1.926372</v>
      </c>
      <c r="BG110" s="10">
        <v>1.9187612000000001</v>
      </c>
      <c r="BH110" s="10">
        <v>1.9113022</v>
      </c>
      <c r="BI110" s="10">
        <v>1.904002</v>
      </c>
      <c r="BJ110" s="10">
        <v>1.8968674999999999</v>
      </c>
      <c r="BK110" s="10">
        <v>1.8899056999999999</v>
      </c>
      <c r="BL110" s="10">
        <v>1.8831235</v>
      </c>
      <c r="BM110" s="10">
        <v>1.8765278999999999</v>
      </c>
      <c r="BN110" s="10">
        <v>1.8701258999999999</v>
      </c>
      <c r="BO110" s="10">
        <v>1.8639243000000001</v>
      </c>
      <c r="BP110" s="10">
        <v>1.8579300999999999</v>
      </c>
      <c r="BQ110" s="10">
        <v>1.8521504</v>
      </c>
      <c r="BR110" s="10">
        <v>1.8222670000000001</v>
      </c>
      <c r="BS110" s="10">
        <v>1.8012683</v>
      </c>
      <c r="BU110" s="7">
        <v>1.43</v>
      </c>
      <c r="BV110" s="7">
        <v>1.92</v>
      </c>
      <c r="BW110" s="9">
        <v>80.095200000000006</v>
      </c>
    </row>
    <row r="111" spans="1:75" x14ac:dyDescent="0.25">
      <c r="A111" s="6">
        <f t="shared" si="11"/>
        <v>44707</v>
      </c>
      <c r="B111" s="13">
        <f t="shared" si="6"/>
        <v>5</v>
      </c>
      <c r="C111" s="13">
        <f t="shared" si="7"/>
        <v>2022</v>
      </c>
      <c r="D111">
        <f t="shared" si="8"/>
        <v>202205</v>
      </c>
      <c r="E111">
        <f t="shared" si="9"/>
        <v>2</v>
      </c>
      <c r="F111">
        <f t="shared" si="10"/>
        <v>202202</v>
      </c>
      <c r="G111" t="s">
        <v>298</v>
      </c>
      <c r="H111" s="9">
        <v>1</v>
      </c>
      <c r="I111" s="9">
        <v>0.93879999999999997</v>
      </c>
      <c r="J111" s="10">
        <v>1.1566301999999999</v>
      </c>
      <c r="K111" s="10">
        <v>1.3581719999999999</v>
      </c>
      <c r="L111" s="10">
        <v>1.5508552</v>
      </c>
      <c r="M111" s="10">
        <v>1.7301487</v>
      </c>
      <c r="N111" s="10">
        <v>1.8915356999999999</v>
      </c>
      <c r="O111" s="10">
        <v>2.0322334999999998</v>
      </c>
      <c r="P111" s="10">
        <v>2.1513331</v>
      </c>
      <c r="Q111" s="10">
        <v>2.2492277999999999</v>
      </c>
      <c r="R111" s="10">
        <v>2.3279996000000001</v>
      </c>
      <c r="S111" s="10">
        <v>2.3899099000000001</v>
      </c>
      <c r="T111" s="10">
        <v>2.4372512999999998</v>
      </c>
      <c r="U111" s="10">
        <v>2.4716019999999999</v>
      </c>
      <c r="V111" s="10">
        <v>2.4954231</v>
      </c>
      <c r="W111" s="10">
        <v>2.510097</v>
      </c>
      <c r="X111" s="10">
        <v>2.5166330000000001</v>
      </c>
      <c r="Y111" s="10">
        <v>2.5160402999999998</v>
      </c>
      <c r="Z111" s="10">
        <v>2.5093279000000002</v>
      </c>
      <c r="AA111" s="10">
        <v>2.4975051000000001</v>
      </c>
      <c r="AB111" s="10">
        <v>2.4815526000000001</v>
      </c>
      <c r="AC111" s="10">
        <v>2.4623054</v>
      </c>
      <c r="AD111" s="10">
        <v>2.4405518000000002</v>
      </c>
      <c r="AE111" s="10">
        <v>2.4170805</v>
      </c>
      <c r="AF111" s="10">
        <v>2.3926797</v>
      </c>
      <c r="AG111" s="10">
        <v>2.3681378999999998</v>
      </c>
      <c r="AH111" s="10">
        <v>2.3441488000000001</v>
      </c>
      <c r="AI111" s="10">
        <v>2.3208951999999998</v>
      </c>
      <c r="AJ111" s="10">
        <v>2.2983889999999998</v>
      </c>
      <c r="AK111" s="10">
        <v>2.2766418000000002</v>
      </c>
      <c r="AL111" s="10">
        <v>2.2556653</v>
      </c>
      <c r="AM111" s="10">
        <v>2.235471</v>
      </c>
      <c r="AN111" s="10">
        <v>2.2160706999999999</v>
      </c>
      <c r="AO111" s="10">
        <v>2.197476</v>
      </c>
      <c r="AP111" s="10">
        <v>2.1796985000000002</v>
      </c>
      <c r="AQ111" s="10">
        <v>2.1627499000000001</v>
      </c>
      <c r="AR111" s="10">
        <v>2.1466419000000001</v>
      </c>
      <c r="AS111" s="10">
        <v>2.1313860999999998</v>
      </c>
      <c r="AT111" s="10">
        <v>2.1169848</v>
      </c>
      <c r="AU111" s="10">
        <v>2.1033949999999999</v>
      </c>
      <c r="AV111" s="10">
        <v>2.0905599000000001</v>
      </c>
      <c r="AW111" s="10">
        <v>2.0784227999999998</v>
      </c>
      <c r="AX111" s="10">
        <v>2.0669266999999998</v>
      </c>
      <c r="AY111" s="10">
        <v>2.0560149000000001</v>
      </c>
      <c r="AZ111" s="10">
        <v>2.0456306</v>
      </c>
      <c r="BA111" s="10">
        <v>2.035717</v>
      </c>
      <c r="BB111" s="10">
        <v>2.0262172000000001</v>
      </c>
      <c r="BC111" s="10">
        <v>2.0170743999999998</v>
      </c>
      <c r="BD111" s="10">
        <v>2.0082319000000002</v>
      </c>
      <c r="BE111" s="10">
        <v>1.9996327</v>
      </c>
      <c r="BF111" s="10">
        <v>1.9912293999999999</v>
      </c>
      <c r="BG111" s="10">
        <v>1.9830154</v>
      </c>
      <c r="BH111" s="10">
        <v>1.9749954000000001</v>
      </c>
      <c r="BI111" s="10">
        <v>1.9671738999999999</v>
      </c>
      <c r="BJ111" s="10">
        <v>1.9595558</v>
      </c>
      <c r="BK111" s="10">
        <v>1.9521455999999999</v>
      </c>
      <c r="BL111" s="10">
        <v>1.9449482</v>
      </c>
      <c r="BM111" s="10">
        <v>1.9379681</v>
      </c>
      <c r="BN111" s="10">
        <v>1.9312100000000001</v>
      </c>
      <c r="BO111" s="10">
        <v>1.9246787000000001</v>
      </c>
      <c r="BP111" s="10">
        <v>1.9183787999999999</v>
      </c>
      <c r="BQ111" s="10">
        <v>1.9123148999999999</v>
      </c>
      <c r="BR111" s="10">
        <v>1.8811192999999999</v>
      </c>
      <c r="BS111" s="10">
        <v>1.8594042</v>
      </c>
      <c r="BU111" s="7">
        <v>1.46</v>
      </c>
      <c r="BV111" s="7">
        <v>1.97</v>
      </c>
      <c r="BW111" s="9">
        <v>80.211399999999998</v>
      </c>
    </row>
    <row r="112" spans="1:75" x14ac:dyDescent="0.25">
      <c r="A112" s="6">
        <f t="shared" si="11"/>
        <v>44708</v>
      </c>
      <c r="B112" s="13">
        <f t="shared" si="6"/>
        <v>5</v>
      </c>
      <c r="C112" s="13">
        <f t="shared" si="7"/>
        <v>2022</v>
      </c>
      <c r="D112">
        <f t="shared" si="8"/>
        <v>202205</v>
      </c>
      <c r="E112">
        <f t="shared" si="9"/>
        <v>2</v>
      </c>
      <c r="F112">
        <f t="shared" si="10"/>
        <v>202202</v>
      </c>
      <c r="G112" t="s">
        <v>299</v>
      </c>
      <c r="H112" s="9">
        <v>1</v>
      </c>
      <c r="I112" s="9">
        <v>0.93830000000000002</v>
      </c>
      <c r="J112" s="10">
        <v>1.1671733</v>
      </c>
      <c r="K112" s="10">
        <v>1.3662303</v>
      </c>
      <c r="L112" s="10">
        <v>1.5607869999999999</v>
      </c>
      <c r="M112" s="10">
        <v>1.7429121000000001</v>
      </c>
      <c r="N112" s="10">
        <v>1.9063273999999999</v>
      </c>
      <c r="O112" s="10">
        <v>2.0479853000000001</v>
      </c>
      <c r="P112" s="10">
        <v>2.1668118999999999</v>
      </c>
      <c r="Q112" s="10">
        <v>2.2638305999999999</v>
      </c>
      <c r="R112" s="10">
        <v>2.3415051</v>
      </c>
      <c r="S112" s="10">
        <v>2.4024516</v>
      </c>
      <c r="T112" s="10">
        <v>2.4484987999999999</v>
      </c>
      <c r="U112" s="10">
        <v>2.4811426000000001</v>
      </c>
      <c r="V112" s="10">
        <v>2.5020373</v>
      </c>
      <c r="W112" s="10">
        <v>2.5126515</v>
      </c>
      <c r="X112" s="10">
        <v>2.5143703999999998</v>
      </c>
      <c r="Y112" s="10">
        <v>2.5085793999999999</v>
      </c>
      <c r="Z112" s="10">
        <v>2.4966634999999999</v>
      </c>
      <c r="AA112" s="10">
        <v>2.4800081</v>
      </c>
      <c r="AB112" s="10">
        <v>2.4599053999999998</v>
      </c>
      <c r="AC112" s="10">
        <v>2.4372162999999998</v>
      </c>
      <c r="AD112" s="10">
        <v>2.412677</v>
      </c>
      <c r="AE112" s="10">
        <v>2.3870233999999999</v>
      </c>
      <c r="AF112" s="10">
        <v>2.3609916000000002</v>
      </c>
      <c r="AG112" s="10">
        <v>2.3353177000000001</v>
      </c>
      <c r="AH112" s="10">
        <v>2.3106322000000001</v>
      </c>
      <c r="AI112" s="10">
        <v>2.2870518999999998</v>
      </c>
      <c r="AJ112" s="10">
        <v>2.2645371000000001</v>
      </c>
      <c r="AK112" s="10">
        <v>2.2430482</v>
      </c>
      <c r="AL112" s="10">
        <v>2.2225456000000001</v>
      </c>
      <c r="AM112" s="10">
        <v>2.2029895000000002</v>
      </c>
      <c r="AN112" s="10">
        <v>2.1843403000000001</v>
      </c>
      <c r="AO112" s="10">
        <v>2.1665584</v>
      </c>
      <c r="AP112" s="10">
        <v>2.1496040000000001</v>
      </c>
      <c r="AQ112" s="10">
        <v>2.1334374999999999</v>
      </c>
      <c r="AR112" s="10">
        <v>2.1180192999999998</v>
      </c>
      <c r="AS112" s="10">
        <v>2.1033097000000001</v>
      </c>
      <c r="AT112" s="10">
        <v>2.0892681999999998</v>
      </c>
      <c r="AU112" s="10">
        <v>2.0758508999999998</v>
      </c>
      <c r="AV112" s="10">
        <v>2.0630128000000001</v>
      </c>
      <c r="AW112" s="10">
        <v>2.0507089999999999</v>
      </c>
      <c r="AX112" s="10">
        <v>2.0388947000000002</v>
      </c>
      <c r="AY112" s="10">
        <v>2.0275248000000001</v>
      </c>
      <c r="AZ112" s="10">
        <v>2.0165544999999998</v>
      </c>
      <c r="BA112" s="10">
        <v>2.0059388</v>
      </c>
      <c r="BB112" s="10">
        <v>1.9956328999999999</v>
      </c>
      <c r="BC112" s="10">
        <v>1.9855917000000001</v>
      </c>
      <c r="BD112" s="10">
        <v>1.9757704</v>
      </c>
      <c r="BE112" s="10">
        <v>1.966124</v>
      </c>
      <c r="BF112" s="10">
        <v>1.9566162</v>
      </c>
      <c r="BG112" s="10">
        <v>1.9472487999999999</v>
      </c>
      <c r="BH112" s="10">
        <v>1.9380339</v>
      </c>
      <c r="BI112" s="10">
        <v>1.9289837000000001</v>
      </c>
      <c r="BJ112" s="10">
        <v>1.9201104</v>
      </c>
      <c r="BK112" s="10">
        <v>1.9114262</v>
      </c>
      <c r="BL112" s="10">
        <v>1.9029433</v>
      </c>
      <c r="BM112" s="10">
        <v>1.8946738000000001</v>
      </c>
      <c r="BN112" s="10">
        <v>1.88663</v>
      </c>
      <c r="BO112" s="10">
        <v>1.878824</v>
      </c>
      <c r="BP112" s="10">
        <v>1.8712681</v>
      </c>
      <c r="BQ112" s="10">
        <v>1.8639744</v>
      </c>
      <c r="BR112" s="10">
        <v>1.8261786</v>
      </c>
      <c r="BS112" s="10">
        <v>1.799544</v>
      </c>
      <c r="BU112" s="7">
        <v>1.43</v>
      </c>
      <c r="BV112" s="7">
        <v>1.92</v>
      </c>
      <c r="BW112" s="9">
        <v>80.388400000000004</v>
      </c>
    </row>
    <row r="113" spans="1:75" x14ac:dyDescent="0.25">
      <c r="A113" s="6">
        <f t="shared" si="11"/>
        <v>44711</v>
      </c>
      <c r="B113" s="13">
        <f t="shared" si="6"/>
        <v>5</v>
      </c>
      <c r="C113" s="13">
        <f t="shared" si="7"/>
        <v>2022</v>
      </c>
      <c r="D113">
        <f t="shared" si="8"/>
        <v>202205</v>
      </c>
      <c r="E113">
        <f t="shared" si="9"/>
        <v>2</v>
      </c>
      <c r="F113">
        <f t="shared" si="10"/>
        <v>202202</v>
      </c>
      <c r="G113" t="s">
        <v>300</v>
      </c>
      <c r="H113" s="9">
        <v>1</v>
      </c>
      <c r="I113" s="9">
        <v>0.93840000000000001</v>
      </c>
      <c r="J113" s="10">
        <v>1.2218334</v>
      </c>
      <c r="K113" s="10">
        <v>1.4041014999999999</v>
      </c>
      <c r="L113" s="10">
        <v>1.6057604000000001</v>
      </c>
      <c r="M113" s="10">
        <v>1.7965974</v>
      </c>
      <c r="N113" s="10">
        <v>1.9654067</v>
      </c>
      <c r="O113" s="10">
        <v>2.1105461999999999</v>
      </c>
      <c r="P113" s="10">
        <v>2.2321336999999999</v>
      </c>
      <c r="Q113" s="10">
        <v>2.3327694999999999</v>
      </c>
      <c r="R113" s="10">
        <v>2.4153969000000002</v>
      </c>
      <c r="S113" s="10">
        <v>2.4820071000000001</v>
      </c>
      <c r="T113" s="10">
        <v>2.533534</v>
      </c>
      <c r="U113" s="10">
        <v>2.5709954000000002</v>
      </c>
      <c r="V113" s="10">
        <v>2.5957753000000001</v>
      </c>
      <c r="W113" s="10">
        <v>2.6093023999999998</v>
      </c>
      <c r="X113" s="10">
        <v>2.6129931000000002</v>
      </c>
      <c r="Y113" s="10">
        <v>2.6082635000000001</v>
      </c>
      <c r="Z113" s="10">
        <v>2.5965299000000002</v>
      </c>
      <c r="AA113" s="10">
        <v>2.5792085</v>
      </c>
      <c r="AB113" s="10">
        <v>2.5576346999999999</v>
      </c>
      <c r="AC113" s="10">
        <v>2.5327692000000002</v>
      </c>
      <c r="AD113" s="10">
        <v>2.5054637</v>
      </c>
      <c r="AE113" s="10">
        <v>2.4765703999999999</v>
      </c>
      <c r="AF113" s="10">
        <v>2.4469409999999998</v>
      </c>
      <c r="AG113" s="10">
        <v>2.4174275999999999</v>
      </c>
      <c r="AH113" s="10">
        <v>2.388754</v>
      </c>
      <c r="AI113" s="10">
        <v>2.3610779000000002</v>
      </c>
      <c r="AJ113" s="10">
        <v>2.3344011</v>
      </c>
      <c r="AK113" s="10">
        <v>2.3087254000000001</v>
      </c>
      <c r="AL113" s="10">
        <v>2.2840524000000002</v>
      </c>
      <c r="AM113" s="10">
        <v>2.2603840000000002</v>
      </c>
      <c r="AN113" s="10">
        <v>2.2377216999999998</v>
      </c>
      <c r="AO113" s="10">
        <v>2.2160674</v>
      </c>
      <c r="AP113" s="10">
        <v>2.1954227999999998</v>
      </c>
      <c r="AQ113" s="10">
        <v>2.1757895999999999</v>
      </c>
      <c r="AR113" s="10">
        <v>2.1571695000000002</v>
      </c>
      <c r="AS113" s="10">
        <v>2.1395643</v>
      </c>
      <c r="AT113" s="10">
        <v>2.1229665999999998</v>
      </c>
      <c r="AU113" s="10">
        <v>2.1073284999999999</v>
      </c>
      <c r="AV113" s="10">
        <v>2.0925913</v>
      </c>
      <c r="AW113" s="10">
        <v>2.0786959999999999</v>
      </c>
      <c r="AX113" s="10">
        <v>2.0655836999999999</v>
      </c>
      <c r="AY113" s="10">
        <v>2.0531956</v>
      </c>
      <c r="AZ113" s="10">
        <v>2.0414728000000002</v>
      </c>
      <c r="BA113" s="10">
        <v>2.0303562999999998</v>
      </c>
      <c r="BB113" s="10">
        <v>2.0197873999999998</v>
      </c>
      <c r="BC113" s="10">
        <v>2.0097070000000001</v>
      </c>
      <c r="BD113" s="10">
        <v>2.0000564000000001</v>
      </c>
      <c r="BE113" s="10">
        <v>1.9907767000000001</v>
      </c>
      <c r="BF113" s="10">
        <v>1.9818157000000001</v>
      </c>
      <c r="BG113" s="10">
        <v>1.9731588</v>
      </c>
      <c r="BH113" s="10">
        <v>1.9648032</v>
      </c>
      <c r="BI113" s="10">
        <v>1.9567466</v>
      </c>
      <c r="BJ113" s="10">
        <v>1.9489863999999999</v>
      </c>
      <c r="BK113" s="10">
        <v>1.9415203000000001</v>
      </c>
      <c r="BL113" s="10">
        <v>1.9343456000000001</v>
      </c>
      <c r="BM113" s="10">
        <v>1.92746</v>
      </c>
      <c r="BN113" s="10">
        <v>1.9208609000000001</v>
      </c>
      <c r="BO113" s="10">
        <v>1.9145458</v>
      </c>
      <c r="BP113" s="10">
        <v>1.9085124</v>
      </c>
      <c r="BQ113" s="10">
        <v>1.9027579999999999</v>
      </c>
      <c r="BR113" s="10">
        <v>1.8740441999999999</v>
      </c>
      <c r="BS113" s="10">
        <v>1.8553143999999999</v>
      </c>
      <c r="BU113" s="7">
        <v>1.49</v>
      </c>
      <c r="BV113" s="7">
        <v>1.99</v>
      </c>
      <c r="BW113" s="9">
        <v>80.251400000000004</v>
      </c>
    </row>
    <row r="114" spans="1:75" x14ac:dyDescent="0.25">
      <c r="A114" s="6">
        <f t="shared" si="11"/>
        <v>44712</v>
      </c>
      <c r="B114" s="13">
        <f t="shared" si="6"/>
        <v>5</v>
      </c>
      <c r="C114" s="13">
        <f t="shared" si="7"/>
        <v>2022</v>
      </c>
      <c r="D114">
        <f t="shared" si="8"/>
        <v>202205</v>
      </c>
      <c r="E114">
        <f t="shared" si="9"/>
        <v>2</v>
      </c>
      <c r="F114">
        <f t="shared" si="10"/>
        <v>202202</v>
      </c>
      <c r="G114" t="s">
        <v>301</v>
      </c>
      <c r="H114" s="9">
        <v>1</v>
      </c>
      <c r="I114" s="9">
        <v>0.94099999999999995</v>
      </c>
      <c r="J114" s="10">
        <v>1.2197183</v>
      </c>
      <c r="K114" s="10">
        <v>1.4003319999999999</v>
      </c>
      <c r="L114" s="10">
        <v>1.6048249999999999</v>
      </c>
      <c r="M114" s="10">
        <v>1.8003302999999999</v>
      </c>
      <c r="N114" s="10">
        <v>1.9765839999999999</v>
      </c>
      <c r="O114" s="10">
        <v>2.1328931999999998</v>
      </c>
      <c r="P114" s="10">
        <v>2.2683194000000002</v>
      </c>
      <c r="Q114" s="10">
        <v>2.3827753</v>
      </c>
      <c r="R114" s="10">
        <v>2.4757661</v>
      </c>
      <c r="S114" s="10">
        <v>2.5497198000000001</v>
      </c>
      <c r="T114" s="10">
        <v>2.6066410000000002</v>
      </c>
      <c r="U114" s="10">
        <v>2.6485059</v>
      </c>
      <c r="V114" s="10">
        <v>2.6774296</v>
      </c>
      <c r="W114" s="10">
        <v>2.6949652999999998</v>
      </c>
      <c r="X114" s="10">
        <v>2.7025103000000001</v>
      </c>
      <c r="Y114" s="10">
        <v>2.7014616999999999</v>
      </c>
      <c r="Z114" s="10">
        <v>2.6932168999999999</v>
      </c>
      <c r="AA114" s="10">
        <v>2.6791730999999999</v>
      </c>
      <c r="AB114" s="10">
        <v>2.6606380000000001</v>
      </c>
      <c r="AC114" s="10">
        <v>2.6385434999999999</v>
      </c>
      <c r="AD114" s="10">
        <v>2.6137226</v>
      </c>
      <c r="AE114" s="10">
        <v>2.5870084000000002</v>
      </c>
      <c r="AF114" s="10">
        <v>2.5592339000000002</v>
      </c>
      <c r="AG114" s="10">
        <v>2.5312323000000001</v>
      </c>
      <c r="AH114" s="10">
        <v>2.5037159</v>
      </c>
      <c r="AI114" s="10">
        <v>2.4768645</v>
      </c>
      <c r="AJ114" s="10">
        <v>2.4507107000000001</v>
      </c>
      <c r="AK114" s="10">
        <v>2.4252872000000001</v>
      </c>
      <c r="AL114" s="10">
        <v>2.4006270000000001</v>
      </c>
      <c r="AM114" s="10">
        <v>2.3767624999999999</v>
      </c>
      <c r="AN114" s="10">
        <v>2.3537267000000002</v>
      </c>
      <c r="AO114" s="10">
        <v>2.3315522</v>
      </c>
      <c r="AP114" s="10">
        <v>2.3102716999999999</v>
      </c>
      <c r="AQ114" s="10">
        <v>2.2899181</v>
      </c>
      <c r="AR114" s="10">
        <v>2.2705239000000002</v>
      </c>
      <c r="AS114" s="10">
        <v>2.252122</v>
      </c>
      <c r="AT114" s="10">
        <v>2.2347345000000001</v>
      </c>
      <c r="AU114" s="10">
        <v>2.2183266000000001</v>
      </c>
      <c r="AV114" s="10">
        <v>2.2028446000000002</v>
      </c>
      <c r="AW114" s="10">
        <v>2.1882345000000001</v>
      </c>
      <c r="AX114" s="10">
        <v>2.1744425999999999</v>
      </c>
      <c r="AY114" s="10">
        <v>2.1614149</v>
      </c>
      <c r="AZ114" s="10">
        <v>2.1490977</v>
      </c>
      <c r="BA114" s="10">
        <v>2.1374369999999998</v>
      </c>
      <c r="BB114" s="10">
        <v>2.126379</v>
      </c>
      <c r="BC114" s="10">
        <v>2.1158698999999999</v>
      </c>
      <c r="BD114" s="10">
        <v>2.1058558999999999</v>
      </c>
      <c r="BE114" s="10">
        <v>2.0962830000000001</v>
      </c>
      <c r="BF114" s="10">
        <v>2.0871040000000001</v>
      </c>
      <c r="BG114" s="10">
        <v>2.0783035999999999</v>
      </c>
      <c r="BH114" s="10">
        <v>2.0698764000000001</v>
      </c>
      <c r="BI114" s="10">
        <v>2.0618167000000001</v>
      </c>
      <c r="BJ114" s="10">
        <v>2.0541192000000001</v>
      </c>
      <c r="BK114" s="10">
        <v>2.0467781999999999</v>
      </c>
      <c r="BL114" s="10">
        <v>2.0397883000000001</v>
      </c>
      <c r="BM114" s="10">
        <v>2.0331440000000001</v>
      </c>
      <c r="BN114" s="10">
        <v>2.0268397999999999</v>
      </c>
      <c r="BO114" s="10">
        <v>2.0208699999999999</v>
      </c>
      <c r="BP114" s="10">
        <v>2.0152293000000001</v>
      </c>
      <c r="BQ114" s="10">
        <v>2.0099121000000002</v>
      </c>
      <c r="BR114" s="10">
        <v>1.9845855999999999</v>
      </c>
      <c r="BS114" s="10">
        <v>1.9700777</v>
      </c>
      <c r="BU114" s="7">
        <v>1.59</v>
      </c>
      <c r="BV114" s="7">
        <v>2.1</v>
      </c>
      <c r="BW114" s="9">
        <v>80.227500000000006</v>
      </c>
    </row>
    <row r="115" spans="1:75" x14ac:dyDescent="0.25">
      <c r="A115" s="6">
        <f t="shared" si="11"/>
        <v>44713</v>
      </c>
      <c r="B115" s="13">
        <f t="shared" si="6"/>
        <v>6</v>
      </c>
      <c r="C115" s="13">
        <f t="shared" si="7"/>
        <v>2022</v>
      </c>
      <c r="D115">
        <f t="shared" si="8"/>
        <v>202206</v>
      </c>
      <c r="E115">
        <f t="shared" si="9"/>
        <v>2</v>
      </c>
      <c r="F115">
        <f t="shared" si="10"/>
        <v>202202</v>
      </c>
      <c r="G115" t="s">
        <v>302</v>
      </c>
      <c r="H115" s="9">
        <v>1</v>
      </c>
      <c r="I115" s="9">
        <v>0.93889999999999996</v>
      </c>
      <c r="J115" s="10">
        <v>1.2318121</v>
      </c>
      <c r="K115" s="10">
        <v>1.4023848999999999</v>
      </c>
      <c r="L115" s="10">
        <v>1.6083482</v>
      </c>
      <c r="M115" s="10">
        <v>1.8152552</v>
      </c>
      <c r="N115" s="10">
        <v>2.0083226999999999</v>
      </c>
      <c r="O115" s="10">
        <v>2.1831957000000002</v>
      </c>
      <c r="P115" s="10">
        <v>2.3362595000000002</v>
      </c>
      <c r="Q115" s="10">
        <v>2.4669137000000001</v>
      </c>
      <c r="R115" s="10">
        <v>2.5749327000000002</v>
      </c>
      <c r="S115" s="10">
        <v>2.6618029999999999</v>
      </c>
      <c r="T115" s="10">
        <v>2.7294434000000001</v>
      </c>
      <c r="U115" s="10">
        <v>2.7793831</v>
      </c>
      <c r="V115" s="10">
        <v>2.8143221999999999</v>
      </c>
      <c r="W115" s="10">
        <v>2.8361762000000001</v>
      </c>
      <c r="X115" s="10">
        <v>2.8465520999999998</v>
      </c>
      <c r="Y115" s="10">
        <v>2.8470569999999999</v>
      </c>
      <c r="Z115" s="10">
        <v>2.8392979999999999</v>
      </c>
      <c r="AA115" s="10">
        <v>2.8248821999999998</v>
      </c>
      <c r="AB115" s="10">
        <v>2.8053097999999999</v>
      </c>
      <c r="AC115" s="10">
        <v>2.7816317000000002</v>
      </c>
      <c r="AD115" s="10">
        <v>2.7547806000000001</v>
      </c>
      <c r="AE115" s="10">
        <v>2.7256895000000001</v>
      </c>
      <c r="AF115" s="10">
        <v>2.6952912000000002</v>
      </c>
      <c r="AG115" s="10">
        <v>2.6645184999999998</v>
      </c>
      <c r="AH115" s="10">
        <v>2.6341950000000001</v>
      </c>
      <c r="AI115" s="10">
        <v>2.6045552999999999</v>
      </c>
      <c r="AJ115" s="10">
        <v>2.5756364</v>
      </c>
      <c r="AK115" s="10">
        <v>2.5474755999999998</v>
      </c>
      <c r="AL115" s="10">
        <v>2.5201096999999999</v>
      </c>
      <c r="AM115" s="10">
        <v>2.4935757999999999</v>
      </c>
      <c r="AN115" s="10">
        <v>2.467911</v>
      </c>
      <c r="AO115" s="10">
        <v>2.4431522999999999</v>
      </c>
      <c r="AP115" s="10">
        <v>2.4193367000000001</v>
      </c>
      <c r="AQ115" s="10">
        <v>2.3965011999999999</v>
      </c>
      <c r="AR115" s="10">
        <v>2.3746830000000001</v>
      </c>
      <c r="AS115" s="10">
        <v>2.3539189</v>
      </c>
      <c r="AT115" s="10">
        <v>2.3342329999999998</v>
      </c>
      <c r="AU115" s="10">
        <v>2.3155850999999998</v>
      </c>
      <c r="AV115" s="10">
        <v>2.2979159999999998</v>
      </c>
      <c r="AW115" s="10">
        <v>2.2811659999999998</v>
      </c>
      <c r="AX115" s="10">
        <v>2.2652758</v>
      </c>
      <c r="AY115" s="10">
        <v>2.2501858000000001</v>
      </c>
      <c r="AZ115" s="10">
        <v>2.2358365999999998</v>
      </c>
      <c r="BA115" s="10">
        <v>2.2221687000000001</v>
      </c>
      <c r="BB115" s="10">
        <v>2.2091227</v>
      </c>
      <c r="BC115" s="10">
        <v>2.1966391000000001</v>
      </c>
      <c r="BD115" s="10">
        <v>2.1846584999999998</v>
      </c>
      <c r="BE115" s="10">
        <v>2.1731213</v>
      </c>
      <c r="BF115" s="10">
        <v>2.1619761999999998</v>
      </c>
      <c r="BG115" s="10">
        <v>2.1512082000000001</v>
      </c>
      <c r="BH115" s="10">
        <v>2.1408119000000001</v>
      </c>
      <c r="BI115" s="10">
        <v>2.1307820999999998</v>
      </c>
      <c r="BJ115" s="10">
        <v>2.1211134999999999</v>
      </c>
      <c r="BK115" s="10">
        <v>2.1118009</v>
      </c>
      <c r="BL115" s="10">
        <v>2.1028392</v>
      </c>
      <c r="BM115" s="10">
        <v>2.0942229000000001</v>
      </c>
      <c r="BN115" s="10">
        <v>2.085947</v>
      </c>
      <c r="BO115" s="10">
        <v>2.0780061000000001</v>
      </c>
      <c r="BP115" s="10">
        <v>2.070395</v>
      </c>
      <c r="BQ115" s="10">
        <v>2.0631084999999998</v>
      </c>
      <c r="BR115" s="10">
        <v>2.0260619000000002</v>
      </c>
      <c r="BS115" s="10">
        <v>2.0002895000000001</v>
      </c>
      <c r="BU115" s="7">
        <v>1.67</v>
      </c>
      <c r="BV115" s="7">
        <v>2.16</v>
      </c>
      <c r="BW115" s="9">
        <v>79.8125</v>
      </c>
    </row>
    <row r="116" spans="1:75" x14ac:dyDescent="0.25">
      <c r="A116" s="6">
        <f t="shared" si="11"/>
        <v>44714</v>
      </c>
      <c r="B116" s="13">
        <f t="shared" si="6"/>
        <v>6</v>
      </c>
      <c r="C116" s="13">
        <f t="shared" si="7"/>
        <v>2022</v>
      </c>
      <c r="D116">
        <f t="shared" si="8"/>
        <v>202206</v>
      </c>
      <c r="E116">
        <f t="shared" si="9"/>
        <v>2</v>
      </c>
      <c r="F116">
        <f t="shared" si="10"/>
        <v>202202</v>
      </c>
      <c r="G116" t="s">
        <v>303</v>
      </c>
      <c r="H116" s="9">
        <v>1</v>
      </c>
      <c r="I116" s="9" t="e">
        <v>#N/A</v>
      </c>
      <c r="J116" s="10" t="e">
        <v>#N/A</v>
      </c>
      <c r="K116" s="10" t="e">
        <v>#N/A</v>
      </c>
      <c r="L116" s="10" t="e">
        <v>#N/A</v>
      </c>
      <c r="M116" s="10" t="e">
        <v>#N/A</v>
      </c>
      <c r="N116" s="10" t="e">
        <v>#N/A</v>
      </c>
      <c r="O116" s="10" t="e">
        <v>#N/A</v>
      </c>
      <c r="P116" s="10" t="e">
        <v>#N/A</v>
      </c>
      <c r="Q116" s="10" t="e">
        <v>#N/A</v>
      </c>
      <c r="R116" s="10" t="e">
        <v>#N/A</v>
      </c>
      <c r="S116" s="10" t="e">
        <v>#N/A</v>
      </c>
      <c r="T116" s="10" t="e">
        <v>#N/A</v>
      </c>
      <c r="U116" s="10" t="e">
        <v>#N/A</v>
      </c>
      <c r="V116" s="10" t="e">
        <v>#N/A</v>
      </c>
      <c r="W116" s="10" t="e">
        <v>#N/A</v>
      </c>
      <c r="X116" s="10" t="e">
        <v>#N/A</v>
      </c>
      <c r="Y116" s="10" t="e">
        <v>#N/A</v>
      </c>
      <c r="Z116" s="10" t="e">
        <v>#N/A</v>
      </c>
      <c r="AA116" s="10" t="e">
        <v>#N/A</v>
      </c>
      <c r="AB116" s="10" t="e">
        <v>#N/A</v>
      </c>
      <c r="AC116" s="10" t="e">
        <v>#N/A</v>
      </c>
      <c r="AD116" s="10" t="e">
        <v>#N/A</v>
      </c>
      <c r="AE116" s="10" t="e">
        <v>#N/A</v>
      </c>
      <c r="AF116" s="10" t="e">
        <v>#N/A</v>
      </c>
      <c r="AG116" s="10" t="e">
        <v>#N/A</v>
      </c>
      <c r="AH116" s="10" t="e">
        <v>#N/A</v>
      </c>
      <c r="AI116" s="10" t="e">
        <v>#N/A</v>
      </c>
      <c r="AJ116" s="10" t="e">
        <v>#N/A</v>
      </c>
      <c r="AK116" s="10" t="e">
        <v>#N/A</v>
      </c>
      <c r="AL116" s="10" t="e">
        <v>#N/A</v>
      </c>
      <c r="AM116" s="10" t="e">
        <v>#N/A</v>
      </c>
      <c r="AN116" s="10" t="e">
        <v>#N/A</v>
      </c>
      <c r="AO116" s="10" t="e">
        <v>#N/A</v>
      </c>
      <c r="AP116" s="10" t="e">
        <v>#N/A</v>
      </c>
      <c r="AQ116" s="10" t="e">
        <v>#N/A</v>
      </c>
      <c r="AR116" s="10" t="e">
        <v>#N/A</v>
      </c>
      <c r="AS116" s="10" t="e">
        <v>#N/A</v>
      </c>
      <c r="AT116" s="10" t="e">
        <v>#N/A</v>
      </c>
      <c r="AU116" s="10" t="e">
        <v>#N/A</v>
      </c>
      <c r="AV116" s="10" t="e">
        <v>#N/A</v>
      </c>
      <c r="AW116" s="10" t="e">
        <v>#N/A</v>
      </c>
      <c r="AX116" s="10" t="e">
        <v>#N/A</v>
      </c>
      <c r="AY116" s="10" t="e">
        <v>#N/A</v>
      </c>
      <c r="AZ116" s="10" t="e">
        <v>#N/A</v>
      </c>
      <c r="BA116" s="10" t="e">
        <v>#N/A</v>
      </c>
      <c r="BB116" s="10" t="e">
        <v>#N/A</v>
      </c>
      <c r="BC116" s="10" t="e">
        <v>#N/A</v>
      </c>
      <c r="BD116" s="10" t="e">
        <v>#N/A</v>
      </c>
      <c r="BE116" s="10" t="e">
        <v>#N/A</v>
      </c>
      <c r="BF116" s="10" t="e">
        <v>#N/A</v>
      </c>
      <c r="BG116" s="10" t="e">
        <v>#N/A</v>
      </c>
      <c r="BH116" s="10" t="e">
        <v>#N/A</v>
      </c>
      <c r="BI116" s="10" t="e">
        <v>#N/A</v>
      </c>
      <c r="BJ116" s="10" t="e">
        <v>#N/A</v>
      </c>
      <c r="BK116" s="10" t="e">
        <v>#N/A</v>
      </c>
      <c r="BL116" s="10" t="e">
        <v>#N/A</v>
      </c>
      <c r="BM116" s="10" t="e">
        <v>#N/A</v>
      </c>
      <c r="BN116" s="10" t="e">
        <v>#N/A</v>
      </c>
      <c r="BO116" s="10" t="e">
        <v>#N/A</v>
      </c>
      <c r="BP116" s="10" t="e">
        <v>#N/A</v>
      </c>
      <c r="BQ116" s="10" t="e">
        <v>#N/A</v>
      </c>
      <c r="BR116" s="10" t="e">
        <v>#N/A</v>
      </c>
      <c r="BS116" s="10" t="e">
        <v>#N/A</v>
      </c>
      <c r="BU116" s="7">
        <v>1.65</v>
      </c>
      <c r="BV116" s="7">
        <v>2.15</v>
      </c>
      <c r="BW116" s="9" t="e">
        <v>#N/A</v>
      </c>
    </row>
    <row r="117" spans="1:75" x14ac:dyDescent="0.25">
      <c r="A117" s="6">
        <f t="shared" si="11"/>
        <v>44715</v>
      </c>
      <c r="B117" s="13">
        <f t="shared" si="6"/>
        <v>6</v>
      </c>
      <c r="C117" s="13">
        <f t="shared" si="7"/>
        <v>2022</v>
      </c>
      <c r="D117">
        <f t="shared" si="8"/>
        <v>202206</v>
      </c>
      <c r="E117">
        <f t="shared" si="9"/>
        <v>2</v>
      </c>
      <c r="F117">
        <f t="shared" si="10"/>
        <v>202202</v>
      </c>
      <c r="G117" t="s">
        <v>304</v>
      </c>
      <c r="H117" s="9">
        <v>1</v>
      </c>
      <c r="I117" s="9" t="e">
        <v>#N/A</v>
      </c>
      <c r="J117" s="10" t="e">
        <v>#N/A</v>
      </c>
      <c r="K117" s="10" t="e">
        <v>#N/A</v>
      </c>
      <c r="L117" s="10" t="e">
        <v>#N/A</v>
      </c>
      <c r="M117" s="10" t="e">
        <v>#N/A</v>
      </c>
      <c r="N117" s="10" t="e">
        <v>#N/A</v>
      </c>
      <c r="O117" s="10" t="e">
        <v>#N/A</v>
      </c>
      <c r="P117" s="10" t="e">
        <v>#N/A</v>
      </c>
      <c r="Q117" s="10" t="e">
        <v>#N/A</v>
      </c>
      <c r="R117" s="10" t="e">
        <v>#N/A</v>
      </c>
      <c r="S117" s="10" t="e">
        <v>#N/A</v>
      </c>
      <c r="T117" s="10" t="e">
        <v>#N/A</v>
      </c>
      <c r="U117" s="10" t="e">
        <v>#N/A</v>
      </c>
      <c r="V117" s="10" t="e">
        <v>#N/A</v>
      </c>
      <c r="W117" s="10" t="e">
        <v>#N/A</v>
      </c>
      <c r="X117" s="10" t="e">
        <v>#N/A</v>
      </c>
      <c r="Y117" s="10" t="e">
        <v>#N/A</v>
      </c>
      <c r="Z117" s="10" t="e">
        <v>#N/A</v>
      </c>
      <c r="AA117" s="10" t="e">
        <v>#N/A</v>
      </c>
      <c r="AB117" s="10" t="e">
        <v>#N/A</v>
      </c>
      <c r="AC117" s="10" t="e">
        <v>#N/A</v>
      </c>
      <c r="AD117" s="10" t="e">
        <v>#N/A</v>
      </c>
      <c r="AE117" s="10" t="e">
        <v>#N/A</v>
      </c>
      <c r="AF117" s="10" t="e">
        <v>#N/A</v>
      </c>
      <c r="AG117" s="10" t="e">
        <v>#N/A</v>
      </c>
      <c r="AH117" s="10" t="e">
        <v>#N/A</v>
      </c>
      <c r="AI117" s="10" t="e">
        <v>#N/A</v>
      </c>
      <c r="AJ117" s="10" t="e">
        <v>#N/A</v>
      </c>
      <c r="AK117" s="10" t="e">
        <v>#N/A</v>
      </c>
      <c r="AL117" s="10" t="e">
        <v>#N/A</v>
      </c>
      <c r="AM117" s="10" t="e">
        <v>#N/A</v>
      </c>
      <c r="AN117" s="10" t="e">
        <v>#N/A</v>
      </c>
      <c r="AO117" s="10" t="e">
        <v>#N/A</v>
      </c>
      <c r="AP117" s="10" t="e">
        <v>#N/A</v>
      </c>
      <c r="AQ117" s="10" t="e">
        <v>#N/A</v>
      </c>
      <c r="AR117" s="10" t="e">
        <v>#N/A</v>
      </c>
      <c r="AS117" s="10" t="e">
        <v>#N/A</v>
      </c>
      <c r="AT117" s="10" t="e">
        <v>#N/A</v>
      </c>
      <c r="AU117" s="10" t="e">
        <v>#N/A</v>
      </c>
      <c r="AV117" s="10" t="e">
        <v>#N/A</v>
      </c>
      <c r="AW117" s="10" t="e">
        <v>#N/A</v>
      </c>
      <c r="AX117" s="10" t="e">
        <v>#N/A</v>
      </c>
      <c r="AY117" s="10" t="e">
        <v>#N/A</v>
      </c>
      <c r="AZ117" s="10" t="e">
        <v>#N/A</v>
      </c>
      <c r="BA117" s="10" t="e">
        <v>#N/A</v>
      </c>
      <c r="BB117" s="10" t="e">
        <v>#N/A</v>
      </c>
      <c r="BC117" s="10" t="e">
        <v>#N/A</v>
      </c>
      <c r="BD117" s="10" t="e">
        <v>#N/A</v>
      </c>
      <c r="BE117" s="10" t="e">
        <v>#N/A</v>
      </c>
      <c r="BF117" s="10" t="e">
        <v>#N/A</v>
      </c>
      <c r="BG117" s="10" t="e">
        <v>#N/A</v>
      </c>
      <c r="BH117" s="10" t="e">
        <v>#N/A</v>
      </c>
      <c r="BI117" s="10" t="e">
        <v>#N/A</v>
      </c>
      <c r="BJ117" s="10" t="e">
        <v>#N/A</v>
      </c>
      <c r="BK117" s="10" t="e">
        <v>#N/A</v>
      </c>
      <c r="BL117" s="10" t="e">
        <v>#N/A</v>
      </c>
      <c r="BM117" s="10" t="e">
        <v>#N/A</v>
      </c>
      <c r="BN117" s="10" t="e">
        <v>#N/A</v>
      </c>
      <c r="BO117" s="10" t="e">
        <v>#N/A</v>
      </c>
      <c r="BP117" s="10" t="e">
        <v>#N/A</v>
      </c>
      <c r="BQ117" s="10" t="e">
        <v>#N/A</v>
      </c>
      <c r="BR117" s="10" t="e">
        <v>#N/A</v>
      </c>
      <c r="BS117" s="10" t="e">
        <v>#N/A</v>
      </c>
      <c r="BU117" s="7">
        <v>1.65</v>
      </c>
      <c r="BV117" s="7">
        <v>2.15</v>
      </c>
      <c r="BW117" s="9" t="e">
        <v>#N/A</v>
      </c>
    </row>
    <row r="118" spans="1:75" x14ac:dyDescent="0.25">
      <c r="A118" s="6">
        <f t="shared" si="11"/>
        <v>44718</v>
      </c>
      <c r="B118" s="13">
        <f t="shared" si="6"/>
        <v>6</v>
      </c>
      <c r="C118" s="13">
        <f t="shared" si="7"/>
        <v>2022</v>
      </c>
      <c r="D118">
        <f t="shared" si="8"/>
        <v>202206</v>
      </c>
      <c r="E118">
        <f t="shared" si="9"/>
        <v>2</v>
      </c>
      <c r="F118">
        <f t="shared" si="10"/>
        <v>202202</v>
      </c>
      <c r="G118" t="s">
        <v>305</v>
      </c>
      <c r="H118" s="9">
        <v>1</v>
      </c>
      <c r="I118" s="9">
        <v>0.93940000000000001</v>
      </c>
      <c r="J118" s="10">
        <v>1.2446245</v>
      </c>
      <c r="K118" s="10">
        <v>1.4281523</v>
      </c>
      <c r="L118" s="10">
        <v>1.6485151</v>
      </c>
      <c r="M118" s="10">
        <v>1.8703102</v>
      </c>
      <c r="N118" s="10">
        <v>2.0765178999999998</v>
      </c>
      <c r="O118" s="10">
        <v>2.2617213</v>
      </c>
      <c r="P118" s="10">
        <v>2.4220046000000002</v>
      </c>
      <c r="Q118" s="10">
        <v>2.5566388999999998</v>
      </c>
      <c r="R118" s="10">
        <v>2.666385</v>
      </c>
      <c r="S118" s="10">
        <v>2.7539468</v>
      </c>
      <c r="T118" s="10">
        <v>2.8215854999999999</v>
      </c>
      <c r="U118" s="10">
        <v>2.8719771000000001</v>
      </c>
      <c r="V118" s="10">
        <v>2.9081294999999998</v>
      </c>
      <c r="W118" s="10">
        <v>2.9318884000000001</v>
      </c>
      <c r="X118" s="10">
        <v>2.9447719000000001</v>
      </c>
      <c r="Y118" s="10">
        <v>2.9482982999999998</v>
      </c>
      <c r="Z118" s="10">
        <v>2.9439858000000001</v>
      </c>
      <c r="AA118" s="10">
        <v>2.9333524999999998</v>
      </c>
      <c r="AB118" s="10">
        <v>2.9177985</v>
      </c>
      <c r="AC118" s="10">
        <v>2.8982277000000001</v>
      </c>
      <c r="AD118" s="10">
        <v>2.8754135999999999</v>
      </c>
      <c r="AE118" s="10">
        <v>2.8501295999999998</v>
      </c>
      <c r="AF118" s="10">
        <v>2.8231494000000001</v>
      </c>
      <c r="AG118" s="10">
        <v>2.7952463000000001</v>
      </c>
      <c r="AH118" s="10">
        <v>2.7670895</v>
      </c>
      <c r="AI118" s="10">
        <v>2.7388878000000001</v>
      </c>
      <c r="AJ118" s="10">
        <v>2.7107225000000001</v>
      </c>
      <c r="AK118" s="10">
        <v>2.6826751999999998</v>
      </c>
      <c r="AL118" s="10">
        <v>2.6548273999999998</v>
      </c>
      <c r="AM118" s="10">
        <v>2.6272606999999999</v>
      </c>
      <c r="AN118" s="10">
        <v>2.6000565</v>
      </c>
      <c r="AO118" s="10">
        <v>2.5732963999999998</v>
      </c>
      <c r="AP118" s="10">
        <v>2.5470619000000001</v>
      </c>
      <c r="AQ118" s="10">
        <v>2.5214346000000001</v>
      </c>
      <c r="AR118" s="10">
        <v>2.4964959000000002</v>
      </c>
      <c r="AS118" s="10">
        <v>2.4723272999999999</v>
      </c>
      <c r="AT118" s="10">
        <v>2.4489958999999999</v>
      </c>
      <c r="AU118" s="10">
        <v>2.4265042000000001</v>
      </c>
      <c r="AV118" s="10">
        <v>2.4048368999999998</v>
      </c>
      <c r="AW118" s="10">
        <v>2.3839788</v>
      </c>
      <c r="AX118" s="10">
        <v>2.3639147999999999</v>
      </c>
      <c r="AY118" s="10">
        <v>2.3446297</v>
      </c>
      <c r="AZ118" s="10">
        <v>2.3261082000000002</v>
      </c>
      <c r="BA118" s="10">
        <v>2.3083352000000001</v>
      </c>
      <c r="BB118" s="10">
        <v>2.2912952999999998</v>
      </c>
      <c r="BC118" s="10">
        <v>2.2749735000000002</v>
      </c>
      <c r="BD118" s="10">
        <v>2.2593546</v>
      </c>
      <c r="BE118" s="10">
        <v>2.2444232</v>
      </c>
      <c r="BF118" s="10">
        <v>2.2301647</v>
      </c>
      <c r="BG118" s="10">
        <v>2.2165664999999999</v>
      </c>
      <c r="BH118" s="10">
        <v>2.2036167</v>
      </c>
      <c r="BI118" s="10">
        <v>2.1913035999999999</v>
      </c>
      <c r="BJ118" s="10">
        <v>2.1796153999999999</v>
      </c>
      <c r="BK118" s="10">
        <v>2.1685403000000001</v>
      </c>
      <c r="BL118" s="10">
        <v>2.1580664000000001</v>
      </c>
      <c r="BM118" s="10">
        <v>2.1481819999999998</v>
      </c>
      <c r="BN118" s="10">
        <v>2.1388753</v>
      </c>
      <c r="BO118" s="10">
        <v>2.1301344000000002</v>
      </c>
      <c r="BP118" s="10">
        <v>2.1219475000000001</v>
      </c>
      <c r="BQ118" s="10">
        <v>2.114303</v>
      </c>
      <c r="BR118" s="10">
        <v>2.0790269000000001</v>
      </c>
      <c r="BS118" s="10">
        <v>2.0594695999999999</v>
      </c>
      <c r="BU118" s="7">
        <v>1.77</v>
      </c>
      <c r="BV118" s="7">
        <v>2.2599999999999998</v>
      </c>
      <c r="BW118" s="9">
        <v>79.979500000000002</v>
      </c>
    </row>
    <row r="119" spans="1:75" x14ac:dyDescent="0.25">
      <c r="A119" s="6">
        <f t="shared" si="11"/>
        <v>44719</v>
      </c>
      <c r="B119" s="13">
        <f t="shared" si="6"/>
        <v>6</v>
      </c>
      <c r="C119" s="13">
        <f t="shared" si="7"/>
        <v>2022</v>
      </c>
      <c r="D119">
        <f t="shared" si="8"/>
        <v>202206</v>
      </c>
      <c r="E119">
        <f t="shared" si="9"/>
        <v>2</v>
      </c>
      <c r="F119">
        <f t="shared" si="10"/>
        <v>202202</v>
      </c>
      <c r="G119" t="s">
        <v>306</v>
      </c>
      <c r="H119" s="9">
        <v>1</v>
      </c>
      <c r="I119" s="9">
        <v>0.94030000000000002</v>
      </c>
      <c r="J119" s="10">
        <v>1.2378530000000001</v>
      </c>
      <c r="K119" s="10">
        <v>1.4272937999999999</v>
      </c>
      <c r="L119" s="10">
        <v>1.652123</v>
      </c>
      <c r="M119" s="10">
        <v>1.8770456</v>
      </c>
      <c r="N119" s="10">
        <v>2.0854476000000002</v>
      </c>
      <c r="O119" s="10">
        <v>2.2718384</v>
      </c>
      <c r="P119" s="10">
        <v>2.4318409000000001</v>
      </c>
      <c r="Q119" s="10">
        <v>2.5651138000000002</v>
      </c>
      <c r="R119" s="10">
        <v>2.6726431000000002</v>
      </c>
      <c r="S119" s="10">
        <v>2.7574233000000001</v>
      </c>
      <c r="T119" s="10">
        <v>2.8223870999999998</v>
      </c>
      <c r="U119" s="10">
        <v>2.8698383999999999</v>
      </c>
      <c r="V119" s="10">
        <v>2.9029606999999999</v>
      </c>
      <c r="W119" s="10">
        <v>2.923705</v>
      </c>
      <c r="X119" s="10">
        <v>2.9336093000000001</v>
      </c>
      <c r="Y119" s="10">
        <v>2.9342115999999998</v>
      </c>
      <c r="Z119" s="10">
        <v>2.9270497999999998</v>
      </c>
      <c r="AA119" s="10">
        <v>2.9136619000000001</v>
      </c>
      <c r="AB119" s="10">
        <v>2.8954656999999999</v>
      </c>
      <c r="AC119" s="10">
        <v>2.8733743999999999</v>
      </c>
      <c r="AD119" s="10">
        <v>2.848169</v>
      </c>
      <c r="AE119" s="10">
        <v>2.82063</v>
      </c>
      <c r="AF119" s="10">
        <v>2.7915383</v>
      </c>
      <c r="AG119" s="10">
        <v>2.7616746999999999</v>
      </c>
      <c r="AH119" s="10">
        <v>2.7317152</v>
      </c>
      <c r="AI119" s="10">
        <v>2.7018748000000001</v>
      </c>
      <c r="AJ119" s="10">
        <v>2.6722408</v>
      </c>
      <c r="AK119" s="10">
        <v>2.6429005000000001</v>
      </c>
      <c r="AL119" s="10">
        <v>2.6139415000000001</v>
      </c>
      <c r="AM119" s="10">
        <v>2.5854510999999998</v>
      </c>
      <c r="AN119" s="10">
        <v>2.5575168000000001</v>
      </c>
      <c r="AO119" s="10">
        <v>2.5302258000000002</v>
      </c>
      <c r="AP119" s="10">
        <v>2.5036657999999998</v>
      </c>
      <c r="AQ119" s="10">
        <v>2.4779239999999998</v>
      </c>
      <c r="AR119" s="10">
        <v>2.4530878999999999</v>
      </c>
      <c r="AS119" s="10">
        <v>2.4292449</v>
      </c>
      <c r="AT119" s="10">
        <v>2.4064665000000001</v>
      </c>
      <c r="AU119" s="10">
        <v>2.3847390000000002</v>
      </c>
      <c r="AV119" s="10">
        <v>2.3640200999999998</v>
      </c>
      <c r="AW119" s="10">
        <v>2.3442672999999998</v>
      </c>
      <c r="AX119" s="10">
        <v>2.3254383000000001</v>
      </c>
      <c r="AY119" s="10">
        <v>2.3074906999999998</v>
      </c>
      <c r="AZ119" s="10">
        <v>2.2903821</v>
      </c>
      <c r="BA119" s="10">
        <v>2.2740702000000002</v>
      </c>
      <c r="BB119" s="10">
        <v>2.2585125000000001</v>
      </c>
      <c r="BC119" s="10">
        <v>2.2436666000000001</v>
      </c>
      <c r="BD119" s="10">
        <v>2.2294903000000001</v>
      </c>
      <c r="BE119" s="10">
        <v>2.2159409999999999</v>
      </c>
      <c r="BF119" s="10">
        <v>2.2029801999999998</v>
      </c>
      <c r="BG119" s="10">
        <v>2.1905866999999999</v>
      </c>
      <c r="BH119" s="10">
        <v>2.1787451999999998</v>
      </c>
      <c r="BI119" s="10">
        <v>2.1674400999999999</v>
      </c>
      <c r="BJ119" s="10">
        <v>2.1566559000000001</v>
      </c>
      <c r="BK119" s="10">
        <v>2.1463770000000002</v>
      </c>
      <c r="BL119" s="10">
        <v>2.1365880000000002</v>
      </c>
      <c r="BM119" s="10">
        <v>2.1272733000000001</v>
      </c>
      <c r="BN119" s="10">
        <v>2.1184175000000001</v>
      </c>
      <c r="BO119" s="10">
        <v>2.1100048999999999</v>
      </c>
      <c r="BP119" s="10">
        <v>2.1020200999999998</v>
      </c>
      <c r="BQ119" s="10">
        <v>2.0944474999999998</v>
      </c>
      <c r="BR119" s="10">
        <v>2.0570813999999999</v>
      </c>
      <c r="BS119" s="10">
        <v>2.0323508000000001</v>
      </c>
      <c r="BU119" s="7">
        <v>1.75</v>
      </c>
      <c r="BV119" s="7">
        <v>2.2200000000000002</v>
      </c>
      <c r="BW119" s="9">
        <v>80.267300000000006</v>
      </c>
    </row>
    <row r="120" spans="1:75" x14ac:dyDescent="0.25">
      <c r="A120" s="6">
        <f t="shared" si="11"/>
        <v>44720</v>
      </c>
      <c r="B120" s="13">
        <f t="shared" si="6"/>
        <v>6</v>
      </c>
      <c r="C120" s="13">
        <f t="shared" si="7"/>
        <v>2022</v>
      </c>
      <c r="D120">
        <f t="shared" si="8"/>
        <v>202206</v>
      </c>
      <c r="E120">
        <f t="shared" si="9"/>
        <v>2</v>
      </c>
      <c r="F120">
        <f t="shared" si="10"/>
        <v>202202</v>
      </c>
      <c r="G120" t="s">
        <v>307</v>
      </c>
      <c r="H120" s="9">
        <v>1</v>
      </c>
      <c r="I120" s="9">
        <v>0.94020000000000004</v>
      </c>
      <c r="J120" s="10">
        <v>1.2573688000000001</v>
      </c>
      <c r="K120" s="10">
        <v>1.4597937999999999</v>
      </c>
      <c r="L120" s="10">
        <v>1.6951206000000001</v>
      </c>
      <c r="M120" s="10">
        <v>1.9265737000000001</v>
      </c>
      <c r="N120" s="10">
        <v>2.1371815000000001</v>
      </c>
      <c r="O120" s="10">
        <v>2.3235348</v>
      </c>
      <c r="P120" s="10">
        <v>2.4828744</v>
      </c>
      <c r="Q120" s="10">
        <v>2.6155491999999998</v>
      </c>
      <c r="R120" s="10">
        <v>2.7230636000000001</v>
      </c>
      <c r="S120" s="10">
        <v>2.8082433</v>
      </c>
      <c r="T120" s="10">
        <v>2.8741218000000002</v>
      </c>
      <c r="U120" s="10">
        <v>2.9224386999999998</v>
      </c>
      <c r="V120" s="10">
        <v>2.9562629999999999</v>
      </c>
      <c r="W120" s="10">
        <v>2.9775334</v>
      </c>
      <c r="X120" s="10">
        <v>2.9877646000000002</v>
      </c>
      <c r="Y120" s="10">
        <v>2.9884710999999999</v>
      </c>
      <c r="Z120" s="10">
        <v>2.9811676</v>
      </c>
      <c r="AA120" s="10">
        <v>2.9673683999999998</v>
      </c>
      <c r="AB120" s="10">
        <v>2.9484840000000001</v>
      </c>
      <c r="AC120" s="10">
        <v>2.9254863000000002</v>
      </c>
      <c r="AD120" s="10">
        <v>2.8992319000000002</v>
      </c>
      <c r="AE120" s="10">
        <v>2.8705778</v>
      </c>
      <c r="AF120" s="10">
        <v>2.8403806999999999</v>
      </c>
      <c r="AG120" s="10">
        <v>2.8094975</v>
      </c>
      <c r="AH120" s="10">
        <v>2.7786886000000002</v>
      </c>
      <c r="AI120" s="10">
        <v>2.7481966</v>
      </c>
      <c r="AJ120" s="10">
        <v>2.7180900000000001</v>
      </c>
      <c r="AK120" s="10">
        <v>2.6884374000000002</v>
      </c>
      <c r="AL120" s="10">
        <v>2.6593073999999999</v>
      </c>
      <c r="AM120" s="10">
        <v>2.6307684999999998</v>
      </c>
      <c r="AN120" s="10">
        <v>2.6028893000000002</v>
      </c>
      <c r="AO120" s="10">
        <v>2.5757382999999998</v>
      </c>
      <c r="AP120" s="10">
        <v>2.5493841000000002</v>
      </c>
      <c r="AQ120" s="10">
        <v>2.5238952000000001</v>
      </c>
      <c r="AR120" s="10">
        <v>2.4993401999999998</v>
      </c>
      <c r="AS120" s="10">
        <v>2.4757875</v>
      </c>
      <c r="AT120" s="10">
        <v>2.4532900999999998</v>
      </c>
      <c r="AU120" s="10">
        <v>2.4318236</v>
      </c>
      <c r="AV120" s="10">
        <v>2.4113405000000001</v>
      </c>
      <c r="AW120" s="10">
        <v>2.3917929999999998</v>
      </c>
      <c r="AX120" s="10">
        <v>2.3731336000000001</v>
      </c>
      <c r="AY120" s="10">
        <v>2.3553145</v>
      </c>
      <c r="AZ120" s="10">
        <v>2.3382882</v>
      </c>
      <c r="BA120" s="10">
        <v>2.3220068999999999</v>
      </c>
      <c r="BB120" s="10">
        <v>2.3064230999999999</v>
      </c>
      <c r="BC120" s="10">
        <v>2.2914891000000002</v>
      </c>
      <c r="BD120" s="10">
        <v>2.2771572</v>
      </c>
      <c r="BE120" s="10">
        <v>2.2633798000000001</v>
      </c>
      <c r="BF120" s="10">
        <v>2.2501150999999999</v>
      </c>
      <c r="BG120" s="10">
        <v>2.2373466999999998</v>
      </c>
      <c r="BH120" s="10">
        <v>2.2250652999999998</v>
      </c>
      <c r="BI120" s="10">
        <v>2.2132616999999999</v>
      </c>
      <c r="BJ120" s="10">
        <v>2.2019266000000002</v>
      </c>
      <c r="BK120" s="10">
        <v>2.1910508000000002</v>
      </c>
      <c r="BL120" s="10">
        <v>2.1806249000000002</v>
      </c>
      <c r="BM120" s="10">
        <v>2.1706397000000002</v>
      </c>
      <c r="BN120" s="10">
        <v>2.1610858999999998</v>
      </c>
      <c r="BO120" s="10">
        <v>2.1519542999999999</v>
      </c>
      <c r="BP120" s="10">
        <v>2.1432354999999998</v>
      </c>
      <c r="BQ120" s="10">
        <v>2.1349203000000001</v>
      </c>
      <c r="BR120" s="10">
        <v>2.0931346999999998</v>
      </c>
      <c r="BS120" s="10">
        <v>2.0644448999999998</v>
      </c>
      <c r="BU120" s="7">
        <v>1.78</v>
      </c>
      <c r="BV120" s="7">
        <v>2.25</v>
      </c>
      <c r="BW120" s="9">
        <v>80.063500000000005</v>
      </c>
    </row>
    <row r="121" spans="1:75" x14ac:dyDescent="0.25">
      <c r="A121" s="6">
        <f t="shared" si="11"/>
        <v>44721</v>
      </c>
      <c r="B121" s="13">
        <f t="shared" si="6"/>
        <v>6</v>
      </c>
      <c r="C121" s="13">
        <f t="shared" si="7"/>
        <v>2022</v>
      </c>
      <c r="D121">
        <f t="shared" si="8"/>
        <v>202206</v>
      </c>
      <c r="E121">
        <f t="shared" si="9"/>
        <v>2</v>
      </c>
      <c r="F121">
        <f t="shared" si="10"/>
        <v>202202</v>
      </c>
      <c r="G121" t="s">
        <v>308</v>
      </c>
      <c r="H121" s="9">
        <v>1</v>
      </c>
      <c r="I121" s="9">
        <v>0.94069999999999998</v>
      </c>
      <c r="J121" s="10">
        <v>1.2865069</v>
      </c>
      <c r="K121" s="10">
        <v>1.5171319000000001</v>
      </c>
      <c r="L121" s="10">
        <v>1.778179</v>
      </c>
      <c r="M121" s="10">
        <v>2.0306380000000002</v>
      </c>
      <c r="N121" s="10">
        <v>2.2567558000000001</v>
      </c>
      <c r="O121" s="10">
        <v>2.4538069</v>
      </c>
      <c r="P121" s="10">
        <v>2.6201131000000002</v>
      </c>
      <c r="Q121" s="10">
        <v>2.7573069000000001</v>
      </c>
      <c r="R121" s="10">
        <v>2.8677538999999999</v>
      </c>
      <c r="S121" s="10">
        <v>2.9546191999999998</v>
      </c>
      <c r="T121" s="10">
        <v>3.0207709</v>
      </c>
      <c r="U121" s="10">
        <v>3.0682556999999999</v>
      </c>
      <c r="V121" s="10">
        <v>3.1002242</v>
      </c>
      <c r="W121" s="10">
        <v>3.1188292999999998</v>
      </c>
      <c r="X121" s="10">
        <v>3.1258672999999999</v>
      </c>
      <c r="Y121" s="10">
        <v>3.1231341000000001</v>
      </c>
      <c r="Z121" s="10">
        <v>3.1124260000000001</v>
      </c>
      <c r="AA121" s="10">
        <v>3.0955387999999999</v>
      </c>
      <c r="AB121" s="10">
        <v>3.0741366999999999</v>
      </c>
      <c r="AC121" s="10">
        <v>3.0492066000000002</v>
      </c>
      <c r="AD121" s="10">
        <v>3.0215193999999999</v>
      </c>
      <c r="AE121" s="10">
        <v>2.9918456999999998</v>
      </c>
      <c r="AF121" s="10">
        <v>2.9609562999999999</v>
      </c>
      <c r="AG121" s="10">
        <v>2.9296218999999999</v>
      </c>
      <c r="AH121" s="10">
        <v>2.8985145999999999</v>
      </c>
      <c r="AI121" s="10">
        <v>2.8678257999999999</v>
      </c>
      <c r="AJ121" s="10">
        <v>2.8376003000000001</v>
      </c>
      <c r="AK121" s="10">
        <v>2.8078832</v>
      </c>
      <c r="AL121" s="10">
        <v>2.7787194</v>
      </c>
      <c r="AM121" s="10">
        <v>2.7501540000000002</v>
      </c>
      <c r="AN121" s="10">
        <v>2.7222319000000001</v>
      </c>
      <c r="AO121" s="10">
        <v>2.694998</v>
      </c>
      <c r="AP121" s="10">
        <v>2.6684974000000001</v>
      </c>
      <c r="AQ121" s="10">
        <v>2.6427749999999999</v>
      </c>
      <c r="AR121" s="10">
        <v>2.6178758000000002</v>
      </c>
      <c r="AS121" s="10">
        <v>2.5938447999999998</v>
      </c>
      <c r="AT121" s="10">
        <v>2.5707151000000001</v>
      </c>
      <c r="AU121" s="10">
        <v>2.5484678999999999</v>
      </c>
      <c r="AV121" s="10">
        <v>2.5270703000000001</v>
      </c>
      <c r="AW121" s="10">
        <v>2.5064888999999999</v>
      </c>
      <c r="AX121" s="10">
        <v>2.4866907</v>
      </c>
      <c r="AY121" s="10">
        <v>2.4676426</v>
      </c>
      <c r="AZ121" s="10">
        <v>2.4493114</v>
      </c>
      <c r="BA121" s="10">
        <v>2.431664</v>
      </c>
      <c r="BB121" s="10">
        <v>2.4146673000000001</v>
      </c>
      <c r="BC121" s="10">
        <v>2.3982880999999998</v>
      </c>
      <c r="BD121" s="10">
        <v>2.3824933000000001</v>
      </c>
      <c r="BE121" s="10">
        <v>2.3672498000000002</v>
      </c>
      <c r="BF121" s="10">
        <v>2.3525284000000002</v>
      </c>
      <c r="BG121" s="10">
        <v>2.3383178999999998</v>
      </c>
      <c r="BH121" s="10">
        <v>2.3246118</v>
      </c>
      <c r="BI121" s="10">
        <v>2.3114037999999999</v>
      </c>
      <c r="BJ121" s="10">
        <v>2.2986873000000001</v>
      </c>
      <c r="BK121" s="10">
        <v>2.2864559999999998</v>
      </c>
      <c r="BL121" s="10">
        <v>2.2747033999999999</v>
      </c>
      <c r="BM121" s="10">
        <v>2.2634230999999998</v>
      </c>
      <c r="BN121" s="10">
        <v>2.2526088</v>
      </c>
      <c r="BO121" s="10">
        <v>2.2422539000000001</v>
      </c>
      <c r="BP121" s="10">
        <v>2.2323521</v>
      </c>
      <c r="BQ121" s="10">
        <v>2.2228968999999998</v>
      </c>
      <c r="BR121" s="10">
        <v>2.1751977999999998</v>
      </c>
      <c r="BS121" s="10">
        <v>2.1420328</v>
      </c>
      <c r="BU121" s="7">
        <v>1.86</v>
      </c>
      <c r="BV121" s="7">
        <v>2.34</v>
      </c>
      <c r="BW121" s="9">
        <v>80.386600000000001</v>
      </c>
    </row>
    <row r="122" spans="1:75" x14ac:dyDescent="0.25">
      <c r="A122" s="6">
        <f t="shared" si="11"/>
        <v>44722</v>
      </c>
      <c r="B122" s="13">
        <f t="shared" si="6"/>
        <v>6</v>
      </c>
      <c r="C122" s="13">
        <f t="shared" si="7"/>
        <v>2022</v>
      </c>
      <c r="D122">
        <f t="shared" si="8"/>
        <v>202206</v>
      </c>
      <c r="E122">
        <f t="shared" si="9"/>
        <v>2</v>
      </c>
      <c r="F122">
        <f t="shared" si="10"/>
        <v>202202</v>
      </c>
      <c r="G122" t="s">
        <v>309</v>
      </c>
      <c r="H122" s="9">
        <v>1</v>
      </c>
      <c r="I122" s="9">
        <v>0.94020000000000004</v>
      </c>
      <c r="J122" s="10">
        <v>1.3282643999999999</v>
      </c>
      <c r="K122" s="10">
        <v>1.5717858</v>
      </c>
      <c r="L122" s="10">
        <v>1.8508545999999999</v>
      </c>
      <c r="M122" s="10">
        <v>2.1234839000000001</v>
      </c>
      <c r="N122" s="10">
        <v>2.3712420000000001</v>
      </c>
      <c r="O122" s="10">
        <v>2.5904503000000001</v>
      </c>
      <c r="P122" s="10">
        <v>2.7780716999999999</v>
      </c>
      <c r="Q122" s="10">
        <v>2.9320501999999999</v>
      </c>
      <c r="R122" s="10">
        <v>3.0534656</v>
      </c>
      <c r="S122" s="10">
        <v>3.1460868</v>
      </c>
      <c r="T122" s="10">
        <v>3.2138480999999999</v>
      </c>
      <c r="U122" s="10">
        <v>3.2608467000000001</v>
      </c>
      <c r="V122" s="10">
        <v>3.2925586999999998</v>
      </c>
      <c r="W122" s="10">
        <v>3.3117198999999999</v>
      </c>
      <c r="X122" s="10">
        <v>3.3200793000000002</v>
      </c>
      <c r="Y122" s="10">
        <v>3.3193857000000002</v>
      </c>
      <c r="Z122" s="10">
        <v>3.3113879000000002</v>
      </c>
      <c r="AA122" s="10">
        <v>3.2978345999999998</v>
      </c>
      <c r="AB122" s="10">
        <v>3.2802927</v>
      </c>
      <c r="AC122" s="10">
        <v>3.2594856000000001</v>
      </c>
      <c r="AD122" s="10">
        <v>3.2358918999999999</v>
      </c>
      <c r="AE122" s="10">
        <v>3.2099905999999998</v>
      </c>
      <c r="AF122" s="10">
        <v>3.1822604000000001</v>
      </c>
      <c r="AG122" s="10">
        <v>3.1531801000000002</v>
      </c>
      <c r="AH122" s="10">
        <v>3.1231765</v>
      </c>
      <c r="AI122" s="10">
        <v>3.0924472000000001</v>
      </c>
      <c r="AJ122" s="10">
        <v>3.0611267</v>
      </c>
      <c r="AK122" s="10">
        <v>3.0293492</v>
      </c>
      <c r="AL122" s="10">
        <v>2.9972492000000002</v>
      </c>
      <c r="AM122" s="10">
        <v>2.9649608999999999</v>
      </c>
      <c r="AN122" s="10">
        <v>2.9326186999999999</v>
      </c>
      <c r="AO122" s="10">
        <v>2.9003570000000001</v>
      </c>
      <c r="AP122" s="10">
        <v>2.8683101999999998</v>
      </c>
      <c r="AQ122" s="10">
        <v>2.8366126</v>
      </c>
      <c r="AR122" s="10">
        <v>2.8053984999999999</v>
      </c>
      <c r="AS122" s="10">
        <v>2.7748024</v>
      </c>
      <c r="AT122" s="10">
        <v>2.7449403999999999</v>
      </c>
      <c r="AU122" s="10">
        <v>2.7158495</v>
      </c>
      <c r="AV122" s="10">
        <v>2.6875442</v>
      </c>
      <c r="AW122" s="10">
        <v>2.6600393000000002</v>
      </c>
      <c r="AX122" s="10">
        <v>2.6333495999999998</v>
      </c>
      <c r="AY122" s="10">
        <v>2.6074899</v>
      </c>
      <c r="AZ122" s="10">
        <v>2.5824748</v>
      </c>
      <c r="BA122" s="10">
        <v>2.5583190999999998</v>
      </c>
      <c r="BB122" s="10">
        <v>2.5350375999999999</v>
      </c>
      <c r="BC122" s="10">
        <v>2.512645</v>
      </c>
      <c r="BD122" s="10">
        <v>2.4911560000000001</v>
      </c>
      <c r="BE122" s="10">
        <v>2.4705854</v>
      </c>
      <c r="BF122" s="10">
        <v>2.4509427000000001</v>
      </c>
      <c r="BG122" s="10">
        <v>2.4322148000000001</v>
      </c>
      <c r="BH122" s="10">
        <v>2.4143819</v>
      </c>
      <c r="BI122" s="10">
        <v>2.3974245000000001</v>
      </c>
      <c r="BJ122" s="10">
        <v>2.3813230000000001</v>
      </c>
      <c r="BK122" s="10">
        <v>2.3660578000000001</v>
      </c>
      <c r="BL122" s="10">
        <v>2.3516094000000001</v>
      </c>
      <c r="BM122" s="10">
        <v>2.3379580999999998</v>
      </c>
      <c r="BN122" s="10">
        <v>2.3250844000000002</v>
      </c>
      <c r="BO122" s="10">
        <v>2.3129686</v>
      </c>
      <c r="BP122" s="10">
        <v>2.3015911999999998</v>
      </c>
      <c r="BQ122" s="10">
        <v>2.2909326999999999</v>
      </c>
      <c r="BR122" s="10">
        <v>2.2408486999999999</v>
      </c>
      <c r="BS122" s="10">
        <v>2.2109146000000002</v>
      </c>
      <c r="BU122" s="7">
        <v>2.0499999999999998</v>
      </c>
      <c r="BV122" s="7">
        <v>2.4300000000000002</v>
      </c>
      <c r="BW122" s="9">
        <v>79.617800000000003</v>
      </c>
    </row>
    <row r="123" spans="1:75" x14ac:dyDescent="0.25">
      <c r="A123" s="6">
        <f t="shared" si="11"/>
        <v>44725</v>
      </c>
      <c r="B123" s="13">
        <f t="shared" si="6"/>
        <v>6</v>
      </c>
      <c r="C123" s="13">
        <f t="shared" si="7"/>
        <v>2022</v>
      </c>
      <c r="D123">
        <f t="shared" si="8"/>
        <v>202206</v>
      </c>
      <c r="E123">
        <f t="shared" si="9"/>
        <v>2</v>
      </c>
      <c r="F123">
        <f t="shared" si="10"/>
        <v>202202</v>
      </c>
      <c r="G123" t="s">
        <v>310</v>
      </c>
      <c r="H123" s="9">
        <v>1</v>
      </c>
      <c r="I123" s="9">
        <v>0.93959999999999999</v>
      </c>
      <c r="J123" s="10">
        <v>1.3121659000000001</v>
      </c>
      <c r="K123" s="10">
        <v>1.5672048999999999</v>
      </c>
      <c r="L123" s="10">
        <v>1.852908</v>
      </c>
      <c r="M123" s="10">
        <v>2.1401493999999999</v>
      </c>
      <c r="N123" s="10">
        <v>2.4083383999999999</v>
      </c>
      <c r="O123" s="10">
        <v>2.6501362999999998</v>
      </c>
      <c r="P123" s="10">
        <v>2.8597323000000001</v>
      </c>
      <c r="Q123" s="10">
        <v>3.0352853</v>
      </c>
      <c r="R123" s="10">
        <v>3.1778843999999999</v>
      </c>
      <c r="S123" s="10">
        <v>3.2911250999999999</v>
      </c>
      <c r="T123" s="10">
        <v>3.3777398999999999</v>
      </c>
      <c r="U123" s="10">
        <v>3.4411892000000002</v>
      </c>
      <c r="V123" s="10">
        <v>3.4857149000000001</v>
      </c>
      <c r="W123" s="10">
        <v>3.5138948000000001</v>
      </c>
      <c r="X123" s="10">
        <v>3.5278160000000001</v>
      </c>
      <c r="Y123" s="10">
        <v>3.5295656000000002</v>
      </c>
      <c r="Z123" s="10">
        <v>3.5212305000000002</v>
      </c>
      <c r="AA123" s="10">
        <v>3.5048978000000002</v>
      </c>
      <c r="AB123" s="10">
        <v>3.4824703000000001</v>
      </c>
      <c r="AC123" s="10">
        <v>3.4550763999999998</v>
      </c>
      <c r="AD123" s="10">
        <v>3.4236409999999999</v>
      </c>
      <c r="AE123" s="10">
        <v>3.3890891999999999</v>
      </c>
      <c r="AF123" s="10">
        <v>3.3523459999999998</v>
      </c>
      <c r="AG123" s="10">
        <v>3.3143364000000002</v>
      </c>
      <c r="AH123" s="10">
        <v>3.2758649000000002</v>
      </c>
      <c r="AI123" s="10">
        <v>3.2372038000000001</v>
      </c>
      <c r="AJ123" s="10">
        <v>3.1984786999999999</v>
      </c>
      <c r="AK123" s="10">
        <v>3.1598149000000002</v>
      </c>
      <c r="AL123" s="10">
        <v>3.1213381</v>
      </c>
      <c r="AM123" s="10">
        <v>3.0831737000000001</v>
      </c>
      <c r="AN123" s="10">
        <v>3.0454471000000001</v>
      </c>
      <c r="AO123" s="10">
        <v>3.0082840000000002</v>
      </c>
      <c r="AP123" s="10">
        <v>2.9718098999999998</v>
      </c>
      <c r="AQ123" s="10">
        <v>2.9361500999999999</v>
      </c>
      <c r="AR123" s="10">
        <v>2.9014302000000001</v>
      </c>
      <c r="AS123" s="10">
        <v>2.8677758</v>
      </c>
      <c r="AT123" s="10">
        <v>2.8352902000000002</v>
      </c>
      <c r="AU123" s="10">
        <v>2.8039797000000002</v>
      </c>
      <c r="AV123" s="10">
        <v>2.7738235000000002</v>
      </c>
      <c r="AW123" s="10">
        <v>2.7448011000000001</v>
      </c>
      <c r="AX123" s="10">
        <v>2.7168915999999999</v>
      </c>
      <c r="AY123" s="10">
        <v>2.6900746</v>
      </c>
      <c r="AZ123" s="10">
        <v>2.6643292000000001</v>
      </c>
      <c r="BA123" s="10">
        <v>2.6396348000000001</v>
      </c>
      <c r="BB123" s="10">
        <v>2.6159707999999999</v>
      </c>
      <c r="BC123" s="10">
        <v>2.5933164</v>
      </c>
      <c r="BD123" s="10">
        <v>2.5716510000000001</v>
      </c>
      <c r="BE123" s="10">
        <v>2.5509539000000001</v>
      </c>
      <c r="BF123" s="10">
        <v>2.5312043000000002</v>
      </c>
      <c r="BG123" s="10">
        <v>2.5123799999999998</v>
      </c>
      <c r="BH123" s="10">
        <v>2.4944586000000002</v>
      </c>
      <c r="BI123" s="10">
        <v>2.4774175000000001</v>
      </c>
      <c r="BJ123" s="10">
        <v>2.4612343000000001</v>
      </c>
      <c r="BK123" s="10">
        <v>2.4458864999999999</v>
      </c>
      <c r="BL123" s="10">
        <v>2.4313514999999999</v>
      </c>
      <c r="BM123" s="10">
        <v>2.4176069999999998</v>
      </c>
      <c r="BN123" s="10">
        <v>2.4046303999999998</v>
      </c>
      <c r="BO123" s="10">
        <v>2.3923991999999998</v>
      </c>
      <c r="BP123" s="10">
        <v>2.3808910000000001</v>
      </c>
      <c r="BQ123" s="10">
        <v>2.3700831999999998</v>
      </c>
      <c r="BR123" s="10">
        <v>2.3186526999999999</v>
      </c>
      <c r="BS123" s="10">
        <v>2.2865635000000002</v>
      </c>
      <c r="BU123" s="7">
        <v>2.13</v>
      </c>
      <c r="BV123" s="7">
        <v>2.52</v>
      </c>
      <c r="BW123" s="9">
        <v>78.847099999999998</v>
      </c>
    </row>
    <row r="124" spans="1:75" x14ac:dyDescent="0.25">
      <c r="A124" s="6">
        <f t="shared" si="11"/>
        <v>44726</v>
      </c>
      <c r="B124" s="13">
        <f t="shared" si="6"/>
        <v>6</v>
      </c>
      <c r="C124" s="13">
        <f t="shared" si="7"/>
        <v>2022</v>
      </c>
      <c r="D124">
        <f t="shared" si="8"/>
        <v>202206</v>
      </c>
      <c r="E124">
        <f t="shared" si="9"/>
        <v>2</v>
      </c>
      <c r="F124">
        <f t="shared" si="10"/>
        <v>202202</v>
      </c>
      <c r="G124" t="s">
        <v>311</v>
      </c>
      <c r="H124" s="9">
        <v>1</v>
      </c>
      <c r="I124" s="9">
        <v>0.93979999999999997</v>
      </c>
      <c r="J124" s="10">
        <v>1.3239704999999999</v>
      </c>
      <c r="K124" s="10">
        <v>1.6076611999999999</v>
      </c>
      <c r="L124" s="10">
        <v>1.9149638</v>
      </c>
      <c r="M124" s="10">
        <v>2.2111230000000002</v>
      </c>
      <c r="N124" s="10">
        <v>2.4764295000000001</v>
      </c>
      <c r="O124" s="10">
        <v>2.7077749</v>
      </c>
      <c r="P124" s="10">
        <v>2.9037991000000001</v>
      </c>
      <c r="Q124" s="10">
        <v>3.0665643999999999</v>
      </c>
      <c r="R124" s="10">
        <v>3.1985098000000001</v>
      </c>
      <c r="S124" s="10">
        <v>3.3033861999999998</v>
      </c>
      <c r="T124" s="10">
        <v>3.3834368000000001</v>
      </c>
      <c r="U124" s="10">
        <v>3.4412305999999999</v>
      </c>
      <c r="V124" s="10">
        <v>3.4799983999999999</v>
      </c>
      <c r="W124" s="10">
        <v>3.5021927000000002</v>
      </c>
      <c r="X124" s="10">
        <v>3.5100232999999998</v>
      </c>
      <c r="Y124" s="10">
        <v>3.5057002000000002</v>
      </c>
      <c r="Z124" s="10">
        <v>3.4914331999999999</v>
      </c>
      <c r="AA124" s="10">
        <v>3.4694322999999998</v>
      </c>
      <c r="AB124" s="10">
        <v>3.4417200000000001</v>
      </c>
      <c r="AC124" s="10">
        <v>3.4095311000000001</v>
      </c>
      <c r="AD124" s="10">
        <v>3.3738937</v>
      </c>
      <c r="AE124" s="10">
        <v>3.3358359000000002</v>
      </c>
      <c r="AF124" s="10">
        <v>3.2963855</v>
      </c>
      <c r="AG124" s="10">
        <v>3.2565708</v>
      </c>
      <c r="AH124" s="10">
        <v>3.2172730999999999</v>
      </c>
      <c r="AI124" s="10">
        <v>3.1787272</v>
      </c>
      <c r="AJ124" s="10">
        <v>3.1409891000000001</v>
      </c>
      <c r="AK124" s="10">
        <v>3.1041151</v>
      </c>
      <c r="AL124" s="10">
        <v>3.0681614000000001</v>
      </c>
      <c r="AM124" s="10">
        <v>3.0331839999999999</v>
      </c>
      <c r="AN124" s="10">
        <v>2.9992393000000002</v>
      </c>
      <c r="AO124" s="10">
        <v>2.9663832999999999</v>
      </c>
      <c r="AP124" s="10">
        <v>2.9346722999999999</v>
      </c>
      <c r="AQ124" s="10">
        <v>2.9041624000000001</v>
      </c>
      <c r="AR124" s="10">
        <v>2.8749098000000002</v>
      </c>
      <c r="AS124" s="10">
        <v>2.8469706000000001</v>
      </c>
      <c r="AT124" s="10">
        <v>2.8203874999999998</v>
      </c>
      <c r="AU124" s="10">
        <v>2.7951302999999998</v>
      </c>
      <c r="AV124" s="10">
        <v>2.7711440000000001</v>
      </c>
      <c r="AW124" s="10">
        <v>2.7483740000000001</v>
      </c>
      <c r="AX124" s="10">
        <v>2.7267655</v>
      </c>
      <c r="AY124" s="10">
        <v>2.7062637</v>
      </c>
      <c r="AZ124" s="10">
        <v>2.6868139000000002</v>
      </c>
      <c r="BA124" s="10">
        <v>2.6683612000000001</v>
      </c>
      <c r="BB124" s="10">
        <v>2.6508509</v>
      </c>
      <c r="BC124" s="10">
        <v>2.6342281999999999</v>
      </c>
      <c r="BD124" s="10">
        <v>2.6184383000000002</v>
      </c>
      <c r="BE124" s="10">
        <v>2.6034266000000001</v>
      </c>
      <c r="BF124" s="10">
        <v>2.5891429000000001</v>
      </c>
      <c r="BG124" s="10">
        <v>2.5755607</v>
      </c>
      <c r="BH124" s="10">
        <v>2.5626608000000002</v>
      </c>
      <c r="BI124" s="10">
        <v>2.5504235999999998</v>
      </c>
      <c r="BJ124" s="10">
        <v>2.5388299000000001</v>
      </c>
      <c r="BK124" s="10">
        <v>2.5278600999999998</v>
      </c>
      <c r="BL124" s="10">
        <v>2.5174948000000001</v>
      </c>
      <c r="BM124" s="10">
        <v>2.5077148</v>
      </c>
      <c r="BN124" s="10">
        <v>2.4985005999999998</v>
      </c>
      <c r="BO124" s="10">
        <v>2.4898327999999998</v>
      </c>
      <c r="BP124" s="10">
        <v>2.4816919999999998</v>
      </c>
      <c r="BQ124" s="10">
        <v>2.4740587999999999</v>
      </c>
      <c r="BR124" s="10">
        <v>2.4379797999999999</v>
      </c>
      <c r="BS124" s="10">
        <v>2.4161747999999998</v>
      </c>
      <c r="BU124" s="7">
        <v>2.11</v>
      </c>
      <c r="BV124" s="7">
        <v>2.59</v>
      </c>
      <c r="BW124" s="9">
        <v>78.083399999999997</v>
      </c>
    </row>
    <row r="125" spans="1:75" x14ac:dyDescent="0.25">
      <c r="A125" s="6">
        <f t="shared" si="11"/>
        <v>44727</v>
      </c>
      <c r="B125" s="13">
        <f t="shared" si="6"/>
        <v>6</v>
      </c>
      <c r="C125" s="13">
        <f t="shared" si="7"/>
        <v>2022</v>
      </c>
      <c r="D125">
        <f t="shared" si="8"/>
        <v>202206</v>
      </c>
      <c r="E125">
        <f t="shared" si="9"/>
        <v>2</v>
      </c>
      <c r="F125">
        <f t="shared" si="10"/>
        <v>202202</v>
      </c>
      <c r="G125" t="s">
        <v>312</v>
      </c>
      <c r="H125" s="9">
        <v>1</v>
      </c>
      <c r="I125" s="9">
        <v>0.93989999999999996</v>
      </c>
      <c r="J125" s="10">
        <v>1.3479688999999999</v>
      </c>
      <c r="K125" s="10">
        <v>1.6309811999999999</v>
      </c>
      <c r="L125" s="10">
        <v>1.9344148999999999</v>
      </c>
      <c r="M125" s="10">
        <v>2.2255440000000002</v>
      </c>
      <c r="N125" s="10">
        <v>2.4825164000000002</v>
      </c>
      <c r="O125" s="10">
        <v>2.7015927999999998</v>
      </c>
      <c r="P125" s="10">
        <v>2.8805893999999999</v>
      </c>
      <c r="Q125" s="10">
        <v>3.0214481000000002</v>
      </c>
      <c r="R125" s="10">
        <v>3.1281520999999999</v>
      </c>
      <c r="S125" s="10">
        <v>3.2060993</v>
      </c>
      <c r="T125" s="10">
        <v>3.2600011000000002</v>
      </c>
      <c r="U125" s="10">
        <v>3.2933694</v>
      </c>
      <c r="V125" s="10">
        <v>3.3109991000000001</v>
      </c>
      <c r="W125" s="10">
        <v>3.3154613999999998</v>
      </c>
      <c r="X125" s="10">
        <v>3.3086247000000002</v>
      </c>
      <c r="Y125" s="10">
        <v>3.2923575</v>
      </c>
      <c r="Z125" s="10">
        <v>3.2685284000000001</v>
      </c>
      <c r="AA125" s="10">
        <v>3.2390056999999999</v>
      </c>
      <c r="AB125" s="10">
        <v>3.2055094</v>
      </c>
      <c r="AC125" s="10">
        <v>3.1691348000000001</v>
      </c>
      <c r="AD125" s="10">
        <v>3.1308131000000001</v>
      </c>
      <c r="AE125" s="10">
        <v>3.0914755</v>
      </c>
      <c r="AF125" s="10">
        <v>3.0520532</v>
      </c>
      <c r="AG125" s="10">
        <v>3.0134777000000001</v>
      </c>
      <c r="AH125" s="10">
        <v>2.9765598999999998</v>
      </c>
      <c r="AI125" s="10">
        <v>2.9414647</v>
      </c>
      <c r="AJ125" s="10">
        <v>2.9081399999999999</v>
      </c>
      <c r="AK125" s="10">
        <v>2.8765334999999999</v>
      </c>
      <c r="AL125" s="10">
        <v>2.8465931000000002</v>
      </c>
      <c r="AM125" s="10">
        <v>2.8182665</v>
      </c>
      <c r="AN125" s="10">
        <v>2.7915016000000001</v>
      </c>
      <c r="AO125" s="10">
        <v>2.7662461</v>
      </c>
      <c r="AP125" s="10">
        <v>2.7424479000000002</v>
      </c>
      <c r="AQ125" s="10">
        <v>2.7200546999999999</v>
      </c>
      <c r="AR125" s="10">
        <v>2.6990143</v>
      </c>
      <c r="AS125" s="10">
        <v>2.6792745</v>
      </c>
      <c r="AT125" s="10">
        <v>2.6607794</v>
      </c>
      <c r="AU125" s="10">
        <v>2.6434549000000001</v>
      </c>
      <c r="AV125" s="10">
        <v>2.6272213999999998</v>
      </c>
      <c r="AW125" s="10">
        <v>2.6119992999999999</v>
      </c>
      <c r="AX125" s="10">
        <v>2.597709</v>
      </c>
      <c r="AY125" s="10">
        <v>2.5842708999999999</v>
      </c>
      <c r="AZ125" s="10">
        <v>2.5716052999999999</v>
      </c>
      <c r="BA125" s="10">
        <v>2.5596326999999999</v>
      </c>
      <c r="BB125" s="10">
        <v>2.5482735000000001</v>
      </c>
      <c r="BC125" s="10">
        <v>2.5374479999999999</v>
      </c>
      <c r="BD125" s="10">
        <v>2.5270766999999998</v>
      </c>
      <c r="BE125" s="10">
        <v>2.5170799000000001</v>
      </c>
      <c r="BF125" s="10">
        <v>2.5073903</v>
      </c>
      <c r="BG125" s="10">
        <v>2.4979941000000001</v>
      </c>
      <c r="BH125" s="10">
        <v>2.4888927999999999</v>
      </c>
      <c r="BI125" s="10">
        <v>2.4800873000000001</v>
      </c>
      <c r="BJ125" s="10">
        <v>2.4715791</v>
      </c>
      <c r="BK125" s="10">
        <v>2.4633693999999999</v>
      </c>
      <c r="BL125" s="10">
        <v>2.4554592999999998</v>
      </c>
      <c r="BM125" s="10">
        <v>2.4478501000000001</v>
      </c>
      <c r="BN125" s="10">
        <v>2.4405429999999999</v>
      </c>
      <c r="BO125" s="10">
        <v>2.4335393000000001</v>
      </c>
      <c r="BP125" s="10">
        <v>2.4268402</v>
      </c>
      <c r="BQ125" s="10">
        <v>2.4204469999999998</v>
      </c>
      <c r="BR125" s="10">
        <v>2.3884156999999999</v>
      </c>
      <c r="BS125" s="10">
        <v>2.3667161999999999</v>
      </c>
      <c r="BU125" s="7">
        <v>1.97</v>
      </c>
      <c r="BV125" s="7">
        <v>2.4900000000000002</v>
      </c>
      <c r="BW125" s="9">
        <v>78.484999999999999</v>
      </c>
    </row>
    <row r="126" spans="1:75" x14ac:dyDescent="0.25">
      <c r="A126" s="6">
        <f t="shared" si="11"/>
        <v>44728</v>
      </c>
      <c r="B126" s="13">
        <f t="shared" si="6"/>
        <v>6</v>
      </c>
      <c r="C126" s="13">
        <f t="shared" si="7"/>
        <v>2022</v>
      </c>
      <c r="D126">
        <f t="shared" si="8"/>
        <v>202206</v>
      </c>
      <c r="E126">
        <f t="shared" si="9"/>
        <v>2</v>
      </c>
      <c r="F126">
        <f t="shared" si="10"/>
        <v>202202</v>
      </c>
      <c r="G126" t="s">
        <v>313</v>
      </c>
      <c r="H126" s="9">
        <v>1.25</v>
      </c>
      <c r="I126" s="9">
        <v>1.1883999999999999</v>
      </c>
      <c r="J126" s="10">
        <v>1.2624812999999999</v>
      </c>
      <c r="K126" s="10">
        <v>1.6231443999999999</v>
      </c>
      <c r="L126" s="10">
        <v>1.9960359000000001</v>
      </c>
      <c r="M126" s="10">
        <v>2.3409705999999999</v>
      </c>
      <c r="N126" s="10">
        <v>2.6312107</v>
      </c>
      <c r="O126" s="10">
        <v>2.8640677000000001</v>
      </c>
      <c r="P126" s="10">
        <v>3.0421762999999999</v>
      </c>
      <c r="Q126" s="10">
        <v>3.1738762</v>
      </c>
      <c r="R126" s="10">
        <v>3.2680809000000002</v>
      </c>
      <c r="S126" s="10">
        <v>3.3332329000000001</v>
      </c>
      <c r="T126" s="10">
        <v>3.3750184000000001</v>
      </c>
      <c r="U126" s="10">
        <v>3.3975509000000002</v>
      </c>
      <c r="V126" s="10">
        <v>3.4051866999999998</v>
      </c>
      <c r="W126" s="10">
        <v>3.4003309000000002</v>
      </c>
      <c r="X126" s="10">
        <v>3.384833</v>
      </c>
      <c r="Y126" s="10">
        <v>3.3605429999999998</v>
      </c>
      <c r="Z126" s="10">
        <v>3.3293105000000001</v>
      </c>
      <c r="AA126" s="10">
        <v>3.2929852999999998</v>
      </c>
      <c r="AB126" s="10">
        <v>3.2532961999999999</v>
      </c>
      <c r="AC126" s="10">
        <v>3.2113532999999999</v>
      </c>
      <c r="AD126" s="10">
        <v>3.1680687999999999</v>
      </c>
      <c r="AE126" s="10">
        <v>3.124355</v>
      </c>
      <c r="AF126" s="10">
        <v>3.081124</v>
      </c>
      <c r="AG126" s="10">
        <v>3.0392880999999998</v>
      </c>
      <c r="AH126" s="10">
        <v>2.9996217000000001</v>
      </c>
      <c r="AI126" s="10">
        <v>2.9622286999999998</v>
      </c>
      <c r="AJ126" s="10">
        <v>2.9270087</v>
      </c>
      <c r="AK126" s="10">
        <v>2.8938611999999999</v>
      </c>
      <c r="AL126" s="10">
        <v>2.8626857999999999</v>
      </c>
      <c r="AM126" s="10">
        <v>2.8333822</v>
      </c>
      <c r="AN126" s="10">
        <v>2.8058497999999998</v>
      </c>
      <c r="AO126" s="10">
        <v>2.7799882</v>
      </c>
      <c r="AP126" s="10">
        <v>2.7556970999999999</v>
      </c>
      <c r="AQ126" s="10">
        <v>2.7328760999999999</v>
      </c>
      <c r="AR126" s="10">
        <v>2.7114245000000001</v>
      </c>
      <c r="AS126" s="10">
        <v>2.6912422</v>
      </c>
      <c r="AT126" s="10">
        <v>2.6722315999999999</v>
      </c>
      <c r="AU126" s="10">
        <v>2.6543084000000001</v>
      </c>
      <c r="AV126" s="10">
        <v>2.6373918999999999</v>
      </c>
      <c r="AW126" s="10">
        <v>2.6214013999999999</v>
      </c>
      <c r="AX126" s="10">
        <v>2.6062563000000001</v>
      </c>
      <c r="AY126" s="10">
        <v>2.5918758</v>
      </c>
      <c r="AZ126" s="10">
        <v>2.5781793999999998</v>
      </c>
      <c r="BA126" s="10">
        <v>2.5650862000000001</v>
      </c>
      <c r="BB126" s="10">
        <v>2.5525156999999998</v>
      </c>
      <c r="BC126" s="10">
        <v>2.540387</v>
      </c>
      <c r="BD126" s="10">
        <v>2.5286197000000001</v>
      </c>
      <c r="BE126" s="10">
        <v>2.5171328000000002</v>
      </c>
      <c r="BF126" s="10">
        <v>2.5058593999999998</v>
      </c>
      <c r="BG126" s="10">
        <v>2.4947919000000001</v>
      </c>
      <c r="BH126" s="10">
        <v>2.4839394000000001</v>
      </c>
      <c r="BI126" s="10">
        <v>2.4733108000000001</v>
      </c>
      <c r="BJ126" s="10">
        <v>2.4629151</v>
      </c>
      <c r="BK126" s="10">
        <v>2.4527614</v>
      </c>
      <c r="BL126" s="10">
        <v>2.4428588000000002</v>
      </c>
      <c r="BM126" s="10">
        <v>2.4332159999999998</v>
      </c>
      <c r="BN126" s="10">
        <v>2.4238423</v>
      </c>
      <c r="BO126" s="10">
        <v>2.4147466</v>
      </c>
      <c r="BP126" s="10">
        <v>2.4059379999999999</v>
      </c>
      <c r="BQ126" s="10">
        <v>2.3974253000000001</v>
      </c>
      <c r="BR126" s="10">
        <v>2.3528595000000001</v>
      </c>
      <c r="BS126" s="10">
        <v>2.3199421999999998</v>
      </c>
      <c r="BU126" s="7">
        <v>2.12</v>
      </c>
      <c r="BV126" s="7">
        <v>2.52</v>
      </c>
      <c r="BW126" s="9">
        <v>79.430000000000007</v>
      </c>
    </row>
    <row r="127" spans="1:75" x14ac:dyDescent="0.25">
      <c r="A127" s="6">
        <f t="shared" si="11"/>
        <v>44729</v>
      </c>
      <c r="B127" s="13">
        <f t="shared" si="6"/>
        <v>6</v>
      </c>
      <c r="C127" s="13">
        <f t="shared" si="7"/>
        <v>2022</v>
      </c>
      <c r="D127">
        <f t="shared" si="8"/>
        <v>202206</v>
      </c>
      <c r="E127">
        <f t="shared" si="9"/>
        <v>2</v>
      </c>
      <c r="F127">
        <f t="shared" si="10"/>
        <v>202202</v>
      </c>
      <c r="G127" t="s">
        <v>314</v>
      </c>
      <c r="H127" s="9">
        <v>1.25</v>
      </c>
      <c r="I127" s="9">
        <v>1.1895</v>
      </c>
      <c r="J127" s="10">
        <v>1.2642405999999999</v>
      </c>
      <c r="K127" s="10">
        <v>1.6181306</v>
      </c>
      <c r="L127" s="10">
        <v>1.9898765</v>
      </c>
      <c r="M127" s="10">
        <v>2.3412405999999999</v>
      </c>
      <c r="N127" s="10">
        <v>2.6434905</v>
      </c>
      <c r="O127" s="10">
        <v>2.8890924999999998</v>
      </c>
      <c r="P127" s="10">
        <v>3.0809167</v>
      </c>
      <c r="Q127" s="10">
        <v>3.2260415</v>
      </c>
      <c r="R127" s="10">
        <v>3.3330514999999998</v>
      </c>
      <c r="S127" s="10">
        <v>3.4096041000000001</v>
      </c>
      <c r="T127" s="10">
        <v>3.4603670000000002</v>
      </c>
      <c r="U127" s="10">
        <v>3.4895619</v>
      </c>
      <c r="V127" s="10">
        <v>3.5019548</v>
      </c>
      <c r="W127" s="10">
        <v>3.5002672000000001</v>
      </c>
      <c r="X127" s="10">
        <v>3.4865249999999999</v>
      </c>
      <c r="Y127" s="10">
        <v>3.4627536000000001</v>
      </c>
      <c r="Z127" s="10">
        <v>3.4309786999999998</v>
      </c>
      <c r="AA127" s="10">
        <v>3.3932258000000002</v>
      </c>
      <c r="AB127" s="10">
        <v>3.3513692000000002</v>
      </c>
      <c r="AC127" s="10">
        <v>3.3065812999999999</v>
      </c>
      <c r="AD127" s="10">
        <v>3.2598310000000001</v>
      </c>
      <c r="AE127" s="10">
        <v>3.2120872999999999</v>
      </c>
      <c r="AF127" s="10">
        <v>3.1643192</v>
      </c>
      <c r="AG127" s="10">
        <v>3.1174955999999998</v>
      </c>
      <c r="AH127" s="10">
        <v>3.0724331</v>
      </c>
      <c r="AI127" s="10">
        <v>3.0292761000000001</v>
      </c>
      <c r="AJ127" s="10">
        <v>2.9879831000000001</v>
      </c>
      <c r="AK127" s="10">
        <v>2.9485127000000002</v>
      </c>
      <c r="AL127" s="10">
        <v>2.9108238000000002</v>
      </c>
      <c r="AM127" s="10">
        <v>2.8748749</v>
      </c>
      <c r="AN127" s="10">
        <v>2.8406246999999998</v>
      </c>
      <c r="AO127" s="10">
        <v>2.8080318000000002</v>
      </c>
      <c r="AP127" s="10">
        <v>2.7770551000000001</v>
      </c>
      <c r="AQ127" s="10">
        <v>2.7476530000000001</v>
      </c>
      <c r="AR127" s="10">
        <v>2.7197843000000002</v>
      </c>
      <c r="AS127" s="10">
        <v>2.6934076999999998</v>
      </c>
      <c r="AT127" s="10">
        <v>2.6684755</v>
      </c>
      <c r="AU127" s="10">
        <v>2.6449123000000001</v>
      </c>
      <c r="AV127" s="10">
        <v>2.6226351000000001</v>
      </c>
      <c r="AW127" s="10">
        <v>2.6015608000000001</v>
      </c>
      <c r="AX127" s="10">
        <v>2.5816062999999998</v>
      </c>
      <c r="AY127" s="10">
        <v>2.5626885000000001</v>
      </c>
      <c r="AZ127" s="10">
        <v>2.5447244000000002</v>
      </c>
      <c r="BA127" s="10">
        <v>2.5276309000000001</v>
      </c>
      <c r="BB127" s="10">
        <v>2.5113249999999998</v>
      </c>
      <c r="BC127" s="10">
        <v>2.4957235999999998</v>
      </c>
      <c r="BD127" s="10">
        <v>2.4807435</v>
      </c>
      <c r="BE127" s="10">
        <v>2.4663018999999999</v>
      </c>
      <c r="BF127" s="10">
        <v>2.4523272999999999</v>
      </c>
      <c r="BG127" s="10">
        <v>2.4388014</v>
      </c>
      <c r="BH127" s="10">
        <v>2.4257198</v>
      </c>
      <c r="BI127" s="10">
        <v>2.4130786</v>
      </c>
      <c r="BJ127" s="10">
        <v>2.4008734999999999</v>
      </c>
      <c r="BK127" s="10">
        <v>2.3891005000000001</v>
      </c>
      <c r="BL127" s="10">
        <v>2.3777553999999999</v>
      </c>
      <c r="BM127" s="10">
        <v>2.3668341000000002</v>
      </c>
      <c r="BN127" s="10">
        <v>2.3563325000000002</v>
      </c>
      <c r="BO127" s="10">
        <v>2.3462464000000001</v>
      </c>
      <c r="BP127" s="10">
        <v>2.3365718000000002</v>
      </c>
      <c r="BQ127" s="10">
        <v>2.3273044999999999</v>
      </c>
      <c r="BR127" s="10">
        <v>2.2801087999999998</v>
      </c>
      <c r="BS127" s="10">
        <v>2.2470582000000001</v>
      </c>
      <c r="BU127" s="7">
        <v>2.21</v>
      </c>
      <c r="BV127" s="7">
        <v>2.4900000000000002</v>
      </c>
      <c r="BW127" s="9">
        <v>78.994100000000003</v>
      </c>
    </row>
    <row r="128" spans="1:75" x14ac:dyDescent="0.25">
      <c r="A128" s="6">
        <f t="shared" si="11"/>
        <v>44732</v>
      </c>
      <c r="B128" s="13">
        <f t="shared" si="6"/>
        <v>6</v>
      </c>
      <c r="C128" s="13">
        <f t="shared" si="7"/>
        <v>2022</v>
      </c>
      <c r="D128">
        <f t="shared" si="8"/>
        <v>202206</v>
      </c>
      <c r="E128">
        <f t="shared" si="9"/>
        <v>2</v>
      </c>
      <c r="F128">
        <f t="shared" si="10"/>
        <v>202202</v>
      </c>
      <c r="G128" t="s">
        <v>315</v>
      </c>
      <c r="H128" s="9">
        <v>1.25</v>
      </c>
      <c r="I128" s="9">
        <v>1.1896</v>
      </c>
      <c r="J128" s="10">
        <v>1.2869813000000001</v>
      </c>
      <c r="K128" s="10">
        <v>1.6538645000000001</v>
      </c>
      <c r="L128" s="10">
        <v>2.0259624000000001</v>
      </c>
      <c r="M128" s="10">
        <v>2.3770058999999999</v>
      </c>
      <c r="N128" s="10">
        <v>2.6833330000000002</v>
      </c>
      <c r="O128" s="10">
        <v>2.9369203000000002</v>
      </c>
      <c r="P128" s="10">
        <v>3.13693</v>
      </c>
      <c r="Q128" s="10">
        <v>3.2892386</v>
      </c>
      <c r="R128" s="10">
        <v>3.4015724999999999</v>
      </c>
      <c r="S128" s="10">
        <v>3.4823175000000002</v>
      </c>
      <c r="T128" s="10">
        <v>3.5369036</v>
      </c>
      <c r="U128" s="10">
        <v>3.5700365000000001</v>
      </c>
      <c r="V128" s="10">
        <v>3.5862937000000001</v>
      </c>
      <c r="W128" s="10">
        <v>3.5882377000000001</v>
      </c>
      <c r="X128" s="10">
        <v>3.5778975000000002</v>
      </c>
      <c r="Y128" s="10">
        <v>3.5573022999999999</v>
      </c>
      <c r="Z128" s="10">
        <v>3.5284811999999999</v>
      </c>
      <c r="AA128" s="10">
        <v>3.4934634</v>
      </c>
      <c r="AB128" s="10">
        <v>3.4541094000000001</v>
      </c>
      <c r="AC128" s="10">
        <v>3.4115717999999999</v>
      </c>
      <c r="AD128" s="10">
        <v>3.3668170000000002</v>
      </c>
      <c r="AE128" s="10">
        <v>3.3208112999999999</v>
      </c>
      <c r="AF128" s="10">
        <v>3.2745213</v>
      </c>
      <c r="AG128" s="10">
        <v>3.2289134000000002</v>
      </c>
      <c r="AH128" s="10">
        <v>3.1848052</v>
      </c>
      <c r="AI128" s="10">
        <v>3.1423576999999998</v>
      </c>
      <c r="AJ128" s="10">
        <v>3.1015508999999999</v>
      </c>
      <c r="AK128" s="10">
        <v>3.0623645000000002</v>
      </c>
      <c r="AL128" s="10">
        <v>3.0247782999999999</v>
      </c>
      <c r="AM128" s="10">
        <v>2.9887720999999998</v>
      </c>
      <c r="AN128" s="10">
        <v>2.9543259000000002</v>
      </c>
      <c r="AO128" s="10">
        <v>2.9214194</v>
      </c>
      <c r="AP128" s="10">
        <v>2.8900323999999999</v>
      </c>
      <c r="AQ128" s="10">
        <v>2.8601447000000002</v>
      </c>
      <c r="AR128" s="10">
        <v>2.8317363000000002</v>
      </c>
      <c r="AS128" s="10">
        <v>2.8047868</v>
      </c>
      <c r="AT128" s="10">
        <v>2.7792686999999998</v>
      </c>
      <c r="AU128" s="10">
        <v>2.7551215999999998</v>
      </c>
      <c r="AV128" s="10">
        <v>2.7322758</v>
      </c>
      <c r="AW128" s="10">
        <v>2.7106618999999998</v>
      </c>
      <c r="AX128" s="10">
        <v>2.6902102999999999</v>
      </c>
      <c r="AY128" s="10">
        <v>2.6708514000000001</v>
      </c>
      <c r="AZ128" s="10">
        <v>2.6525158000000002</v>
      </c>
      <c r="BA128" s="10">
        <v>2.6351339</v>
      </c>
      <c r="BB128" s="10">
        <v>2.6186360999999998</v>
      </c>
      <c r="BC128" s="10">
        <v>2.6029529999999999</v>
      </c>
      <c r="BD128" s="10">
        <v>2.588015</v>
      </c>
      <c r="BE128" s="10">
        <v>2.5737524999999999</v>
      </c>
      <c r="BF128" s="10">
        <v>2.5601031999999999</v>
      </c>
      <c r="BG128" s="10">
        <v>2.5470435999999999</v>
      </c>
      <c r="BH128" s="10">
        <v>2.5345631000000002</v>
      </c>
      <c r="BI128" s="10">
        <v>2.5226511999999999</v>
      </c>
      <c r="BJ128" s="10">
        <v>2.5112975</v>
      </c>
      <c r="BK128" s="10">
        <v>2.5004911999999999</v>
      </c>
      <c r="BL128" s="10">
        <v>2.4902221</v>
      </c>
      <c r="BM128" s="10">
        <v>2.4804794000000001</v>
      </c>
      <c r="BN128" s="10">
        <v>2.4712527</v>
      </c>
      <c r="BO128" s="10">
        <v>2.4625314999999999</v>
      </c>
      <c r="BP128" s="10">
        <v>2.4543051999999999</v>
      </c>
      <c r="BQ128" s="10">
        <v>2.4465633000000002</v>
      </c>
      <c r="BR128" s="10">
        <v>2.4096682999999999</v>
      </c>
      <c r="BS128" s="10">
        <v>2.3873961000000001</v>
      </c>
      <c r="BU128" s="7">
        <v>2.29</v>
      </c>
      <c r="BV128" s="7">
        <v>2.61</v>
      </c>
      <c r="BW128" s="9">
        <v>79.098100000000002</v>
      </c>
    </row>
    <row r="129" spans="1:75" x14ac:dyDescent="0.25">
      <c r="A129" s="6">
        <f t="shared" si="11"/>
        <v>44733</v>
      </c>
      <c r="B129" s="13">
        <f t="shared" si="6"/>
        <v>6</v>
      </c>
      <c r="C129" s="13">
        <f t="shared" si="7"/>
        <v>2022</v>
      </c>
      <c r="D129">
        <f t="shared" si="8"/>
        <v>202206</v>
      </c>
      <c r="E129">
        <f t="shared" si="9"/>
        <v>2</v>
      </c>
      <c r="F129">
        <f t="shared" si="10"/>
        <v>202202</v>
      </c>
      <c r="G129" t="s">
        <v>316</v>
      </c>
      <c r="H129" s="9">
        <v>1.25</v>
      </c>
      <c r="I129" s="9">
        <v>1.1892</v>
      </c>
      <c r="J129" s="10">
        <v>1.295895</v>
      </c>
      <c r="K129" s="10">
        <v>1.6719695000000001</v>
      </c>
      <c r="L129" s="10">
        <v>2.0445503</v>
      </c>
      <c r="M129" s="10">
        <v>2.3873397000000001</v>
      </c>
      <c r="N129" s="10">
        <v>2.6808982000000001</v>
      </c>
      <c r="O129" s="10">
        <v>2.9214774999999999</v>
      </c>
      <c r="P129" s="10">
        <v>3.1106588999999998</v>
      </c>
      <c r="Q129" s="10">
        <v>3.2554348000000002</v>
      </c>
      <c r="R129" s="10">
        <v>3.3625316999999999</v>
      </c>
      <c r="S129" s="10">
        <v>3.4394903999999999</v>
      </c>
      <c r="T129" s="10">
        <v>3.4913088999999999</v>
      </c>
      <c r="U129" s="10">
        <v>3.5225430000000002</v>
      </c>
      <c r="V129" s="10">
        <v>3.5381665</v>
      </c>
      <c r="W129" s="10">
        <v>3.5406946000000001</v>
      </c>
      <c r="X129" s="10">
        <v>3.5319573000000002</v>
      </c>
      <c r="Y129" s="10">
        <v>3.5137841000000001</v>
      </c>
      <c r="Z129" s="10">
        <v>3.4880049</v>
      </c>
      <c r="AA129" s="10">
        <v>3.4564493999999999</v>
      </c>
      <c r="AB129" s="10">
        <v>3.4207993000000001</v>
      </c>
      <c r="AC129" s="10">
        <v>3.3821143999999999</v>
      </c>
      <c r="AD129" s="10">
        <v>3.3412910999999998</v>
      </c>
      <c r="AE129" s="10">
        <v>3.2992257999999999</v>
      </c>
      <c r="AF129" s="10">
        <v>3.2568149000000002</v>
      </c>
      <c r="AG129" s="10">
        <v>3.2149548000000001</v>
      </c>
      <c r="AH129" s="10">
        <v>3.1744069000000001</v>
      </c>
      <c r="AI129" s="10">
        <v>3.1353373000000002</v>
      </c>
      <c r="AJ129" s="10">
        <v>3.0977473999999998</v>
      </c>
      <c r="AK129" s="10">
        <v>3.0616387999999999</v>
      </c>
      <c r="AL129" s="10">
        <v>3.0270131</v>
      </c>
      <c r="AM129" s="10">
        <v>2.9938717000000001</v>
      </c>
      <c r="AN129" s="10">
        <v>2.9622164</v>
      </c>
      <c r="AO129" s="10">
        <v>2.9320485000000001</v>
      </c>
      <c r="AP129" s="10">
        <v>2.9033698000000001</v>
      </c>
      <c r="AQ129" s="10">
        <v>2.8761815999999998</v>
      </c>
      <c r="AR129" s="10">
        <v>2.8504857000000001</v>
      </c>
      <c r="AS129" s="10">
        <v>2.8262835000000002</v>
      </c>
      <c r="AT129" s="10">
        <v>2.8035665000000001</v>
      </c>
      <c r="AU129" s="10">
        <v>2.7822718000000002</v>
      </c>
      <c r="AV129" s="10">
        <v>2.7623182000000002</v>
      </c>
      <c r="AW129" s="10">
        <v>2.7436246</v>
      </c>
      <c r="AX129" s="10">
        <v>2.7261098000000001</v>
      </c>
      <c r="AY129" s="10">
        <v>2.7096925000000001</v>
      </c>
      <c r="AZ129" s="10">
        <v>2.6942917999999998</v>
      </c>
      <c r="BA129" s="10">
        <v>2.6798263000000002</v>
      </c>
      <c r="BB129" s="10">
        <v>2.6662148999999999</v>
      </c>
      <c r="BC129" s="10">
        <v>2.6533764999999998</v>
      </c>
      <c r="BD129" s="10">
        <v>2.6412298000000001</v>
      </c>
      <c r="BE129" s="10">
        <v>2.6296938000000001</v>
      </c>
      <c r="BF129" s="10">
        <v>2.6186962999999999</v>
      </c>
      <c r="BG129" s="10">
        <v>2.6082101</v>
      </c>
      <c r="BH129" s="10">
        <v>2.5982215000000002</v>
      </c>
      <c r="BI129" s="10">
        <v>2.5887167</v>
      </c>
      <c r="BJ129" s="10">
        <v>2.579682</v>
      </c>
      <c r="BK129" s="10">
        <v>2.5711037999999999</v>
      </c>
      <c r="BL129" s="10">
        <v>2.5629681</v>
      </c>
      <c r="BM129" s="10">
        <v>2.5552614999999999</v>
      </c>
      <c r="BN129" s="10">
        <v>2.5479699999999998</v>
      </c>
      <c r="BO129" s="10">
        <v>2.5410800999999998</v>
      </c>
      <c r="BP129" s="10">
        <v>2.5345778999999999</v>
      </c>
      <c r="BQ129" s="10">
        <v>2.5284498000000002</v>
      </c>
      <c r="BR129" s="10">
        <v>2.4990177</v>
      </c>
      <c r="BS129" s="10">
        <v>2.4811095999999999</v>
      </c>
      <c r="BU129" s="7">
        <v>2.3199999999999998</v>
      </c>
      <c r="BV129" s="7">
        <v>2.65</v>
      </c>
      <c r="BW129" s="9">
        <v>79.183499999999995</v>
      </c>
    </row>
    <row r="130" spans="1:75" x14ac:dyDescent="0.25">
      <c r="A130" s="6">
        <f t="shared" si="11"/>
        <v>44734</v>
      </c>
      <c r="B130" s="13">
        <f t="shared" si="6"/>
        <v>6</v>
      </c>
      <c r="C130" s="13">
        <f t="shared" si="7"/>
        <v>2022</v>
      </c>
      <c r="D130">
        <f t="shared" si="8"/>
        <v>202206</v>
      </c>
      <c r="E130">
        <f t="shared" si="9"/>
        <v>2</v>
      </c>
      <c r="F130">
        <f t="shared" si="10"/>
        <v>202202</v>
      </c>
      <c r="G130" t="s">
        <v>317</v>
      </c>
      <c r="H130" s="9">
        <v>1.25</v>
      </c>
      <c r="I130" s="9">
        <v>1.1882999999999999</v>
      </c>
      <c r="J130" s="10">
        <v>1.2893212000000001</v>
      </c>
      <c r="K130" s="10">
        <v>1.6428938</v>
      </c>
      <c r="L130" s="10">
        <v>1.9912665000000001</v>
      </c>
      <c r="M130" s="10">
        <v>2.3153082</v>
      </c>
      <c r="N130" s="10">
        <v>2.5941328000000001</v>
      </c>
      <c r="O130" s="10">
        <v>2.8206031</v>
      </c>
      <c r="P130" s="10">
        <v>2.9935567000000001</v>
      </c>
      <c r="Q130" s="10">
        <v>3.1195395000000001</v>
      </c>
      <c r="R130" s="10">
        <v>3.2070346999999999</v>
      </c>
      <c r="S130" s="10">
        <v>3.2649822999999998</v>
      </c>
      <c r="T130" s="10">
        <v>3.3000954999999998</v>
      </c>
      <c r="U130" s="10">
        <v>3.3167993999999998</v>
      </c>
      <c r="V130" s="10">
        <v>3.3198553</v>
      </c>
      <c r="W130" s="10">
        <v>3.3116938999999999</v>
      </c>
      <c r="X130" s="10">
        <v>3.2940632999999999</v>
      </c>
      <c r="Y130" s="10">
        <v>3.2687116999999999</v>
      </c>
      <c r="Z130" s="10">
        <v>3.2373873999999998</v>
      </c>
      <c r="AA130" s="10">
        <v>3.2018382999999999</v>
      </c>
      <c r="AB130" s="10">
        <v>3.1636593999999998</v>
      </c>
      <c r="AC130" s="10">
        <v>3.1238003999999999</v>
      </c>
      <c r="AD130" s="10">
        <v>3.0830419</v>
      </c>
      <c r="AE130" s="10">
        <v>3.0421645000000002</v>
      </c>
      <c r="AF130" s="10">
        <v>3.0019486</v>
      </c>
      <c r="AG130" s="10">
        <v>2.9631748</v>
      </c>
      <c r="AH130" s="10">
        <v>2.9265167000000001</v>
      </c>
      <c r="AI130" s="10">
        <v>2.8920710000000001</v>
      </c>
      <c r="AJ130" s="10">
        <v>2.8597416</v>
      </c>
      <c r="AK130" s="10">
        <v>2.8294320000000002</v>
      </c>
      <c r="AL130" s="10">
        <v>2.8010454999999999</v>
      </c>
      <c r="AM130" s="10">
        <v>2.7744859000000002</v>
      </c>
      <c r="AN130" s="10">
        <v>2.7496565999999998</v>
      </c>
      <c r="AO130" s="10">
        <v>2.7264610999999999</v>
      </c>
      <c r="AP130" s="10">
        <v>2.7048030000000001</v>
      </c>
      <c r="AQ130" s="10">
        <v>2.6845857999999998</v>
      </c>
      <c r="AR130" s="10">
        <v>2.6657130000000002</v>
      </c>
      <c r="AS130" s="10">
        <v>2.6480882000000001</v>
      </c>
      <c r="AT130" s="10">
        <v>2.6316171000000002</v>
      </c>
      <c r="AU130" s="10">
        <v>2.6162165000000002</v>
      </c>
      <c r="AV130" s="10">
        <v>2.6018064999999999</v>
      </c>
      <c r="AW130" s="10">
        <v>2.5883071000000002</v>
      </c>
      <c r="AX130" s="10">
        <v>2.5756386</v>
      </c>
      <c r="AY130" s="10">
        <v>2.5637210000000001</v>
      </c>
      <c r="AZ130" s="10">
        <v>2.5524743000000001</v>
      </c>
      <c r="BA130" s="10">
        <v>2.5418186999999999</v>
      </c>
      <c r="BB130" s="10">
        <v>2.5316743000000002</v>
      </c>
      <c r="BC130" s="10">
        <v>2.5219611</v>
      </c>
      <c r="BD130" s="10">
        <v>2.5125994</v>
      </c>
      <c r="BE130" s="10">
        <v>2.5035091</v>
      </c>
      <c r="BF130" s="10">
        <v>2.4946233000000002</v>
      </c>
      <c r="BG130" s="10">
        <v>2.4859322000000001</v>
      </c>
      <c r="BH130" s="10">
        <v>2.4774417</v>
      </c>
      <c r="BI130" s="10">
        <v>2.4691576999999998</v>
      </c>
      <c r="BJ130" s="10">
        <v>2.4610859999999999</v>
      </c>
      <c r="BK130" s="10">
        <v>2.4532327</v>
      </c>
      <c r="BL130" s="10">
        <v>2.4456036999999999</v>
      </c>
      <c r="BM130" s="10">
        <v>2.4382047999999998</v>
      </c>
      <c r="BN130" s="10">
        <v>2.4310418999999999</v>
      </c>
      <c r="BO130" s="10">
        <v>2.4241210999999998</v>
      </c>
      <c r="BP130" s="10">
        <v>2.4174481000000001</v>
      </c>
      <c r="BQ130" s="10">
        <v>2.4110288999999998</v>
      </c>
      <c r="BR130" s="10">
        <v>2.3780524000000001</v>
      </c>
      <c r="BS130" s="10">
        <v>2.3549597000000002</v>
      </c>
      <c r="BU130" s="7">
        <v>2.15</v>
      </c>
      <c r="BV130" s="7">
        <v>2.4900000000000002</v>
      </c>
      <c r="BW130" s="9">
        <v>79.378100000000003</v>
      </c>
    </row>
    <row r="131" spans="1:75" x14ac:dyDescent="0.25">
      <c r="A131" s="6">
        <f t="shared" si="11"/>
        <v>44735</v>
      </c>
      <c r="B131" s="13">
        <f t="shared" si="6"/>
        <v>6</v>
      </c>
      <c r="C131" s="13">
        <f t="shared" si="7"/>
        <v>2022</v>
      </c>
      <c r="D131">
        <f t="shared" si="8"/>
        <v>202206</v>
      </c>
      <c r="E131">
        <f t="shared" si="9"/>
        <v>2</v>
      </c>
      <c r="F131">
        <f t="shared" si="10"/>
        <v>202202</v>
      </c>
      <c r="G131" t="s">
        <v>318</v>
      </c>
      <c r="H131" s="9">
        <v>1.25</v>
      </c>
      <c r="I131" s="9">
        <v>1.1884999999999999</v>
      </c>
      <c r="J131" s="10">
        <v>1.285544</v>
      </c>
      <c r="K131" s="10">
        <v>1.6350773000000001</v>
      </c>
      <c r="L131" s="10">
        <v>1.9702999000000001</v>
      </c>
      <c r="M131" s="10">
        <v>2.2725499</v>
      </c>
      <c r="N131" s="10">
        <v>2.5236803999999999</v>
      </c>
      <c r="O131" s="10">
        <v>2.7186827</v>
      </c>
      <c r="P131" s="10">
        <v>2.8586345999999998</v>
      </c>
      <c r="Q131" s="10">
        <v>2.9515593</v>
      </c>
      <c r="R131" s="10">
        <v>3.0070613000000002</v>
      </c>
      <c r="S131" s="10">
        <v>3.0351332000000002</v>
      </c>
      <c r="T131" s="10">
        <v>3.0431805000000001</v>
      </c>
      <c r="U131" s="10">
        <v>3.0367795000000002</v>
      </c>
      <c r="V131" s="10">
        <v>3.0218448000000002</v>
      </c>
      <c r="W131" s="10">
        <v>3.0005426000000002</v>
      </c>
      <c r="X131" s="10">
        <v>2.9739928</v>
      </c>
      <c r="Y131" s="10">
        <v>2.9433153000000001</v>
      </c>
      <c r="Z131" s="10">
        <v>2.9096296000000001</v>
      </c>
      <c r="AA131" s="10">
        <v>2.8740557999999998</v>
      </c>
      <c r="AB131" s="10">
        <v>2.8376459000000001</v>
      </c>
      <c r="AC131" s="10">
        <v>2.8010286</v>
      </c>
      <c r="AD131" s="10">
        <v>2.7646685</v>
      </c>
      <c r="AE131" s="10">
        <v>2.7290299999999998</v>
      </c>
      <c r="AF131" s="10">
        <v>2.6945773000000002</v>
      </c>
      <c r="AG131" s="10">
        <v>2.6617747999999999</v>
      </c>
      <c r="AH131" s="10">
        <v>2.6310093999999999</v>
      </c>
      <c r="AI131" s="10">
        <v>2.6022910000000001</v>
      </c>
      <c r="AJ131" s="10">
        <v>2.5755143999999999</v>
      </c>
      <c r="AK131" s="10">
        <v>2.5505746</v>
      </c>
      <c r="AL131" s="10">
        <v>2.5273667</v>
      </c>
      <c r="AM131" s="10">
        <v>2.5057855</v>
      </c>
      <c r="AN131" s="10">
        <v>2.4857258999999998</v>
      </c>
      <c r="AO131" s="10">
        <v>2.4670830000000001</v>
      </c>
      <c r="AP131" s="10">
        <v>2.4497518</v>
      </c>
      <c r="AQ131" s="10">
        <v>2.433627</v>
      </c>
      <c r="AR131" s="10">
        <v>2.4186038000000001</v>
      </c>
      <c r="AS131" s="10">
        <v>2.4045770000000002</v>
      </c>
      <c r="AT131" s="10">
        <v>2.3914474000000001</v>
      </c>
      <c r="AU131" s="10">
        <v>2.3791410000000002</v>
      </c>
      <c r="AV131" s="10">
        <v>2.3675909000000002</v>
      </c>
      <c r="AW131" s="10">
        <v>2.3567301</v>
      </c>
      <c r="AX131" s="10">
        <v>2.3464915999999998</v>
      </c>
      <c r="AY131" s="10">
        <v>2.3368085000000001</v>
      </c>
      <c r="AZ131" s="10">
        <v>2.3276138999999998</v>
      </c>
      <c r="BA131" s="10">
        <v>2.3188407</v>
      </c>
      <c r="BB131" s="10">
        <v>2.3104220999999998</v>
      </c>
      <c r="BC131" s="10">
        <v>2.3022911000000001</v>
      </c>
      <c r="BD131" s="10">
        <v>2.2943807000000001</v>
      </c>
      <c r="BE131" s="10">
        <v>2.2866240000000002</v>
      </c>
      <c r="BF131" s="10">
        <v>2.278966</v>
      </c>
      <c r="BG131" s="10">
        <v>2.2714045</v>
      </c>
      <c r="BH131" s="10">
        <v>2.2639521</v>
      </c>
      <c r="BI131" s="10">
        <v>2.2566210999999998</v>
      </c>
      <c r="BJ131" s="10">
        <v>2.2494239999999999</v>
      </c>
      <c r="BK131" s="10">
        <v>2.2423733000000001</v>
      </c>
      <c r="BL131" s="10">
        <v>2.2354813</v>
      </c>
      <c r="BM131" s="10">
        <v>2.2287606000000002</v>
      </c>
      <c r="BN131" s="10">
        <v>2.2222236</v>
      </c>
      <c r="BO131" s="10">
        <v>2.2158828000000002</v>
      </c>
      <c r="BP131" s="10">
        <v>2.2097505000000002</v>
      </c>
      <c r="BQ131" s="10">
        <v>2.2038392</v>
      </c>
      <c r="BR131" s="10">
        <v>2.1734548</v>
      </c>
      <c r="BS131" s="10">
        <v>2.1526136999999999</v>
      </c>
      <c r="BU131" s="7">
        <v>1.94</v>
      </c>
      <c r="BV131" s="7">
        <v>2.2999999999999998</v>
      </c>
      <c r="BW131" s="9">
        <v>79.060400000000001</v>
      </c>
    </row>
    <row r="132" spans="1:75" x14ac:dyDescent="0.25">
      <c r="A132" s="6">
        <f t="shared" si="11"/>
        <v>44736</v>
      </c>
      <c r="B132" s="13">
        <f t="shared" si="6"/>
        <v>6</v>
      </c>
      <c r="C132" s="13">
        <f t="shared" si="7"/>
        <v>2022</v>
      </c>
      <c r="D132">
        <f t="shared" si="8"/>
        <v>202206</v>
      </c>
      <c r="E132">
        <f t="shared" si="9"/>
        <v>2</v>
      </c>
      <c r="F132">
        <f t="shared" si="10"/>
        <v>202202</v>
      </c>
      <c r="G132" t="s">
        <v>319</v>
      </c>
      <c r="H132" s="9">
        <v>1.25</v>
      </c>
      <c r="I132" s="9">
        <v>1.1884999999999999</v>
      </c>
      <c r="J132" s="10">
        <v>1.2952324</v>
      </c>
      <c r="K132" s="10">
        <v>1.6351880999999999</v>
      </c>
      <c r="L132" s="10">
        <v>1.9589863000000001</v>
      </c>
      <c r="M132" s="10">
        <v>2.2537137999999999</v>
      </c>
      <c r="N132" s="10">
        <v>2.5060921999999999</v>
      </c>
      <c r="O132" s="10">
        <v>2.7079564999999999</v>
      </c>
      <c r="P132" s="10">
        <v>2.8586597999999999</v>
      </c>
      <c r="Q132" s="10">
        <v>2.9611512000000002</v>
      </c>
      <c r="R132" s="10">
        <v>3.0232378</v>
      </c>
      <c r="S132" s="10">
        <v>3.0544403</v>
      </c>
      <c r="T132" s="10">
        <v>3.0621664000000002</v>
      </c>
      <c r="U132" s="10">
        <v>3.0530674000000002</v>
      </c>
      <c r="V132" s="10">
        <v>3.0344034</v>
      </c>
      <c r="W132" s="10">
        <v>3.0090631000000001</v>
      </c>
      <c r="X132" s="10">
        <v>2.9784788</v>
      </c>
      <c r="Y132" s="10">
        <v>2.9440821000000001</v>
      </c>
      <c r="Z132" s="10">
        <v>2.907305</v>
      </c>
      <c r="AA132" s="10">
        <v>2.8695792999999998</v>
      </c>
      <c r="AB132" s="10">
        <v>2.832198</v>
      </c>
      <c r="AC132" s="10">
        <v>2.7956680999999999</v>
      </c>
      <c r="AD132" s="10">
        <v>2.7602201000000002</v>
      </c>
      <c r="AE132" s="10">
        <v>2.7260840000000002</v>
      </c>
      <c r="AF132" s="10">
        <v>2.6934901999999998</v>
      </c>
      <c r="AG132" s="10">
        <v>2.6626688000000001</v>
      </c>
      <c r="AH132" s="10">
        <v>2.6337989999999998</v>
      </c>
      <c r="AI132" s="10">
        <v>2.6068357999999998</v>
      </c>
      <c r="AJ132" s="10">
        <v>2.5816718999999999</v>
      </c>
      <c r="AK132" s="10">
        <v>2.5582004</v>
      </c>
      <c r="AL132" s="10">
        <v>2.5363139000000001</v>
      </c>
      <c r="AM132" s="10">
        <v>2.5159053999999998</v>
      </c>
      <c r="AN132" s="10">
        <v>2.4968678</v>
      </c>
      <c r="AO132" s="10">
        <v>2.4790939000000001</v>
      </c>
      <c r="AP132" s="10">
        <v>2.4624766</v>
      </c>
      <c r="AQ132" s="10">
        <v>2.4469088000000001</v>
      </c>
      <c r="AR132" s="10">
        <v>2.4322834000000002</v>
      </c>
      <c r="AS132" s="10">
        <v>2.4184931000000001</v>
      </c>
      <c r="AT132" s="10">
        <v>2.4054392999999998</v>
      </c>
      <c r="AU132" s="10">
        <v>2.3930604</v>
      </c>
      <c r="AV132" s="10">
        <v>2.3813048999999999</v>
      </c>
      <c r="AW132" s="10">
        <v>2.3701215000000002</v>
      </c>
      <c r="AX132" s="10">
        <v>2.3594588000000001</v>
      </c>
      <c r="AY132" s="10">
        <v>2.3492655</v>
      </c>
      <c r="AZ132" s="10">
        <v>2.3394900999999999</v>
      </c>
      <c r="BA132" s="10">
        <v>2.3300812</v>
      </c>
      <c r="BB132" s="10">
        <v>2.3209875000000002</v>
      </c>
      <c r="BC132" s="10">
        <v>2.3121575999999999</v>
      </c>
      <c r="BD132" s="10">
        <v>2.3035401000000002</v>
      </c>
      <c r="BE132" s="10">
        <v>2.2950835999999999</v>
      </c>
      <c r="BF132" s="10">
        <v>2.2867464000000002</v>
      </c>
      <c r="BG132" s="10">
        <v>2.2785289999999998</v>
      </c>
      <c r="BH132" s="10">
        <v>2.2704439000000001</v>
      </c>
      <c r="BI132" s="10">
        <v>2.2625033999999999</v>
      </c>
      <c r="BJ132" s="10">
        <v>2.2547199</v>
      </c>
      <c r="BK132" s="10">
        <v>2.2471057999999999</v>
      </c>
      <c r="BL132" s="10">
        <v>2.2396733000000002</v>
      </c>
      <c r="BM132" s="10">
        <v>2.2324348999999999</v>
      </c>
      <c r="BN132" s="10">
        <v>2.225403</v>
      </c>
      <c r="BO132" s="10">
        <v>2.2185898000000002</v>
      </c>
      <c r="BP132" s="10">
        <v>2.2120079000000001</v>
      </c>
      <c r="BQ132" s="10">
        <v>2.2056694000000001</v>
      </c>
      <c r="BR132" s="10">
        <v>2.1731932999999999</v>
      </c>
      <c r="BS132" s="10">
        <v>2.1510745</v>
      </c>
      <c r="BU132" s="7">
        <v>1.93</v>
      </c>
      <c r="BV132" s="7">
        <v>2.2999999999999998</v>
      </c>
      <c r="BW132" s="9">
        <v>79.3095</v>
      </c>
    </row>
    <row r="133" spans="1:75" x14ac:dyDescent="0.25">
      <c r="A133" s="6">
        <f t="shared" si="11"/>
        <v>44739</v>
      </c>
      <c r="B133" s="13">
        <f t="shared" si="6"/>
        <v>6</v>
      </c>
      <c r="C133" s="13">
        <f t="shared" si="7"/>
        <v>2022</v>
      </c>
      <c r="D133">
        <f t="shared" si="8"/>
        <v>202206</v>
      </c>
      <c r="E133">
        <f t="shared" si="9"/>
        <v>2</v>
      </c>
      <c r="F133">
        <f t="shared" si="10"/>
        <v>202202</v>
      </c>
      <c r="G133" t="s">
        <v>320</v>
      </c>
      <c r="H133" s="9">
        <v>1.25</v>
      </c>
      <c r="I133" s="9">
        <v>1.1883999999999999</v>
      </c>
      <c r="J133" s="10">
        <v>1.3219177</v>
      </c>
      <c r="K133" s="10">
        <v>1.6853993</v>
      </c>
      <c r="L133" s="10">
        <v>2.0153501</v>
      </c>
      <c r="M133" s="10">
        <v>2.3084125000000002</v>
      </c>
      <c r="N133" s="10">
        <v>2.5596160000000001</v>
      </c>
      <c r="O133" s="10">
        <v>2.7636622000000002</v>
      </c>
      <c r="P133" s="10">
        <v>2.9191329000000001</v>
      </c>
      <c r="Q133" s="10">
        <v>3.0291009999999998</v>
      </c>
      <c r="R133" s="10">
        <v>3.0997322</v>
      </c>
      <c r="S133" s="10">
        <v>3.1395422000000002</v>
      </c>
      <c r="T133" s="10">
        <v>3.1553716999999999</v>
      </c>
      <c r="U133" s="10">
        <v>3.1539375999999999</v>
      </c>
      <c r="V133" s="10">
        <v>3.1426859</v>
      </c>
      <c r="W133" s="10">
        <v>3.1243612999999999</v>
      </c>
      <c r="X133" s="10">
        <v>3.1003704000000001</v>
      </c>
      <c r="Y133" s="10">
        <v>3.0721196000000002</v>
      </c>
      <c r="Z133" s="10">
        <v>3.0410157999999998</v>
      </c>
      <c r="AA133" s="10">
        <v>3.0084653000000001</v>
      </c>
      <c r="AB133" s="10">
        <v>2.9756828</v>
      </c>
      <c r="AC133" s="10">
        <v>2.9430757999999999</v>
      </c>
      <c r="AD133" s="10">
        <v>2.9108401000000002</v>
      </c>
      <c r="AE133" s="10">
        <v>2.8791712</v>
      </c>
      <c r="AF133" s="10">
        <v>2.8482647000000001</v>
      </c>
      <c r="AG133" s="10">
        <v>2.8183164000000001</v>
      </c>
      <c r="AH133" s="10">
        <v>2.7894880999999998</v>
      </c>
      <c r="AI133" s="10">
        <v>2.7617924999999999</v>
      </c>
      <c r="AJ133" s="10">
        <v>2.735201</v>
      </c>
      <c r="AK133" s="10">
        <v>2.7096852</v>
      </c>
      <c r="AL133" s="10">
        <v>2.6852166</v>
      </c>
      <c r="AM133" s="10">
        <v>2.6617666</v>
      </c>
      <c r="AN133" s="10">
        <v>2.6393068999999998</v>
      </c>
      <c r="AO133" s="10">
        <v>2.6178088000000002</v>
      </c>
      <c r="AP133" s="10">
        <v>2.5972439999999999</v>
      </c>
      <c r="AQ133" s="10">
        <v>2.5775839</v>
      </c>
      <c r="AR133" s="10">
        <v>2.5588000000000002</v>
      </c>
      <c r="AS133" s="10">
        <v>2.5408639000000002</v>
      </c>
      <c r="AT133" s="10">
        <v>2.523746</v>
      </c>
      <c r="AU133" s="10">
        <v>2.5074128999999998</v>
      </c>
      <c r="AV133" s="10">
        <v>2.4918296999999998</v>
      </c>
      <c r="AW133" s="10">
        <v>2.4769616000000001</v>
      </c>
      <c r="AX133" s="10">
        <v>2.462774</v>
      </c>
      <c r="AY133" s="10">
        <v>2.4492319</v>
      </c>
      <c r="AZ133" s="10">
        <v>2.4363008000000002</v>
      </c>
      <c r="BA133" s="10">
        <v>2.4239457999999998</v>
      </c>
      <c r="BB133" s="10">
        <v>2.4121321</v>
      </c>
      <c r="BC133" s="10">
        <v>2.4008251</v>
      </c>
      <c r="BD133" s="10">
        <v>2.3899897999999999</v>
      </c>
      <c r="BE133" s="10">
        <v>2.3795917000000002</v>
      </c>
      <c r="BF133" s="10">
        <v>2.3696000000000002</v>
      </c>
      <c r="BG133" s="10">
        <v>2.3600061000000001</v>
      </c>
      <c r="BH133" s="10">
        <v>2.3508089999999999</v>
      </c>
      <c r="BI133" s="10">
        <v>2.3420074999999998</v>
      </c>
      <c r="BJ133" s="10">
        <v>2.3336005000000002</v>
      </c>
      <c r="BK133" s="10">
        <v>2.3255868999999998</v>
      </c>
      <c r="BL133" s="10">
        <v>2.3179656</v>
      </c>
      <c r="BM133" s="10">
        <v>2.3107353000000002</v>
      </c>
      <c r="BN133" s="10">
        <v>2.3038951999999999</v>
      </c>
      <c r="BO133" s="10">
        <v>2.2974437999999999</v>
      </c>
      <c r="BP133" s="10">
        <v>2.2913803000000001</v>
      </c>
      <c r="BQ133" s="10">
        <v>2.2857034000000001</v>
      </c>
      <c r="BR133" s="10">
        <v>2.2595247999999999</v>
      </c>
      <c r="BS133" s="10">
        <v>2.2459153000000001</v>
      </c>
      <c r="BU133" s="7">
        <v>2.0099999999999998</v>
      </c>
      <c r="BV133" s="7">
        <v>2.4</v>
      </c>
      <c r="BW133" s="9">
        <v>79.110200000000006</v>
      </c>
    </row>
    <row r="134" spans="1:75" x14ac:dyDescent="0.25">
      <c r="A134" s="6">
        <f t="shared" si="11"/>
        <v>44740</v>
      </c>
      <c r="B134" s="13">
        <f t="shared" si="6"/>
        <v>6</v>
      </c>
      <c r="C134" s="13">
        <f t="shared" si="7"/>
        <v>2022</v>
      </c>
      <c r="D134">
        <f t="shared" si="8"/>
        <v>202206</v>
      </c>
      <c r="E134">
        <f t="shared" si="9"/>
        <v>2</v>
      </c>
      <c r="F134">
        <f t="shared" si="10"/>
        <v>202202</v>
      </c>
      <c r="G134" t="s">
        <v>321</v>
      </c>
      <c r="H134" s="9">
        <v>1.25</v>
      </c>
      <c r="I134" s="9">
        <v>1.1877</v>
      </c>
      <c r="J134" s="10">
        <v>1.3355463000000001</v>
      </c>
      <c r="K134" s="10">
        <v>1.7117996</v>
      </c>
      <c r="L134" s="10">
        <v>2.0454370000000002</v>
      </c>
      <c r="M134" s="10">
        <v>2.3415927000000001</v>
      </c>
      <c r="N134" s="10">
        <v>2.6000763999999998</v>
      </c>
      <c r="O134" s="10">
        <v>2.8163838999999999</v>
      </c>
      <c r="P134" s="10">
        <v>2.9874686000000001</v>
      </c>
      <c r="Q134" s="10">
        <v>3.1159161000000002</v>
      </c>
      <c r="R134" s="10">
        <v>3.2060738999999998</v>
      </c>
      <c r="S134" s="10">
        <v>3.265469</v>
      </c>
      <c r="T134" s="10">
        <v>3.2999765999999999</v>
      </c>
      <c r="U134" s="10">
        <v>3.3151931000000001</v>
      </c>
      <c r="V134" s="10">
        <v>3.3168905999999998</v>
      </c>
      <c r="W134" s="10">
        <v>3.3077803000000001</v>
      </c>
      <c r="X134" s="10">
        <v>3.2897384999999999</v>
      </c>
      <c r="Y134" s="10">
        <v>3.2646418000000001</v>
      </c>
      <c r="Z134" s="10">
        <v>3.2343668000000001</v>
      </c>
      <c r="AA134" s="10">
        <v>3.2007897999999999</v>
      </c>
      <c r="AB134" s="10">
        <v>3.1655600000000002</v>
      </c>
      <c r="AC134" s="10">
        <v>3.1293707999999998</v>
      </c>
      <c r="AD134" s="10">
        <v>3.0926646</v>
      </c>
      <c r="AE134" s="10">
        <v>3.0558838000000002</v>
      </c>
      <c r="AF134" s="10">
        <v>3.0194709</v>
      </c>
      <c r="AG134" s="10">
        <v>2.9838684</v>
      </c>
      <c r="AH134" s="10">
        <v>2.9494501</v>
      </c>
      <c r="AI134" s="10">
        <v>2.9162880000000002</v>
      </c>
      <c r="AJ134" s="10">
        <v>2.8843708000000001</v>
      </c>
      <c r="AK134" s="10">
        <v>2.8536871000000001</v>
      </c>
      <c r="AL134" s="10">
        <v>2.8242253000000002</v>
      </c>
      <c r="AM134" s="10">
        <v>2.7959741999999999</v>
      </c>
      <c r="AN134" s="10">
        <v>2.7689222999999998</v>
      </c>
      <c r="AO134" s="10">
        <v>2.7430582000000001</v>
      </c>
      <c r="AP134" s="10">
        <v>2.7183704999999998</v>
      </c>
      <c r="AQ134" s="10">
        <v>2.6948479000000001</v>
      </c>
      <c r="AR134" s="10">
        <v>2.6724787999999999</v>
      </c>
      <c r="AS134" s="10">
        <v>2.6512519000000001</v>
      </c>
      <c r="AT134" s="10">
        <v>2.631151</v>
      </c>
      <c r="AU134" s="10">
        <v>2.6121338000000001</v>
      </c>
      <c r="AV134" s="10">
        <v>2.5941494999999999</v>
      </c>
      <c r="AW134" s="10">
        <v>2.5771472000000002</v>
      </c>
      <c r="AX134" s="10">
        <v>2.5610759000000001</v>
      </c>
      <c r="AY134" s="10">
        <v>2.5458848000000001</v>
      </c>
      <c r="AZ134" s="10">
        <v>2.5315229000000001</v>
      </c>
      <c r="BA134" s="10">
        <v>2.5179393000000001</v>
      </c>
      <c r="BB134" s="10">
        <v>2.5050830999999998</v>
      </c>
      <c r="BC134" s="10">
        <v>2.4929033999999999</v>
      </c>
      <c r="BD134" s="10">
        <v>2.4813493000000002</v>
      </c>
      <c r="BE134" s="10">
        <v>2.4703697999999998</v>
      </c>
      <c r="BF134" s="10">
        <v>2.4599191999999999</v>
      </c>
      <c r="BG134" s="10">
        <v>2.4499759000000001</v>
      </c>
      <c r="BH134" s="10">
        <v>2.4405260000000002</v>
      </c>
      <c r="BI134" s="10">
        <v>2.4315554000000001</v>
      </c>
      <c r="BJ134" s="10">
        <v>2.4230501000000002</v>
      </c>
      <c r="BK134" s="10">
        <v>2.4149962</v>
      </c>
      <c r="BL134" s="10">
        <v>2.4073796999999999</v>
      </c>
      <c r="BM134" s="10">
        <v>2.4001864999999998</v>
      </c>
      <c r="BN134" s="10">
        <v>2.3934027000000002</v>
      </c>
      <c r="BO134" s="10">
        <v>2.3870143000000001</v>
      </c>
      <c r="BP134" s="10">
        <v>2.3810072</v>
      </c>
      <c r="BQ134" s="10">
        <v>2.3753674999999999</v>
      </c>
      <c r="BR134" s="10">
        <v>2.3487274999999999</v>
      </c>
      <c r="BS134" s="10">
        <v>2.3334063999999999</v>
      </c>
      <c r="BU134" s="7">
        <v>2.12</v>
      </c>
      <c r="BV134" s="7">
        <v>2.4700000000000002</v>
      </c>
      <c r="BW134" s="9">
        <v>78.786299999999997</v>
      </c>
    </row>
    <row r="135" spans="1:75" x14ac:dyDescent="0.25">
      <c r="A135" s="6">
        <f t="shared" si="11"/>
        <v>44741</v>
      </c>
      <c r="B135" s="13">
        <f t="shared" si="6"/>
        <v>6</v>
      </c>
      <c r="C135" s="13">
        <f t="shared" si="7"/>
        <v>2022</v>
      </c>
      <c r="D135">
        <f t="shared" si="8"/>
        <v>202206</v>
      </c>
      <c r="E135">
        <f t="shared" si="9"/>
        <v>2</v>
      </c>
      <c r="F135">
        <f t="shared" si="10"/>
        <v>202202</v>
      </c>
      <c r="G135" t="s">
        <v>322</v>
      </c>
      <c r="H135" s="9">
        <v>1.25</v>
      </c>
      <c r="I135" s="9">
        <v>1.1887000000000001</v>
      </c>
      <c r="J135" s="10">
        <v>1.3315961999999999</v>
      </c>
      <c r="K135" s="10">
        <v>1.6928577</v>
      </c>
      <c r="L135" s="10">
        <v>2.0116067000000002</v>
      </c>
      <c r="M135" s="10">
        <v>2.2964357</v>
      </c>
      <c r="N135" s="10">
        <v>2.5460780999999999</v>
      </c>
      <c r="O135" s="10">
        <v>2.7554287999999998</v>
      </c>
      <c r="P135" s="10">
        <v>2.9214701999999999</v>
      </c>
      <c r="Q135" s="10">
        <v>3.0468361000000002</v>
      </c>
      <c r="R135" s="10">
        <v>3.1358842</v>
      </c>
      <c r="S135" s="10">
        <v>3.1946954999999999</v>
      </c>
      <c r="T135" s="10">
        <v>3.2288492999999998</v>
      </c>
      <c r="U135" s="10">
        <v>3.2422287000000001</v>
      </c>
      <c r="V135" s="10">
        <v>3.2409810999999999</v>
      </c>
      <c r="W135" s="10">
        <v>3.2282809000000001</v>
      </c>
      <c r="X135" s="10">
        <v>3.2062917</v>
      </c>
      <c r="Y135" s="10">
        <v>3.1771769000000001</v>
      </c>
      <c r="Z135" s="10">
        <v>3.1431002000000001</v>
      </c>
      <c r="AA135" s="10">
        <v>3.1062248000000001</v>
      </c>
      <c r="AB135" s="10">
        <v>3.0684364999999998</v>
      </c>
      <c r="AC135" s="10">
        <v>3.0304527000000001</v>
      </c>
      <c r="AD135" s="10">
        <v>2.9926841</v>
      </c>
      <c r="AE135" s="10">
        <v>2.9555416000000001</v>
      </c>
      <c r="AF135" s="10">
        <v>2.9194358</v>
      </c>
      <c r="AG135" s="10">
        <v>2.8847776000000001</v>
      </c>
      <c r="AH135" s="10">
        <v>2.8519171000000001</v>
      </c>
      <c r="AI135" s="10">
        <v>2.8208780999999998</v>
      </c>
      <c r="AJ135" s="10">
        <v>2.7915751000000002</v>
      </c>
      <c r="AK135" s="10">
        <v>2.7639225000000001</v>
      </c>
      <c r="AL135" s="10">
        <v>2.7378345999999998</v>
      </c>
      <c r="AM135" s="10">
        <v>2.7132258</v>
      </c>
      <c r="AN135" s="10">
        <v>2.6900105999999999</v>
      </c>
      <c r="AO135" s="10">
        <v>2.6681031000000002</v>
      </c>
      <c r="AP135" s="10">
        <v>2.647418</v>
      </c>
      <c r="AQ135" s="10">
        <v>2.6278693999999998</v>
      </c>
      <c r="AR135" s="10">
        <v>2.6093719000000002</v>
      </c>
      <c r="AS135" s="10">
        <v>2.5918397</v>
      </c>
      <c r="AT135" s="10">
        <v>2.5751921000000002</v>
      </c>
      <c r="AU135" s="10">
        <v>2.5593721</v>
      </c>
      <c r="AV135" s="10">
        <v>2.5443299000000001</v>
      </c>
      <c r="AW135" s="10">
        <v>2.5300156999999999</v>
      </c>
      <c r="AX135" s="10">
        <v>2.5163796999999999</v>
      </c>
      <c r="AY135" s="10">
        <v>2.5033720000000002</v>
      </c>
      <c r="AZ135" s="10">
        <v>2.4909428</v>
      </c>
      <c r="BA135" s="10">
        <v>2.4790424999999998</v>
      </c>
      <c r="BB135" s="10">
        <v>2.4676209999999998</v>
      </c>
      <c r="BC135" s="10">
        <v>2.4566287</v>
      </c>
      <c r="BD135" s="10">
        <v>2.4460158000000001</v>
      </c>
      <c r="BE135" s="10">
        <v>2.4357323000000002</v>
      </c>
      <c r="BF135" s="10">
        <v>2.4257365000000002</v>
      </c>
      <c r="BG135" s="10">
        <v>2.4160211</v>
      </c>
      <c r="BH135" s="10">
        <v>2.4065884999999998</v>
      </c>
      <c r="BI135" s="10">
        <v>2.3974411999999998</v>
      </c>
      <c r="BJ135" s="10">
        <v>2.3885814999999999</v>
      </c>
      <c r="BK135" s="10">
        <v>2.3800119</v>
      </c>
      <c r="BL135" s="10">
        <v>2.3717348</v>
      </c>
      <c r="BM135" s="10">
        <v>2.3637526000000002</v>
      </c>
      <c r="BN135" s="10">
        <v>2.3560677000000001</v>
      </c>
      <c r="BO135" s="10">
        <v>2.3486824999999998</v>
      </c>
      <c r="BP135" s="10">
        <v>2.3415994000000002</v>
      </c>
      <c r="BQ135" s="10">
        <v>2.3348209999999998</v>
      </c>
      <c r="BR135" s="10">
        <v>2.3006435999999999</v>
      </c>
      <c r="BS135" s="10">
        <v>2.2778136</v>
      </c>
      <c r="BU135" s="7">
        <v>2.04</v>
      </c>
      <c r="BV135" s="7">
        <v>2.39</v>
      </c>
      <c r="BW135" s="9">
        <v>78.4495</v>
      </c>
    </row>
    <row r="136" spans="1:75" x14ac:dyDescent="0.25">
      <c r="A136" s="6">
        <f t="shared" si="11"/>
        <v>44742</v>
      </c>
      <c r="B136" s="13">
        <f t="shared" si="6"/>
        <v>6</v>
      </c>
      <c r="C136" s="13">
        <f t="shared" si="7"/>
        <v>2022</v>
      </c>
      <c r="D136">
        <f t="shared" si="8"/>
        <v>202206</v>
      </c>
      <c r="E136">
        <f t="shared" si="9"/>
        <v>2</v>
      </c>
      <c r="F136">
        <f t="shared" si="10"/>
        <v>202202</v>
      </c>
      <c r="G136" t="s">
        <v>323</v>
      </c>
      <c r="H136" s="9">
        <v>1.25</v>
      </c>
      <c r="I136" s="9">
        <v>1.1874</v>
      </c>
      <c r="J136" s="10">
        <v>1.3326808000000001</v>
      </c>
      <c r="K136" s="10">
        <v>1.6975701999999999</v>
      </c>
      <c r="L136" s="10">
        <v>2.0078450000000001</v>
      </c>
      <c r="M136" s="10">
        <v>2.2760973999999998</v>
      </c>
      <c r="N136" s="10">
        <v>2.5060424000000001</v>
      </c>
      <c r="O136" s="10">
        <v>2.6923876</v>
      </c>
      <c r="P136" s="10">
        <v>2.8308566000000002</v>
      </c>
      <c r="Q136" s="10">
        <v>2.9202846999999998</v>
      </c>
      <c r="R136" s="10">
        <v>2.9685823</v>
      </c>
      <c r="S136" s="10">
        <v>2.9860551000000002</v>
      </c>
      <c r="T136" s="10">
        <v>2.981487</v>
      </c>
      <c r="U136" s="10">
        <v>2.961881</v>
      </c>
      <c r="V136" s="10">
        <v>2.9358871</v>
      </c>
      <c r="W136" s="10">
        <v>2.9062657000000001</v>
      </c>
      <c r="X136" s="10">
        <v>2.8740348999999998</v>
      </c>
      <c r="Y136" s="10">
        <v>2.8402128000000002</v>
      </c>
      <c r="Z136" s="10">
        <v>2.8058174999999999</v>
      </c>
      <c r="AA136" s="10">
        <v>2.7718671000000001</v>
      </c>
      <c r="AB136" s="10">
        <v>2.7392620000000001</v>
      </c>
      <c r="AC136" s="10">
        <v>2.7082350000000002</v>
      </c>
      <c r="AD136" s="10">
        <v>2.6787842999999998</v>
      </c>
      <c r="AE136" s="10">
        <v>2.6509078000000001</v>
      </c>
      <c r="AF136" s="10">
        <v>2.6246033999999998</v>
      </c>
      <c r="AG136" s="10">
        <v>2.5998689000000001</v>
      </c>
      <c r="AH136" s="10">
        <v>2.5766900000000001</v>
      </c>
      <c r="AI136" s="10">
        <v>2.5549917</v>
      </c>
      <c r="AJ136" s="10">
        <v>2.5346807</v>
      </c>
      <c r="AK136" s="10">
        <v>2.5156637000000002</v>
      </c>
      <c r="AL136" s="10">
        <v>2.4978473000000001</v>
      </c>
      <c r="AM136" s="10">
        <v>2.4811383</v>
      </c>
      <c r="AN136" s="10">
        <v>2.4654433999999998</v>
      </c>
      <c r="AO136" s="10">
        <v>2.4506692000000001</v>
      </c>
      <c r="AP136" s="10">
        <v>2.4367225000000001</v>
      </c>
      <c r="AQ136" s="10">
        <v>2.4235099</v>
      </c>
      <c r="AR136" s="10">
        <v>2.4109381999999999</v>
      </c>
      <c r="AS136" s="10">
        <v>2.3989139000000002</v>
      </c>
      <c r="AT136" s="10">
        <v>2.3873530999999999</v>
      </c>
      <c r="AU136" s="10">
        <v>2.3762121</v>
      </c>
      <c r="AV136" s="10">
        <v>2.3654584000000001</v>
      </c>
      <c r="AW136" s="10">
        <v>2.3550596000000001</v>
      </c>
      <c r="AX136" s="10">
        <v>2.3449833999999998</v>
      </c>
      <c r="AY136" s="10">
        <v>2.3351972999999999</v>
      </c>
      <c r="AZ136" s="10">
        <v>2.3256689000000001</v>
      </c>
      <c r="BA136" s="10">
        <v>2.3163657999999998</v>
      </c>
      <c r="BB136" s="10">
        <v>2.3072555000000001</v>
      </c>
      <c r="BC136" s="10">
        <v>2.2983055999999999</v>
      </c>
      <c r="BD136" s="10">
        <v>2.2894838000000002</v>
      </c>
      <c r="BE136" s="10">
        <v>2.2807575</v>
      </c>
      <c r="BF136" s="10">
        <v>2.2721019999999998</v>
      </c>
      <c r="BG136" s="10">
        <v>2.2635265000000002</v>
      </c>
      <c r="BH136" s="10">
        <v>2.2550493</v>
      </c>
      <c r="BI136" s="10">
        <v>2.2466889000000001</v>
      </c>
      <c r="BJ136" s="10">
        <v>2.2384637999999999</v>
      </c>
      <c r="BK136" s="10">
        <v>2.2303923000000001</v>
      </c>
      <c r="BL136" s="10">
        <v>2.2224929000000002</v>
      </c>
      <c r="BM136" s="10">
        <v>2.2147839999999999</v>
      </c>
      <c r="BN136" s="10">
        <v>2.2072840999999999</v>
      </c>
      <c r="BO136" s="10">
        <v>2.2000115999999998</v>
      </c>
      <c r="BP136" s="10">
        <v>2.1929848999999999</v>
      </c>
      <c r="BQ136" s="10">
        <v>2.1862225</v>
      </c>
      <c r="BR136" s="10">
        <v>2.1517434999999998</v>
      </c>
      <c r="BS136" s="10">
        <v>2.1284725999999998</v>
      </c>
      <c r="BU136" s="7">
        <v>1.85</v>
      </c>
      <c r="BV136" s="7">
        <v>2.2200000000000002</v>
      </c>
      <c r="BW136" s="9">
        <v>78.703900000000004</v>
      </c>
    </row>
    <row r="137" spans="1:75" x14ac:dyDescent="0.25">
      <c r="A137" s="6">
        <f t="shared" si="11"/>
        <v>44743</v>
      </c>
      <c r="B137" s="13">
        <f t="shared" ref="B137:B200" si="12">MONTH(A137)</f>
        <v>7</v>
      </c>
      <c r="C137" s="13">
        <f t="shared" ref="C137:C200" si="13">YEAR(A137)</f>
        <v>2022</v>
      </c>
      <c r="D137">
        <f t="shared" ref="D137:D200" si="14">C137*100+B137</f>
        <v>202207</v>
      </c>
      <c r="E137">
        <f t="shared" ref="E137:E200" si="15">IF(B137&lt;4,1,IF(B137&lt;7,2,IF(B137&lt;10,3,4)))</f>
        <v>3</v>
      </c>
      <c r="F137">
        <f t="shared" ref="F137:F200" si="16">C137*100+E137</f>
        <v>202203</v>
      </c>
      <c r="G137" t="s">
        <v>324</v>
      </c>
      <c r="H137" s="9">
        <v>1.25</v>
      </c>
      <c r="I137" s="9">
        <v>1.1907000000000001</v>
      </c>
      <c r="J137" s="10">
        <v>1.3357469</v>
      </c>
      <c r="K137" s="10">
        <v>1.6961416</v>
      </c>
      <c r="L137" s="10">
        <v>2.0050466</v>
      </c>
      <c r="M137" s="10">
        <v>2.2682383000000002</v>
      </c>
      <c r="N137" s="10">
        <v>2.4871146999999998</v>
      </c>
      <c r="O137" s="10">
        <v>2.6565546000000002</v>
      </c>
      <c r="P137" s="10">
        <v>2.7763322000000001</v>
      </c>
      <c r="Q137" s="10">
        <v>2.848576</v>
      </c>
      <c r="R137" s="10">
        <v>2.8816278999999998</v>
      </c>
      <c r="S137" s="10">
        <v>2.8842626999999998</v>
      </c>
      <c r="T137" s="10">
        <v>2.8656516999999999</v>
      </c>
      <c r="U137" s="10">
        <v>2.8331919999999999</v>
      </c>
      <c r="V137" s="10">
        <v>2.7954116</v>
      </c>
      <c r="W137" s="10">
        <v>2.7553017999999998</v>
      </c>
      <c r="X137" s="10">
        <v>2.7139101000000001</v>
      </c>
      <c r="Y137" s="10">
        <v>2.6722834</v>
      </c>
      <c r="Z137" s="10">
        <v>2.6314685999999998</v>
      </c>
      <c r="AA137" s="10">
        <v>2.5925126999999999</v>
      </c>
      <c r="AB137" s="10">
        <v>2.5563007999999998</v>
      </c>
      <c r="AC137" s="10">
        <v>2.5228885999999999</v>
      </c>
      <c r="AD137" s="10">
        <v>2.4920667000000001</v>
      </c>
      <c r="AE137" s="10">
        <v>2.4636255999999999</v>
      </c>
      <c r="AF137" s="10">
        <v>2.4373559999999999</v>
      </c>
      <c r="AG137" s="10">
        <v>2.4130484000000001</v>
      </c>
      <c r="AH137" s="10">
        <v>2.3905080000000001</v>
      </c>
      <c r="AI137" s="10">
        <v>2.3696041000000001</v>
      </c>
      <c r="AJ137" s="10">
        <v>2.3502241000000001</v>
      </c>
      <c r="AK137" s="10">
        <v>2.3322550999999998</v>
      </c>
      <c r="AL137" s="10">
        <v>2.3155844000000001</v>
      </c>
      <c r="AM137" s="10">
        <v>2.3000991000000002</v>
      </c>
      <c r="AN137" s="10">
        <v>2.2856863999999999</v>
      </c>
      <c r="AO137" s="10">
        <v>2.2722335999999999</v>
      </c>
      <c r="AP137" s="10">
        <v>2.2596278000000001</v>
      </c>
      <c r="AQ137" s="10">
        <v>2.2477562999999998</v>
      </c>
      <c r="AR137" s="10">
        <v>2.2365062999999998</v>
      </c>
      <c r="AS137" s="10">
        <v>2.2257649000000002</v>
      </c>
      <c r="AT137" s="10">
        <v>2.2154329000000001</v>
      </c>
      <c r="AU137" s="10">
        <v>2.2054703999999998</v>
      </c>
      <c r="AV137" s="10">
        <v>2.1958538999999999</v>
      </c>
      <c r="AW137" s="10">
        <v>2.1865598999999998</v>
      </c>
      <c r="AX137" s="10">
        <v>2.177565</v>
      </c>
      <c r="AY137" s="10">
        <v>2.1688456999999999</v>
      </c>
      <c r="AZ137" s="10">
        <v>2.1603786</v>
      </c>
      <c r="BA137" s="10">
        <v>2.1521401999999998</v>
      </c>
      <c r="BB137" s="10">
        <v>2.144107</v>
      </c>
      <c r="BC137" s="10">
        <v>2.1362554999999999</v>
      </c>
      <c r="BD137" s="10">
        <v>2.1285623</v>
      </c>
      <c r="BE137" s="10">
        <v>2.1210040000000001</v>
      </c>
      <c r="BF137" s="10">
        <v>2.1135625999999998</v>
      </c>
      <c r="BG137" s="10">
        <v>2.1062455</v>
      </c>
      <c r="BH137" s="10">
        <v>2.0990668000000001</v>
      </c>
      <c r="BI137" s="10">
        <v>2.0920405999999998</v>
      </c>
      <c r="BJ137" s="10">
        <v>2.085181</v>
      </c>
      <c r="BK137" s="10">
        <v>2.0785021000000001</v>
      </c>
      <c r="BL137" s="10">
        <v>2.0720181000000002</v>
      </c>
      <c r="BM137" s="10">
        <v>2.0657431000000002</v>
      </c>
      <c r="BN137" s="10">
        <v>2.0596912000000001</v>
      </c>
      <c r="BO137" s="10">
        <v>2.0538766000000002</v>
      </c>
      <c r="BP137" s="10">
        <v>2.0483132999999998</v>
      </c>
      <c r="BQ137" s="10">
        <v>2.0430155000000001</v>
      </c>
      <c r="BR137" s="10">
        <v>2.0172056999999999</v>
      </c>
      <c r="BS137" s="10">
        <v>2.0021513</v>
      </c>
      <c r="BU137" s="7">
        <v>1.7</v>
      </c>
      <c r="BV137" s="7">
        <v>2.1</v>
      </c>
      <c r="BW137" s="9">
        <v>78.065299999999993</v>
      </c>
    </row>
    <row r="138" spans="1:75" x14ac:dyDescent="0.25">
      <c r="A138" s="6">
        <f t="shared" si="11"/>
        <v>44746</v>
      </c>
      <c r="B138" s="13">
        <f t="shared" si="12"/>
        <v>7</v>
      </c>
      <c r="C138" s="13">
        <f t="shared" si="13"/>
        <v>2022</v>
      </c>
      <c r="D138">
        <f t="shared" si="14"/>
        <v>202207</v>
      </c>
      <c r="E138">
        <f t="shared" si="15"/>
        <v>3</v>
      </c>
      <c r="F138">
        <f t="shared" si="16"/>
        <v>202203</v>
      </c>
      <c r="G138" t="s">
        <v>325</v>
      </c>
      <c r="H138" s="9">
        <v>1.25</v>
      </c>
      <c r="I138" s="9">
        <v>1.1901999999999999</v>
      </c>
      <c r="J138" s="10">
        <v>1.3613289</v>
      </c>
      <c r="K138" s="10">
        <v>1.7531779999999999</v>
      </c>
      <c r="L138" s="10">
        <v>2.0719542999999998</v>
      </c>
      <c r="M138" s="10">
        <v>2.3368731999999999</v>
      </c>
      <c r="N138" s="10">
        <v>2.5583225999999999</v>
      </c>
      <c r="O138" s="10">
        <v>2.7334113000000002</v>
      </c>
      <c r="P138" s="10">
        <v>2.8598199000000002</v>
      </c>
      <c r="Q138" s="10">
        <v>2.9415019</v>
      </c>
      <c r="R138" s="10">
        <v>2.9837920000000002</v>
      </c>
      <c r="S138" s="10">
        <v>2.9962373000000002</v>
      </c>
      <c r="T138" s="10">
        <v>2.9860720999999999</v>
      </c>
      <c r="U138" s="10">
        <v>2.9606264000000002</v>
      </c>
      <c r="V138" s="10">
        <v>2.9282129000000001</v>
      </c>
      <c r="W138" s="10">
        <v>2.8916607000000001</v>
      </c>
      <c r="X138" s="10">
        <v>2.8522582000000001</v>
      </c>
      <c r="Y138" s="10">
        <v>2.8112938000000001</v>
      </c>
      <c r="Z138" s="10">
        <v>2.7700559999999999</v>
      </c>
      <c r="AA138" s="10">
        <v>2.7298331999999998</v>
      </c>
      <c r="AB138" s="10">
        <v>2.6917198999999998</v>
      </c>
      <c r="AC138" s="10">
        <v>2.6559115000000002</v>
      </c>
      <c r="AD138" s="10">
        <v>2.6223429</v>
      </c>
      <c r="AE138" s="10">
        <v>2.5909487000000002</v>
      </c>
      <c r="AF138" s="10">
        <v>2.5616637</v>
      </c>
      <c r="AG138" s="10">
        <v>2.5344226999999999</v>
      </c>
      <c r="AH138" s="10">
        <v>2.5091524999999999</v>
      </c>
      <c r="AI138" s="10">
        <v>2.4857447000000001</v>
      </c>
      <c r="AJ138" s="10">
        <v>2.4640811</v>
      </c>
      <c r="AK138" s="10">
        <v>2.4440439</v>
      </c>
      <c r="AL138" s="10">
        <v>2.4255148000000002</v>
      </c>
      <c r="AM138" s="10">
        <v>2.4083758</v>
      </c>
      <c r="AN138" s="10">
        <v>2.3925087999999999</v>
      </c>
      <c r="AO138" s="10">
        <v>2.3777957999999999</v>
      </c>
      <c r="AP138" s="10">
        <v>2.3641187000000001</v>
      </c>
      <c r="AQ138" s="10">
        <v>2.3513595</v>
      </c>
      <c r="AR138" s="10">
        <v>2.3393999999999999</v>
      </c>
      <c r="AS138" s="10">
        <v>2.3281222000000001</v>
      </c>
      <c r="AT138" s="10">
        <v>2.3174201999999999</v>
      </c>
      <c r="AU138" s="10">
        <v>2.3072423</v>
      </c>
      <c r="AV138" s="10">
        <v>2.2975515999999998</v>
      </c>
      <c r="AW138" s="10">
        <v>2.2883111999999999</v>
      </c>
      <c r="AX138" s="10">
        <v>2.2794843</v>
      </c>
      <c r="AY138" s="10">
        <v>2.2710338999999999</v>
      </c>
      <c r="AZ138" s="10">
        <v>2.2629231999999999</v>
      </c>
      <c r="BA138" s="10">
        <v>2.2551152999999999</v>
      </c>
      <c r="BB138" s="10">
        <v>2.2475733</v>
      </c>
      <c r="BC138" s="10">
        <v>2.2402603000000001</v>
      </c>
      <c r="BD138" s="10">
        <v>2.2331395999999999</v>
      </c>
      <c r="BE138" s="10">
        <v>2.2261741000000002</v>
      </c>
      <c r="BF138" s="10">
        <v>2.2193328999999999</v>
      </c>
      <c r="BG138" s="10">
        <v>2.2126166999999999</v>
      </c>
      <c r="BH138" s="10">
        <v>2.2060369</v>
      </c>
      <c r="BI138" s="10">
        <v>2.1996047999999999</v>
      </c>
      <c r="BJ138" s="10">
        <v>2.1933316999999999</v>
      </c>
      <c r="BK138" s="10">
        <v>2.1872289999999999</v>
      </c>
      <c r="BL138" s="10">
        <v>2.1813080999999999</v>
      </c>
      <c r="BM138" s="10">
        <v>2.1755802000000002</v>
      </c>
      <c r="BN138" s="10">
        <v>2.1700566999999999</v>
      </c>
      <c r="BO138" s="10">
        <v>2.164749</v>
      </c>
      <c r="BP138" s="10">
        <v>2.1596685</v>
      </c>
      <c r="BQ138" s="10">
        <v>2.1548264000000001</v>
      </c>
      <c r="BR138" s="10">
        <v>2.1311325000000001</v>
      </c>
      <c r="BS138" s="10">
        <v>2.1171384</v>
      </c>
      <c r="BU138" s="7">
        <v>1.81</v>
      </c>
      <c r="BV138" s="7">
        <v>2.19</v>
      </c>
      <c r="BW138" s="9">
        <v>78.667500000000004</v>
      </c>
    </row>
    <row r="139" spans="1:75" x14ac:dyDescent="0.25">
      <c r="A139" s="6">
        <f t="shared" si="11"/>
        <v>44747</v>
      </c>
      <c r="B139" s="13">
        <f t="shared" si="12"/>
        <v>7</v>
      </c>
      <c r="C139" s="13">
        <f t="shared" si="13"/>
        <v>2022</v>
      </c>
      <c r="D139">
        <f t="shared" si="14"/>
        <v>202207</v>
      </c>
      <c r="E139">
        <f t="shared" si="15"/>
        <v>3</v>
      </c>
      <c r="F139">
        <f t="shared" si="16"/>
        <v>202203</v>
      </c>
      <c r="G139" t="s">
        <v>326</v>
      </c>
      <c r="H139" s="9">
        <v>1.25</v>
      </c>
      <c r="I139" s="9">
        <v>1.1907000000000001</v>
      </c>
      <c r="J139" s="10">
        <v>1.3765953</v>
      </c>
      <c r="K139" s="10">
        <v>1.7513799999999999</v>
      </c>
      <c r="L139" s="10">
        <v>2.0516279000000002</v>
      </c>
      <c r="M139" s="10">
        <v>2.2939428999999998</v>
      </c>
      <c r="N139" s="10">
        <v>2.4889245999999998</v>
      </c>
      <c r="O139" s="10">
        <v>2.6388338</v>
      </c>
      <c r="P139" s="10">
        <v>2.7451162</v>
      </c>
      <c r="Q139" s="10">
        <v>2.8131146999999999</v>
      </c>
      <c r="R139" s="10">
        <v>2.8491814</v>
      </c>
      <c r="S139" s="10">
        <v>2.8609836999999998</v>
      </c>
      <c r="T139" s="10">
        <v>2.853869</v>
      </c>
      <c r="U139" s="10">
        <v>2.8327816000000001</v>
      </c>
      <c r="V139" s="10">
        <v>2.8024441000000002</v>
      </c>
      <c r="W139" s="10">
        <v>2.765212</v>
      </c>
      <c r="X139" s="10">
        <v>2.7228279</v>
      </c>
      <c r="Y139" s="10">
        <v>2.6770347999999999</v>
      </c>
      <c r="Z139" s="10">
        <v>2.6295753999999998</v>
      </c>
      <c r="AA139" s="10">
        <v>2.5821925000000001</v>
      </c>
      <c r="AB139" s="10">
        <v>2.5364129000000002</v>
      </c>
      <c r="AC139" s="10">
        <v>2.4927622999999999</v>
      </c>
      <c r="AD139" s="10">
        <v>2.4514762999999999</v>
      </c>
      <c r="AE139" s="10">
        <v>2.4127904</v>
      </c>
      <c r="AF139" s="10">
        <v>2.3769399</v>
      </c>
      <c r="AG139" s="10">
        <v>2.3441603999999998</v>
      </c>
      <c r="AH139" s="10">
        <v>2.3146176000000001</v>
      </c>
      <c r="AI139" s="10">
        <v>2.2881689000000001</v>
      </c>
      <c r="AJ139" s="10">
        <v>2.2645865000000001</v>
      </c>
      <c r="AK139" s="10">
        <v>2.2436430000000001</v>
      </c>
      <c r="AL139" s="10">
        <v>2.2251105</v>
      </c>
      <c r="AM139" s="10">
        <v>2.2087615</v>
      </c>
      <c r="AN139" s="10">
        <v>2.1943682</v>
      </c>
      <c r="AO139" s="10">
        <v>2.1817031999999998</v>
      </c>
      <c r="AP139" s="10">
        <v>2.1705386</v>
      </c>
      <c r="AQ139" s="10">
        <v>2.1606469000000001</v>
      </c>
      <c r="AR139" s="10">
        <v>2.1518003999999999</v>
      </c>
      <c r="AS139" s="10">
        <v>2.1437713999999999</v>
      </c>
      <c r="AT139" s="10">
        <v>2.1363536999999999</v>
      </c>
      <c r="AU139" s="10">
        <v>2.1294559999999998</v>
      </c>
      <c r="AV139" s="10">
        <v>2.1230256999999999</v>
      </c>
      <c r="AW139" s="10">
        <v>2.1170100000000001</v>
      </c>
      <c r="AX139" s="10">
        <v>2.1113564</v>
      </c>
      <c r="AY139" s="10">
        <v>2.1060121999999999</v>
      </c>
      <c r="AZ139" s="10">
        <v>2.1009248</v>
      </c>
      <c r="BA139" s="10">
        <v>2.0960413999999998</v>
      </c>
      <c r="BB139" s="10">
        <v>2.0913096000000002</v>
      </c>
      <c r="BC139" s="10">
        <v>2.0866764999999998</v>
      </c>
      <c r="BD139" s="10">
        <v>2.0820894999999999</v>
      </c>
      <c r="BE139" s="10">
        <v>2.0774960999999998</v>
      </c>
      <c r="BF139" s="10">
        <v>2.0728534000000001</v>
      </c>
      <c r="BG139" s="10">
        <v>2.0681664</v>
      </c>
      <c r="BH139" s="10">
        <v>2.0634549</v>
      </c>
      <c r="BI139" s="10">
        <v>2.0587384000000002</v>
      </c>
      <c r="BJ139" s="10">
        <v>2.0540365999999999</v>
      </c>
      <c r="BK139" s="10">
        <v>2.0493692000000001</v>
      </c>
      <c r="BL139" s="10">
        <v>2.0447557999999999</v>
      </c>
      <c r="BM139" s="10">
        <v>2.0402160999999999</v>
      </c>
      <c r="BN139" s="10">
        <v>2.0357696000000001</v>
      </c>
      <c r="BO139" s="10">
        <v>2.0314361999999999</v>
      </c>
      <c r="BP139" s="10">
        <v>2.0272353999999999</v>
      </c>
      <c r="BQ139" s="10">
        <v>2.0231868999999998</v>
      </c>
      <c r="BR139" s="10">
        <v>2.0027029000000001</v>
      </c>
      <c r="BS139" s="10">
        <v>1.9896745</v>
      </c>
      <c r="BU139" s="7">
        <v>1.69</v>
      </c>
      <c r="BV139" s="7">
        <v>2.06</v>
      </c>
      <c r="BW139" s="9">
        <v>78.150000000000006</v>
      </c>
    </row>
    <row r="140" spans="1:75" x14ac:dyDescent="0.25">
      <c r="A140" s="6">
        <f t="shared" si="11"/>
        <v>44748</v>
      </c>
      <c r="B140" s="13">
        <f t="shared" si="12"/>
        <v>7</v>
      </c>
      <c r="C140" s="13">
        <f t="shared" si="13"/>
        <v>2022</v>
      </c>
      <c r="D140">
        <f t="shared" si="14"/>
        <v>202207</v>
      </c>
      <c r="E140">
        <f t="shared" si="15"/>
        <v>3</v>
      </c>
      <c r="F140">
        <f t="shared" si="16"/>
        <v>202203</v>
      </c>
      <c r="G140" t="s">
        <v>327</v>
      </c>
      <c r="H140" s="9">
        <v>1.25</v>
      </c>
      <c r="I140" s="9">
        <v>1.1908000000000001</v>
      </c>
      <c r="J140" s="10">
        <v>1.3948434000000001</v>
      </c>
      <c r="K140" s="10">
        <v>1.7512061000000001</v>
      </c>
      <c r="L140" s="10">
        <v>2.0500113</v>
      </c>
      <c r="M140" s="10">
        <v>2.2986536000000002</v>
      </c>
      <c r="N140" s="10">
        <v>2.5008436000000001</v>
      </c>
      <c r="O140" s="10">
        <v>2.6560709999999998</v>
      </c>
      <c r="P140" s="10">
        <v>2.7659969000000002</v>
      </c>
      <c r="Q140" s="10">
        <v>2.8366535000000002</v>
      </c>
      <c r="R140" s="10">
        <v>2.8761461000000001</v>
      </c>
      <c r="S140" s="10">
        <v>2.8922260999999998</v>
      </c>
      <c r="T140" s="10">
        <v>2.8908716999999999</v>
      </c>
      <c r="U140" s="10">
        <v>2.8764411000000001</v>
      </c>
      <c r="V140" s="10">
        <v>2.8535306999999999</v>
      </c>
      <c r="W140" s="10">
        <v>2.8241741999999999</v>
      </c>
      <c r="X140" s="10">
        <v>2.7896695999999999</v>
      </c>
      <c r="Y140" s="10">
        <v>2.7513147999999998</v>
      </c>
      <c r="Z140" s="10">
        <v>2.7104075999999999</v>
      </c>
      <c r="AA140" s="10">
        <v>2.6682459999999999</v>
      </c>
      <c r="AB140" s="10">
        <v>2.6260346999999999</v>
      </c>
      <c r="AC140" s="10">
        <v>2.5844513</v>
      </c>
      <c r="AD140" s="10">
        <v>2.5439875000000001</v>
      </c>
      <c r="AE140" s="10">
        <v>2.5051350999999999</v>
      </c>
      <c r="AF140" s="10">
        <v>2.4683858999999999</v>
      </c>
      <c r="AG140" s="10">
        <v>2.4342315999999999</v>
      </c>
      <c r="AH140" s="10">
        <v>2.4030800000000001</v>
      </c>
      <c r="AI140" s="10">
        <v>2.3748868000000001</v>
      </c>
      <c r="AJ140" s="10">
        <v>2.3494560999999998</v>
      </c>
      <c r="AK140" s="10">
        <v>2.3265918999999999</v>
      </c>
      <c r="AL140" s="10">
        <v>2.3060982999999999</v>
      </c>
      <c r="AM140" s="10">
        <v>2.2877792000000001</v>
      </c>
      <c r="AN140" s="10">
        <v>2.2714387999999999</v>
      </c>
      <c r="AO140" s="10">
        <v>2.2568809999999999</v>
      </c>
      <c r="AP140" s="10">
        <v>2.2439098999999998</v>
      </c>
      <c r="AQ140" s="10">
        <v>2.2323295000000001</v>
      </c>
      <c r="AR140" s="10">
        <v>2.2219437000000002</v>
      </c>
      <c r="AS140" s="10">
        <v>2.2125568000000002</v>
      </c>
      <c r="AT140" s="10">
        <v>2.2039889000000001</v>
      </c>
      <c r="AU140" s="10">
        <v>2.1961396999999998</v>
      </c>
      <c r="AV140" s="10">
        <v>2.188933</v>
      </c>
      <c r="AW140" s="10">
        <v>2.1822927000000001</v>
      </c>
      <c r="AX140" s="10">
        <v>2.1761425999999999</v>
      </c>
      <c r="AY140" s="10">
        <v>2.1704064000000001</v>
      </c>
      <c r="AZ140" s="10">
        <v>2.1650081000000001</v>
      </c>
      <c r="BA140" s="10">
        <v>2.1598714999999999</v>
      </c>
      <c r="BB140" s="10">
        <v>2.1549201999999998</v>
      </c>
      <c r="BC140" s="10">
        <v>2.1500783000000001</v>
      </c>
      <c r="BD140" s="10">
        <v>2.1452694999999999</v>
      </c>
      <c r="BE140" s="10">
        <v>2.1404174999999999</v>
      </c>
      <c r="BF140" s="10">
        <v>2.1354612999999998</v>
      </c>
      <c r="BG140" s="10">
        <v>2.1304056999999998</v>
      </c>
      <c r="BH140" s="10">
        <v>2.1252737000000002</v>
      </c>
      <c r="BI140" s="10">
        <v>2.1200885999999999</v>
      </c>
      <c r="BJ140" s="10">
        <v>2.1148733000000002</v>
      </c>
      <c r="BK140" s="10">
        <v>2.1096509999999999</v>
      </c>
      <c r="BL140" s="10">
        <v>2.1044448999999998</v>
      </c>
      <c r="BM140" s="10">
        <v>2.0992779000000001</v>
      </c>
      <c r="BN140" s="10">
        <v>2.0941732000000002</v>
      </c>
      <c r="BO140" s="10">
        <v>2.0891540000000002</v>
      </c>
      <c r="BP140" s="10">
        <v>2.0842432999999998</v>
      </c>
      <c r="BQ140" s="10">
        <v>2.0794641999999999</v>
      </c>
      <c r="BR140" s="10">
        <v>2.0544191999999999</v>
      </c>
      <c r="BS140" s="10">
        <v>2.0373367999999998</v>
      </c>
      <c r="BU140" s="7">
        <v>1.75</v>
      </c>
      <c r="BV140" s="7">
        <v>2.1</v>
      </c>
      <c r="BW140" s="9">
        <v>78.319500000000005</v>
      </c>
    </row>
    <row r="141" spans="1:75" x14ac:dyDescent="0.25">
      <c r="A141" s="6">
        <f t="shared" si="11"/>
        <v>44749</v>
      </c>
      <c r="B141" s="13">
        <f t="shared" si="12"/>
        <v>7</v>
      </c>
      <c r="C141" s="13">
        <f t="shared" si="13"/>
        <v>2022</v>
      </c>
      <c r="D141">
        <f t="shared" si="14"/>
        <v>202207</v>
      </c>
      <c r="E141">
        <f t="shared" si="15"/>
        <v>3</v>
      </c>
      <c r="F141">
        <f t="shared" si="16"/>
        <v>202203</v>
      </c>
      <c r="G141" t="s">
        <v>328</v>
      </c>
      <c r="H141" s="9">
        <v>1.25</v>
      </c>
      <c r="I141" s="9">
        <v>1.1904999999999999</v>
      </c>
      <c r="J141" s="10">
        <v>1.415494</v>
      </c>
      <c r="K141" s="10">
        <v>1.7939098</v>
      </c>
      <c r="L141" s="10">
        <v>2.1113004000000002</v>
      </c>
      <c r="M141" s="10">
        <v>2.3721722000000001</v>
      </c>
      <c r="N141" s="10">
        <v>2.5821846000000002</v>
      </c>
      <c r="O141" s="10">
        <v>2.743274</v>
      </c>
      <c r="P141" s="10">
        <v>2.8610066000000001</v>
      </c>
      <c r="Q141" s="10">
        <v>2.9409272</v>
      </c>
      <c r="R141" s="10">
        <v>2.9906850999999999</v>
      </c>
      <c r="S141" s="10">
        <v>3.0156231999999998</v>
      </c>
      <c r="T141" s="10">
        <v>3.0215312000000001</v>
      </c>
      <c r="U141" s="10">
        <v>3.0125481999999999</v>
      </c>
      <c r="V141" s="10">
        <v>2.9937216000000002</v>
      </c>
      <c r="W141" s="10">
        <v>2.9673264000000001</v>
      </c>
      <c r="X141" s="10">
        <v>2.9347750000000001</v>
      </c>
      <c r="Y141" s="10">
        <v>2.8974799</v>
      </c>
      <c r="Z141" s="10">
        <v>2.8568536</v>
      </c>
      <c r="AA141" s="10">
        <v>2.8143087000000002</v>
      </c>
      <c r="AB141" s="10">
        <v>2.7711469000000002</v>
      </c>
      <c r="AC141" s="10">
        <v>2.7281029999999999</v>
      </c>
      <c r="AD141" s="10">
        <v>2.6857305999999999</v>
      </c>
      <c r="AE141" s="10">
        <v>2.6445835</v>
      </c>
      <c r="AF141" s="10">
        <v>2.6052152</v>
      </c>
      <c r="AG141" s="10">
        <v>2.5681791999999999</v>
      </c>
      <c r="AH141" s="10">
        <v>2.5339304999999999</v>
      </c>
      <c r="AI141" s="10">
        <v>2.5024429000000001</v>
      </c>
      <c r="AJ141" s="10">
        <v>2.4735436000000002</v>
      </c>
      <c r="AK141" s="10">
        <v>2.4470602000000001</v>
      </c>
      <c r="AL141" s="10">
        <v>2.4228200000000002</v>
      </c>
      <c r="AM141" s="10">
        <v>2.4006501999999998</v>
      </c>
      <c r="AN141" s="10">
        <v>2.3803784000000001</v>
      </c>
      <c r="AO141" s="10">
        <v>2.3618318</v>
      </c>
      <c r="AP141" s="10">
        <v>2.3448378000000001</v>
      </c>
      <c r="AQ141" s="10">
        <v>2.3292237999999998</v>
      </c>
      <c r="AR141" s="10">
        <v>2.3148171999999998</v>
      </c>
      <c r="AS141" s="10">
        <v>2.3014451999999999</v>
      </c>
      <c r="AT141" s="10">
        <v>2.2889503000000002</v>
      </c>
      <c r="AU141" s="10">
        <v>2.2772408</v>
      </c>
      <c r="AV141" s="10">
        <v>2.2662434</v>
      </c>
      <c r="AW141" s="10">
        <v>2.2558848999999999</v>
      </c>
      <c r="AX141" s="10">
        <v>2.2460919000000001</v>
      </c>
      <c r="AY141" s="10">
        <v>2.2367910000000002</v>
      </c>
      <c r="AZ141" s="10">
        <v>2.2279089000000001</v>
      </c>
      <c r="BA141" s="10">
        <v>2.2193722999999999</v>
      </c>
      <c r="BB141" s="10">
        <v>2.2111079</v>
      </c>
      <c r="BC141" s="10">
        <v>2.2030422999999999</v>
      </c>
      <c r="BD141" s="10">
        <v>2.1951022999999998</v>
      </c>
      <c r="BE141" s="10">
        <v>2.1872143999999998</v>
      </c>
      <c r="BF141" s="10">
        <v>2.1793200000000001</v>
      </c>
      <c r="BG141" s="10">
        <v>2.1714245999999999</v>
      </c>
      <c r="BH141" s="10">
        <v>2.1635515000000001</v>
      </c>
      <c r="BI141" s="10">
        <v>2.1557241</v>
      </c>
      <c r="BJ141" s="10">
        <v>2.1479658000000001</v>
      </c>
      <c r="BK141" s="10">
        <v>2.1402999</v>
      </c>
      <c r="BL141" s="10">
        <v>2.1327495999999999</v>
      </c>
      <c r="BM141" s="10">
        <v>2.1253384</v>
      </c>
      <c r="BN141" s="10">
        <v>2.1180895999999998</v>
      </c>
      <c r="BO141" s="10">
        <v>2.1110264999999999</v>
      </c>
      <c r="BP141" s="10">
        <v>2.1041724999999998</v>
      </c>
      <c r="BQ141" s="10">
        <v>2.0975508999999999</v>
      </c>
      <c r="BR141" s="10">
        <v>2.0634994999999998</v>
      </c>
      <c r="BS141" s="10">
        <v>2.0406078999999999</v>
      </c>
      <c r="BU141" s="7">
        <v>1.84</v>
      </c>
      <c r="BV141" s="7">
        <v>2.13</v>
      </c>
      <c r="BW141" s="9">
        <v>78.976200000000006</v>
      </c>
    </row>
    <row r="142" spans="1:75" x14ac:dyDescent="0.25">
      <c r="A142" s="6">
        <f t="shared" ref="A142:A205" si="17">+A137+7</f>
        <v>44750</v>
      </c>
      <c r="B142" s="13">
        <f t="shared" si="12"/>
        <v>7</v>
      </c>
      <c r="C142" s="13">
        <f t="shared" si="13"/>
        <v>2022</v>
      </c>
      <c r="D142">
        <f t="shared" si="14"/>
        <v>202207</v>
      </c>
      <c r="E142">
        <f t="shared" si="15"/>
        <v>3</v>
      </c>
      <c r="F142">
        <f t="shared" si="16"/>
        <v>202203</v>
      </c>
      <c r="G142" t="s">
        <v>329</v>
      </c>
      <c r="H142" s="9">
        <v>1.25</v>
      </c>
      <c r="I142" s="9">
        <v>1.1909000000000001</v>
      </c>
      <c r="J142" s="10">
        <v>1.4258514</v>
      </c>
      <c r="K142" s="10">
        <v>1.7994882000000001</v>
      </c>
      <c r="L142" s="10">
        <v>2.1133988000000001</v>
      </c>
      <c r="M142" s="10">
        <v>2.3761644</v>
      </c>
      <c r="N142" s="10">
        <v>2.5956372000000001</v>
      </c>
      <c r="O142" s="10">
        <v>2.7725133999999998</v>
      </c>
      <c r="P142" s="10">
        <v>2.9086865</v>
      </c>
      <c r="Q142" s="10">
        <v>3.0077235999999998</v>
      </c>
      <c r="R142" s="10">
        <v>3.0755335000000001</v>
      </c>
      <c r="S142" s="10">
        <v>3.1168923999999998</v>
      </c>
      <c r="T142" s="10">
        <v>3.1368364999999998</v>
      </c>
      <c r="U142" s="10">
        <v>3.1395046</v>
      </c>
      <c r="V142" s="10">
        <v>3.1295899999999999</v>
      </c>
      <c r="W142" s="10">
        <v>3.109683</v>
      </c>
      <c r="X142" s="10">
        <v>3.0816170000000001</v>
      </c>
      <c r="Y142" s="10">
        <v>3.0472252000000002</v>
      </c>
      <c r="Z142" s="10">
        <v>3.0083407000000002</v>
      </c>
      <c r="AA142" s="10">
        <v>2.9667967000000002</v>
      </c>
      <c r="AB142" s="10">
        <v>2.9242468000000001</v>
      </c>
      <c r="AC142" s="10">
        <v>2.8815107000000002</v>
      </c>
      <c r="AD142" s="10">
        <v>2.8391668999999999</v>
      </c>
      <c r="AE142" s="10">
        <v>2.7977935999999999</v>
      </c>
      <c r="AF142" s="10">
        <v>2.7579691999999998</v>
      </c>
      <c r="AG142" s="10">
        <v>2.7202719000000002</v>
      </c>
      <c r="AH142" s="10">
        <v>2.6851696999999999</v>
      </c>
      <c r="AI142" s="10">
        <v>2.6526423000000001</v>
      </c>
      <c r="AJ142" s="10">
        <v>2.6225352000000002</v>
      </c>
      <c r="AK142" s="10">
        <v>2.5946937000000001</v>
      </c>
      <c r="AL142" s="10">
        <v>2.5689630999999999</v>
      </c>
      <c r="AM142" s="10">
        <v>2.5451888</v>
      </c>
      <c r="AN142" s="10">
        <v>2.5232161999999998</v>
      </c>
      <c r="AO142" s="10">
        <v>2.5028904999999999</v>
      </c>
      <c r="AP142" s="10">
        <v>2.4840570999999998</v>
      </c>
      <c r="AQ142" s="10">
        <v>2.4665613999999998</v>
      </c>
      <c r="AR142" s="10">
        <v>2.4502486000000001</v>
      </c>
      <c r="AS142" s="10">
        <v>2.4349642999999999</v>
      </c>
      <c r="AT142" s="10">
        <v>2.4205670000000001</v>
      </c>
      <c r="AU142" s="10">
        <v>2.4069752000000002</v>
      </c>
      <c r="AV142" s="10">
        <v>2.3941233</v>
      </c>
      <c r="AW142" s="10">
        <v>2.3819461999999998</v>
      </c>
      <c r="AX142" s="10">
        <v>2.3703785000000002</v>
      </c>
      <c r="AY142" s="10">
        <v>2.3593546999999999</v>
      </c>
      <c r="AZ142" s="10">
        <v>2.3488096000000001</v>
      </c>
      <c r="BA142" s="10">
        <v>2.3386776999999999</v>
      </c>
      <c r="BB142" s="10">
        <v>2.3288937999999999</v>
      </c>
      <c r="BC142" s="10">
        <v>2.3193926</v>
      </c>
      <c r="BD142" s="10">
        <v>2.3101085000000001</v>
      </c>
      <c r="BE142" s="10">
        <v>2.3009764000000001</v>
      </c>
      <c r="BF142" s="10">
        <v>2.2919434000000001</v>
      </c>
      <c r="BG142" s="10">
        <v>2.2830121999999999</v>
      </c>
      <c r="BH142" s="10">
        <v>2.2742008</v>
      </c>
      <c r="BI142" s="10">
        <v>2.2655273999999999</v>
      </c>
      <c r="BJ142" s="10">
        <v>2.2570098000000001</v>
      </c>
      <c r="BK142" s="10">
        <v>2.2486660999999999</v>
      </c>
      <c r="BL142" s="10">
        <v>2.2405143999999999</v>
      </c>
      <c r="BM142" s="10">
        <v>2.2325726000000001</v>
      </c>
      <c r="BN142" s="10">
        <v>2.2248587</v>
      </c>
      <c r="BO142" s="10">
        <v>2.2173908999999998</v>
      </c>
      <c r="BP142" s="10">
        <v>2.2101871000000002</v>
      </c>
      <c r="BQ142" s="10">
        <v>2.2032653</v>
      </c>
      <c r="BR142" s="10">
        <v>2.1682885000000001</v>
      </c>
      <c r="BS142" s="10">
        <v>2.1457133000000002</v>
      </c>
      <c r="BU142" s="7">
        <v>1.94</v>
      </c>
      <c r="BV142" s="7">
        <v>2.23</v>
      </c>
      <c r="BW142" s="9">
        <v>79.148099999999999</v>
      </c>
    </row>
    <row r="143" spans="1:75" x14ac:dyDescent="0.25">
      <c r="A143" s="6">
        <f t="shared" si="17"/>
        <v>44753</v>
      </c>
      <c r="B143" s="13">
        <f t="shared" si="12"/>
        <v>7</v>
      </c>
      <c r="C143" s="13">
        <f t="shared" si="13"/>
        <v>2022</v>
      </c>
      <c r="D143">
        <f t="shared" si="14"/>
        <v>202207</v>
      </c>
      <c r="E143">
        <f t="shared" si="15"/>
        <v>3</v>
      </c>
      <c r="F143">
        <f t="shared" si="16"/>
        <v>202203</v>
      </c>
      <c r="G143" t="s">
        <v>330</v>
      </c>
      <c r="H143" s="9">
        <v>1.25</v>
      </c>
      <c r="I143" s="9">
        <v>1.1909000000000001</v>
      </c>
      <c r="J143" s="10">
        <v>1.4710093</v>
      </c>
      <c r="K143" s="10">
        <v>1.8203358999999999</v>
      </c>
      <c r="L143" s="10">
        <v>2.1155005</v>
      </c>
      <c r="M143" s="10">
        <v>2.3559302</v>
      </c>
      <c r="N143" s="10">
        <v>2.5493893000000001</v>
      </c>
      <c r="O143" s="10">
        <v>2.7000378999999999</v>
      </c>
      <c r="P143" s="10">
        <v>2.8116205999999999</v>
      </c>
      <c r="Q143" s="10">
        <v>2.8908885</v>
      </c>
      <c r="R143" s="10">
        <v>2.9432071</v>
      </c>
      <c r="S143" s="10">
        <v>2.9748413999999999</v>
      </c>
      <c r="T143" s="10">
        <v>2.9894923000000002</v>
      </c>
      <c r="U143" s="10">
        <v>2.9906866000000001</v>
      </c>
      <c r="V143" s="10">
        <v>2.9819827000000001</v>
      </c>
      <c r="W143" s="10">
        <v>2.9651592</v>
      </c>
      <c r="X143" s="10">
        <v>2.9415258</v>
      </c>
      <c r="Y143" s="10">
        <v>2.9123920999999999</v>
      </c>
      <c r="Z143" s="10">
        <v>2.8790678000000001</v>
      </c>
      <c r="AA143" s="10">
        <v>2.8428627</v>
      </c>
      <c r="AB143" s="10">
        <v>2.8049952</v>
      </c>
      <c r="AC143" s="10">
        <v>2.7662605999999998</v>
      </c>
      <c r="AD143" s="10">
        <v>2.7273318999999998</v>
      </c>
      <c r="AE143" s="10">
        <v>2.6888817</v>
      </c>
      <c r="AF143" s="10">
        <v>2.651583</v>
      </c>
      <c r="AG143" s="10">
        <v>2.6161083999999999</v>
      </c>
      <c r="AH143" s="10">
        <v>2.5830095000000002</v>
      </c>
      <c r="AI143" s="10">
        <v>2.5523023</v>
      </c>
      <c r="AJ143" s="10">
        <v>2.5238550000000002</v>
      </c>
      <c r="AK143" s="10">
        <v>2.4975360000000002</v>
      </c>
      <c r="AL143" s="10">
        <v>2.4732135</v>
      </c>
      <c r="AM143" s="10">
        <v>2.4507557000000002</v>
      </c>
      <c r="AN143" s="10">
        <v>2.4300309000000002</v>
      </c>
      <c r="AO143" s="10">
        <v>2.4109074000000001</v>
      </c>
      <c r="AP143" s="10">
        <v>2.3932533999999999</v>
      </c>
      <c r="AQ143" s="10">
        <v>2.3769372999999998</v>
      </c>
      <c r="AR143" s="10">
        <v>2.3618272</v>
      </c>
      <c r="AS143" s="10">
        <v>2.3477914000000002</v>
      </c>
      <c r="AT143" s="10">
        <v>2.3347074999999999</v>
      </c>
      <c r="AU143" s="10">
        <v>2.3224936999999999</v>
      </c>
      <c r="AV143" s="10">
        <v>2.3110795</v>
      </c>
      <c r="AW143" s="10">
        <v>2.3003944999999999</v>
      </c>
      <c r="AX143" s="10">
        <v>2.290368</v>
      </c>
      <c r="AY143" s="10">
        <v>2.2809298</v>
      </c>
      <c r="AZ143" s="10">
        <v>2.2720091999999998</v>
      </c>
      <c r="BA143" s="10">
        <v>2.2635358000000001</v>
      </c>
      <c r="BB143" s="10">
        <v>2.2554390999999998</v>
      </c>
      <c r="BC143" s="10">
        <v>2.2476486000000002</v>
      </c>
      <c r="BD143" s="10">
        <v>2.2400937999999999</v>
      </c>
      <c r="BE143" s="10">
        <v>2.2327043</v>
      </c>
      <c r="BF143" s="10">
        <v>2.2254200000000002</v>
      </c>
      <c r="BG143" s="10">
        <v>2.2182379999999999</v>
      </c>
      <c r="BH143" s="10">
        <v>2.2111740000000002</v>
      </c>
      <c r="BI143" s="10">
        <v>2.2042440999999999</v>
      </c>
      <c r="BJ143" s="10">
        <v>2.1974640999999999</v>
      </c>
      <c r="BK143" s="10">
        <v>2.1908500000000002</v>
      </c>
      <c r="BL143" s="10">
        <v>2.1844177</v>
      </c>
      <c r="BM143" s="10">
        <v>2.1781831</v>
      </c>
      <c r="BN143" s="10">
        <v>2.1721623000000001</v>
      </c>
      <c r="BO143" s="10">
        <v>2.1663709999999998</v>
      </c>
      <c r="BP143" s="10">
        <v>2.1608252000000001</v>
      </c>
      <c r="BQ143" s="10">
        <v>2.1555409000000001</v>
      </c>
      <c r="BR143" s="10">
        <v>2.1298024</v>
      </c>
      <c r="BS143" s="10">
        <v>2.1149437</v>
      </c>
      <c r="BU143" s="7">
        <v>1.88</v>
      </c>
      <c r="BV143" s="7">
        <v>2.19</v>
      </c>
      <c r="BW143" s="9">
        <v>78.639499999999998</v>
      </c>
    </row>
    <row r="144" spans="1:75" x14ac:dyDescent="0.25">
      <c r="A144" s="6">
        <f t="shared" si="17"/>
        <v>44754</v>
      </c>
      <c r="B144" s="13">
        <f t="shared" si="12"/>
        <v>7</v>
      </c>
      <c r="C144" s="13">
        <f t="shared" si="13"/>
        <v>2022</v>
      </c>
      <c r="D144">
        <f t="shared" si="14"/>
        <v>202207</v>
      </c>
      <c r="E144">
        <f t="shared" si="15"/>
        <v>3</v>
      </c>
      <c r="F144">
        <f t="shared" si="16"/>
        <v>202203</v>
      </c>
      <c r="G144" t="s">
        <v>331</v>
      </c>
      <c r="H144" s="9">
        <v>1.25</v>
      </c>
      <c r="I144" s="9">
        <v>1.1909000000000001</v>
      </c>
      <c r="J144" s="10">
        <v>1.4817454999999999</v>
      </c>
      <c r="K144" s="10">
        <v>1.8231351</v>
      </c>
      <c r="L144" s="10">
        <v>2.1115987999999999</v>
      </c>
      <c r="M144" s="10">
        <v>2.3414397</v>
      </c>
      <c r="N144" s="10">
        <v>2.5179064000000002</v>
      </c>
      <c r="O144" s="10">
        <v>2.6483034000000001</v>
      </c>
      <c r="P144" s="10">
        <v>2.7389443999999998</v>
      </c>
      <c r="Q144" s="10">
        <v>2.7982616999999999</v>
      </c>
      <c r="R144" s="10">
        <v>2.8334326999999999</v>
      </c>
      <c r="S144" s="10">
        <v>2.8508548</v>
      </c>
      <c r="T144" s="10">
        <v>2.8543850000000002</v>
      </c>
      <c r="U144" s="10">
        <v>2.8471877000000001</v>
      </c>
      <c r="V144" s="10">
        <v>2.8320666999999999</v>
      </c>
      <c r="W144" s="10">
        <v>2.8103834000000001</v>
      </c>
      <c r="X144" s="10">
        <v>2.7831383999999999</v>
      </c>
      <c r="Y144" s="10">
        <v>2.7513325000000002</v>
      </c>
      <c r="Z144" s="10">
        <v>2.7159662999999998</v>
      </c>
      <c r="AA144" s="10">
        <v>2.6780406000000001</v>
      </c>
      <c r="AB144" s="10">
        <v>2.6385193999999998</v>
      </c>
      <c r="AC144" s="10">
        <v>2.5981976000000002</v>
      </c>
      <c r="AD144" s="10">
        <v>2.5578207000000002</v>
      </c>
      <c r="AE144" s="10">
        <v>2.5181344000000001</v>
      </c>
      <c r="AF144" s="10">
        <v>2.4798841</v>
      </c>
      <c r="AG144" s="10">
        <v>2.4438156000000002</v>
      </c>
      <c r="AH144" s="10">
        <v>2.4105378000000002</v>
      </c>
      <c r="AI144" s="10">
        <v>2.3800566000000001</v>
      </c>
      <c r="AJ144" s="10">
        <v>2.3522115000000001</v>
      </c>
      <c r="AK144" s="10">
        <v>2.3268418</v>
      </c>
      <c r="AL144" s="10">
        <v>2.3037871999999999</v>
      </c>
      <c r="AM144" s="10">
        <v>2.2828870000000001</v>
      </c>
      <c r="AN144" s="10">
        <v>2.2639806999999998</v>
      </c>
      <c r="AO144" s="10">
        <v>2.2469077999999998</v>
      </c>
      <c r="AP144" s="10">
        <v>2.2315078000000002</v>
      </c>
      <c r="AQ144" s="10">
        <v>2.2176201999999998</v>
      </c>
      <c r="AR144" s="10">
        <v>2.2050843000000002</v>
      </c>
      <c r="AS144" s="10">
        <v>2.1937397000000001</v>
      </c>
      <c r="AT144" s="10">
        <v>2.1834346</v>
      </c>
      <c r="AU144" s="10">
        <v>2.1740651</v>
      </c>
      <c r="AV144" s="10">
        <v>2.1655429000000002</v>
      </c>
      <c r="AW144" s="10">
        <v>2.1577799</v>
      </c>
      <c r="AX144" s="10">
        <v>2.1506881</v>
      </c>
      <c r="AY144" s="10">
        <v>2.1441794000000001</v>
      </c>
      <c r="AZ144" s="10">
        <v>2.1381654999999999</v>
      </c>
      <c r="BA144" s="10">
        <v>2.1325584000000002</v>
      </c>
      <c r="BB144" s="10">
        <v>2.1272698999999999</v>
      </c>
      <c r="BC144" s="10">
        <v>2.1222121</v>
      </c>
      <c r="BD144" s="10">
        <v>2.1172966</v>
      </c>
      <c r="BE144" s="10">
        <v>2.1124355000000001</v>
      </c>
      <c r="BF144" s="10">
        <v>2.1075553999999999</v>
      </c>
      <c r="BG144" s="10">
        <v>2.1026547999999998</v>
      </c>
      <c r="BH144" s="10">
        <v>2.0977543999999999</v>
      </c>
      <c r="BI144" s="10">
        <v>2.0928745000000002</v>
      </c>
      <c r="BJ144" s="10">
        <v>2.0880358000000001</v>
      </c>
      <c r="BK144" s="10">
        <v>2.0832587</v>
      </c>
      <c r="BL144" s="10">
        <v>2.0785638</v>
      </c>
      <c r="BM144" s="10">
        <v>2.0739714999999999</v>
      </c>
      <c r="BN144" s="10">
        <v>2.0695024000000002</v>
      </c>
      <c r="BO144" s="10">
        <v>2.0651769999999998</v>
      </c>
      <c r="BP144" s="10">
        <v>2.0610157999999998</v>
      </c>
      <c r="BQ144" s="10">
        <v>2.0570393999999999</v>
      </c>
      <c r="BR144" s="10">
        <v>2.0378188000000002</v>
      </c>
      <c r="BS144" s="10">
        <v>2.0280537999999999</v>
      </c>
      <c r="BU144" s="7">
        <v>1.79</v>
      </c>
      <c r="BV144" s="7">
        <v>2.0699999999999998</v>
      </c>
      <c r="BW144" s="9">
        <v>78.816000000000003</v>
      </c>
    </row>
    <row r="145" spans="1:75" x14ac:dyDescent="0.25">
      <c r="A145" s="6">
        <f t="shared" si="17"/>
        <v>44755</v>
      </c>
      <c r="B145" s="13">
        <f t="shared" si="12"/>
        <v>7</v>
      </c>
      <c r="C145" s="13">
        <f t="shared" si="13"/>
        <v>2022</v>
      </c>
      <c r="D145">
        <f t="shared" si="14"/>
        <v>202207</v>
      </c>
      <c r="E145">
        <f t="shared" si="15"/>
        <v>3</v>
      </c>
      <c r="F145">
        <f t="shared" si="16"/>
        <v>202203</v>
      </c>
      <c r="G145" t="s">
        <v>332</v>
      </c>
      <c r="H145" s="9">
        <v>1.25</v>
      </c>
      <c r="I145" s="9">
        <v>1.1912</v>
      </c>
      <c r="J145" s="10">
        <v>1.5279019</v>
      </c>
      <c r="K145" s="10">
        <v>1.8925628999999999</v>
      </c>
      <c r="L145" s="10">
        <v>2.2102718000000001</v>
      </c>
      <c r="M145" s="10">
        <v>2.4647104999999998</v>
      </c>
      <c r="N145" s="10">
        <v>2.6558719000000002</v>
      </c>
      <c r="O145" s="10">
        <v>2.7916473000000002</v>
      </c>
      <c r="P145" s="10">
        <v>2.8815631000000002</v>
      </c>
      <c r="Q145" s="10">
        <v>2.9372443000000001</v>
      </c>
      <c r="R145" s="10">
        <v>2.9688104000000002</v>
      </c>
      <c r="S145" s="10">
        <v>2.9831804000000002</v>
      </c>
      <c r="T145" s="10">
        <v>2.9843194</v>
      </c>
      <c r="U145" s="10">
        <v>2.9741857</v>
      </c>
      <c r="V145" s="10">
        <v>2.9535271999999999</v>
      </c>
      <c r="W145" s="10">
        <v>2.9237517999999998</v>
      </c>
      <c r="X145" s="10">
        <v>2.8865039000000001</v>
      </c>
      <c r="Y145" s="10">
        <v>2.8434276000000001</v>
      </c>
      <c r="Z145" s="10">
        <v>2.7961672000000002</v>
      </c>
      <c r="AA145" s="10">
        <v>2.7463668999999999</v>
      </c>
      <c r="AB145" s="10">
        <v>2.6955732000000001</v>
      </c>
      <c r="AC145" s="10">
        <v>2.6447783</v>
      </c>
      <c r="AD145" s="10">
        <v>2.5947798999999998</v>
      </c>
      <c r="AE145" s="10">
        <v>2.5463754999999999</v>
      </c>
      <c r="AF145" s="10">
        <v>2.5003622000000001</v>
      </c>
      <c r="AG145" s="10">
        <v>2.4575376000000002</v>
      </c>
      <c r="AH145" s="10">
        <v>2.4185698000000002</v>
      </c>
      <c r="AI145" s="10">
        <v>2.3834312999999998</v>
      </c>
      <c r="AJ145" s="10">
        <v>2.3518612000000001</v>
      </c>
      <c r="AK145" s="10">
        <v>2.3235986</v>
      </c>
      <c r="AL145" s="10">
        <v>2.2983826000000001</v>
      </c>
      <c r="AM145" s="10">
        <v>2.2759523000000002</v>
      </c>
      <c r="AN145" s="10">
        <v>2.2560467000000002</v>
      </c>
      <c r="AO145" s="10">
        <v>2.2384048999999999</v>
      </c>
      <c r="AP145" s="10">
        <v>2.2227659000000002</v>
      </c>
      <c r="AQ145" s="10">
        <v>2.2088687</v>
      </c>
      <c r="AR145" s="10">
        <v>2.1964524999999999</v>
      </c>
      <c r="AS145" s="10">
        <v>2.1852562999999998</v>
      </c>
      <c r="AT145" s="10">
        <v>2.1750425999999998</v>
      </c>
      <c r="AU145" s="10">
        <v>2.1656884000000001</v>
      </c>
      <c r="AV145" s="10">
        <v>2.1571056</v>
      </c>
      <c r="AW145" s="10">
        <v>2.1492059000000001</v>
      </c>
      <c r="AX145" s="10">
        <v>2.1419011999999999</v>
      </c>
      <c r="AY145" s="10">
        <v>2.1351032000000001</v>
      </c>
      <c r="AZ145" s="10">
        <v>2.1287237999999999</v>
      </c>
      <c r="BA145" s="10">
        <v>2.1226748999999998</v>
      </c>
      <c r="BB145" s="10">
        <v>2.1168681</v>
      </c>
      <c r="BC145" s="10">
        <v>2.1112153999999999</v>
      </c>
      <c r="BD145" s="10">
        <v>2.1056286000000002</v>
      </c>
      <c r="BE145" s="10">
        <v>2.1000193999999999</v>
      </c>
      <c r="BF145" s="10">
        <v>2.0943168000000001</v>
      </c>
      <c r="BG145" s="10">
        <v>2.0885248999999999</v>
      </c>
      <c r="BH145" s="10">
        <v>2.0826685</v>
      </c>
      <c r="BI145" s="10">
        <v>2.0767726</v>
      </c>
      <c r="BJ145" s="10">
        <v>2.0708620999999998</v>
      </c>
      <c r="BK145" s="10">
        <v>2.0649617999999998</v>
      </c>
      <c r="BL145" s="10">
        <v>2.0590967</v>
      </c>
      <c r="BM145" s="10">
        <v>2.0532916999999999</v>
      </c>
      <c r="BN145" s="10">
        <v>2.0475715999999999</v>
      </c>
      <c r="BO145" s="10">
        <v>2.0419613000000001</v>
      </c>
      <c r="BP145" s="10">
        <v>2.0364859000000002</v>
      </c>
      <c r="BQ145" s="10">
        <v>2.0311699999999999</v>
      </c>
      <c r="BR145" s="10">
        <v>2.0035460999999999</v>
      </c>
      <c r="BS145" s="10">
        <v>1.9850568</v>
      </c>
      <c r="BU145" s="7">
        <v>1.8</v>
      </c>
      <c r="BV145" s="7">
        <v>2.0499999999999998</v>
      </c>
      <c r="BW145" s="9">
        <v>78.965299999999999</v>
      </c>
    </row>
    <row r="146" spans="1:75" x14ac:dyDescent="0.25">
      <c r="A146" s="6">
        <f t="shared" si="17"/>
        <v>44756</v>
      </c>
      <c r="B146" s="13">
        <f t="shared" si="12"/>
        <v>7</v>
      </c>
      <c r="C146" s="13">
        <f t="shared" si="13"/>
        <v>2022</v>
      </c>
      <c r="D146">
        <f t="shared" si="14"/>
        <v>202207</v>
      </c>
      <c r="E146">
        <f t="shared" si="15"/>
        <v>3</v>
      </c>
      <c r="F146">
        <f t="shared" si="16"/>
        <v>202203</v>
      </c>
      <c r="G146" t="s">
        <v>333</v>
      </c>
      <c r="H146" s="9">
        <v>1.25</v>
      </c>
      <c r="I146" s="9">
        <v>1.1911</v>
      </c>
      <c r="J146" s="10">
        <v>1.5655494000000001</v>
      </c>
      <c r="K146" s="10">
        <v>1.9447227</v>
      </c>
      <c r="L146" s="10">
        <v>2.2774211000000002</v>
      </c>
      <c r="M146" s="10">
        <v>2.5507521</v>
      </c>
      <c r="N146" s="10">
        <v>2.7634566</v>
      </c>
      <c r="O146" s="10">
        <v>2.9160026999999999</v>
      </c>
      <c r="P146" s="10">
        <v>3.0144058999999999</v>
      </c>
      <c r="Q146" s="10">
        <v>3.0679400000000001</v>
      </c>
      <c r="R146" s="10">
        <v>3.0896678</v>
      </c>
      <c r="S146" s="10">
        <v>3.0903524</v>
      </c>
      <c r="T146" s="10">
        <v>3.0771405999999999</v>
      </c>
      <c r="U146" s="10">
        <v>3.0547770000000001</v>
      </c>
      <c r="V146" s="10">
        <v>3.0272694000000002</v>
      </c>
      <c r="W146" s="10">
        <v>2.9958059000000001</v>
      </c>
      <c r="X146" s="10">
        <v>2.9608359000000002</v>
      </c>
      <c r="Y146" s="10">
        <v>2.922809</v>
      </c>
      <c r="Z146" s="10">
        <v>2.8821748</v>
      </c>
      <c r="AA146" s="10">
        <v>2.8393826</v>
      </c>
      <c r="AB146" s="10">
        <v>2.7949226</v>
      </c>
      <c r="AC146" s="10">
        <v>2.7494920999999999</v>
      </c>
      <c r="AD146" s="10">
        <v>2.7038547999999998</v>
      </c>
      <c r="AE146" s="10">
        <v>2.6587741999999999</v>
      </c>
      <c r="AF146" s="10">
        <v>2.6150139999999999</v>
      </c>
      <c r="AG146" s="10">
        <v>2.5733380000000001</v>
      </c>
      <c r="AH146" s="10">
        <v>2.5343879</v>
      </c>
      <c r="AI146" s="10">
        <v>2.4982122000000002</v>
      </c>
      <c r="AJ146" s="10">
        <v>2.4646788000000002</v>
      </c>
      <c r="AK146" s="10">
        <v>2.4336555</v>
      </c>
      <c r="AL146" s="10">
        <v>2.4050102</v>
      </c>
      <c r="AM146" s="10">
        <v>2.3786106999999999</v>
      </c>
      <c r="AN146" s="10">
        <v>2.3543248000000001</v>
      </c>
      <c r="AO146" s="10">
        <v>2.3320202999999999</v>
      </c>
      <c r="AP146" s="10">
        <v>2.3115651000000002</v>
      </c>
      <c r="AQ146" s="10">
        <v>2.2928269999999999</v>
      </c>
      <c r="AR146" s="10">
        <v>2.2756737999999999</v>
      </c>
      <c r="AS146" s="10">
        <v>2.2599733999999998</v>
      </c>
      <c r="AT146" s="10">
        <v>2.2455978000000001</v>
      </c>
      <c r="AU146" s="10">
        <v>2.2324378</v>
      </c>
      <c r="AV146" s="10">
        <v>2.2203894000000002</v>
      </c>
      <c r="AW146" s="10">
        <v>2.2093484999999999</v>
      </c>
      <c r="AX146" s="10">
        <v>2.1992110999999999</v>
      </c>
      <c r="AY146" s="10">
        <v>2.1898730999999998</v>
      </c>
      <c r="AZ146" s="10">
        <v>2.1812304999999999</v>
      </c>
      <c r="BA146" s="10">
        <v>2.1731793000000001</v>
      </c>
      <c r="BB146" s="10">
        <v>2.1656152999999998</v>
      </c>
      <c r="BC146" s="10">
        <v>2.1584346000000001</v>
      </c>
      <c r="BD146" s="10">
        <v>2.1515330000000001</v>
      </c>
      <c r="BE146" s="10">
        <v>2.1448065999999999</v>
      </c>
      <c r="BF146" s="10">
        <v>2.1381690999999998</v>
      </c>
      <c r="BG146" s="10">
        <v>2.1316126999999998</v>
      </c>
      <c r="BH146" s="10">
        <v>2.1251511999999999</v>
      </c>
      <c r="BI146" s="10">
        <v>2.1187985</v>
      </c>
      <c r="BJ146" s="10">
        <v>2.1125685000000001</v>
      </c>
      <c r="BK146" s="10">
        <v>2.1064750000000001</v>
      </c>
      <c r="BL146" s="10">
        <v>2.1005319</v>
      </c>
      <c r="BM146" s="10">
        <v>2.0947531000000001</v>
      </c>
      <c r="BN146" s="10">
        <v>2.0891524000000001</v>
      </c>
      <c r="BO146" s="10">
        <v>2.0837436999999999</v>
      </c>
      <c r="BP146" s="10">
        <v>2.0785409000000001</v>
      </c>
      <c r="BQ146" s="10">
        <v>2.0735576999999998</v>
      </c>
      <c r="BR146" s="10">
        <v>2.0487807999999998</v>
      </c>
      <c r="BS146" s="10">
        <v>2.0337798</v>
      </c>
      <c r="BU146" s="7">
        <v>1.96</v>
      </c>
      <c r="BV146" s="7">
        <v>2.09</v>
      </c>
      <c r="BW146" s="9">
        <v>78.453599999999994</v>
      </c>
    </row>
    <row r="147" spans="1:75" x14ac:dyDescent="0.25">
      <c r="A147" s="6">
        <f t="shared" si="17"/>
        <v>44757</v>
      </c>
      <c r="B147" s="13">
        <f t="shared" si="12"/>
        <v>7</v>
      </c>
      <c r="C147" s="13">
        <f t="shared" si="13"/>
        <v>2022</v>
      </c>
      <c r="D147">
        <f t="shared" si="14"/>
        <v>202207</v>
      </c>
      <c r="E147">
        <f t="shared" si="15"/>
        <v>3</v>
      </c>
      <c r="F147">
        <f t="shared" si="16"/>
        <v>202203</v>
      </c>
      <c r="G147" t="s">
        <v>334</v>
      </c>
      <c r="H147" s="9">
        <v>1.25</v>
      </c>
      <c r="I147" s="9">
        <v>1.1908000000000001</v>
      </c>
      <c r="J147" s="10">
        <v>1.5708742</v>
      </c>
      <c r="K147" s="10">
        <v>1.934277</v>
      </c>
      <c r="L147" s="10">
        <v>2.2660024000000001</v>
      </c>
      <c r="M147" s="10">
        <v>2.5445916</v>
      </c>
      <c r="N147" s="10">
        <v>2.7624890999999998</v>
      </c>
      <c r="O147" s="10">
        <v>2.9180405999999999</v>
      </c>
      <c r="P147" s="10">
        <v>3.0158711</v>
      </c>
      <c r="Q147" s="10">
        <v>3.0668494000000002</v>
      </c>
      <c r="R147" s="10">
        <v>3.0853917000000002</v>
      </c>
      <c r="S147" s="10">
        <v>3.0825282000000001</v>
      </c>
      <c r="T147" s="10">
        <v>3.0659255999999999</v>
      </c>
      <c r="U147" s="10">
        <v>3.0400738</v>
      </c>
      <c r="V147" s="10">
        <v>3.0076787999999999</v>
      </c>
      <c r="W147" s="10">
        <v>2.9700902999999998</v>
      </c>
      <c r="X147" s="10">
        <v>2.9283217000000001</v>
      </c>
      <c r="Y147" s="10">
        <v>2.8833867</v>
      </c>
      <c r="Z147" s="10">
        <v>2.8362987999999998</v>
      </c>
      <c r="AA147" s="10">
        <v>2.7880714000000002</v>
      </c>
      <c r="AB147" s="10">
        <v>2.7396569999999998</v>
      </c>
      <c r="AC147" s="10">
        <v>2.6917246000000001</v>
      </c>
      <c r="AD147" s="10">
        <v>2.6448611999999998</v>
      </c>
      <c r="AE147" s="10">
        <v>2.5996535999999999</v>
      </c>
      <c r="AF147" s="10">
        <v>2.5566887999999999</v>
      </c>
      <c r="AG147" s="10">
        <v>2.5165535000000001</v>
      </c>
      <c r="AH147" s="10">
        <v>2.4797153999999999</v>
      </c>
      <c r="AI147" s="10">
        <v>2.4461146999999999</v>
      </c>
      <c r="AJ147" s="10">
        <v>2.4155465</v>
      </c>
      <c r="AK147" s="10">
        <v>2.3878054999999998</v>
      </c>
      <c r="AL147" s="10">
        <v>2.3626868999999999</v>
      </c>
      <c r="AM147" s="10">
        <v>2.3399854000000002</v>
      </c>
      <c r="AN147" s="10">
        <v>2.319496</v>
      </c>
      <c r="AO147" s="10">
        <v>2.3010136999999999</v>
      </c>
      <c r="AP147" s="10">
        <v>2.2843334</v>
      </c>
      <c r="AQ147" s="10">
        <v>2.2692499000000002</v>
      </c>
      <c r="AR147" s="10">
        <v>2.2555583000000001</v>
      </c>
      <c r="AS147" s="10">
        <v>2.2430534</v>
      </c>
      <c r="AT147" s="10">
        <v>2.2315482000000002</v>
      </c>
      <c r="AU147" s="10">
        <v>2.2209357000000001</v>
      </c>
      <c r="AV147" s="10">
        <v>2.2111304999999999</v>
      </c>
      <c r="AW147" s="10">
        <v>2.2020474999999999</v>
      </c>
      <c r="AX147" s="10">
        <v>2.1936015000000002</v>
      </c>
      <c r="AY147" s="10">
        <v>2.1857074000000001</v>
      </c>
      <c r="AZ147" s="10">
        <v>2.1782799000000002</v>
      </c>
      <c r="BA147" s="10">
        <v>2.1712340000000001</v>
      </c>
      <c r="BB147" s="10">
        <v>2.1644844000000001</v>
      </c>
      <c r="BC147" s="10">
        <v>2.1579459000000001</v>
      </c>
      <c r="BD147" s="10">
        <v>2.1515333999999999</v>
      </c>
      <c r="BE147" s="10">
        <v>2.1451615999999998</v>
      </c>
      <c r="BF147" s="10">
        <v>2.1387616</v>
      </c>
      <c r="BG147" s="10">
        <v>2.1323354000000001</v>
      </c>
      <c r="BH147" s="10">
        <v>2.1259044999999999</v>
      </c>
      <c r="BI147" s="10">
        <v>2.1194907000000001</v>
      </c>
      <c r="BJ147" s="10">
        <v>2.1131155000000001</v>
      </c>
      <c r="BK147" s="10">
        <v>2.1068006000000001</v>
      </c>
      <c r="BL147" s="10">
        <v>2.1005677</v>
      </c>
      <c r="BM147" s="10">
        <v>2.0944384</v>
      </c>
      <c r="BN147" s="10">
        <v>2.0884342999999999</v>
      </c>
      <c r="BO147" s="10">
        <v>2.0825770000000001</v>
      </c>
      <c r="BP147" s="10">
        <v>2.0768882999999998</v>
      </c>
      <c r="BQ147" s="10">
        <v>2.0713897000000001</v>
      </c>
      <c r="BR147" s="10">
        <v>2.043234</v>
      </c>
      <c r="BS147" s="10">
        <v>2.0251369000000001</v>
      </c>
      <c r="BU147" s="7">
        <v>1.93</v>
      </c>
      <c r="BV147" s="7">
        <v>2.09</v>
      </c>
      <c r="BW147" s="9">
        <v>78.526399999999995</v>
      </c>
    </row>
    <row r="148" spans="1:75" x14ac:dyDescent="0.25">
      <c r="A148" s="6">
        <f t="shared" si="17"/>
        <v>44760</v>
      </c>
      <c r="B148" s="13">
        <f t="shared" si="12"/>
        <v>7</v>
      </c>
      <c r="C148" s="13">
        <f t="shared" si="13"/>
        <v>2022</v>
      </c>
      <c r="D148">
        <f t="shared" si="14"/>
        <v>202207</v>
      </c>
      <c r="E148">
        <f t="shared" si="15"/>
        <v>3</v>
      </c>
      <c r="F148">
        <f t="shared" si="16"/>
        <v>202203</v>
      </c>
      <c r="G148" t="s">
        <v>335</v>
      </c>
      <c r="H148" s="9">
        <v>1.25</v>
      </c>
      <c r="I148" s="9">
        <v>1.1912</v>
      </c>
      <c r="J148" s="10">
        <v>1.6379174999999999</v>
      </c>
      <c r="K148" s="10">
        <v>1.9550421</v>
      </c>
      <c r="L148" s="10">
        <v>2.2789410000000001</v>
      </c>
      <c r="M148" s="10">
        <v>2.5673219</v>
      </c>
      <c r="N148" s="10">
        <v>2.7954805</v>
      </c>
      <c r="O148" s="10">
        <v>2.9578003000000002</v>
      </c>
      <c r="P148" s="10">
        <v>3.0588644</v>
      </c>
      <c r="Q148" s="10">
        <v>3.1125631999999999</v>
      </c>
      <c r="R148" s="10">
        <v>3.1323021999999998</v>
      </c>
      <c r="S148" s="10">
        <v>3.1306764999999999</v>
      </c>
      <c r="T148" s="10">
        <v>3.1150006000000001</v>
      </c>
      <c r="U148" s="10">
        <v>3.0901209999999999</v>
      </c>
      <c r="V148" s="10">
        <v>3.0593664999999999</v>
      </c>
      <c r="W148" s="10">
        <v>3.0240092999999999</v>
      </c>
      <c r="X148" s="10">
        <v>2.9848688999999999</v>
      </c>
      <c r="Y148" s="10">
        <v>2.9427648999999998</v>
      </c>
      <c r="Z148" s="10">
        <v>2.8985164999999999</v>
      </c>
      <c r="AA148" s="10">
        <v>2.8529434</v>
      </c>
      <c r="AB148" s="10">
        <v>2.8068303999999999</v>
      </c>
      <c r="AC148" s="10">
        <v>2.7608022000000001</v>
      </c>
      <c r="AD148" s="10">
        <v>2.7154368</v>
      </c>
      <c r="AE148" s="10">
        <v>2.6713124000000001</v>
      </c>
      <c r="AF148" s="10">
        <v>2.6290072000000002</v>
      </c>
      <c r="AG148" s="10">
        <v>2.5890993</v>
      </c>
      <c r="AH148" s="10">
        <v>2.5520556000000001</v>
      </c>
      <c r="AI148" s="10">
        <v>2.517852</v>
      </c>
      <c r="AJ148" s="10">
        <v>2.4863286000000002</v>
      </c>
      <c r="AK148" s="10">
        <v>2.4573258999999998</v>
      </c>
      <c r="AL148" s="10">
        <v>2.4306839999999998</v>
      </c>
      <c r="AM148" s="10">
        <v>2.4062432999999999</v>
      </c>
      <c r="AN148" s="10">
        <v>2.3838441000000001</v>
      </c>
      <c r="AO148" s="10">
        <v>2.3633267</v>
      </c>
      <c r="AP148" s="10">
        <v>2.3445312999999999</v>
      </c>
      <c r="AQ148" s="10">
        <v>2.3272982999999998</v>
      </c>
      <c r="AR148" s="10">
        <v>2.3114678999999998</v>
      </c>
      <c r="AS148" s="10">
        <v>2.2968804999999999</v>
      </c>
      <c r="AT148" s="10">
        <v>2.2833877</v>
      </c>
      <c r="AU148" s="10">
        <v>2.2708913000000002</v>
      </c>
      <c r="AV148" s="10">
        <v>2.2593070000000002</v>
      </c>
      <c r="AW148" s="10">
        <v>2.2485506000000002</v>
      </c>
      <c r="AX148" s="10">
        <v>2.2385375999999999</v>
      </c>
      <c r="AY148" s="10">
        <v>2.2291839000000002</v>
      </c>
      <c r="AZ148" s="10">
        <v>2.220405</v>
      </c>
      <c r="BA148" s="10">
        <v>2.2121167000000002</v>
      </c>
      <c r="BB148" s="10">
        <v>2.2042345999999999</v>
      </c>
      <c r="BC148" s="10">
        <v>2.1966746000000001</v>
      </c>
      <c r="BD148" s="10">
        <v>2.1893520999999998</v>
      </c>
      <c r="BE148" s="10">
        <v>2.1821830000000002</v>
      </c>
      <c r="BF148" s="10">
        <v>2.1750948999999999</v>
      </c>
      <c r="BG148" s="10">
        <v>2.1680809999999999</v>
      </c>
      <c r="BH148" s="10">
        <v>2.1611558</v>
      </c>
      <c r="BI148" s="10">
        <v>2.1543340999999998</v>
      </c>
      <c r="BJ148" s="10">
        <v>2.1476308</v>
      </c>
      <c r="BK148" s="10">
        <v>2.1410607000000001</v>
      </c>
      <c r="BL148" s="10">
        <v>2.1346384</v>
      </c>
      <c r="BM148" s="10">
        <v>2.1283788000000001</v>
      </c>
      <c r="BN148" s="10">
        <v>2.1222967000000001</v>
      </c>
      <c r="BO148" s="10">
        <v>2.1164068</v>
      </c>
      <c r="BP148" s="10">
        <v>2.1107239</v>
      </c>
      <c r="BQ148" s="10">
        <v>2.1052628000000002</v>
      </c>
      <c r="BR148" s="10">
        <v>2.0777342999999999</v>
      </c>
      <c r="BS148" s="10">
        <v>2.0604013000000001</v>
      </c>
      <c r="BU148" s="7">
        <v>1.99</v>
      </c>
      <c r="BV148" s="7">
        <v>2.14</v>
      </c>
      <c r="BW148" s="9">
        <v>79.146600000000007</v>
      </c>
    </row>
    <row r="149" spans="1:75" x14ac:dyDescent="0.25">
      <c r="A149" s="6">
        <f t="shared" si="17"/>
        <v>44761</v>
      </c>
      <c r="B149" s="13">
        <f t="shared" si="12"/>
        <v>7</v>
      </c>
      <c r="C149" s="13">
        <f t="shared" si="13"/>
        <v>2022</v>
      </c>
      <c r="D149">
        <f t="shared" si="14"/>
        <v>202207</v>
      </c>
      <c r="E149">
        <f t="shared" si="15"/>
        <v>3</v>
      </c>
      <c r="F149">
        <f t="shared" si="16"/>
        <v>202203</v>
      </c>
      <c r="G149" t="s">
        <v>336</v>
      </c>
      <c r="H149" s="9">
        <v>1.25</v>
      </c>
      <c r="I149" s="9">
        <v>1.1909000000000001</v>
      </c>
      <c r="J149" s="10">
        <v>1.6499436999999999</v>
      </c>
      <c r="K149" s="10">
        <v>1.9463528999999999</v>
      </c>
      <c r="L149" s="10">
        <v>2.2621373999999999</v>
      </c>
      <c r="M149" s="10">
        <v>2.5522160999999999</v>
      </c>
      <c r="N149" s="10">
        <v>2.7875644999999998</v>
      </c>
      <c r="O149" s="10">
        <v>2.9608186000000001</v>
      </c>
      <c r="P149" s="10">
        <v>3.0746541000000001</v>
      </c>
      <c r="Q149" s="10">
        <v>3.1416002000000001</v>
      </c>
      <c r="R149" s="10">
        <v>3.1755852</v>
      </c>
      <c r="S149" s="10">
        <v>3.1885959000000001</v>
      </c>
      <c r="T149" s="10">
        <v>3.1873141</v>
      </c>
      <c r="U149" s="10">
        <v>3.1755892999999999</v>
      </c>
      <c r="V149" s="10">
        <v>3.1550117000000002</v>
      </c>
      <c r="W149" s="10">
        <v>3.1267604000000002</v>
      </c>
      <c r="X149" s="10">
        <v>3.0920437999999999</v>
      </c>
      <c r="Y149" s="10">
        <v>3.0520700999999999</v>
      </c>
      <c r="Z149" s="10">
        <v>3.0080477000000001</v>
      </c>
      <c r="AA149" s="10">
        <v>2.9611847999999998</v>
      </c>
      <c r="AB149" s="10">
        <v>2.9126310000000002</v>
      </c>
      <c r="AC149" s="10">
        <v>2.8632643</v>
      </c>
      <c r="AD149" s="10">
        <v>2.8138833999999999</v>
      </c>
      <c r="AE149" s="10">
        <v>2.7652874999999999</v>
      </c>
      <c r="AF149" s="10">
        <v>2.7182754</v>
      </c>
      <c r="AG149" s="10">
        <v>2.6736461</v>
      </c>
      <c r="AH149" s="10">
        <v>2.6320545000000002</v>
      </c>
      <c r="AI149" s="10">
        <v>2.5935193999999999</v>
      </c>
      <c r="AJ149" s="10">
        <v>2.5578839000000002</v>
      </c>
      <c r="AK149" s="10">
        <v>2.5249912000000001</v>
      </c>
      <c r="AL149" s="10">
        <v>2.4946847000000001</v>
      </c>
      <c r="AM149" s="10">
        <v>2.4668074</v>
      </c>
      <c r="AN149" s="10">
        <v>2.4412026999999998</v>
      </c>
      <c r="AO149" s="10">
        <v>2.4177138</v>
      </c>
      <c r="AP149" s="10">
        <v>2.3961838000000002</v>
      </c>
      <c r="AQ149" s="10">
        <v>2.3764560000000001</v>
      </c>
      <c r="AR149" s="10">
        <v>2.3583736000000002</v>
      </c>
      <c r="AS149" s="10">
        <v>2.3417799000000001</v>
      </c>
      <c r="AT149" s="10">
        <v>2.3265253000000001</v>
      </c>
      <c r="AU149" s="10">
        <v>2.3125</v>
      </c>
      <c r="AV149" s="10">
        <v>2.2996072999999999</v>
      </c>
      <c r="AW149" s="10">
        <v>2.2877505</v>
      </c>
      <c r="AX149" s="10">
        <v>2.2768329999999999</v>
      </c>
      <c r="AY149" s="10">
        <v>2.2667579999999998</v>
      </c>
      <c r="AZ149" s="10">
        <v>2.2574290000000001</v>
      </c>
      <c r="BA149" s="10">
        <v>2.2487491999999998</v>
      </c>
      <c r="BB149" s="10">
        <v>2.2406220000000001</v>
      </c>
      <c r="BC149" s="10">
        <v>2.2329507</v>
      </c>
      <c r="BD149" s="10">
        <v>2.2256385999999999</v>
      </c>
      <c r="BE149" s="10">
        <v>2.2185891</v>
      </c>
      <c r="BF149" s="10">
        <v>2.2117192999999999</v>
      </c>
      <c r="BG149" s="10">
        <v>2.2050139</v>
      </c>
      <c r="BH149" s="10">
        <v>2.1984778999999999</v>
      </c>
      <c r="BI149" s="10">
        <v>2.1921164000000002</v>
      </c>
      <c r="BJ149" s="10">
        <v>2.1859345000000001</v>
      </c>
      <c r="BK149" s="10">
        <v>2.1799374999999999</v>
      </c>
      <c r="BL149" s="10">
        <v>2.1741302999999998</v>
      </c>
      <c r="BM149" s="10">
        <v>2.1685180000000002</v>
      </c>
      <c r="BN149" s="10">
        <v>2.1631059000000001</v>
      </c>
      <c r="BO149" s="10">
        <v>2.1578989000000002</v>
      </c>
      <c r="BP149" s="10">
        <v>2.1529023</v>
      </c>
      <c r="BQ149" s="10">
        <v>2.1481210000000002</v>
      </c>
      <c r="BR149" s="10">
        <v>2.1242695999999999</v>
      </c>
      <c r="BS149" s="10">
        <v>2.1096200000000001</v>
      </c>
      <c r="BU149" s="7">
        <v>2.04</v>
      </c>
      <c r="BV149" s="7">
        <v>2.1800000000000002</v>
      </c>
      <c r="BW149" s="9">
        <v>78.936099999999996</v>
      </c>
    </row>
    <row r="150" spans="1:75" x14ac:dyDescent="0.25">
      <c r="A150" s="6">
        <f t="shared" si="17"/>
        <v>44762</v>
      </c>
      <c r="B150" s="13">
        <f t="shared" si="12"/>
        <v>7</v>
      </c>
      <c r="C150" s="13">
        <f t="shared" si="13"/>
        <v>2022</v>
      </c>
      <c r="D150">
        <f t="shared" si="14"/>
        <v>202207</v>
      </c>
      <c r="E150">
        <f t="shared" si="15"/>
        <v>3</v>
      </c>
      <c r="F150">
        <f t="shared" si="16"/>
        <v>202203</v>
      </c>
      <c r="G150" t="s">
        <v>337</v>
      </c>
      <c r="H150" s="9">
        <v>1.25</v>
      </c>
      <c r="I150" s="9">
        <v>1.1906000000000001</v>
      </c>
      <c r="J150" s="10">
        <v>1.6460653999999999</v>
      </c>
      <c r="K150" s="10">
        <v>1.9330107000000001</v>
      </c>
      <c r="L150" s="10">
        <v>2.2478074000000001</v>
      </c>
      <c r="M150" s="10">
        <v>2.5392033999999999</v>
      </c>
      <c r="N150" s="10">
        <v>2.7745000000000002</v>
      </c>
      <c r="O150" s="10">
        <v>2.9449670999999999</v>
      </c>
      <c r="P150" s="10">
        <v>3.0531210999999998</v>
      </c>
      <c r="Q150" s="10">
        <v>3.1109445999999998</v>
      </c>
      <c r="R150" s="10">
        <v>3.1333929</v>
      </c>
      <c r="S150" s="10">
        <v>3.1327562000000002</v>
      </c>
      <c r="T150" s="10">
        <v>3.1172127000000001</v>
      </c>
      <c r="U150" s="10">
        <v>3.0916855000000001</v>
      </c>
      <c r="V150" s="10">
        <v>3.0601527000000002</v>
      </c>
      <c r="W150" s="10">
        <v>3.0240566000000002</v>
      </c>
      <c r="X150" s="10">
        <v>2.9841731</v>
      </c>
      <c r="Y150" s="10">
        <v>2.9412777999999999</v>
      </c>
      <c r="Z150" s="10">
        <v>2.8961464000000001</v>
      </c>
      <c r="AA150" s="10">
        <v>2.8495545999999998</v>
      </c>
      <c r="AB150" s="10">
        <v>2.8022637000000001</v>
      </c>
      <c r="AC150" s="10">
        <v>2.7549527999999999</v>
      </c>
      <c r="AD150" s="10">
        <v>2.7082719000000002</v>
      </c>
      <c r="AE150" s="10">
        <v>2.6628712999999999</v>
      </c>
      <c r="AF150" s="10">
        <v>2.6194011000000001</v>
      </c>
      <c r="AG150" s="10">
        <v>2.5785114</v>
      </c>
      <c r="AH150" s="10">
        <v>2.5407510000000002</v>
      </c>
      <c r="AI150" s="10">
        <v>2.5061228999999998</v>
      </c>
      <c r="AJ150" s="10">
        <v>2.4744470000000001</v>
      </c>
      <c r="AK150" s="10">
        <v>2.4455431000000001</v>
      </c>
      <c r="AL150" s="10">
        <v>2.4192309999999999</v>
      </c>
      <c r="AM150" s="10">
        <v>2.3953307000000001</v>
      </c>
      <c r="AN150" s="10">
        <v>2.3736617999999998</v>
      </c>
      <c r="AO150" s="10">
        <v>2.3540443999999998</v>
      </c>
      <c r="AP150" s="10">
        <v>2.3362981</v>
      </c>
      <c r="AQ150" s="10">
        <v>2.3202427999999999</v>
      </c>
      <c r="AR150" s="10">
        <v>2.3056983</v>
      </c>
      <c r="AS150" s="10">
        <v>2.2924845</v>
      </c>
      <c r="AT150" s="10">
        <v>2.2804319999999998</v>
      </c>
      <c r="AU150" s="10">
        <v>2.2694242999999998</v>
      </c>
      <c r="AV150" s="10">
        <v>2.2593607000000002</v>
      </c>
      <c r="AW150" s="10">
        <v>2.2501408000000001</v>
      </c>
      <c r="AX150" s="10">
        <v>2.2416638999999998</v>
      </c>
      <c r="AY150" s="10">
        <v>2.2338296999999998</v>
      </c>
      <c r="AZ150" s="10">
        <v>2.2265374000000002</v>
      </c>
      <c r="BA150" s="10">
        <v>2.2196867</v>
      </c>
      <c r="BB150" s="10">
        <v>2.2131767999999998</v>
      </c>
      <c r="BC150" s="10">
        <v>2.2069074</v>
      </c>
      <c r="BD150" s="10">
        <v>2.2007778999999998</v>
      </c>
      <c r="BE150" s="10">
        <v>2.1946876999999998</v>
      </c>
      <c r="BF150" s="10">
        <v>2.1885544000000001</v>
      </c>
      <c r="BG150" s="10">
        <v>2.1823760000000001</v>
      </c>
      <c r="BH150" s="10">
        <v>2.1761724</v>
      </c>
      <c r="BI150" s="10">
        <v>2.1699635000000002</v>
      </c>
      <c r="BJ150" s="10">
        <v>2.1637694999999999</v>
      </c>
      <c r="BK150" s="10">
        <v>2.1576102000000001</v>
      </c>
      <c r="BL150" s="10">
        <v>2.1515057</v>
      </c>
      <c r="BM150" s="10">
        <v>2.1454759000000001</v>
      </c>
      <c r="BN150" s="10">
        <v>2.1395409000000001</v>
      </c>
      <c r="BO150" s="10">
        <v>2.1337206000000002</v>
      </c>
      <c r="BP150" s="10">
        <v>2.1280350000000001</v>
      </c>
      <c r="BQ150" s="10">
        <v>2.1225041</v>
      </c>
      <c r="BR150" s="10">
        <v>2.0934064999999999</v>
      </c>
      <c r="BS150" s="10">
        <v>2.0732138</v>
      </c>
      <c r="BU150" s="7">
        <v>2.06</v>
      </c>
      <c r="BV150" s="7">
        <v>2.14</v>
      </c>
      <c r="BW150" s="9">
        <v>78.874799999999993</v>
      </c>
    </row>
    <row r="151" spans="1:75" x14ac:dyDescent="0.25">
      <c r="A151" s="6">
        <f t="shared" si="17"/>
        <v>44763</v>
      </c>
      <c r="B151" s="13">
        <f t="shared" si="12"/>
        <v>7</v>
      </c>
      <c r="C151" s="13">
        <f t="shared" si="13"/>
        <v>2022</v>
      </c>
      <c r="D151">
        <f t="shared" si="14"/>
        <v>202207</v>
      </c>
      <c r="E151">
        <f t="shared" si="15"/>
        <v>3</v>
      </c>
      <c r="F151">
        <f t="shared" si="16"/>
        <v>202203</v>
      </c>
      <c r="G151" t="s">
        <v>338</v>
      </c>
      <c r="H151" s="9">
        <v>1.25</v>
      </c>
      <c r="I151" s="9">
        <v>1.1900999999999999</v>
      </c>
      <c r="J151" s="10">
        <v>1.6804561</v>
      </c>
      <c r="K151" s="10">
        <v>1.9365482000000001</v>
      </c>
      <c r="L151" s="10">
        <v>2.2293487999999999</v>
      </c>
      <c r="M151" s="10">
        <v>2.5072627000000001</v>
      </c>
      <c r="N151" s="10">
        <v>2.7355249000000001</v>
      </c>
      <c r="O151" s="10">
        <v>2.9015559</v>
      </c>
      <c r="P151" s="10">
        <v>3.0077748</v>
      </c>
      <c r="Q151" s="10">
        <v>3.0630746000000002</v>
      </c>
      <c r="R151" s="10">
        <v>3.0820615999999998</v>
      </c>
      <c r="S151" s="10">
        <v>3.0771755000000001</v>
      </c>
      <c r="T151" s="10">
        <v>3.0569231000000001</v>
      </c>
      <c r="U151" s="10">
        <v>3.0271745999999999</v>
      </c>
      <c r="V151" s="10">
        <v>2.9930623000000001</v>
      </c>
      <c r="W151" s="10">
        <v>2.9560564</v>
      </c>
      <c r="X151" s="10">
        <v>2.9166584000000002</v>
      </c>
      <c r="Y151" s="10">
        <v>2.8753696</v>
      </c>
      <c r="Z151" s="10">
        <v>2.8326915000000001</v>
      </c>
      <c r="AA151" s="10">
        <v>2.7891254999999999</v>
      </c>
      <c r="AB151" s="10">
        <v>2.7451699000000001</v>
      </c>
      <c r="AC151" s="10">
        <v>2.7013061999999999</v>
      </c>
      <c r="AD151" s="10">
        <v>2.6580108999999998</v>
      </c>
      <c r="AE151" s="10">
        <v>2.6157602</v>
      </c>
      <c r="AF151" s="10">
        <v>2.5750305</v>
      </c>
      <c r="AG151" s="10">
        <v>2.5362981000000002</v>
      </c>
      <c r="AH151" s="10">
        <v>2.4999601999999999</v>
      </c>
      <c r="AI151" s="10">
        <v>2.4660275</v>
      </c>
      <c r="AJ151" s="10">
        <v>2.4343933</v>
      </c>
      <c r="AK151" s="10">
        <v>2.4049510000000001</v>
      </c>
      <c r="AL151" s="10">
        <v>2.3775938000000001</v>
      </c>
      <c r="AM151" s="10">
        <v>2.3522150000000002</v>
      </c>
      <c r="AN151" s="10">
        <v>2.3287079999999998</v>
      </c>
      <c r="AO151" s="10">
        <v>2.3069658999999998</v>
      </c>
      <c r="AP151" s="10">
        <v>2.2868819999999999</v>
      </c>
      <c r="AQ151" s="10">
        <v>2.2683496999999999</v>
      </c>
      <c r="AR151" s="10">
        <v>2.2512623</v>
      </c>
      <c r="AS151" s="10">
        <v>2.2355128999999998</v>
      </c>
      <c r="AT151" s="10">
        <v>2.2209967000000002</v>
      </c>
      <c r="AU151" s="10">
        <v>2.2076159</v>
      </c>
      <c r="AV151" s="10">
        <v>2.1952750000000001</v>
      </c>
      <c r="AW151" s="10">
        <v>2.1838784000000002</v>
      </c>
      <c r="AX151" s="10">
        <v>2.1733305000000001</v>
      </c>
      <c r="AY151" s="10">
        <v>2.1635358999999998</v>
      </c>
      <c r="AZ151" s="10">
        <v>2.1543988000000001</v>
      </c>
      <c r="BA151" s="10">
        <v>2.1458238000000001</v>
      </c>
      <c r="BB151" s="10">
        <v>2.1377152000000001</v>
      </c>
      <c r="BC151" s="10">
        <v>2.1299774999999999</v>
      </c>
      <c r="BD151" s="10">
        <v>2.1225151000000002</v>
      </c>
      <c r="BE151" s="10">
        <v>2.1152324999999998</v>
      </c>
      <c r="BF151" s="10">
        <v>2.1080497</v>
      </c>
      <c r="BG151" s="10">
        <v>2.1009562000000002</v>
      </c>
      <c r="BH151" s="10">
        <v>2.0939603999999998</v>
      </c>
      <c r="BI151" s="10">
        <v>2.0870709000000001</v>
      </c>
      <c r="BJ151" s="10">
        <v>2.0802961999999998</v>
      </c>
      <c r="BK151" s="10">
        <v>2.0736447999999998</v>
      </c>
      <c r="BL151" s="10">
        <v>2.0671251000000002</v>
      </c>
      <c r="BM151" s="10">
        <v>2.0607457999999998</v>
      </c>
      <c r="BN151" s="10">
        <v>2.0545152</v>
      </c>
      <c r="BO151" s="10">
        <v>2.0484420000000001</v>
      </c>
      <c r="BP151" s="10">
        <v>2.0425346000000002</v>
      </c>
      <c r="BQ151" s="10">
        <v>2.0368015000000002</v>
      </c>
      <c r="BR151" s="10">
        <v>2.0066250000000001</v>
      </c>
      <c r="BS151" s="10">
        <v>1.9853821</v>
      </c>
      <c r="BU151" s="7">
        <v>2</v>
      </c>
      <c r="BV151" s="7">
        <v>2.04</v>
      </c>
      <c r="BW151" s="9">
        <v>78.642099999999999</v>
      </c>
    </row>
    <row r="152" spans="1:75" x14ac:dyDescent="0.25">
      <c r="A152" s="6">
        <f t="shared" si="17"/>
        <v>44764</v>
      </c>
      <c r="B152" s="13">
        <f t="shared" si="12"/>
        <v>7</v>
      </c>
      <c r="C152" s="13">
        <f t="shared" si="13"/>
        <v>2022</v>
      </c>
      <c r="D152">
        <f t="shared" si="14"/>
        <v>202207</v>
      </c>
      <c r="E152">
        <f t="shared" si="15"/>
        <v>3</v>
      </c>
      <c r="F152">
        <f t="shared" si="16"/>
        <v>202203</v>
      </c>
      <c r="G152" t="s">
        <v>339</v>
      </c>
      <c r="H152" s="9">
        <v>1.25</v>
      </c>
      <c r="I152" s="9">
        <v>1.1904999999999999</v>
      </c>
      <c r="J152" s="10">
        <v>1.668234</v>
      </c>
      <c r="K152" s="10">
        <v>1.9097685</v>
      </c>
      <c r="L152" s="10">
        <v>2.1836527000000001</v>
      </c>
      <c r="M152" s="10">
        <v>2.4377634000000001</v>
      </c>
      <c r="N152" s="10">
        <v>2.6376670999999998</v>
      </c>
      <c r="O152" s="10">
        <v>2.7752840000000001</v>
      </c>
      <c r="P152" s="10">
        <v>2.8561855999999999</v>
      </c>
      <c r="Q152" s="10">
        <v>2.8928264000000001</v>
      </c>
      <c r="R152" s="10">
        <v>2.9004812000000002</v>
      </c>
      <c r="S152" s="10">
        <v>2.8902743000000002</v>
      </c>
      <c r="T152" s="10">
        <v>2.8694888000000001</v>
      </c>
      <c r="U152" s="10">
        <v>2.8420956999999998</v>
      </c>
      <c r="V152" s="10">
        <v>2.8102871999999999</v>
      </c>
      <c r="W152" s="10">
        <v>2.7750518999999998</v>
      </c>
      <c r="X152" s="10">
        <v>2.7370903000000002</v>
      </c>
      <c r="Y152" s="10">
        <v>2.6971026999999999</v>
      </c>
      <c r="Z152" s="10">
        <v>2.6557898</v>
      </c>
      <c r="AA152" s="10">
        <v>2.6138520999999999</v>
      </c>
      <c r="AB152" s="10">
        <v>2.5719501999999999</v>
      </c>
      <c r="AC152" s="10">
        <v>2.5305607000000001</v>
      </c>
      <c r="AD152" s="10">
        <v>2.4901065999999998</v>
      </c>
      <c r="AE152" s="10">
        <v>2.4510109999999998</v>
      </c>
      <c r="AF152" s="10">
        <v>2.4136970999999998</v>
      </c>
      <c r="AG152" s="10">
        <v>2.3785878</v>
      </c>
      <c r="AH152" s="10">
        <v>2.3460201999999999</v>
      </c>
      <c r="AI152" s="10">
        <v>2.3159510000000001</v>
      </c>
      <c r="AJ152" s="10">
        <v>2.2882321000000001</v>
      </c>
      <c r="AK152" s="10">
        <v>2.2627153999999998</v>
      </c>
      <c r="AL152" s="10">
        <v>2.2392528</v>
      </c>
      <c r="AM152" s="10">
        <v>2.2176961999999998</v>
      </c>
      <c r="AN152" s="10">
        <v>2.1978974</v>
      </c>
      <c r="AO152" s="10">
        <v>2.1797084</v>
      </c>
      <c r="AP152" s="10">
        <v>2.1629809999999998</v>
      </c>
      <c r="AQ152" s="10">
        <v>2.1475672000000001</v>
      </c>
      <c r="AR152" s="10">
        <v>2.1333188000000001</v>
      </c>
      <c r="AS152" s="10">
        <v>2.1200876000000002</v>
      </c>
      <c r="AT152" s="10">
        <v>2.1077382999999998</v>
      </c>
      <c r="AU152" s="10">
        <v>2.0961908</v>
      </c>
      <c r="AV152" s="10">
        <v>2.0853807</v>
      </c>
      <c r="AW152" s="10">
        <v>2.0752432999999999</v>
      </c>
      <c r="AX152" s="10">
        <v>2.0657141999999999</v>
      </c>
      <c r="AY152" s="10">
        <v>2.0567286999999999</v>
      </c>
      <c r="AZ152" s="10">
        <v>2.0482222999999999</v>
      </c>
      <c r="BA152" s="10">
        <v>2.0401303999999998</v>
      </c>
      <c r="BB152" s="10">
        <v>2.0323883999999999</v>
      </c>
      <c r="BC152" s="10">
        <v>2.0249318999999999</v>
      </c>
      <c r="BD152" s="10">
        <v>2.0176962999999999</v>
      </c>
      <c r="BE152" s="10">
        <v>2.0106169</v>
      </c>
      <c r="BF152" s="10">
        <v>2.0036412000000001</v>
      </c>
      <c r="BG152" s="10">
        <v>1.9967687999999999</v>
      </c>
      <c r="BH152" s="10">
        <v>1.9900138999999999</v>
      </c>
      <c r="BI152" s="10">
        <v>1.9833907</v>
      </c>
      <c r="BJ152" s="10">
        <v>1.9769133999999999</v>
      </c>
      <c r="BK152" s="10">
        <v>1.9705961000000001</v>
      </c>
      <c r="BL152" s="10">
        <v>1.9644531000000001</v>
      </c>
      <c r="BM152" s="10">
        <v>1.9584984999999999</v>
      </c>
      <c r="BN152" s="10">
        <v>1.9527464999999999</v>
      </c>
      <c r="BO152" s="10">
        <v>1.9472113</v>
      </c>
      <c r="BP152" s="10">
        <v>1.9419071000000001</v>
      </c>
      <c r="BQ152" s="10">
        <v>1.9368479999999999</v>
      </c>
      <c r="BR152" s="10">
        <v>1.9121779999999999</v>
      </c>
      <c r="BS152" s="10">
        <v>1.8983418999999999</v>
      </c>
      <c r="BU152" s="7">
        <v>1.85</v>
      </c>
      <c r="BV152" s="7">
        <v>1.93</v>
      </c>
      <c r="BW152" s="9">
        <v>79.0398</v>
      </c>
    </row>
    <row r="153" spans="1:75" x14ac:dyDescent="0.25">
      <c r="A153" s="6">
        <f t="shared" si="17"/>
        <v>44767</v>
      </c>
      <c r="B153" s="13">
        <f t="shared" si="12"/>
        <v>7</v>
      </c>
      <c r="C153" s="13">
        <f t="shared" si="13"/>
        <v>2022</v>
      </c>
      <c r="D153">
        <f t="shared" si="14"/>
        <v>202207</v>
      </c>
      <c r="E153">
        <f t="shared" si="15"/>
        <v>3</v>
      </c>
      <c r="F153">
        <f t="shared" si="16"/>
        <v>202203</v>
      </c>
      <c r="G153" t="s">
        <v>340</v>
      </c>
      <c r="H153" s="9">
        <v>1.25</v>
      </c>
      <c r="I153" s="9">
        <v>1.1910000000000001</v>
      </c>
      <c r="J153" s="10">
        <v>1.6950445999999999</v>
      </c>
      <c r="K153" s="10">
        <v>1.9470715999999999</v>
      </c>
      <c r="L153" s="10">
        <v>2.2141964000000001</v>
      </c>
      <c r="M153" s="10">
        <v>2.4545626999999999</v>
      </c>
      <c r="N153" s="10">
        <v>2.6399341000000001</v>
      </c>
      <c r="O153" s="10">
        <v>2.7641087</v>
      </c>
      <c r="P153" s="10">
        <v>2.8351098000000001</v>
      </c>
      <c r="Q153" s="10">
        <v>2.8669932</v>
      </c>
      <c r="R153" s="10">
        <v>2.8729749</v>
      </c>
      <c r="S153" s="10">
        <v>2.8641896999999998</v>
      </c>
      <c r="T153" s="10">
        <v>2.8464366999999999</v>
      </c>
      <c r="U153" s="10">
        <v>2.8227191</v>
      </c>
      <c r="V153" s="10">
        <v>2.7940092999999999</v>
      </c>
      <c r="W153" s="10">
        <v>2.7609762999999998</v>
      </c>
      <c r="X153" s="10">
        <v>2.7243434999999998</v>
      </c>
      <c r="Y153" s="10">
        <v>2.6848340999999998</v>
      </c>
      <c r="Z153" s="10">
        <v>2.6431711999999998</v>
      </c>
      <c r="AA153" s="10">
        <v>2.6000781000000002</v>
      </c>
      <c r="AB153" s="10">
        <v>2.5562648000000001</v>
      </c>
      <c r="AC153" s="10">
        <v>2.5123802</v>
      </c>
      <c r="AD153" s="10">
        <v>2.4690553</v>
      </c>
      <c r="AE153" s="10">
        <v>2.4269211999999998</v>
      </c>
      <c r="AF153" s="10">
        <v>2.3866090999999998</v>
      </c>
      <c r="AG153" s="10">
        <v>2.3487499999999999</v>
      </c>
      <c r="AH153" s="10">
        <v>2.3138534000000002</v>
      </c>
      <c r="AI153" s="10">
        <v>2.2818915999999998</v>
      </c>
      <c r="AJ153" s="10">
        <v>2.2526888999999999</v>
      </c>
      <c r="AK153" s="10">
        <v>2.2260694000000001</v>
      </c>
      <c r="AL153" s="10">
        <v>2.2018572999999999</v>
      </c>
      <c r="AM153" s="10">
        <v>2.1798768000000002</v>
      </c>
      <c r="AN153" s="10">
        <v>2.1599520000000001</v>
      </c>
      <c r="AO153" s="10">
        <v>2.1419071999999999</v>
      </c>
      <c r="AP153" s="10">
        <v>2.1255665000000001</v>
      </c>
      <c r="AQ153" s="10">
        <v>2.1107540999999999</v>
      </c>
      <c r="AR153" s="10">
        <v>2.0972941999999999</v>
      </c>
      <c r="AS153" s="10">
        <v>2.0850110000000002</v>
      </c>
      <c r="AT153" s="10">
        <v>2.0737431000000002</v>
      </c>
      <c r="AU153" s="10">
        <v>2.0633925999999998</v>
      </c>
      <c r="AV153" s="10">
        <v>2.0538794</v>
      </c>
      <c r="AW153" s="10">
        <v>2.0451231999999999</v>
      </c>
      <c r="AX153" s="10">
        <v>2.0370436999999999</v>
      </c>
      <c r="AY153" s="10">
        <v>2.0295608000000001</v>
      </c>
      <c r="AZ153" s="10">
        <v>2.0225941000000001</v>
      </c>
      <c r="BA153" s="10">
        <v>2.0160635</v>
      </c>
      <c r="BB153" s="10">
        <v>2.0098886</v>
      </c>
      <c r="BC153" s="10">
        <v>2.0039894</v>
      </c>
      <c r="BD153" s="10">
        <v>1.9982854000000001</v>
      </c>
      <c r="BE153" s="10">
        <v>1.9926965000000001</v>
      </c>
      <c r="BF153" s="10">
        <v>1.9871542</v>
      </c>
      <c r="BG153" s="10">
        <v>1.9816537999999999</v>
      </c>
      <c r="BH153" s="10">
        <v>1.9762116999999999</v>
      </c>
      <c r="BI153" s="10">
        <v>1.9708443</v>
      </c>
      <c r="BJ153" s="10">
        <v>1.9655682999999999</v>
      </c>
      <c r="BK153" s="10">
        <v>1.9604001</v>
      </c>
      <c r="BL153" s="10">
        <v>1.9553560999999999</v>
      </c>
      <c r="BM153" s="10">
        <v>1.950453</v>
      </c>
      <c r="BN153" s="10">
        <v>1.9457073</v>
      </c>
      <c r="BO153" s="10">
        <v>1.9411353</v>
      </c>
      <c r="BP153" s="10">
        <v>1.9367536999999999</v>
      </c>
      <c r="BQ153" s="10">
        <v>1.9325789</v>
      </c>
      <c r="BR153" s="10">
        <v>1.9124785</v>
      </c>
      <c r="BS153" s="10">
        <v>1.9020258000000001</v>
      </c>
      <c r="BU153" s="7">
        <v>1.82</v>
      </c>
      <c r="BV153" s="7">
        <v>1.94</v>
      </c>
      <c r="BW153" s="9">
        <v>79.110799999999998</v>
      </c>
    </row>
    <row r="154" spans="1:75" x14ac:dyDescent="0.25">
      <c r="A154" s="6">
        <f t="shared" si="17"/>
        <v>44768</v>
      </c>
      <c r="B154" s="13">
        <f t="shared" si="12"/>
        <v>7</v>
      </c>
      <c r="C154" s="13">
        <f t="shared" si="13"/>
        <v>2022</v>
      </c>
      <c r="D154">
        <f t="shared" si="14"/>
        <v>202207</v>
      </c>
      <c r="E154">
        <f t="shared" si="15"/>
        <v>3</v>
      </c>
      <c r="F154">
        <f t="shared" si="16"/>
        <v>202203</v>
      </c>
      <c r="G154" t="s">
        <v>341</v>
      </c>
      <c r="H154" s="9">
        <v>1.25</v>
      </c>
      <c r="I154" s="9">
        <v>1.1909000000000001</v>
      </c>
      <c r="J154" s="10">
        <v>1.702655</v>
      </c>
      <c r="K154" s="10">
        <v>1.9640804999999999</v>
      </c>
      <c r="L154" s="10">
        <v>2.2376988999999998</v>
      </c>
      <c r="M154" s="10">
        <v>2.4828660999999999</v>
      </c>
      <c r="N154" s="10">
        <v>2.6707586999999999</v>
      </c>
      <c r="O154" s="10">
        <v>2.7966709999999999</v>
      </c>
      <c r="P154" s="10">
        <v>2.8686023</v>
      </c>
      <c r="Q154" s="10">
        <v>2.9006205999999999</v>
      </c>
      <c r="R154" s="10">
        <v>2.9066909999999999</v>
      </c>
      <c r="S154" s="10">
        <v>2.8977016</v>
      </c>
      <c r="T154" s="10">
        <v>2.8795158999999999</v>
      </c>
      <c r="U154" s="10">
        <v>2.8553259999999998</v>
      </c>
      <c r="V154" s="10">
        <v>2.8267402000000001</v>
      </c>
      <c r="W154" s="10">
        <v>2.7944247</v>
      </c>
      <c r="X154" s="10">
        <v>2.7588816999999999</v>
      </c>
      <c r="Y154" s="10">
        <v>2.7206131</v>
      </c>
      <c r="Z154" s="10">
        <v>2.6801211</v>
      </c>
      <c r="AA154" s="10">
        <v>2.6379077999999998</v>
      </c>
      <c r="AB154" s="10">
        <v>2.5944976</v>
      </c>
      <c r="AC154" s="10">
        <v>2.5505195000000001</v>
      </c>
      <c r="AD154" s="10">
        <v>2.5066324999999998</v>
      </c>
      <c r="AE154" s="10">
        <v>2.4634958999999998</v>
      </c>
      <c r="AF154" s="10">
        <v>2.4217685000000002</v>
      </c>
      <c r="AG154" s="10">
        <v>2.3821097</v>
      </c>
      <c r="AH154" s="10">
        <v>2.3450598</v>
      </c>
      <c r="AI154" s="10">
        <v>2.3106355999999999</v>
      </c>
      <c r="AJ154" s="10">
        <v>2.2787096</v>
      </c>
      <c r="AK154" s="10">
        <v>2.2491541000000002</v>
      </c>
      <c r="AL154" s="10">
        <v>2.2218414000000002</v>
      </c>
      <c r="AM154" s="10">
        <v>2.1966439000000002</v>
      </c>
      <c r="AN154" s="10">
        <v>2.1734339999999999</v>
      </c>
      <c r="AO154" s="10">
        <v>2.1520839</v>
      </c>
      <c r="AP154" s="10">
        <v>2.132466</v>
      </c>
      <c r="AQ154" s="10">
        <v>2.1144528</v>
      </c>
      <c r="AR154" s="10">
        <v>2.0979165000000002</v>
      </c>
      <c r="AS154" s="10">
        <v>2.0827293999999998</v>
      </c>
      <c r="AT154" s="10">
        <v>2.0687685</v>
      </c>
      <c r="AU154" s="10">
        <v>2.0559341</v>
      </c>
      <c r="AV154" s="10">
        <v>2.0441346999999999</v>
      </c>
      <c r="AW154" s="10">
        <v>2.0332788000000002</v>
      </c>
      <c r="AX154" s="10">
        <v>2.0232747999999998</v>
      </c>
      <c r="AY154" s="10">
        <v>2.0140313000000001</v>
      </c>
      <c r="AZ154" s="10">
        <v>2.0054566999999999</v>
      </c>
      <c r="BA154" s="10">
        <v>1.9974594000000001</v>
      </c>
      <c r="BB154" s="10">
        <v>1.9899480000000001</v>
      </c>
      <c r="BC154" s="10">
        <v>1.9828309</v>
      </c>
      <c r="BD154" s="10">
        <v>1.9760165000000001</v>
      </c>
      <c r="BE154" s="10">
        <v>1.9694134999999999</v>
      </c>
      <c r="BF154" s="10">
        <v>1.9629437000000001</v>
      </c>
      <c r="BG154" s="10">
        <v>1.956596</v>
      </c>
      <c r="BH154" s="10">
        <v>1.9503790999999999</v>
      </c>
      <c r="BI154" s="10">
        <v>1.9443018999999999</v>
      </c>
      <c r="BJ154" s="10">
        <v>1.9383732</v>
      </c>
      <c r="BK154" s="10">
        <v>1.9326019999999999</v>
      </c>
      <c r="BL154" s="10">
        <v>1.9269970999999999</v>
      </c>
      <c r="BM154" s="10">
        <v>1.9215674</v>
      </c>
      <c r="BN154" s="10">
        <v>1.9163216000000001</v>
      </c>
      <c r="BO154" s="10">
        <v>1.9112688</v>
      </c>
      <c r="BP154" s="10">
        <v>1.9064177</v>
      </c>
      <c r="BQ154" s="10">
        <v>1.9017771999999999</v>
      </c>
      <c r="BR154" s="10">
        <v>1.8788175</v>
      </c>
      <c r="BS154" s="10">
        <v>1.8654563</v>
      </c>
      <c r="BU154" s="7">
        <v>1.81</v>
      </c>
      <c r="BV154" s="7">
        <v>1.92</v>
      </c>
      <c r="BW154" s="9">
        <v>79.454999999999998</v>
      </c>
    </row>
    <row r="155" spans="1:75" x14ac:dyDescent="0.25">
      <c r="A155" s="6">
        <f t="shared" si="17"/>
        <v>44769</v>
      </c>
      <c r="B155" s="13">
        <f t="shared" si="12"/>
        <v>7</v>
      </c>
      <c r="C155" s="13">
        <f t="shared" si="13"/>
        <v>2022</v>
      </c>
      <c r="D155">
        <f t="shared" si="14"/>
        <v>202207</v>
      </c>
      <c r="E155">
        <f t="shared" si="15"/>
        <v>3</v>
      </c>
      <c r="F155">
        <f t="shared" si="16"/>
        <v>202203</v>
      </c>
      <c r="G155" t="s">
        <v>342</v>
      </c>
      <c r="H155" s="9">
        <v>1.25</v>
      </c>
      <c r="I155" s="9">
        <v>1.1909000000000001</v>
      </c>
      <c r="J155" s="10">
        <v>1.7139412999999999</v>
      </c>
      <c r="K155" s="10">
        <v>1.9843862000000001</v>
      </c>
      <c r="L155" s="10">
        <v>2.2588149</v>
      </c>
      <c r="M155" s="10">
        <v>2.5033344999999998</v>
      </c>
      <c r="N155" s="10">
        <v>2.6920956999999999</v>
      </c>
      <c r="O155" s="10">
        <v>2.8213029000000001</v>
      </c>
      <c r="P155" s="10">
        <v>2.8973650000000002</v>
      </c>
      <c r="Q155" s="10">
        <v>2.9331569000000002</v>
      </c>
      <c r="R155" s="10">
        <v>2.9424806999999999</v>
      </c>
      <c r="S155" s="10">
        <v>2.9354566000000002</v>
      </c>
      <c r="T155" s="10">
        <v>2.9183490999999999</v>
      </c>
      <c r="U155" s="10">
        <v>2.8943968999999998</v>
      </c>
      <c r="V155" s="10">
        <v>2.8660475999999999</v>
      </c>
      <c r="W155" s="10">
        <v>2.8341612999999999</v>
      </c>
      <c r="X155" s="10">
        <v>2.7991725000000001</v>
      </c>
      <c r="Y155" s="10">
        <v>2.7615156000000001</v>
      </c>
      <c r="Z155" s="10">
        <v>2.7216252999999999</v>
      </c>
      <c r="AA155" s="10">
        <v>2.6799358999999998</v>
      </c>
      <c r="AB155" s="10">
        <v>2.6369106000000002</v>
      </c>
      <c r="AC155" s="10">
        <v>2.5931742</v>
      </c>
      <c r="AD155" s="10">
        <v>2.5494083999999999</v>
      </c>
      <c r="AE155" s="10">
        <v>2.5062950000000002</v>
      </c>
      <c r="AF155" s="10">
        <v>2.4645157000000002</v>
      </c>
      <c r="AG155" s="10">
        <v>2.4247521999999999</v>
      </c>
      <c r="AH155" s="10">
        <v>2.3875874000000001</v>
      </c>
      <c r="AI155" s="10">
        <v>2.3530701999999999</v>
      </c>
      <c r="AJ155" s="10">
        <v>2.3210708000000002</v>
      </c>
      <c r="AK155" s="10">
        <v>2.2914595000000002</v>
      </c>
      <c r="AL155" s="10">
        <v>2.2641062000000001</v>
      </c>
      <c r="AM155" s="10">
        <v>2.2388810000000001</v>
      </c>
      <c r="AN155" s="10">
        <v>2.2156541000000001</v>
      </c>
      <c r="AO155" s="10">
        <v>2.1942955999999998</v>
      </c>
      <c r="AP155" s="10">
        <v>2.1746753999999999</v>
      </c>
      <c r="AQ155" s="10">
        <v>2.1566638</v>
      </c>
      <c r="AR155" s="10">
        <v>2.1401308999999999</v>
      </c>
      <c r="AS155" s="10">
        <v>2.1249465999999999</v>
      </c>
      <c r="AT155" s="10">
        <v>2.1109859000000002</v>
      </c>
      <c r="AU155" s="10">
        <v>2.0981467999999999</v>
      </c>
      <c r="AV155" s="10">
        <v>2.0863345999999998</v>
      </c>
      <c r="AW155" s="10">
        <v>2.0754545000000002</v>
      </c>
      <c r="AX155" s="10">
        <v>2.0654116</v>
      </c>
      <c r="AY155" s="10">
        <v>2.0561110999999999</v>
      </c>
      <c r="AZ155" s="10">
        <v>2.0474581999999999</v>
      </c>
      <c r="BA155" s="10">
        <v>2.0393580999999998</v>
      </c>
      <c r="BB155" s="10">
        <v>2.0317159999999999</v>
      </c>
      <c r="BC155" s="10">
        <v>2.0244369999999998</v>
      </c>
      <c r="BD155" s="10">
        <v>2.0174264000000002</v>
      </c>
      <c r="BE155" s="10">
        <v>2.0105892999999999</v>
      </c>
      <c r="BF155" s="10">
        <v>2.0038472000000001</v>
      </c>
      <c r="BG155" s="10">
        <v>1.997193</v>
      </c>
      <c r="BH155" s="10">
        <v>1.9906397</v>
      </c>
      <c r="BI155" s="10">
        <v>1.9842</v>
      </c>
      <c r="BJ155" s="10">
        <v>1.9778867</v>
      </c>
      <c r="BK155" s="10">
        <v>1.9717127000000001</v>
      </c>
      <c r="BL155" s="10">
        <v>1.9656909</v>
      </c>
      <c r="BM155" s="10">
        <v>1.9598339</v>
      </c>
      <c r="BN155" s="10">
        <v>1.9541546999999999</v>
      </c>
      <c r="BO155" s="10">
        <v>1.9486661000000001</v>
      </c>
      <c r="BP155" s="10">
        <v>1.9433807999999999</v>
      </c>
      <c r="BQ155" s="10">
        <v>1.9383117999999999</v>
      </c>
      <c r="BR155" s="10">
        <v>1.9130142999999999</v>
      </c>
      <c r="BS155" s="10">
        <v>1.8978733999999999</v>
      </c>
      <c r="BU155" s="7">
        <v>1.88</v>
      </c>
      <c r="BV155" s="7">
        <v>1.96</v>
      </c>
      <c r="BW155" s="9">
        <v>79.444100000000006</v>
      </c>
    </row>
    <row r="156" spans="1:75" x14ac:dyDescent="0.25">
      <c r="A156" s="6">
        <f t="shared" si="17"/>
        <v>44770</v>
      </c>
      <c r="B156" s="13">
        <f t="shared" si="12"/>
        <v>7</v>
      </c>
      <c r="C156" s="13">
        <f t="shared" si="13"/>
        <v>2022</v>
      </c>
      <c r="D156">
        <f t="shared" si="14"/>
        <v>202207</v>
      </c>
      <c r="E156">
        <f t="shared" si="15"/>
        <v>3</v>
      </c>
      <c r="F156">
        <f t="shared" si="16"/>
        <v>202203</v>
      </c>
      <c r="G156" t="s">
        <v>343</v>
      </c>
      <c r="H156" s="9">
        <v>1.25</v>
      </c>
      <c r="I156" s="9">
        <v>1.1909000000000001</v>
      </c>
      <c r="J156" s="10">
        <v>1.6850136</v>
      </c>
      <c r="K156" s="10">
        <v>1.9428814999999999</v>
      </c>
      <c r="L156" s="10">
        <v>2.1957548999999998</v>
      </c>
      <c r="M156" s="10">
        <v>2.4125318999999998</v>
      </c>
      <c r="N156" s="10">
        <v>2.5755553</v>
      </c>
      <c r="O156" s="10">
        <v>2.6862062</v>
      </c>
      <c r="P156" s="10">
        <v>2.7535842000000001</v>
      </c>
      <c r="Q156" s="10">
        <v>2.7875098999999999</v>
      </c>
      <c r="R156" s="10">
        <v>2.7991263000000002</v>
      </c>
      <c r="S156" s="10">
        <v>2.7963629999999999</v>
      </c>
      <c r="T156" s="10">
        <v>2.7839417000000002</v>
      </c>
      <c r="U156" s="10">
        <v>2.7644023999999998</v>
      </c>
      <c r="V156" s="10">
        <v>2.7395705000000001</v>
      </c>
      <c r="W156" s="10">
        <v>2.7102944</v>
      </c>
      <c r="X156" s="10">
        <v>2.6771759999999998</v>
      </c>
      <c r="Y156" s="10">
        <v>2.6408173000000001</v>
      </c>
      <c r="Z156" s="10">
        <v>2.6018200999999999</v>
      </c>
      <c r="AA156" s="10">
        <v>2.5607863000000002</v>
      </c>
      <c r="AB156" s="10">
        <v>2.5183309999999999</v>
      </c>
      <c r="AC156" s="10">
        <v>2.4751367000000002</v>
      </c>
      <c r="AD156" s="10">
        <v>2.4319071999999999</v>
      </c>
      <c r="AE156" s="10">
        <v>2.3893466000000001</v>
      </c>
      <c r="AF156" s="10">
        <v>2.3481586999999999</v>
      </c>
      <c r="AG156" s="10">
        <v>2.3090475000000001</v>
      </c>
      <c r="AH156" s="10">
        <v>2.2726027000000002</v>
      </c>
      <c r="AI156" s="10">
        <v>2.2388569999999999</v>
      </c>
      <c r="AJ156" s="10">
        <v>2.2076734999999998</v>
      </c>
      <c r="AK156" s="10">
        <v>2.1789155999999998</v>
      </c>
      <c r="AL156" s="10">
        <v>2.1524462999999998</v>
      </c>
      <c r="AM156" s="10">
        <v>2.1281289000000001</v>
      </c>
      <c r="AN156" s="10">
        <v>2.1058264000000002</v>
      </c>
      <c r="AO156" s="10">
        <v>2.0854021999999999</v>
      </c>
      <c r="AP156" s="10">
        <v>2.0667194000000002</v>
      </c>
      <c r="AQ156" s="10">
        <v>2.0496411000000001</v>
      </c>
      <c r="AR156" s="10">
        <v>2.0340305999999999</v>
      </c>
      <c r="AS156" s="10">
        <v>2.0197509999999999</v>
      </c>
      <c r="AT156" s="10">
        <v>2.0066725999999999</v>
      </c>
      <c r="AU156" s="10">
        <v>1.9946965999999999</v>
      </c>
      <c r="AV156" s="10">
        <v>1.9837331</v>
      </c>
      <c r="AW156" s="10">
        <v>1.9736918999999999</v>
      </c>
      <c r="AX156" s="10">
        <v>1.964483</v>
      </c>
      <c r="AY156" s="10">
        <v>1.9560162999999999</v>
      </c>
      <c r="AZ156" s="10">
        <v>1.9482016</v>
      </c>
      <c r="BA156" s="10">
        <v>1.940949</v>
      </c>
      <c r="BB156" s="10">
        <v>1.9341683999999999</v>
      </c>
      <c r="BC156" s="10">
        <v>1.9277696</v>
      </c>
      <c r="BD156" s="10">
        <v>1.9216626000000001</v>
      </c>
      <c r="BE156" s="10">
        <v>1.9157573000000001</v>
      </c>
      <c r="BF156" s="10">
        <v>1.9099786999999999</v>
      </c>
      <c r="BG156" s="10">
        <v>1.9043184</v>
      </c>
      <c r="BH156" s="10">
        <v>1.8987862</v>
      </c>
      <c r="BI156" s="10">
        <v>1.893392</v>
      </c>
      <c r="BJ156" s="10">
        <v>1.8881456999999999</v>
      </c>
      <c r="BK156" s="10">
        <v>1.8830572999999999</v>
      </c>
      <c r="BL156" s="10">
        <v>1.8781365000000001</v>
      </c>
      <c r="BM156" s="10">
        <v>1.8733934000000001</v>
      </c>
      <c r="BN156" s="10">
        <v>1.8688377</v>
      </c>
      <c r="BO156" s="10">
        <v>1.8644794</v>
      </c>
      <c r="BP156" s="10">
        <v>1.8603282999999999</v>
      </c>
      <c r="BQ156" s="10">
        <v>1.8563943999999999</v>
      </c>
      <c r="BR156" s="10">
        <v>1.8377691</v>
      </c>
      <c r="BS156" s="10">
        <v>1.8286278</v>
      </c>
      <c r="BU156" s="7">
        <v>1.72</v>
      </c>
      <c r="BV156" s="7">
        <v>1.87</v>
      </c>
      <c r="BW156" s="9">
        <v>79.873199999999997</v>
      </c>
    </row>
    <row r="157" spans="1:75" x14ac:dyDescent="0.25">
      <c r="A157" s="6">
        <f t="shared" si="17"/>
        <v>44771</v>
      </c>
      <c r="B157" s="13">
        <f t="shared" si="12"/>
        <v>7</v>
      </c>
      <c r="C157" s="13">
        <f t="shared" si="13"/>
        <v>2022</v>
      </c>
      <c r="D157">
        <f t="shared" si="14"/>
        <v>202207</v>
      </c>
      <c r="E157">
        <f t="shared" si="15"/>
        <v>3</v>
      </c>
      <c r="F157">
        <f t="shared" si="16"/>
        <v>202203</v>
      </c>
      <c r="G157" t="s">
        <v>344</v>
      </c>
      <c r="H157" s="9">
        <v>1.25</v>
      </c>
      <c r="I157" s="9">
        <v>1.1909000000000001</v>
      </c>
      <c r="J157" s="10">
        <v>1.6918108000000001</v>
      </c>
      <c r="K157" s="10">
        <v>1.9574472000000001</v>
      </c>
      <c r="L157" s="10">
        <v>2.2101772999999998</v>
      </c>
      <c r="M157" s="10">
        <v>2.4225004000000001</v>
      </c>
      <c r="N157" s="10">
        <v>2.5768162000000001</v>
      </c>
      <c r="O157" s="10">
        <v>2.6769661999999999</v>
      </c>
      <c r="P157" s="10">
        <v>2.7340217999999998</v>
      </c>
      <c r="Q157" s="10">
        <v>2.7597624999999999</v>
      </c>
      <c r="R157" s="10">
        <v>2.7655737</v>
      </c>
      <c r="S157" s="10">
        <v>2.7583188999999999</v>
      </c>
      <c r="T157" s="10">
        <v>2.7421039999999999</v>
      </c>
      <c r="U157" s="10">
        <v>2.7190096000000001</v>
      </c>
      <c r="V157" s="10">
        <v>2.6903568</v>
      </c>
      <c r="W157" s="10">
        <v>2.6570724999999999</v>
      </c>
      <c r="X157" s="10">
        <v>2.6199870000000001</v>
      </c>
      <c r="Y157" s="10">
        <v>2.5799300000000001</v>
      </c>
      <c r="Z157" s="10">
        <v>2.5377315</v>
      </c>
      <c r="AA157" s="10">
        <v>2.4942215000000001</v>
      </c>
      <c r="AB157" s="10">
        <v>2.4501965000000001</v>
      </c>
      <c r="AC157" s="10">
        <v>2.4062980999999999</v>
      </c>
      <c r="AD157" s="10">
        <v>2.3631229999999999</v>
      </c>
      <c r="AE157" s="10">
        <v>2.3212678000000002</v>
      </c>
      <c r="AF157" s="10">
        <v>2.2813292000000001</v>
      </c>
      <c r="AG157" s="10">
        <v>2.2439038</v>
      </c>
      <c r="AH157" s="10">
        <v>2.2094710000000002</v>
      </c>
      <c r="AI157" s="10">
        <v>2.1779915999999999</v>
      </c>
      <c r="AJ157" s="10">
        <v>2.1492835000000001</v>
      </c>
      <c r="AK157" s="10">
        <v>2.1231646</v>
      </c>
      <c r="AL157" s="10">
        <v>2.0994527000000001</v>
      </c>
      <c r="AM157" s="10">
        <v>2.0779657999999999</v>
      </c>
      <c r="AN157" s="10">
        <v>2.0585216000000002</v>
      </c>
      <c r="AO157" s="10">
        <v>2.0409381999999998</v>
      </c>
      <c r="AP157" s="10">
        <v>2.0250333</v>
      </c>
      <c r="AQ157" s="10">
        <v>2.0106248999999998</v>
      </c>
      <c r="AR157" s="10">
        <v>1.9975309000000001</v>
      </c>
      <c r="AS157" s="10">
        <v>1.9855689999999999</v>
      </c>
      <c r="AT157" s="10">
        <v>1.9745729999999999</v>
      </c>
      <c r="AU157" s="10">
        <v>1.9644461</v>
      </c>
      <c r="AV157" s="10">
        <v>1.9551109</v>
      </c>
      <c r="AW157" s="10">
        <v>1.9464897999999999</v>
      </c>
      <c r="AX157" s="10">
        <v>1.9385053999999999</v>
      </c>
      <c r="AY157" s="10">
        <v>1.9310801</v>
      </c>
      <c r="AZ157" s="10">
        <v>1.9241364999999999</v>
      </c>
      <c r="BA157" s="10">
        <v>1.917597</v>
      </c>
      <c r="BB157" s="10">
        <v>1.9113841</v>
      </c>
      <c r="BC157" s="10">
        <v>1.9054203999999999</v>
      </c>
      <c r="BD157" s="10">
        <v>1.8996283</v>
      </c>
      <c r="BE157" s="10">
        <v>1.8939303999999999</v>
      </c>
      <c r="BF157" s="10">
        <v>1.8882635000000001</v>
      </c>
      <c r="BG157" s="10">
        <v>1.8826285</v>
      </c>
      <c r="BH157" s="10">
        <v>1.8770437</v>
      </c>
      <c r="BI157" s="10">
        <v>1.8715274</v>
      </c>
      <c r="BJ157" s="10">
        <v>1.8660981000000001</v>
      </c>
      <c r="BK157" s="10">
        <v>1.8607741</v>
      </c>
      <c r="BL157" s="10">
        <v>1.8555736</v>
      </c>
      <c r="BM157" s="10">
        <v>1.8505152</v>
      </c>
      <c r="BN157" s="10">
        <v>1.8456170999999999</v>
      </c>
      <c r="BO157" s="10">
        <v>1.8408977</v>
      </c>
      <c r="BP157" s="10">
        <v>1.8363754000000001</v>
      </c>
      <c r="BQ157" s="10">
        <v>1.8320685000000001</v>
      </c>
      <c r="BR157" s="10">
        <v>1.8114323000000001</v>
      </c>
      <c r="BS157" s="10">
        <v>1.8010737999999999</v>
      </c>
      <c r="BU157" s="7">
        <v>1.72</v>
      </c>
      <c r="BV157" s="7">
        <v>1.86</v>
      </c>
      <c r="BW157" s="9">
        <v>79.846800000000002</v>
      </c>
    </row>
    <row r="158" spans="1:75" x14ac:dyDescent="0.25">
      <c r="A158" s="6">
        <f t="shared" si="17"/>
        <v>44774</v>
      </c>
      <c r="B158" s="13">
        <f t="shared" si="12"/>
        <v>8</v>
      </c>
      <c r="C158" s="13">
        <f t="shared" si="13"/>
        <v>2022</v>
      </c>
      <c r="D158">
        <f t="shared" si="14"/>
        <v>202208</v>
      </c>
      <c r="E158">
        <f t="shared" si="15"/>
        <v>3</v>
      </c>
      <c r="F158">
        <f t="shared" si="16"/>
        <v>202203</v>
      </c>
      <c r="G158" t="s">
        <v>345</v>
      </c>
      <c r="H158" s="9">
        <v>1.25</v>
      </c>
      <c r="I158" s="9">
        <v>1.1910000000000001</v>
      </c>
      <c r="J158" s="10">
        <v>1.7150909000000001</v>
      </c>
      <c r="K158" s="10">
        <v>1.979625</v>
      </c>
      <c r="L158" s="10">
        <v>2.2233361999999999</v>
      </c>
      <c r="M158" s="10">
        <v>2.4275524000000002</v>
      </c>
      <c r="N158" s="10">
        <v>2.5808200000000001</v>
      </c>
      <c r="O158" s="10">
        <v>2.6844109</v>
      </c>
      <c r="P158" s="10">
        <v>2.7467882000000001</v>
      </c>
      <c r="Q158" s="10">
        <v>2.7782789999999999</v>
      </c>
      <c r="R158" s="10">
        <v>2.7883103999999999</v>
      </c>
      <c r="S158" s="10">
        <v>2.7845038</v>
      </c>
      <c r="T158" s="10">
        <v>2.7708054</v>
      </c>
      <c r="U158" s="10">
        <v>2.7497422999999999</v>
      </c>
      <c r="V158" s="10">
        <v>2.7230474</v>
      </c>
      <c r="W158" s="10">
        <v>2.6916489000000001</v>
      </c>
      <c r="X158" s="10">
        <v>2.6563112000000002</v>
      </c>
      <c r="Y158" s="10">
        <v>2.6177988000000001</v>
      </c>
      <c r="Z158" s="10">
        <v>2.5768760999999998</v>
      </c>
      <c r="AA158" s="10">
        <v>2.5343073999999999</v>
      </c>
      <c r="AB158" s="10">
        <v>2.4908282000000002</v>
      </c>
      <c r="AC158" s="10">
        <v>2.4470398000000002</v>
      </c>
      <c r="AD158" s="10">
        <v>2.4035042999999998</v>
      </c>
      <c r="AE158" s="10">
        <v>2.3607841000000001</v>
      </c>
      <c r="AF158" s="10">
        <v>2.3194414000000001</v>
      </c>
      <c r="AG158" s="10">
        <v>2.2800384999999999</v>
      </c>
      <c r="AH158" s="10">
        <v>2.2430352999999998</v>
      </c>
      <c r="AI158" s="10">
        <v>2.2084400999999998</v>
      </c>
      <c r="AJ158" s="10">
        <v>2.1761366999999998</v>
      </c>
      <c r="AK158" s="10">
        <v>2.1460086</v>
      </c>
      <c r="AL158" s="10">
        <v>2.1179396000000001</v>
      </c>
      <c r="AM158" s="10">
        <v>2.0918133999999999</v>
      </c>
      <c r="AN158" s="10">
        <v>2.0675135</v>
      </c>
      <c r="AO158" s="10">
        <v>2.0449237999999998</v>
      </c>
      <c r="AP158" s="10">
        <v>2.0239278999999999</v>
      </c>
      <c r="AQ158" s="10">
        <v>2.0044095</v>
      </c>
      <c r="AR158" s="10">
        <v>1.9862522</v>
      </c>
      <c r="AS158" s="10">
        <v>1.9693396999999999</v>
      </c>
      <c r="AT158" s="10">
        <v>1.9535625999999999</v>
      </c>
      <c r="AU158" s="10">
        <v>1.9388418999999999</v>
      </c>
      <c r="AV158" s="10">
        <v>1.9251069999999999</v>
      </c>
      <c r="AW158" s="10">
        <v>1.9122873</v>
      </c>
      <c r="AX158" s="10">
        <v>1.9003123</v>
      </c>
      <c r="AY158" s="10">
        <v>1.8891112000000001</v>
      </c>
      <c r="AZ158" s="10">
        <v>1.8786136</v>
      </c>
      <c r="BA158" s="10">
        <v>1.8687488999999999</v>
      </c>
      <c r="BB158" s="10">
        <v>1.8594463000000001</v>
      </c>
      <c r="BC158" s="10">
        <v>1.8506354</v>
      </c>
      <c r="BD158" s="10">
        <v>1.8422456</v>
      </c>
      <c r="BE158" s="10">
        <v>1.8342061999999999</v>
      </c>
      <c r="BF158" s="10">
        <v>1.8264556000000001</v>
      </c>
      <c r="BG158" s="10">
        <v>1.8189804000000001</v>
      </c>
      <c r="BH158" s="10">
        <v>1.8117833000000001</v>
      </c>
      <c r="BI158" s="10">
        <v>1.804867</v>
      </c>
      <c r="BJ158" s="10">
        <v>1.7982343999999999</v>
      </c>
      <c r="BK158" s="10">
        <v>1.7918881</v>
      </c>
      <c r="BL158" s="10">
        <v>1.7858309000000001</v>
      </c>
      <c r="BM158" s="10">
        <v>1.7800655000000001</v>
      </c>
      <c r="BN158" s="10">
        <v>1.7745947</v>
      </c>
      <c r="BO158" s="10">
        <v>1.7694213000000001</v>
      </c>
      <c r="BP158" s="10">
        <v>1.764548</v>
      </c>
      <c r="BQ158" s="10">
        <v>1.7599773999999999</v>
      </c>
      <c r="BR158" s="10">
        <v>1.7389669000000001</v>
      </c>
      <c r="BS158" s="10">
        <v>1.7289338000000001</v>
      </c>
      <c r="BU158" s="7">
        <v>1.71</v>
      </c>
      <c r="BV158" s="7">
        <v>1.81</v>
      </c>
      <c r="BW158" s="9">
        <v>80.272000000000006</v>
      </c>
    </row>
    <row r="159" spans="1:75" x14ac:dyDescent="0.25">
      <c r="A159" s="6">
        <f t="shared" si="17"/>
        <v>44775</v>
      </c>
      <c r="B159" s="13">
        <f t="shared" si="12"/>
        <v>8</v>
      </c>
      <c r="C159" s="13">
        <f t="shared" si="13"/>
        <v>2022</v>
      </c>
      <c r="D159">
        <f t="shared" si="14"/>
        <v>202208</v>
      </c>
      <c r="E159">
        <f t="shared" si="15"/>
        <v>3</v>
      </c>
      <c r="F159">
        <f t="shared" si="16"/>
        <v>202203</v>
      </c>
      <c r="G159" t="s">
        <v>346</v>
      </c>
      <c r="H159" s="9">
        <v>1.25</v>
      </c>
      <c r="I159" s="9">
        <v>1.1911</v>
      </c>
      <c r="J159" s="10">
        <v>1.7325915999999999</v>
      </c>
      <c r="K159" s="10">
        <v>2.0108598</v>
      </c>
      <c r="L159" s="10">
        <v>2.2689815000000002</v>
      </c>
      <c r="M159" s="10">
        <v>2.4853225000000001</v>
      </c>
      <c r="N159" s="10">
        <v>2.6453142000000001</v>
      </c>
      <c r="O159" s="10">
        <v>2.7518346</v>
      </c>
      <c r="P159" s="10">
        <v>2.8149608000000002</v>
      </c>
      <c r="Q159" s="10">
        <v>2.8473788999999998</v>
      </c>
      <c r="R159" s="10">
        <v>2.8603611999999998</v>
      </c>
      <c r="S159" s="10">
        <v>2.8616196999999999</v>
      </c>
      <c r="T159" s="10">
        <v>2.8549264999999999</v>
      </c>
      <c r="U159" s="10">
        <v>2.8417740999999999</v>
      </c>
      <c r="V159" s="10">
        <v>2.8218930000000002</v>
      </c>
      <c r="W159" s="10">
        <v>2.7958443000000002</v>
      </c>
      <c r="X159" s="10">
        <v>2.7645141999999998</v>
      </c>
      <c r="Y159" s="10">
        <v>2.7287889999999999</v>
      </c>
      <c r="Z159" s="10">
        <v>2.6895549999999999</v>
      </c>
      <c r="AA159" s="10">
        <v>2.6476985000000002</v>
      </c>
      <c r="AB159" s="10">
        <v>2.6040787000000001</v>
      </c>
      <c r="AC159" s="10">
        <v>2.5594286999999998</v>
      </c>
      <c r="AD159" s="10">
        <v>2.5144453000000002</v>
      </c>
      <c r="AE159" s="10">
        <v>2.4698253999999999</v>
      </c>
      <c r="AF159" s="10">
        <v>2.4262655999999998</v>
      </c>
      <c r="AG159" s="10">
        <v>2.3844626999999998</v>
      </c>
      <c r="AH159" s="10">
        <v>2.3449922000000001</v>
      </c>
      <c r="AI159" s="10">
        <v>2.3078946999999999</v>
      </c>
      <c r="AJ159" s="10">
        <v>2.2730627000000001</v>
      </c>
      <c r="AK159" s="10">
        <v>2.2403890999999998</v>
      </c>
      <c r="AL159" s="10">
        <v>2.2097666</v>
      </c>
      <c r="AM159" s="10">
        <v>2.1810881000000002</v>
      </c>
      <c r="AN159" s="10">
        <v>2.1542462000000002</v>
      </c>
      <c r="AO159" s="10">
        <v>2.1291338</v>
      </c>
      <c r="AP159" s="10">
        <v>2.1056434999999998</v>
      </c>
      <c r="AQ159" s="10">
        <v>2.0836682</v>
      </c>
      <c r="AR159" s="10">
        <v>2.0631005999999998</v>
      </c>
      <c r="AS159" s="10">
        <v>2.0438334</v>
      </c>
      <c r="AT159" s="10">
        <v>2.0257637000000002</v>
      </c>
      <c r="AU159" s="10">
        <v>2.0088105999999999</v>
      </c>
      <c r="AV159" s="10">
        <v>1.9929007999999999</v>
      </c>
      <c r="AW159" s="10">
        <v>1.9779610999999999</v>
      </c>
      <c r="AX159" s="10">
        <v>1.9639181000000001</v>
      </c>
      <c r="AY159" s="10">
        <v>1.9506988000000001</v>
      </c>
      <c r="AZ159" s="10">
        <v>1.9382296999999999</v>
      </c>
      <c r="BA159" s="10">
        <v>1.9264376000000001</v>
      </c>
      <c r="BB159" s="10">
        <v>1.9152492000000001</v>
      </c>
      <c r="BC159" s="10">
        <v>1.9045913000000001</v>
      </c>
      <c r="BD159" s="10">
        <v>1.8943905999999999</v>
      </c>
      <c r="BE159" s="10">
        <v>1.8845738000000001</v>
      </c>
      <c r="BF159" s="10">
        <v>1.8750777999999999</v>
      </c>
      <c r="BG159" s="10">
        <v>1.8658891</v>
      </c>
      <c r="BH159" s="10">
        <v>1.8570091</v>
      </c>
      <c r="BI159" s="10">
        <v>1.8484392999999999</v>
      </c>
      <c r="BJ159" s="10">
        <v>1.8401813</v>
      </c>
      <c r="BK159" s="10">
        <v>1.8322365</v>
      </c>
      <c r="BL159" s="10">
        <v>1.8246064</v>
      </c>
      <c r="BM159" s="10">
        <v>1.8172926</v>
      </c>
      <c r="BN159" s="10">
        <v>1.8102965</v>
      </c>
      <c r="BO159" s="10">
        <v>1.8036197</v>
      </c>
      <c r="BP159" s="10">
        <v>1.7972636</v>
      </c>
      <c r="BQ159" s="10">
        <v>1.7912298</v>
      </c>
      <c r="BR159" s="10">
        <v>1.7618988</v>
      </c>
      <c r="BS159" s="10">
        <v>1.7446747</v>
      </c>
      <c r="BU159" s="7">
        <v>1.79</v>
      </c>
      <c r="BV159" s="7">
        <v>1.86</v>
      </c>
      <c r="BW159" s="9">
        <v>80.175399999999996</v>
      </c>
    </row>
    <row r="160" spans="1:75" x14ac:dyDescent="0.25">
      <c r="A160" s="6">
        <f t="shared" si="17"/>
        <v>44776</v>
      </c>
      <c r="B160" s="13">
        <f t="shared" si="12"/>
        <v>8</v>
      </c>
      <c r="C160" s="13">
        <f t="shared" si="13"/>
        <v>2022</v>
      </c>
      <c r="D160">
        <f t="shared" si="14"/>
        <v>202208</v>
      </c>
      <c r="E160">
        <f t="shared" si="15"/>
        <v>3</v>
      </c>
      <c r="F160">
        <f t="shared" si="16"/>
        <v>202203</v>
      </c>
      <c r="G160" t="s">
        <v>347</v>
      </c>
      <c r="H160" s="9">
        <v>1.25</v>
      </c>
      <c r="I160" s="9">
        <v>1.1911</v>
      </c>
      <c r="J160" s="10">
        <v>1.7297445</v>
      </c>
      <c r="K160" s="10">
        <v>2.0266400999999998</v>
      </c>
      <c r="L160" s="10">
        <v>2.2995258000000001</v>
      </c>
      <c r="M160" s="10">
        <v>2.5279620999999999</v>
      </c>
      <c r="N160" s="10">
        <v>2.6957469000000001</v>
      </c>
      <c r="O160" s="10">
        <v>2.8085849000000001</v>
      </c>
      <c r="P160" s="10">
        <v>2.8777624999999998</v>
      </c>
      <c r="Q160" s="10">
        <v>2.9165051000000002</v>
      </c>
      <c r="R160" s="10">
        <v>2.9362821000000001</v>
      </c>
      <c r="S160" s="10">
        <v>2.9442423</v>
      </c>
      <c r="T160" s="10">
        <v>2.9438566000000002</v>
      </c>
      <c r="U160" s="10">
        <v>2.9357793000000001</v>
      </c>
      <c r="V160" s="10">
        <v>2.9186627999999999</v>
      </c>
      <c r="W160" s="10">
        <v>2.8931917</v>
      </c>
      <c r="X160" s="10">
        <v>2.8606853999999999</v>
      </c>
      <c r="Y160" s="10">
        <v>2.8224629999999999</v>
      </c>
      <c r="Z160" s="10">
        <v>2.7798436</v>
      </c>
      <c r="AA160" s="10">
        <v>2.7341465</v>
      </c>
      <c r="AB160" s="10">
        <v>2.6866265</v>
      </c>
      <c r="AC160" s="10">
        <v>2.6381733999999999</v>
      </c>
      <c r="AD160" s="10">
        <v>2.5895488000000002</v>
      </c>
      <c r="AE160" s="10">
        <v>2.5415139999999998</v>
      </c>
      <c r="AF160" s="10">
        <v>2.4948305</v>
      </c>
      <c r="AG160" s="10">
        <v>2.4502595999999999</v>
      </c>
      <c r="AH160" s="10">
        <v>2.4084506000000001</v>
      </c>
      <c r="AI160" s="10">
        <v>2.3694483000000002</v>
      </c>
      <c r="AJ160" s="10">
        <v>2.3330948999999999</v>
      </c>
      <c r="AK160" s="10">
        <v>2.2992325999999998</v>
      </c>
      <c r="AL160" s="10">
        <v>2.2677033</v>
      </c>
      <c r="AM160" s="10">
        <v>2.2383492</v>
      </c>
      <c r="AN160" s="10">
        <v>2.2110124</v>
      </c>
      <c r="AO160" s="10">
        <v>2.1855349999999998</v>
      </c>
      <c r="AP160" s="10">
        <v>2.1617590999999998</v>
      </c>
      <c r="AQ160" s="10">
        <v>2.1395266999999998</v>
      </c>
      <c r="AR160" s="10">
        <v>2.1186799000000001</v>
      </c>
      <c r="AS160" s="10">
        <v>2.0990609</v>
      </c>
      <c r="AT160" s="10">
        <v>2.0805240999999999</v>
      </c>
      <c r="AU160" s="10">
        <v>2.0629845000000002</v>
      </c>
      <c r="AV160" s="10">
        <v>2.0463751999999999</v>
      </c>
      <c r="AW160" s="10">
        <v>2.0306296000000001</v>
      </c>
      <c r="AX160" s="10">
        <v>2.0156809999999998</v>
      </c>
      <c r="AY160" s="10">
        <v>2.0014626</v>
      </c>
      <c r="AZ160" s="10">
        <v>1.9879077000000001</v>
      </c>
      <c r="BA160" s="10">
        <v>1.9749496</v>
      </c>
      <c r="BB160" s="10">
        <v>1.9625216000000001</v>
      </c>
      <c r="BC160" s="10">
        <v>1.9505570000000001</v>
      </c>
      <c r="BD160" s="10">
        <v>1.9389890999999999</v>
      </c>
      <c r="BE160" s="10">
        <v>1.927751</v>
      </c>
      <c r="BF160" s="10">
        <v>1.9167875000000001</v>
      </c>
      <c r="BG160" s="10">
        <v>1.9060931000000001</v>
      </c>
      <c r="BH160" s="10">
        <v>1.8956759000000001</v>
      </c>
      <c r="BI160" s="10">
        <v>1.8855445</v>
      </c>
      <c r="BJ160" s="10">
        <v>1.8757069</v>
      </c>
      <c r="BK160" s="10">
        <v>1.8661715999999999</v>
      </c>
      <c r="BL160" s="10">
        <v>1.8569469000000001</v>
      </c>
      <c r="BM160" s="10">
        <v>1.8480409</v>
      </c>
      <c r="BN160" s="10">
        <v>1.8394621</v>
      </c>
      <c r="BO160" s="10">
        <v>1.8312188</v>
      </c>
      <c r="BP160" s="10">
        <v>1.8233192</v>
      </c>
      <c r="BQ160" s="10">
        <v>1.8157715999999999</v>
      </c>
      <c r="BR160" s="10">
        <v>1.778127</v>
      </c>
      <c r="BS160" s="10">
        <v>1.7539340000000001</v>
      </c>
      <c r="BU160" s="7">
        <v>1.84</v>
      </c>
      <c r="BV160" s="7">
        <v>1.91</v>
      </c>
      <c r="BW160" s="9">
        <v>79.845799999999997</v>
      </c>
    </row>
    <row r="161" spans="1:75" x14ac:dyDescent="0.25">
      <c r="A161" s="6">
        <f t="shared" si="17"/>
        <v>44777</v>
      </c>
      <c r="B161" s="13">
        <f t="shared" si="12"/>
        <v>8</v>
      </c>
      <c r="C161" s="13">
        <f t="shared" si="13"/>
        <v>2022</v>
      </c>
      <c r="D161">
        <f t="shared" si="14"/>
        <v>202208</v>
      </c>
      <c r="E161">
        <f t="shared" si="15"/>
        <v>3</v>
      </c>
      <c r="F161">
        <f t="shared" si="16"/>
        <v>202203</v>
      </c>
      <c r="G161" t="s">
        <v>348</v>
      </c>
      <c r="H161" s="9">
        <v>1.75</v>
      </c>
      <c r="I161" s="9">
        <v>1.6886000000000001</v>
      </c>
      <c r="J161" s="10">
        <v>1.7819677</v>
      </c>
      <c r="K161" s="10">
        <v>2.0812404999999998</v>
      </c>
      <c r="L161" s="10">
        <v>2.3458700000000001</v>
      </c>
      <c r="M161" s="10">
        <v>2.5638516</v>
      </c>
      <c r="N161" s="10">
        <v>2.7233931999999998</v>
      </c>
      <c r="O161" s="10">
        <v>2.8281139</v>
      </c>
      <c r="P161" s="10">
        <v>2.8889681</v>
      </c>
      <c r="Q161" s="10">
        <v>2.9167353</v>
      </c>
      <c r="R161" s="10">
        <v>2.9231452999999998</v>
      </c>
      <c r="S161" s="10">
        <v>2.9160029999999999</v>
      </c>
      <c r="T161" s="10">
        <v>2.9001058</v>
      </c>
      <c r="U161" s="10">
        <v>2.8781172000000002</v>
      </c>
      <c r="V161" s="10">
        <v>2.8521968000000002</v>
      </c>
      <c r="W161" s="10">
        <v>2.8230198</v>
      </c>
      <c r="X161" s="10">
        <v>2.790867</v>
      </c>
      <c r="Y161" s="10">
        <v>2.7560191000000001</v>
      </c>
      <c r="Z161" s="10">
        <v>2.7187568999999998</v>
      </c>
      <c r="AA161" s="10">
        <v>2.6793610999999999</v>
      </c>
      <c r="AB161" s="10">
        <v>2.6381638999999999</v>
      </c>
      <c r="AC161" s="10">
        <v>2.5957621</v>
      </c>
      <c r="AD161" s="10">
        <v>2.5528366</v>
      </c>
      <c r="AE161" s="10">
        <v>2.5100685999999999</v>
      </c>
      <c r="AF161" s="10">
        <v>2.4681389999999999</v>
      </c>
      <c r="AG161" s="10">
        <v>2.4277291000000001</v>
      </c>
      <c r="AH161" s="10">
        <v>2.3894156</v>
      </c>
      <c r="AI161" s="10">
        <v>2.3532665000000001</v>
      </c>
      <c r="AJ161" s="10">
        <v>2.3191951999999998</v>
      </c>
      <c r="AK161" s="10">
        <v>2.2871152000000001</v>
      </c>
      <c r="AL161" s="10">
        <v>2.2569397000000002</v>
      </c>
      <c r="AM161" s="10">
        <v>2.2285821000000001</v>
      </c>
      <c r="AN161" s="10">
        <v>2.2019557000000001</v>
      </c>
      <c r="AO161" s="10">
        <v>2.1769739000000001</v>
      </c>
      <c r="AP161" s="10">
        <v>2.1535498999999998</v>
      </c>
      <c r="AQ161" s="10">
        <v>2.1315971999999999</v>
      </c>
      <c r="AR161" s="10">
        <v>2.1110291000000001</v>
      </c>
      <c r="AS161" s="10">
        <v>2.0917590000000001</v>
      </c>
      <c r="AT161" s="10">
        <v>2.0737005000000002</v>
      </c>
      <c r="AU161" s="10">
        <v>2.0567693999999999</v>
      </c>
      <c r="AV161" s="10">
        <v>2.0408819999999999</v>
      </c>
      <c r="AW161" s="10">
        <v>2.0259543999999998</v>
      </c>
      <c r="AX161" s="10">
        <v>2.0119028000000001</v>
      </c>
      <c r="AY161" s="10">
        <v>1.9986435</v>
      </c>
      <c r="AZ161" s="10">
        <v>1.9860928</v>
      </c>
      <c r="BA161" s="10">
        <v>1.9741667000000001</v>
      </c>
      <c r="BB161" s="10">
        <v>1.9627816</v>
      </c>
      <c r="BC161" s="10">
        <v>1.9518536</v>
      </c>
      <c r="BD161" s="10">
        <v>1.9412990000000001</v>
      </c>
      <c r="BE161" s="10">
        <v>1.9310339999999999</v>
      </c>
      <c r="BF161" s="10">
        <v>1.9209890999999999</v>
      </c>
      <c r="BG161" s="10">
        <v>1.9111575999999999</v>
      </c>
      <c r="BH161" s="10">
        <v>1.9015504999999999</v>
      </c>
      <c r="BI161" s="10">
        <v>1.8921783000000001</v>
      </c>
      <c r="BJ161" s="10">
        <v>1.8830518999999999</v>
      </c>
      <c r="BK161" s="10">
        <v>1.8741821000000001</v>
      </c>
      <c r="BL161" s="10">
        <v>1.8655796</v>
      </c>
      <c r="BM161" s="10">
        <v>1.8572552</v>
      </c>
      <c r="BN161" s="10">
        <v>1.8492196999999999</v>
      </c>
      <c r="BO161" s="10">
        <v>1.8414838</v>
      </c>
      <c r="BP161" s="10">
        <v>1.8340584</v>
      </c>
      <c r="BQ161" s="10">
        <v>1.8269541</v>
      </c>
      <c r="BR161" s="10">
        <v>1.7914424</v>
      </c>
      <c r="BS161" s="10">
        <v>1.7687885999999999</v>
      </c>
      <c r="BU161" s="7">
        <v>1.86</v>
      </c>
      <c r="BV161" s="7">
        <v>1.9</v>
      </c>
      <c r="BW161" s="9">
        <v>79.471299999999999</v>
      </c>
    </row>
    <row r="162" spans="1:75" x14ac:dyDescent="0.25">
      <c r="A162" s="6">
        <f t="shared" si="17"/>
        <v>44778</v>
      </c>
      <c r="B162" s="13">
        <f t="shared" si="12"/>
        <v>8</v>
      </c>
      <c r="C162" s="13">
        <f t="shared" si="13"/>
        <v>2022</v>
      </c>
      <c r="D162">
        <f t="shared" si="14"/>
        <v>202208</v>
      </c>
      <c r="E162">
        <f t="shared" si="15"/>
        <v>3</v>
      </c>
      <c r="F162">
        <f t="shared" si="16"/>
        <v>202203</v>
      </c>
      <c r="G162" t="s">
        <v>349</v>
      </c>
      <c r="H162" s="9">
        <v>1.75</v>
      </c>
      <c r="I162" s="9">
        <v>1.6902999999999999</v>
      </c>
      <c r="J162" s="10">
        <v>1.7930702000000001</v>
      </c>
      <c r="K162" s="10">
        <v>2.1036155000000001</v>
      </c>
      <c r="L162" s="10">
        <v>2.3925166</v>
      </c>
      <c r="M162" s="10">
        <v>2.6424946</v>
      </c>
      <c r="N162" s="10">
        <v>2.835019</v>
      </c>
      <c r="O162" s="10">
        <v>2.9674233999999999</v>
      </c>
      <c r="P162" s="10">
        <v>3.0477536000000001</v>
      </c>
      <c r="Q162" s="10">
        <v>3.0878763999999999</v>
      </c>
      <c r="R162" s="10">
        <v>3.1016178000000001</v>
      </c>
      <c r="S162" s="10">
        <v>3.0987646</v>
      </c>
      <c r="T162" s="10">
        <v>3.0850205000000002</v>
      </c>
      <c r="U162" s="10">
        <v>3.0634070000000002</v>
      </c>
      <c r="V162" s="10">
        <v>3.0351121000000001</v>
      </c>
      <c r="W162" s="10">
        <v>3.0011375999999998</v>
      </c>
      <c r="X162" s="10">
        <v>2.9625335000000002</v>
      </c>
      <c r="Y162" s="10">
        <v>2.9203497</v>
      </c>
      <c r="Z162" s="10">
        <v>2.8756358</v>
      </c>
      <c r="AA162" s="10">
        <v>2.8294419</v>
      </c>
      <c r="AB162" s="10">
        <v>2.7827383000000001</v>
      </c>
      <c r="AC162" s="10">
        <v>2.7361271999999999</v>
      </c>
      <c r="AD162" s="10">
        <v>2.6901039</v>
      </c>
      <c r="AE162" s="10">
        <v>2.6451636999999999</v>
      </c>
      <c r="AF162" s="10">
        <v>2.6018020000000002</v>
      </c>
      <c r="AG162" s="10">
        <v>2.5605142999999999</v>
      </c>
      <c r="AH162" s="10">
        <v>2.5217006</v>
      </c>
      <c r="AI162" s="10">
        <v>2.4853418999999999</v>
      </c>
      <c r="AJ162" s="10">
        <v>2.4513029</v>
      </c>
      <c r="AK162" s="10">
        <v>2.4194486999999998</v>
      </c>
      <c r="AL162" s="10">
        <v>2.3896440999999999</v>
      </c>
      <c r="AM162" s="10">
        <v>2.3617539999999999</v>
      </c>
      <c r="AN162" s="10">
        <v>2.3356433999999999</v>
      </c>
      <c r="AO162" s="10">
        <v>2.3111771999999999</v>
      </c>
      <c r="AP162" s="10">
        <v>2.2882202999999999</v>
      </c>
      <c r="AQ162" s="10">
        <v>2.2666377</v>
      </c>
      <c r="AR162" s="10">
        <v>2.2462941999999999</v>
      </c>
      <c r="AS162" s="10">
        <v>2.2270547999999999</v>
      </c>
      <c r="AT162" s="10">
        <v>2.2087965999999999</v>
      </c>
      <c r="AU162" s="10">
        <v>2.1914505000000002</v>
      </c>
      <c r="AV162" s="10">
        <v>2.1749622999999998</v>
      </c>
      <c r="AW162" s="10">
        <v>2.1592775999999998</v>
      </c>
      <c r="AX162" s="10">
        <v>2.1443422000000001</v>
      </c>
      <c r="AY162" s="10">
        <v>2.1301019000000001</v>
      </c>
      <c r="AZ162" s="10">
        <v>2.1165023999999999</v>
      </c>
      <c r="BA162" s="10">
        <v>2.1034894</v>
      </c>
      <c r="BB162" s="10">
        <v>2.0910087000000002</v>
      </c>
      <c r="BC162" s="10">
        <v>2.0790061</v>
      </c>
      <c r="BD162" s="10">
        <v>2.0674272</v>
      </c>
      <c r="BE162" s="10">
        <v>2.0562179</v>
      </c>
      <c r="BF162" s="10">
        <v>2.0453329</v>
      </c>
      <c r="BG162" s="10">
        <v>2.0347673999999998</v>
      </c>
      <c r="BH162" s="10">
        <v>2.0245275</v>
      </c>
      <c r="BI162" s="10">
        <v>2.0146194999999998</v>
      </c>
      <c r="BJ162" s="10">
        <v>2.0050496</v>
      </c>
      <c r="BK162" s="10">
        <v>1.995824</v>
      </c>
      <c r="BL162" s="10">
        <v>1.9869489</v>
      </c>
      <c r="BM162" s="10">
        <v>1.9784303999999999</v>
      </c>
      <c r="BN162" s="10">
        <v>1.9702748999999999</v>
      </c>
      <c r="BO162" s="10">
        <v>1.9624884</v>
      </c>
      <c r="BP162" s="10">
        <v>1.9550771</v>
      </c>
      <c r="BQ162" s="10">
        <v>1.9480474000000001</v>
      </c>
      <c r="BR162" s="10">
        <v>1.913975</v>
      </c>
      <c r="BS162" s="10">
        <v>1.8936671</v>
      </c>
      <c r="BU162" s="7">
        <v>1.97</v>
      </c>
      <c r="BV162" s="7">
        <v>2.04</v>
      </c>
      <c r="BW162" s="9">
        <v>79.3596</v>
      </c>
    </row>
    <row r="163" spans="1:75" x14ac:dyDescent="0.25">
      <c r="A163" s="6">
        <f t="shared" si="17"/>
        <v>44781</v>
      </c>
      <c r="B163" s="13">
        <f t="shared" si="12"/>
        <v>8</v>
      </c>
      <c r="C163" s="13">
        <f t="shared" si="13"/>
        <v>2022</v>
      </c>
      <c r="D163">
        <f t="shared" si="14"/>
        <v>202208</v>
      </c>
      <c r="E163">
        <f t="shared" si="15"/>
        <v>3</v>
      </c>
      <c r="F163">
        <f t="shared" si="16"/>
        <v>202203</v>
      </c>
      <c r="G163" t="s">
        <v>350</v>
      </c>
      <c r="H163" s="9">
        <v>1.75</v>
      </c>
      <c r="I163" s="9">
        <v>1.69</v>
      </c>
      <c r="J163" s="10">
        <v>1.8029478999999999</v>
      </c>
      <c r="K163" s="10">
        <v>2.1189225</v>
      </c>
      <c r="L163" s="10">
        <v>2.3983886999999999</v>
      </c>
      <c r="M163" s="10">
        <v>2.6335077</v>
      </c>
      <c r="N163" s="10">
        <v>2.8132497000000001</v>
      </c>
      <c r="O163" s="10">
        <v>2.9372269000000002</v>
      </c>
      <c r="P163" s="10">
        <v>3.0131435999999998</v>
      </c>
      <c r="Q163" s="10">
        <v>3.0533006</v>
      </c>
      <c r="R163" s="10">
        <v>3.0692821000000001</v>
      </c>
      <c r="S163" s="10">
        <v>3.0702235999999998</v>
      </c>
      <c r="T163" s="10">
        <v>3.0608369999999998</v>
      </c>
      <c r="U163" s="10">
        <v>3.0434125999999999</v>
      </c>
      <c r="V163" s="10">
        <v>3.0183460000000002</v>
      </c>
      <c r="W163" s="10">
        <v>2.9864210999999998</v>
      </c>
      <c r="X163" s="10">
        <v>2.9486515</v>
      </c>
      <c r="Y163" s="10">
        <v>2.9060505999999999</v>
      </c>
      <c r="Z163" s="10">
        <v>2.8596316000000002</v>
      </c>
      <c r="AA163" s="10">
        <v>2.8104081999999999</v>
      </c>
      <c r="AB163" s="10">
        <v>2.7593621000000002</v>
      </c>
      <c r="AC163" s="10">
        <v>2.7073292000000002</v>
      </c>
      <c r="AD163" s="10">
        <v>2.655103</v>
      </c>
      <c r="AE163" s="10">
        <v>2.6034769</v>
      </c>
      <c r="AF163" s="10">
        <v>2.5532442999999998</v>
      </c>
      <c r="AG163" s="10">
        <v>2.5051988000000001</v>
      </c>
      <c r="AH163" s="10">
        <v>2.4599937999999999</v>
      </c>
      <c r="AI163" s="10">
        <v>2.4176644999999999</v>
      </c>
      <c r="AJ163" s="10">
        <v>2.3780758999999998</v>
      </c>
      <c r="AK163" s="10">
        <v>2.3410924999999998</v>
      </c>
      <c r="AL163" s="10">
        <v>2.3065793000000001</v>
      </c>
      <c r="AM163" s="10">
        <v>2.2744008999999998</v>
      </c>
      <c r="AN163" s="10">
        <v>2.2444221</v>
      </c>
      <c r="AO163" s="10">
        <v>2.2165077000000002</v>
      </c>
      <c r="AP163" s="10">
        <v>2.1905225000000002</v>
      </c>
      <c r="AQ163" s="10">
        <v>2.1663312000000001</v>
      </c>
      <c r="AR163" s="10">
        <v>2.1437986000000002</v>
      </c>
      <c r="AS163" s="10">
        <v>2.1227895000000001</v>
      </c>
      <c r="AT163" s="10">
        <v>2.1031757</v>
      </c>
      <c r="AU163" s="10">
        <v>2.0848599000000001</v>
      </c>
      <c r="AV163" s="10">
        <v>2.0677538000000002</v>
      </c>
      <c r="AW163" s="10">
        <v>2.0517688000000001</v>
      </c>
      <c r="AX163" s="10">
        <v>2.0368162999999999</v>
      </c>
      <c r="AY163" s="10">
        <v>2.0228077</v>
      </c>
      <c r="AZ163" s="10">
        <v>2.0096546000000002</v>
      </c>
      <c r="BA163" s="10">
        <v>1.9972684000000001</v>
      </c>
      <c r="BB163" s="10">
        <v>1.9855605000000001</v>
      </c>
      <c r="BC163" s="10">
        <v>1.9744424</v>
      </c>
      <c r="BD163" s="10">
        <v>1.9638256000000001</v>
      </c>
      <c r="BE163" s="10">
        <v>1.9536214999999999</v>
      </c>
      <c r="BF163" s="10">
        <v>1.9437525</v>
      </c>
      <c r="BG163" s="10">
        <v>1.9341997</v>
      </c>
      <c r="BH163" s="10">
        <v>1.9249641</v>
      </c>
      <c r="BI163" s="10">
        <v>1.9160466</v>
      </c>
      <c r="BJ163" s="10">
        <v>1.907448</v>
      </c>
      <c r="BK163" s="10">
        <v>1.8991693000000001</v>
      </c>
      <c r="BL163" s="10">
        <v>1.8912112999999999</v>
      </c>
      <c r="BM163" s="10">
        <v>1.883575</v>
      </c>
      <c r="BN163" s="10">
        <v>1.8762612000000001</v>
      </c>
      <c r="BO163" s="10">
        <v>1.8692709000000001</v>
      </c>
      <c r="BP163" s="10">
        <v>1.8626050000000001</v>
      </c>
      <c r="BQ163" s="10">
        <v>1.8562643000000001</v>
      </c>
      <c r="BR163" s="10">
        <v>1.8250892000000001</v>
      </c>
      <c r="BS163" s="10">
        <v>1.8057775</v>
      </c>
      <c r="BU163" s="7">
        <v>1.91</v>
      </c>
      <c r="BV163" s="7">
        <v>1.95</v>
      </c>
      <c r="BW163" s="9">
        <v>79.513000000000005</v>
      </c>
    </row>
    <row r="164" spans="1:75" x14ac:dyDescent="0.25">
      <c r="A164" s="6">
        <f t="shared" si="17"/>
        <v>44782</v>
      </c>
      <c r="B164" s="13">
        <f t="shared" si="12"/>
        <v>8</v>
      </c>
      <c r="C164" s="13">
        <f t="shared" si="13"/>
        <v>2022</v>
      </c>
      <c r="D164">
        <f t="shared" si="14"/>
        <v>202208</v>
      </c>
      <c r="E164">
        <f t="shared" si="15"/>
        <v>3</v>
      </c>
      <c r="F164">
        <f t="shared" si="16"/>
        <v>202203</v>
      </c>
      <c r="G164" t="s">
        <v>351</v>
      </c>
      <c r="H164" s="9">
        <v>1.75</v>
      </c>
      <c r="I164" s="9">
        <v>1.6904999999999999</v>
      </c>
      <c r="J164" s="10">
        <v>1.8134432</v>
      </c>
      <c r="K164" s="10">
        <v>2.1375294</v>
      </c>
      <c r="L164" s="10">
        <v>2.4242404999999998</v>
      </c>
      <c r="M164" s="10">
        <v>2.6689935999999999</v>
      </c>
      <c r="N164" s="10">
        <v>2.8597027000000002</v>
      </c>
      <c r="O164" s="10">
        <v>2.9942578000000002</v>
      </c>
      <c r="P164" s="10">
        <v>3.0790731999999998</v>
      </c>
      <c r="Q164" s="10">
        <v>3.1258976999999999</v>
      </c>
      <c r="R164" s="10">
        <v>3.1464679000000002</v>
      </c>
      <c r="S164" s="10">
        <v>3.1502650999999999</v>
      </c>
      <c r="T164" s="10">
        <v>3.1425097000000002</v>
      </c>
      <c r="U164" s="10">
        <v>3.1259803000000002</v>
      </c>
      <c r="V164" s="10">
        <v>3.1017633</v>
      </c>
      <c r="W164" s="10">
        <v>3.0708098000000001</v>
      </c>
      <c r="X164" s="10">
        <v>3.0341315</v>
      </c>
      <c r="Y164" s="10">
        <v>2.99274</v>
      </c>
      <c r="Z164" s="10">
        <v>2.9476467999999998</v>
      </c>
      <c r="AA164" s="10">
        <v>2.8998634999999999</v>
      </c>
      <c r="AB164" s="10">
        <v>2.8503566999999999</v>
      </c>
      <c r="AC164" s="10">
        <v>2.7998843</v>
      </c>
      <c r="AD164" s="10">
        <v>2.7491433999999999</v>
      </c>
      <c r="AE164" s="10">
        <v>2.6988314999999998</v>
      </c>
      <c r="AF164" s="10">
        <v>2.6496458999999999</v>
      </c>
      <c r="AG164" s="10">
        <v>2.6022837999999999</v>
      </c>
      <c r="AH164" s="10">
        <v>2.5573231999999999</v>
      </c>
      <c r="AI164" s="10">
        <v>2.5148139999999999</v>
      </c>
      <c r="AJ164" s="10">
        <v>2.4746610000000002</v>
      </c>
      <c r="AK164" s="10">
        <v>2.4367687</v>
      </c>
      <c r="AL164" s="10">
        <v>2.4010416000000001</v>
      </c>
      <c r="AM164" s="10">
        <v>2.3673844000000002</v>
      </c>
      <c r="AN164" s="10">
        <v>2.3357014999999999</v>
      </c>
      <c r="AO164" s="10">
        <v>2.3058974999999999</v>
      </c>
      <c r="AP164" s="10">
        <v>2.2778771</v>
      </c>
      <c r="AQ164" s="10">
        <v>2.2515447000000002</v>
      </c>
      <c r="AR164" s="10">
        <v>2.2268050000000001</v>
      </c>
      <c r="AS164" s="10">
        <v>2.2035624999999999</v>
      </c>
      <c r="AT164" s="10">
        <v>2.1817229999999999</v>
      </c>
      <c r="AU164" s="10">
        <v>2.1611984999999998</v>
      </c>
      <c r="AV164" s="10">
        <v>2.1419031999999998</v>
      </c>
      <c r="AW164" s="10">
        <v>2.1237514000000002</v>
      </c>
      <c r="AX164" s="10">
        <v>2.1066571000000001</v>
      </c>
      <c r="AY164" s="10">
        <v>2.0905347000000001</v>
      </c>
      <c r="AZ164" s="10">
        <v>2.0752983</v>
      </c>
      <c r="BA164" s="10">
        <v>2.0608621</v>
      </c>
      <c r="BB164" s="10">
        <v>2.0471403000000001</v>
      </c>
      <c r="BC164" s="10">
        <v>2.0340471</v>
      </c>
      <c r="BD164" s="10">
        <v>2.0214967000000001</v>
      </c>
      <c r="BE164" s="10">
        <v>2.0094031999999999</v>
      </c>
      <c r="BF164" s="10">
        <v>1.9976923</v>
      </c>
      <c r="BG164" s="10">
        <v>1.9863443000000001</v>
      </c>
      <c r="BH164" s="10">
        <v>1.9753563999999999</v>
      </c>
      <c r="BI164" s="10">
        <v>1.9647257</v>
      </c>
      <c r="BJ164" s="10">
        <v>1.9544495</v>
      </c>
      <c r="BK164" s="10">
        <v>1.9445250000000001</v>
      </c>
      <c r="BL164" s="10">
        <v>1.9349491999999999</v>
      </c>
      <c r="BM164" s="10">
        <v>1.9257195</v>
      </c>
      <c r="BN164" s="10">
        <v>1.9168329</v>
      </c>
      <c r="BO164" s="10">
        <v>1.9082866999999999</v>
      </c>
      <c r="BP164" s="10">
        <v>1.9000779999999999</v>
      </c>
      <c r="BQ164" s="10">
        <v>1.8922041000000001</v>
      </c>
      <c r="BR164" s="10">
        <v>1.852015</v>
      </c>
      <c r="BS164" s="10">
        <v>1.8242786</v>
      </c>
      <c r="BU164" s="7">
        <v>1.92</v>
      </c>
      <c r="BV164" s="7">
        <v>1.98</v>
      </c>
      <c r="BW164" s="9">
        <v>79.281999999999996</v>
      </c>
    </row>
    <row r="165" spans="1:75" x14ac:dyDescent="0.25">
      <c r="A165" s="6">
        <f t="shared" si="17"/>
        <v>44783</v>
      </c>
      <c r="B165" s="13">
        <f t="shared" si="12"/>
        <v>8</v>
      </c>
      <c r="C165" s="13">
        <f t="shared" si="13"/>
        <v>2022</v>
      </c>
      <c r="D165">
        <f t="shared" si="14"/>
        <v>202208</v>
      </c>
      <c r="E165">
        <f t="shared" si="15"/>
        <v>3</v>
      </c>
      <c r="F165">
        <f t="shared" si="16"/>
        <v>202203</v>
      </c>
      <c r="G165" t="s">
        <v>352</v>
      </c>
      <c r="H165" s="9">
        <v>1.75</v>
      </c>
      <c r="I165" s="9">
        <v>1.6898</v>
      </c>
      <c r="J165" s="10">
        <v>1.8179430000000001</v>
      </c>
      <c r="K165" s="10">
        <v>2.1477170999999999</v>
      </c>
      <c r="L165" s="10">
        <v>2.4242704000000002</v>
      </c>
      <c r="M165" s="10">
        <v>2.6527557000000002</v>
      </c>
      <c r="N165" s="10">
        <v>2.8289412999999999</v>
      </c>
      <c r="O165" s="10">
        <v>2.9541884999999999</v>
      </c>
      <c r="P165" s="10">
        <v>3.0336550999999998</v>
      </c>
      <c r="Q165" s="10">
        <v>3.0763748</v>
      </c>
      <c r="R165" s="10">
        <v>3.0921854999999998</v>
      </c>
      <c r="S165" s="10">
        <v>3.0894895999999998</v>
      </c>
      <c r="T165" s="10">
        <v>3.0741656000000002</v>
      </c>
      <c r="U165" s="10">
        <v>3.0496938999999998</v>
      </c>
      <c r="V165" s="10">
        <v>3.0192021000000002</v>
      </c>
      <c r="W165" s="10">
        <v>2.9839012</v>
      </c>
      <c r="X165" s="10">
        <v>2.9444743</v>
      </c>
      <c r="Y165" s="10">
        <v>2.9016041000000001</v>
      </c>
      <c r="Z165" s="10">
        <v>2.8559736</v>
      </c>
      <c r="AA165" s="10">
        <v>2.8082658</v>
      </c>
      <c r="AB165" s="10">
        <v>2.7591644</v>
      </c>
      <c r="AC165" s="10">
        <v>2.7093585</v>
      </c>
      <c r="AD165" s="10">
        <v>2.6595385999999999</v>
      </c>
      <c r="AE165" s="10">
        <v>2.6103955000000001</v>
      </c>
      <c r="AF165" s="10">
        <v>2.5626199999999999</v>
      </c>
      <c r="AG165" s="10">
        <v>2.5169028</v>
      </c>
      <c r="AH165" s="10">
        <v>2.4738353000000002</v>
      </c>
      <c r="AI165" s="10">
        <v>2.4334745</v>
      </c>
      <c r="AJ165" s="10">
        <v>2.3956984000000001</v>
      </c>
      <c r="AK165" s="10">
        <v>2.3603847</v>
      </c>
      <c r="AL165" s="10">
        <v>2.3274111</v>
      </c>
      <c r="AM165" s="10">
        <v>2.2966552999999998</v>
      </c>
      <c r="AN165" s="10">
        <v>2.2679950999999998</v>
      </c>
      <c r="AO165" s="10">
        <v>2.2413082000000002</v>
      </c>
      <c r="AP165" s="10">
        <v>2.2164723999999998</v>
      </c>
      <c r="AQ165" s="10">
        <v>2.1933653</v>
      </c>
      <c r="AR165" s="10">
        <v>2.1718647999999998</v>
      </c>
      <c r="AS165" s="10">
        <v>2.1518486000000001</v>
      </c>
      <c r="AT165" s="10">
        <v>2.1331975999999999</v>
      </c>
      <c r="AU165" s="10">
        <v>2.1158095000000001</v>
      </c>
      <c r="AV165" s="10">
        <v>2.0995864000000002</v>
      </c>
      <c r="AW165" s="10">
        <v>2.0844309000000001</v>
      </c>
      <c r="AX165" s="10">
        <v>2.0702451000000002</v>
      </c>
      <c r="AY165" s="10">
        <v>2.0569316</v>
      </c>
      <c r="AZ165" s="10">
        <v>2.0443926000000001</v>
      </c>
      <c r="BA165" s="10">
        <v>2.0325305</v>
      </c>
      <c r="BB165" s="10">
        <v>2.0212477999999998</v>
      </c>
      <c r="BC165" s="10">
        <v>2.0104467000000001</v>
      </c>
      <c r="BD165" s="10">
        <v>2.0000296</v>
      </c>
      <c r="BE165" s="10">
        <v>1.9898989</v>
      </c>
      <c r="BF165" s="10">
        <v>1.9799728000000001</v>
      </c>
      <c r="BG165" s="10">
        <v>1.9702398999999999</v>
      </c>
      <c r="BH165" s="10">
        <v>1.9607081</v>
      </c>
      <c r="BI165" s="10">
        <v>1.9513853000000001</v>
      </c>
      <c r="BJ165" s="10">
        <v>1.9422793</v>
      </c>
      <c r="BK165" s="10">
        <v>1.9333982000000001</v>
      </c>
      <c r="BL165" s="10">
        <v>1.9247495999999999</v>
      </c>
      <c r="BM165" s="10">
        <v>1.9163417</v>
      </c>
      <c r="BN165" s="10">
        <v>1.9081821999999999</v>
      </c>
      <c r="BO165" s="10">
        <v>1.9002791000000001</v>
      </c>
      <c r="BP165" s="10">
        <v>1.8926402</v>
      </c>
      <c r="BQ165" s="10">
        <v>1.8852735</v>
      </c>
      <c r="BR165" s="10">
        <v>1.8471624</v>
      </c>
      <c r="BS165" s="10">
        <v>1.8204239</v>
      </c>
      <c r="BU165" s="7">
        <v>1.96</v>
      </c>
      <c r="BV165" s="7">
        <v>1.96</v>
      </c>
      <c r="BW165" s="9">
        <v>79.762200000000007</v>
      </c>
    </row>
    <row r="166" spans="1:75" x14ac:dyDescent="0.25">
      <c r="A166" s="6">
        <f t="shared" si="17"/>
        <v>44784</v>
      </c>
      <c r="B166" s="13">
        <f t="shared" si="12"/>
        <v>8</v>
      </c>
      <c r="C166" s="13">
        <f t="shared" si="13"/>
        <v>2022</v>
      </c>
      <c r="D166">
        <f t="shared" si="14"/>
        <v>202208</v>
      </c>
      <c r="E166">
        <f t="shared" si="15"/>
        <v>3</v>
      </c>
      <c r="F166">
        <f t="shared" si="16"/>
        <v>202203</v>
      </c>
      <c r="G166" t="s">
        <v>353</v>
      </c>
      <c r="H166" s="9">
        <v>1.75</v>
      </c>
      <c r="I166" s="9">
        <v>1.6903999999999999</v>
      </c>
      <c r="J166" s="10">
        <v>1.8250743</v>
      </c>
      <c r="K166" s="10">
        <v>2.1591797000000001</v>
      </c>
      <c r="L166" s="10">
        <v>2.4407356999999998</v>
      </c>
      <c r="M166" s="10">
        <v>2.6763805000000001</v>
      </c>
      <c r="N166" s="10">
        <v>2.8617821999999999</v>
      </c>
      <c r="O166" s="10">
        <v>2.9962067000000001</v>
      </c>
      <c r="P166" s="10">
        <v>3.0853511</v>
      </c>
      <c r="Q166" s="10">
        <v>3.1356910999999998</v>
      </c>
      <c r="R166" s="10">
        <v>3.1570935000000002</v>
      </c>
      <c r="S166" s="10">
        <v>3.1575662000000002</v>
      </c>
      <c r="T166" s="10">
        <v>3.1432628</v>
      </c>
      <c r="U166" s="10">
        <v>3.1185239</v>
      </c>
      <c r="V166" s="10">
        <v>3.0875096000000002</v>
      </c>
      <c r="W166" s="10">
        <v>3.0517519000000002</v>
      </c>
      <c r="X166" s="10">
        <v>3.0120627</v>
      </c>
      <c r="Y166" s="10">
        <v>2.9692539</v>
      </c>
      <c r="Z166" s="10">
        <v>2.9241375000000001</v>
      </c>
      <c r="AA166" s="10">
        <v>2.8775254000000001</v>
      </c>
      <c r="AB166" s="10">
        <v>2.8301902000000001</v>
      </c>
      <c r="AC166" s="10">
        <v>2.7827027000000002</v>
      </c>
      <c r="AD166" s="10">
        <v>2.7355691000000002</v>
      </c>
      <c r="AE166" s="10">
        <v>2.6892955000000001</v>
      </c>
      <c r="AF166" s="10">
        <v>2.6443884</v>
      </c>
      <c r="AG166" s="10">
        <v>2.6013538</v>
      </c>
      <c r="AH166" s="10">
        <v>2.5606165000000001</v>
      </c>
      <c r="AI166" s="10">
        <v>2.5222036000000001</v>
      </c>
      <c r="AJ166" s="10">
        <v>2.4860213</v>
      </c>
      <c r="AK166" s="10">
        <v>2.4519755999999999</v>
      </c>
      <c r="AL166" s="10">
        <v>2.4199727000000002</v>
      </c>
      <c r="AM166" s="10">
        <v>2.3899187</v>
      </c>
      <c r="AN166" s="10">
        <v>2.3617197000000001</v>
      </c>
      <c r="AO166" s="10">
        <v>2.3352818000000002</v>
      </c>
      <c r="AP166" s="10">
        <v>2.3105112999999999</v>
      </c>
      <c r="AQ166" s="10">
        <v>2.2873141000000001</v>
      </c>
      <c r="AR166" s="10">
        <v>2.2655965</v>
      </c>
      <c r="AS166" s="10">
        <v>2.2452645000000002</v>
      </c>
      <c r="AT166" s="10">
        <v>2.2262260999999999</v>
      </c>
      <c r="AU166" s="10">
        <v>2.2083974</v>
      </c>
      <c r="AV166" s="10">
        <v>2.1916967999999999</v>
      </c>
      <c r="AW166" s="10">
        <v>2.1760427</v>
      </c>
      <c r="AX166" s="10">
        <v>2.1613533999999999</v>
      </c>
      <c r="AY166" s="10">
        <v>2.1475472999999998</v>
      </c>
      <c r="AZ166" s="10">
        <v>2.1345426999999999</v>
      </c>
      <c r="BA166" s="10">
        <v>2.122258</v>
      </c>
      <c r="BB166" s="10">
        <v>2.1106115999999999</v>
      </c>
      <c r="BC166" s="10">
        <v>2.0995219000000001</v>
      </c>
      <c r="BD166" s="10">
        <v>2.0889071000000001</v>
      </c>
      <c r="BE166" s="10">
        <v>2.0786856999999999</v>
      </c>
      <c r="BF166" s="10">
        <v>2.0687883999999999</v>
      </c>
      <c r="BG166" s="10">
        <v>2.0592000000000001</v>
      </c>
      <c r="BH166" s="10">
        <v>2.0499206999999999</v>
      </c>
      <c r="BI166" s="10">
        <v>2.0409503999999998</v>
      </c>
      <c r="BJ166" s="10">
        <v>2.0322889000000002</v>
      </c>
      <c r="BK166" s="10">
        <v>2.0239365</v>
      </c>
      <c r="BL166" s="10">
        <v>2.0158928999999999</v>
      </c>
      <c r="BM166" s="10">
        <v>2.0081582</v>
      </c>
      <c r="BN166" s="10">
        <v>2.0007324</v>
      </c>
      <c r="BO166" s="10">
        <v>1.9936153999999999</v>
      </c>
      <c r="BP166" s="10">
        <v>1.9868072999999999</v>
      </c>
      <c r="BQ166" s="10">
        <v>1.9803078999999999</v>
      </c>
      <c r="BR166" s="10">
        <v>1.9478565999999999</v>
      </c>
      <c r="BS166" s="10">
        <v>1.9268902999999999</v>
      </c>
      <c r="BU166" s="7">
        <v>2.0099999999999998</v>
      </c>
      <c r="BV166" s="7">
        <v>2.06</v>
      </c>
      <c r="BW166" s="9">
        <v>79.553399999999996</v>
      </c>
    </row>
    <row r="167" spans="1:75" x14ac:dyDescent="0.25">
      <c r="A167" s="6">
        <f t="shared" si="17"/>
        <v>44785</v>
      </c>
      <c r="B167" s="13">
        <f t="shared" si="12"/>
        <v>8</v>
      </c>
      <c r="C167" s="13">
        <f t="shared" si="13"/>
        <v>2022</v>
      </c>
      <c r="D167">
        <f t="shared" si="14"/>
        <v>202208</v>
      </c>
      <c r="E167">
        <f t="shared" si="15"/>
        <v>3</v>
      </c>
      <c r="F167">
        <f t="shared" si="16"/>
        <v>202203</v>
      </c>
      <c r="G167" t="s">
        <v>354</v>
      </c>
      <c r="H167" s="9">
        <v>1.75</v>
      </c>
      <c r="I167" s="9">
        <v>1.6897</v>
      </c>
      <c r="J167" s="10">
        <v>1.8368606000000001</v>
      </c>
      <c r="K167" s="10">
        <v>2.1806161999999998</v>
      </c>
      <c r="L167" s="10">
        <v>2.4706986</v>
      </c>
      <c r="M167" s="10">
        <v>2.7163417000000001</v>
      </c>
      <c r="N167" s="10">
        <v>2.9144006</v>
      </c>
      <c r="O167" s="10">
        <v>3.0622932</v>
      </c>
      <c r="P167" s="10">
        <v>3.1637852999999998</v>
      </c>
      <c r="Q167" s="10">
        <v>3.2251311999999999</v>
      </c>
      <c r="R167" s="10">
        <v>3.2555814999999999</v>
      </c>
      <c r="S167" s="10">
        <v>3.2629883</v>
      </c>
      <c r="T167" s="10">
        <v>3.2532168000000001</v>
      </c>
      <c r="U167" s="10">
        <v>3.2308309999999998</v>
      </c>
      <c r="V167" s="10">
        <v>3.2000597000000002</v>
      </c>
      <c r="W167" s="10">
        <v>3.1628753000000001</v>
      </c>
      <c r="X167" s="10">
        <v>3.1205335000000001</v>
      </c>
      <c r="Y167" s="10">
        <v>3.0742894000000001</v>
      </c>
      <c r="Z167" s="10">
        <v>3.0253985000000001</v>
      </c>
      <c r="AA167" s="10">
        <v>2.9751161000000002</v>
      </c>
      <c r="AB167" s="10">
        <v>2.9245774</v>
      </c>
      <c r="AC167" s="10">
        <v>2.8743607999999998</v>
      </c>
      <c r="AD167" s="10">
        <v>2.8248831000000001</v>
      </c>
      <c r="AE167" s="10">
        <v>2.7765613</v>
      </c>
      <c r="AF167" s="10">
        <v>2.7298122</v>
      </c>
      <c r="AG167" s="10">
        <v>2.6850527999999998</v>
      </c>
      <c r="AH167" s="10">
        <v>2.6426219999999998</v>
      </c>
      <c r="AI167" s="10">
        <v>2.6025152999999999</v>
      </c>
      <c r="AJ167" s="10">
        <v>2.5646331</v>
      </c>
      <c r="AK167" s="10">
        <v>2.5288759000000001</v>
      </c>
      <c r="AL167" s="10">
        <v>2.4951441999999999</v>
      </c>
      <c r="AM167" s="10">
        <v>2.4633386000000002</v>
      </c>
      <c r="AN167" s="10">
        <v>2.4333594000000001</v>
      </c>
      <c r="AO167" s="10">
        <v>2.4051073999999999</v>
      </c>
      <c r="AP167" s="10">
        <v>2.3784828</v>
      </c>
      <c r="AQ167" s="10">
        <v>2.3533862999999999</v>
      </c>
      <c r="AR167" s="10">
        <v>2.3297183000000001</v>
      </c>
      <c r="AS167" s="10">
        <v>2.3073793</v>
      </c>
      <c r="AT167" s="10">
        <v>2.2862746</v>
      </c>
      <c r="AU167" s="10">
        <v>2.2663296000000002</v>
      </c>
      <c r="AV167" s="10">
        <v>2.2474758000000001</v>
      </c>
      <c r="AW167" s="10">
        <v>2.2296444000000002</v>
      </c>
      <c r="AX167" s="10">
        <v>2.2127667</v>
      </c>
      <c r="AY167" s="10">
        <v>2.1967739000000002</v>
      </c>
      <c r="AZ167" s="10">
        <v>2.1815973999999998</v>
      </c>
      <c r="BA167" s="10">
        <v>2.1671684999999998</v>
      </c>
      <c r="BB167" s="10">
        <v>2.1534184999999999</v>
      </c>
      <c r="BC167" s="10">
        <v>2.1402785999999998</v>
      </c>
      <c r="BD167" s="10">
        <v>2.1276801000000001</v>
      </c>
      <c r="BE167" s="10">
        <v>2.1155542999999999</v>
      </c>
      <c r="BF167" s="10">
        <v>2.1038426000000001</v>
      </c>
      <c r="BG167" s="10">
        <v>2.0925303999999998</v>
      </c>
      <c r="BH167" s="10">
        <v>2.0816154999999998</v>
      </c>
      <c r="BI167" s="10">
        <v>2.0710956999999999</v>
      </c>
      <c r="BJ167" s="10">
        <v>2.0609685</v>
      </c>
      <c r="BK167" s="10">
        <v>2.0512318</v>
      </c>
      <c r="BL167" s="10">
        <v>2.0418832999999998</v>
      </c>
      <c r="BM167" s="10">
        <v>2.0329207</v>
      </c>
      <c r="BN167" s="10">
        <v>2.0243416999999999</v>
      </c>
      <c r="BO167" s="10">
        <v>2.0161441</v>
      </c>
      <c r="BP167" s="10">
        <v>2.0083255000000002</v>
      </c>
      <c r="BQ167" s="10">
        <v>2.0008838</v>
      </c>
      <c r="BR167" s="10">
        <v>1.9641373</v>
      </c>
      <c r="BS167" s="10">
        <v>1.9411016000000001</v>
      </c>
      <c r="BU167" s="7">
        <v>2.08</v>
      </c>
      <c r="BV167" s="7">
        <v>2.1</v>
      </c>
      <c r="BW167" s="9">
        <v>79.272800000000004</v>
      </c>
    </row>
    <row r="168" spans="1:75" x14ac:dyDescent="0.25">
      <c r="A168" s="6">
        <f t="shared" si="17"/>
        <v>44788</v>
      </c>
      <c r="B168" s="13">
        <f t="shared" si="12"/>
        <v>8</v>
      </c>
      <c r="C168" s="13">
        <f t="shared" si="13"/>
        <v>2022</v>
      </c>
      <c r="D168">
        <f t="shared" si="14"/>
        <v>202208</v>
      </c>
      <c r="E168">
        <f t="shared" si="15"/>
        <v>3</v>
      </c>
      <c r="F168">
        <f t="shared" si="16"/>
        <v>202203</v>
      </c>
      <c r="G168" t="s">
        <v>355</v>
      </c>
      <c r="H168" s="9">
        <v>1.75</v>
      </c>
      <c r="I168" s="9">
        <v>1.6895</v>
      </c>
      <c r="J168" s="10">
        <v>1.8525916</v>
      </c>
      <c r="K168" s="10">
        <v>2.2083856000000002</v>
      </c>
      <c r="L168" s="10">
        <v>2.4974892</v>
      </c>
      <c r="M168" s="10">
        <v>2.7368440000000001</v>
      </c>
      <c r="N168" s="10">
        <v>2.9291052</v>
      </c>
      <c r="O168" s="10">
        <v>3.0721601000000001</v>
      </c>
      <c r="P168" s="10">
        <v>3.1689444</v>
      </c>
      <c r="Q168" s="10">
        <v>3.2269310999999998</v>
      </c>
      <c r="R168" s="10">
        <v>3.2548517000000001</v>
      </c>
      <c r="S168" s="10">
        <v>3.2614347000000001</v>
      </c>
      <c r="T168" s="10">
        <v>3.2524106000000002</v>
      </c>
      <c r="U168" s="10">
        <v>3.2319955</v>
      </c>
      <c r="V168" s="10">
        <v>3.2037494</v>
      </c>
      <c r="W168" s="10">
        <v>3.1691888000000001</v>
      </c>
      <c r="X168" s="10">
        <v>3.1293145</v>
      </c>
      <c r="Y168" s="10">
        <v>3.0851274000000002</v>
      </c>
      <c r="Z168" s="10">
        <v>3.0376286000000001</v>
      </c>
      <c r="AA168" s="10">
        <v>2.9878187999999999</v>
      </c>
      <c r="AB168" s="10">
        <v>2.9366346000000001</v>
      </c>
      <c r="AC168" s="10">
        <v>2.8847132000000002</v>
      </c>
      <c r="AD168" s="10">
        <v>2.8326053999999998</v>
      </c>
      <c r="AE168" s="10">
        <v>2.7808617999999998</v>
      </c>
      <c r="AF168" s="10">
        <v>2.7300331</v>
      </c>
      <c r="AG168" s="10">
        <v>2.6806698999999998</v>
      </c>
      <c r="AH168" s="10">
        <v>2.6332339999999999</v>
      </c>
      <c r="AI168" s="10">
        <v>2.5877946000000001</v>
      </c>
      <c r="AJ168" s="10">
        <v>2.5443126</v>
      </c>
      <c r="AK168" s="10">
        <v>2.5027488</v>
      </c>
      <c r="AL168" s="10">
        <v>2.4630643000000001</v>
      </c>
      <c r="AM168" s="10">
        <v>2.4252197999999998</v>
      </c>
      <c r="AN168" s="10">
        <v>2.3891762999999999</v>
      </c>
      <c r="AO168" s="10">
        <v>2.3548947</v>
      </c>
      <c r="AP168" s="10">
        <v>2.3223357999999998</v>
      </c>
      <c r="AQ168" s="10">
        <v>2.2914607</v>
      </c>
      <c r="AR168" s="10">
        <v>2.2622301</v>
      </c>
      <c r="AS168" s="10">
        <v>2.2346050000000002</v>
      </c>
      <c r="AT168" s="10">
        <v>2.2085408000000002</v>
      </c>
      <c r="AU168" s="10">
        <v>2.1839681</v>
      </c>
      <c r="AV168" s="10">
        <v>2.1608111000000001</v>
      </c>
      <c r="AW168" s="10">
        <v>2.1389938000000002</v>
      </c>
      <c r="AX168" s="10">
        <v>2.1184400999999999</v>
      </c>
      <c r="AY168" s="10">
        <v>2.0990741000000002</v>
      </c>
      <c r="AZ168" s="10">
        <v>2.0808198</v>
      </c>
      <c r="BA168" s="10">
        <v>2.0636011999999999</v>
      </c>
      <c r="BB168" s="10">
        <v>2.0473423999999998</v>
      </c>
      <c r="BC168" s="10">
        <v>2.0319672999999998</v>
      </c>
      <c r="BD168" s="10">
        <v>2.0173999</v>
      </c>
      <c r="BE168" s="10">
        <v>2.0035644000000001</v>
      </c>
      <c r="BF168" s="10">
        <v>1.9903918</v>
      </c>
      <c r="BG168" s="10">
        <v>1.9778522000000001</v>
      </c>
      <c r="BH168" s="10">
        <v>1.9659286</v>
      </c>
      <c r="BI168" s="10">
        <v>1.9546038999999999</v>
      </c>
      <c r="BJ168" s="10">
        <v>1.9438610999999999</v>
      </c>
      <c r="BK168" s="10">
        <v>1.9336831999999999</v>
      </c>
      <c r="BL168" s="10">
        <v>1.9240531999999999</v>
      </c>
      <c r="BM168" s="10">
        <v>1.9149541000000001</v>
      </c>
      <c r="BN168" s="10">
        <v>1.9063687</v>
      </c>
      <c r="BO168" s="10">
        <v>1.8982802000000001</v>
      </c>
      <c r="BP168" s="10">
        <v>1.8906715000000001</v>
      </c>
      <c r="BQ168" s="10">
        <v>1.8835256</v>
      </c>
      <c r="BR168" s="10">
        <v>1.8497569</v>
      </c>
      <c r="BS168" s="10">
        <v>1.8304547</v>
      </c>
      <c r="BU168" s="7">
        <v>2.04</v>
      </c>
      <c r="BV168" s="7">
        <v>2.0299999999999998</v>
      </c>
      <c r="BW168" s="9">
        <v>79.295199999999994</v>
      </c>
    </row>
    <row r="169" spans="1:75" x14ac:dyDescent="0.25">
      <c r="A169" s="6">
        <f t="shared" si="17"/>
        <v>44789</v>
      </c>
      <c r="B169" s="13">
        <f t="shared" si="12"/>
        <v>8</v>
      </c>
      <c r="C169" s="13">
        <f t="shared" si="13"/>
        <v>2022</v>
      </c>
      <c r="D169">
        <f t="shared" si="14"/>
        <v>202208</v>
      </c>
      <c r="E169">
        <f t="shared" si="15"/>
        <v>3</v>
      </c>
      <c r="F169">
        <f t="shared" si="16"/>
        <v>202203</v>
      </c>
      <c r="G169" t="s">
        <v>356</v>
      </c>
      <c r="H169" s="9">
        <v>1.75</v>
      </c>
      <c r="I169" s="9">
        <v>1.6890000000000001</v>
      </c>
      <c r="J169" s="10">
        <v>1.8752644000000001</v>
      </c>
      <c r="K169" s="10">
        <v>2.2398657000000002</v>
      </c>
      <c r="L169" s="10">
        <v>2.5416314999999998</v>
      </c>
      <c r="M169" s="10">
        <v>2.7978154000000002</v>
      </c>
      <c r="N169" s="10">
        <v>3.0073216999999999</v>
      </c>
      <c r="O169" s="10">
        <v>3.1656342999999998</v>
      </c>
      <c r="P169" s="10">
        <v>3.2748971</v>
      </c>
      <c r="Q169" s="10">
        <v>3.3434347999999998</v>
      </c>
      <c r="R169" s="10">
        <v>3.3815575</v>
      </c>
      <c r="S169" s="10">
        <v>3.3984746000000001</v>
      </c>
      <c r="T169" s="10">
        <v>3.3999282000000002</v>
      </c>
      <c r="U169" s="10">
        <v>3.3894788</v>
      </c>
      <c r="V169" s="10">
        <v>3.3691778999999999</v>
      </c>
      <c r="W169" s="10">
        <v>3.3403578999999999</v>
      </c>
      <c r="X169" s="10">
        <v>3.3042438000000001</v>
      </c>
      <c r="Y169" s="10">
        <v>3.2620602999999999</v>
      </c>
      <c r="Z169" s="10">
        <v>3.2150322999999998</v>
      </c>
      <c r="AA169" s="10">
        <v>3.1643845000000002</v>
      </c>
      <c r="AB169" s="10">
        <v>3.1112717000000001</v>
      </c>
      <c r="AC169" s="10">
        <v>3.0565235999999998</v>
      </c>
      <c r="AD169" s="10">
        <v>3.0008756999999999</v>
      </c>
      <c r="AE169" s="10">
        <v>2.9450636000000001</v>
      </c>
      <c r="AF169" s="10">
        <v>2.8898229</v>
      </c>
      <c r="AG169" s="10">
        <v>2.8358891000000002</v>
      </c>
      <c r="AH169" s="10">
        <v>2.7838832</v>
      </c>
      <c r="AI169" s="10">
        <v>2.7339205999999998</v>
      </c>
      <c r="AJ169" s="10">
        <v>2.6859771000000001</v>
      </c>
      <c r="AK169" s="10">
        <v>2.6400286999999998</v>
      </c>
      <c r="AL169" s="10">
        <v>2.5960511999999998</v>
      </c>
      <c r="AM169" s="10">
        <v>2.5540205</v>
      </c>
      <c r="AN169" s="10">
        <v>2.5139125</v>
      </c>
      <c r="AO169" s="10">
        <v>2.4757031</v>
      </c>
      <c r="AP169" s="10">
        <v>2.439368</v>
      </c>
      <c r="AQ169" s="10">
        <v>2.4048832999999998</v>
      </c>
      <c r="AR169" s="10">
        <v>2.3722246999999999</v>
      </c>
      <c r="AS169" s="10">
        <v>2.3413681999999998</v>
      </c>
      <c r="AT169" s="10">
        <v>2.3122821999999998</v>
      </c>
      <c r="AU169" s="10">
        <v>2.2848945000000001</v>
      </c>
      <c r="AV169" s="10">
        <v>2.2591196999999998</v>
      </c>
      <c r="AW169" s="10">
        <v>2.2348721</v>
      </c>
      <c r="AX169" s="10">
        <v>2.2120663</v>
      </c>
      <c r="AY169" s="10">
        <v>2.1906165</v>
      </c>
      <c r="AZ169" s="10">
        <v>2.1704373000000001</v>
      </c>
      <c r="BA169" s="10">
        <v>2.1514430999999998</v>
      </c>
      <c r="BB169" s="10">
        <v>2.1335483000000002</v>
      </c>
      <c r="BC169" s="10">
        <v>2.1166673</v>
      </c>
      <c r="BD169" s="10">
        <v>2.1007145999999999</v>
      </c>
      <c r="BE169" s="10">
        <v>2.0856045000000001</v>
      </c>
      <c r="BF169" s="10">
        <v>2.0712598999999998</v>
      </c>
      <c r="BG169" s="10">
        <v>2.0576441000000001</v>
      </c>
      <c r="BH169" s="10">
        <v>2.0447329999999999</v>
      </c>
      <c r="BI169" s="10">
        <v>2.0325022000000001</v>
      </c>
      <c r="BJ169" s="10">
        <v>2.0209275999999998</v>
      </c>
      <c r="BK169" s="10">
        <v>2.0099849999999999</v>
      </c>
      <c r="BL169" s="10">
        <v>1.9996499999999999</v>
      </c>
      <c r="BM169" s="10">
        <v>1.9898985</v>
      </c>
      <c r="BN169" s="10">
        <v>1.9807064000000001</v>
      </c>
      <c r="BO169" s="10">
        <v>1.9720492000000001</v>
      </c>
      <c r="BP169" s="10">
        <v>1.9639028000000001</v>
      </c>
      <c r="BQ169" s="10">
        <v>1.9562431</v>
      </c>
      <c r="BR169" s="10">
        <v>1.9197183</v>
      </c>
      <c r="BS169" s="10">
        <v>1.898077</v>
      </c>
      <c r="BU169" s="7">
        <v>2.16</v>
      </c>
      <c r="BV169" s="7">
        <v>2.11</v>
      </c>
      <c r="BW169" s="9">
        <v>79.532300000000006</v>
      </c>
    </row>
    <row r="170" spans="1:75" x14ac:dyDescent="0.25">
      <c r="A170" s="6">
        <f t="shared" si="17"/>
        <v>44790</v>
      </c>
      <c r="B170" s="13">
        <f t="shared" si="12"/>
        <v>8</v>
      </c>
      <c r="C170" s="13">
        <f t="shared" si="13"/>
        <v>2022</v>
      </c>
      <c r="D170">
        <f t="shared" si="14"/>
        <v>202208</v>
      </c>
      <c r="E170">
        <f t="shared" si="15"/>
        <v>3</v>
      </c>
      <c r="F170">
        <f t="shared" si="16"/>
        <v>202203</v>
      </c>
      <c r="G170" t="s">
        <v>357</v>
      </c>
      <c r="H170" s="9">
        <v>1.75</v>
      </c>
      <c r="I170" s="9">
        <v>1.6907000000000001</v>
      </c>
      <c r="J170" s="10">
        <v>1.9532061000000001</v>
      </c>
      <c r="K170" s="10">
        <v>2.3739781</v>
      </c>
      <c r="L170" s="10">
        <v>2.7316737999999998</v>
      </c>
      <c r="M170" s="10">
        <v>3.0353867999999999</v>
      </c>
      <c r="N170" s="10">
        <v>3.2812001</v>
      </c>
      <c r="O170" s="10">
        <v>3.4683554000000001</v>
      </c>
      <c r="P170" s="10">
        <v>3.6005574</v>
      </c>
      <c r="Q170" s="10">
        <v>3.6859999000000001</v>
      </c>
      <c r="R170" s="10">
        <v>3.7350797999999998</v>
      </c>
      <c r="S170" s="10">
        <v>3.7569173999999999</v>
      </c>
      <c r="T170" s="10">
        <v>3.7586319000000001</v>
      </c>
      <c r="U170" s="10">
        <v>3.7445309</v>
      </c>
      <c r="V170" s="10">
        <v>3.7187714000000001</v>
      </c>
      <c r="W170" s="10">
        <v>3.6833206000000001</v>
      </c>
      <c r="X170" s="10">
        <v>3.6395190999999998</v>
      </c>
      <c r="Y170" s="10">
        <v>3.5887072999999998</v>
      </c>
      <c r="Z170" s="10">
        <v>3.5322258999999998</v>
      </c>
      <c r="AA170" s="10">
        <v>3.4714152</v>
      </c>
      <c r="AB170" s="10">
        <v>3.4075688</v>
      </c>
      <c r="AC170" s="10">
        <v>3.3417153000000002</v>
      </c>
      <c r="AD170" s="10">
        <v>3.2747896999999999</v>
      </c>
      <c r="AE170" s="10">
        <v>3.2077270000000002</v>
      </c>
      <c r="AF170" s="10">
        <v>3.1414621</v>
      </c>
      <c r="AG170" s="10">
        <v>3.0769302000000001</v>
      </c>
      <c r="AH170" s="10">
        <v>3.0149457000000002</v>
      </c>
      <c r="AI170" s="10">
        <v>2.9556749</v>
      </c>
      <c r="AJ170" s="10">
        <v>2.8990662999999999</v>
      </c>
      <c r="AK170" s="10">
        <v>2.8450685999999998</v>
      </c>
      <c r="AL170" s="10">
        <v>2.7936302999999998</v>
      </c>
      <c r="AM170" s="10">
        <v>2.7446999000000001</v>
      </c>
      <c r="AN170" s="10">
        <v>2.6982260999999998</v>
      </c>
      <c r="AO170" s="10">
        <v>2.6541573000000001</v>
      </c>
      <c r="AP170" s="10">
        <v>2.6124421999999998</v>
      </c>
      <c r="AQ170" s="10">
        <v>2.5730292000000001</v>
      </c>
      <c r="AR170" s="10">
        <v>2.5358668999999998</v>
      </c>
      <c r="AS170" s="10">
        <v>2.5009039</v>
      </c>
      <c r="AT170" s="10">
        <v>2.4680808000000001</v>
      </c>
      <c r="AU170" s="10">
        <v>2.4372995</v>
      </c>
      <c r="AV170" s="10">
        <v>2.4084501999999999</v>
      </c>
      <c r="AW170" s="10">
        <v>2.3814231000000001</v>
      </c>
      <c r="AX170" s="10">
        <v>2.3561082</v>
      </c>
      <c r="AY170" s="10">
        <v>2.3323958</v>
      </c>
      <c r="AZ170" s="10">
        <v>2.3101759999999998</v>
      </c>
      <c r="BA170" s="10">
        <v>2.289339</v>
      </c>
      <c r="BB170" s="10">
        <v>2.2697748999999998</v>
      </c>
      <c r="BC170" s="10">
        <v>2.2513738999999999</v>
      </c>
      <c r="BD170" s="10">
        <v>2.2340260999999999</v>
      </c>
      <c r="BE170" s="10">
        <v>2.2176217</v>
      </c>
      <c r="BF170" s="10">
        <v>2.2020637999999999</v>
      </c>
      <c r="BG170" s="10">
        <v>2.1873125</v>
      </c>
      <c r="BH170" s="10">
        <v>2.1733435999999999</v>
      </c>
      <c r="BI170" s="10">
        <v>2.1601330000000001</v>
      </c>
      <c r="BJ170" s="10">
        <v>2.1476565999999999</v>
      </c>
      <c r="BK170" s="10">
        <v>2.1358902999999998</v>
      </c>
      <c r="BL170" s="10">
        <v>2.1248098</v>
      </c>
      <c r="BM170" s="10">
        <v>2.1143909999999999</v>
      </c>
      <c r="BN170" s="10">
        <v>2.1046098</v>
      </c>
      <c r="BO170" s="10">
        <v>2.0954421000000001</v>
      </c>
      <c r="BP170" s="10">
        <v>2.0868636999999999</v>
      </c>
      <c r="BQ170" s="10">
        <v>2.0788503999999999</v>
      </c>
      <c r="BR170" s="10">
        <v>2.0416606000000002</v>
      </c>
      <c r="BS170" s="10">
        <v>2.0209969999999999</v>
      </c>
      <c r="BU170" s="7">
        <v>2.41</v>
      </c>
      <c r="BV170" s="7">
        <v>2.2799999999999998</v>
      </c>
      <c r="BW170" s="9">
        <v>79.307699999999997</v>
      </c>
    </row>
    <row r="171" spans="1:75" x14ac:dyDescent="0.25">
      <c r="A171" s="6">
        <f t="shared" si="17"/>
        <v>44791</v>
      </c>
      <c r="B171" s="13">
        <f t="shared" si="12"/>
        <v>8</v>
      </c>
      <c r="C171" s="13">
        <f t="shared" si="13"/>
        <v>2022</v>
      </c>
      <c r="D171">
        <f t="shared" si="14"/>
        <v>202208</v>
      </c>
      <c r="E171">
        <f t="shared" si="15"/>
        <v>3</v>
      </c>
      <c r="F171">
        <f t="shared" si="16"/>
        <v>202203</v>
      </c>
      <c r="G171" t="s">
        <v>358</v>
      </c>
      <c r="H171" s="9">
        <v>1.75</v>
      </c>
      <c r="I171" s="9">
        <v>1.6904999999999999</v>
      </c>
      <c r="J171" s="10">
        <v>1.9690832</v>
      </c>
      <c r="K171" s="10">
        <v>2.3906263999999999</v>
      </c>
      <c r="L171" s="10">
        <v>2.7443517000000002</v>
      </c>
      <c r="M171" s="10">
        <v>3.0449231999999999</v>
      </c>
      <c r="N171" s="10">
        <v>3.2917103999999999</v>
      </c>
      <c r="O171" s="10">
        <v>3.4828282000000002</v>
      </c>
      <c r="P171" s="10">
        <v>3.6225687</v>
      </c>
      <c r="Q171" s="10">
        <v>3.7160639999999998</v>
      </c>
      <c r="R171" s="10">
        <v>3.7730157000000002</v>
      </c>
      <c r="S171" s="10">
        <v>3.8018076000000001</v>
      </c>
      <c r="T171" s="10">
        <v>3.8089366999999998</v>
      </c>
      <c r="U171" s="10">
        <v>3.7989489999999999</v>
      </c>
      <c r="V171" s="10">
        <v>3.7761117999999998</v>
      </c>
      <c r="W171" s="10">
        <v>3.7426119999999998</v>
      </c>
      <c r="X171" s="10">
        <v>3.7000676000000001</v>
      </c>
      <c r="Y171" s="10">
        <v>3.6500963999999998</v>
      </c>
      <c r="Z171" s="10">
        <v>3.5943163999999999</v>
      </c>
      <c r="AA171" s="10">
        <v>3.5343455000000001</v>
      </c>
      <c r="AB171" s="10">
        <v>3.4717036999999999</v>
      </c>
      <c r="AC171" s="10">
        <v>3.4074094000000001</v>
      </c>
      <c r="AD171" s="10">
        <v>3.3423207000000001</v>
      </c>
      <c r="AE171" s="10">
        <v>3.2772956999999998</v>
      </c>
      <c r="AF171" s="10">
        <v>3.2131924999999999</v>
      </c>
      <c r="AG171" s="10">
        <v>3.1508691999999998</v>
      </c>
      <c r="AH171" s="10">
        <v>3.0910586000000002</v>
      </c>
      <c r="AI171" s="10">
        <v>3.0338831000000002</v>
      </c>
      <c r="AJ171" s="10">
        <v>2.9792793</v>
      </c>
      <c r="AK171" s="10">
        <v>2.927184</v>
      </c>
      <c r="AL171" s="10">
        <v>2.8775336999999999</v>
      </c>
      <c r="AM171" s="10">
        <v>2.8302649999999998</v>
      </c>
      <c r="AN171" s="10">
        <v>2.7853146</v>
      </c>
      <c r="AO171" s="10">
        <v>2.7426191000000002</v>
      </c>
      <c r="AP171" s="10">
        <v>2.7021150999999999</v>
      </c>
      <c r="AQ171" s="10">
        <v>2.6637393</v>
      </c>
      <c r="AR171" s="10">
        <v>2.6274282000000002</v>
      </c>
      <c r="AS171" s="10">
        <v>2.5931185000000001</v>
      </c>
      <c r="AT171" s="10">
        <v>2.5607416000000001</v>
      </c>
      <c r="AU171" s="10">
        <v>2.5302055999999999</v>
      </c>
      <c r="AV171" s="10">
        <v>2.5014123000000001</v>
      </c>
      <c r="AW171" s="10">
        <v>2.4742635000000002</v>
      </c>
      <c r="AX171" s="10">
        <v>2.448661</v>
      </c>
      <c r="AY171" s="10">
        <v>2.4245066</v>
      </c>
      <c r="AZ171" s="10">
        <v>2.4017019999999998</v>
      </c>
      <c r="BA171" s="10">
        <v>2.3801489999999998</v>
      </c>
      <c r="BB171" s="10">
        <v>2.3597494999999999</v>
      </c>
      <c r="BC171" s="10">
        <v>2.3404050999999999</v>
      </c>
      <c r="BD171" s="10">
        <v>2.3220177</v>
      </c>
      <c r="BE171" s="10">
        <v>2.3044889999999998</v>
      </c>
      <c r="BF171" s="10">
        <v>2.2877329</v>
      </c>
      <c r="BG171" s="10">
        <v>2.2717168000000001</v>
      </c>
      <c r="BH171" s="10">
        <v>2.2564226000000001</v>
      </c>
      <c r="BI171" s="10">
        <v>2.2418325000000001</v>
      </c>
      <c r="BJ171" s="10">
        <v>2.2279282999999999</v>
      </c>
      <c r="BK171" s="10">
        <v>2.2146922</v>
      </c>
      <c r="BL171" s="10">
        <v>2.2021061999999998</v>
      </c>
      <c r="BM171" s="10">
        <v>2.1901522999999998</v>
      </c>
      <c r="BN171" s="10">
        <v>2.1788124999999998</v>
      </c>
      <c r="BO171" s="10">
        <v>2.168069</v>
      </c>
      <c r="BP171" s="10">
        <v>2.1579036</v>
      </c>
      <c r="BQ171" s="10">
        <v>2.1482985000000001</v>
      </c>
      <c r="BR171" s="10">
        <v>2.1017193000000001</v>
      </c>
      <c r="BS171" s="10">
        <v>2.0725536999999998</v>
      </c>
      <c r="BU171" s="7">
        <v>2.46</v>
      </c>
      <c r="BV171" s="7">
        <v>2.33</v>
      </c>
      <c r="BW171" s="9">
        <v>79.219300000000004</v>
      </c>
    </row>
    <row r="172" spans="1:75" x14ac:dyDescent="0.25">
      <c r="A172" s="6">
        <f t="shared" si="17"/>
        <v>44792</v>
      </c>
      <c r="B172" s="13">
        <f t="shared" si="12"/>
        <v>8</v>
      </c>
      <c r="C172" s="13">
        <f t="shared" si="13"/>
        <v>2022</v>
      </c>
      <c r="D172">
        <f t="shared" si="14"/>
        <v>202208</v>
      </c>
      <c r="E172">
        <f t="shared" si="15"/>
        <v>3</v>
      </c>
      <c r="F172">
        <f t="shared" si="16"/>
        <v>202203</v>
      </c>
      <c r="G172" t="s">
        <v>359</v>
      </c>
      <c r="H172" s="9">
        <v>1.75</v>
      </c>
      <c r="I172" s="9">
        <v>1.6900999999999999</v>
      </c>
      <c r="J172" s="10">
        <v>1.9739594</v>
      </c>
      <c r="K172" s="10">
        <v>2.3927323999999999</v>
      </c>
      <c r="L172" s="10">
        <v>2.7495691999999998</v>
      </c>
      <c r="M172" s="10">
        <v>3.0565606000000001</v>
      </c>
      <c r="N172" s="10">
        <v>3.3121619999999998</v>
      </c>
      <c r="O172" s="10">
        <v>3.5124262000000002</v>
      </c>
      <c r="P172" s="10">
        <v>3.6596451000000001</v>
      </c>
      <c r="Q172" s="10">
        <v>3.7588428999999999</v>
      </c>
      <c r="R172" s="10">
        <v>3.8190217</v>
      </c>
      <c r="S172" s="10">
        <v>3.8486661999999998</v>
      </c>
      <c r="T172" s="10">
        <v>3.8546046</v>
      </c>
      <c r="U172" s="10">
        <v>3.8425970999999999</v>
      </c>
      <c r="V172" s="10">
        <v>3.8179653999999998</v>
      </c>
      <c r="W172" s="10">
        <v>3.7833386</v>
      </c>
      <c r="X172" s="10">
        <v>3.7405012000000002</v>
      </c>
      <c r="Y172" s="10">
        <v>3.6912373999999999</v>
      </c>
      <c r="Z172" s="10">
        <v>3.6373316</v>
      </c>
      <c r="AA172" s="10">
        <v>3.580568</v>
      </c>
      <c r="AB172" s="10">
        <v>3.5225442999999999</v>
      </c>
      <c r="AC172" s="10">
        <v>3.4639931000000002</v>
      </c>
      <c r="AD172" s="10">
        <v>3.4053963999999999</v>
      </c>
      <c r="AE172" s="10">
        <v>3.3472358</v>
      </c>
      <c r="AF172" s="10">
        <v>3.2899932999999999</v>
      </c>
      <c r="AG172" s="10">
        <v>3.2341506999999998</v>
      </c>
      <c r="AH172" s="10">
        <v>3.1801138</v>
      </c>
      <c r="AI172" s="10">
        <v>3.1279528999999999</v>
      </c>
      <c r="AJ172" s="10">
        <v>3.0776458</v>
      </c>
      <c r="AK172" s="10">
        <v>3.0291701999999998</v>
      </c>
      <c r="AL172" s="10">
        <v>2.9825037999999999</v>
      </c>
      <c r="AM172" s="10">
        <v>2.9376245000000001</v>
      </c>
      <c r="AN172" s="10">
        <v>2.8945099000000001</v>
      </c>
      <c r="AO172" s="10">
        <v>2.8531377999999998</v>
      </c>
      <c r="AP172" s="10">
        <v>2.8134858999999999</v>
      </c>
      <c r="AQ172" s="10">
        <v>2.7755318999999998</v>
      </c>
      <c r="AR172" s="10">
        <v>2.7392536999999999</v>
      </c>
      <c r="AS172" s="10">
        <v>2.7046288999999999</v>
      </c>
      <c r="AT172" s="10">
        <v>2.6716305999999999</v>
      </c>
      <c r="AU172" s="10">
        <v>2.6402112</v>
      </c>
      <c r="AV172" s="10">
        <v>2.6103176000000001</v>
      </c>
      <c r="AW172" s="10">
        <v>2.5818965999999999</v>
      </c>
      <c r="AX172" s="10">
        <v>2.5548948</v>
      </c>
      <c r="AY172" s="10">
        <v>2.5292590000000001</v>
      </c>
      <c r="AZ172" s="10">
        <v>2.5049361000000001</v>
      </c>
      <c r="BA172" s="10">
        <v>2.4818728000000001</v>
      </c>
      <c r="BB172" s="10">
        <v>2.4600159000000001</v>
      </c>
      <c r="BC172" s="10">
        <v>2.4393121</v>
      </c>
      <c r="BD172" s="10">
        <v>2.4197082000000001</v>
      </c>
      <c r="BE172" s="10">
        <v>2.4011509000000002</v>
      </c>
      <c r="BF172" s="10">
        <v>2.383591</v>
      </c>
      <c r="BG172" s="10">
        <v>2.3669956999999999</v>
      </c>
      <c r="BH172" s="10">
        <v>2.351337</v>
      </c>
      <c r="BI172" s="10">
        <v>2.3365871</v>
      </c>
      <c r="BJ172" s="10">
        <v>2.3227177999999999</v>
      </c>
      <c r="BK172" s="10">
        <v>2.3097013</v>
      </c>
      <c r="BL172" s="10">
        <v>2.2975096000000002</v>
      </c>
      <c r="BM172" s="10">
        <v>2.2861145999999999</v>
      </c>
      <c r="BN172" s="10">
        <v>2.2754884</v>
      </c>
      <c r="BO172" s="10">
        <v>2.2656030999999999</v>
      </c>
      <c r="BP172" s="10">
        <v>2.2564305999999998</v>
      </c>
      <c r="BQ172" s="10">
        <v>2.2479429999999998</v>
      </c>
      <c r="BR172" s="10">
        <v>2.2100664999999999</v>
      </c>
      <c r="BS172" s="10">
        <v>2.1912134999999999</v>
      </c>
      <c r="BU172" s="7">
        <v>2.5499999999999998</v>
      </c>
      <c r="BV172" s="7">
        <v>2.41</v>
      </c>
      <c r="BW172" s="9">
        <v>78.356399999999994</v>
      </c>
    </row>
    <row r="173" spans="1:75" x14ac:dyDescent="0.25">
      <c r="A173" s="6">
        <f t="shared" si="17"/>
        <v>44795</v>
      </c>
      <c r="B173" s="13">
        <f t="shared" si="12"/>
        <v>8</v>
      </c>
      <c r="C173" s="13">
        <f t="shared" si="13"/>
        <v>2022</v>
      </c>
      <c r="D173">
        <f t="shared" si="14"/>
        <v>202208</v>
      </c>
      <c r="E173">
        <f t="shared" si="15"/>
        <v>3</v>
      </c>
      <c r="F173">
        <f t="shared" si="16"/>
        <v>202203</v>
      </c>
      <c r="G173" t="s">
        <v>360</v>
      </c>
      <c r="H173" s="9">
        <v>1.75</v>
      </c>
      <c r="I173" s="9">
        <v>1.69</v>
      </c>
      <c r="J173" s="10">
        <v>2.0437148000000001</v>
      </c>
      <c r="K173" s="10">
        <v>2.4620899999999999</v>
      </c>
      <c r="L173" s="10">
        <v>2.8303272000000002</v>
      </c>
      <c r="M173" s="10">
        <v>3.1491408000000001</v>
      </c>
      <c r="N173" s="10">
        <v>3.4169437</v>
      </c>
      <c r="O173" s="10">
        <v>3.6309629999999999</v>
      </c>
      <c r="P173" s="10">
        <v>3.7910447</v>
      </c>
      <c r="Q173" s="10">
        <v>3.9013167000000002</v>
      </c>
      <c r="R173" s="10">
        <v>3.9686162999999999</v>
      </c>
      <c r="S173" s="10">
        <v>4.0026194000000004</v>
      </c>
      <c r="T173" s="10">
        <v>4.0109792000000004</v>
      </c>
      <c r="U173" s="10">
        <v>4.0005619000000001</v>
      </c>
      <c r="V173" s="10">
        <v>3.9785129000000001</v>
      </c>
      <c r="W173" s="10">
        <v>3.9473992</v>
      </c>
      <c r="X173" s="10">
        <v>3.9085236999999999</v>
      </c>
      <c r="Y173" s="10">
        <v>3.8631894</v>
      </c>
      <c r="Z173" s="10">
        <v>3.8126992999999998</v>
      </c>
      <c r="AA173" s="10">
        <v>3.7583563999999998</v>
      </c>
      <c r="AB173" s="10">
        <v>3.7013734</v>
      </c>
      <c r="AC173" s="10">
        <v>3.6425451999999998</v>
      </c>
      <c r="AD173" s="10">
        <v>3.5825452000000002</v>
      </c>
      <c r="AE173" s="10">
        <v>3.5220468</v>
      </c>
      <c r="AF173" s="10">
        <v>3.4617236999999998</v>
      </c>
      <c r="AG173" s="10">
        <v>3.4022492</v>
      </c>
      <c r="AH173" s="10">
        <v>3.3442015999999999</v>
      </c>
      <c r="AI173" s="10">
        <v>3.2877385000000001</v>
      </c>
      <c r="AJ173" s="10">
        <v>3.2329015000000001</v>
      </c>
      <c r="AK173" s="10">
        <v>3.179732</v>
      </c>
      <c r="AL173" s="10">
        <v>3.1282717</v>
      </c>
      <c r="AM173" s="10">
        <v>3.0785619999999998</v>
      </c>
      <c r="AN173" s="10">
        <v>3.0306446</v>
      </c>
      <c r="AO173" s="10">
        <v>2.9845609999999998</v>
      </c>
      <c r="AP173" s="10">
        <v>2.9403526000000002</v>
      </c>
      <c r="AQ173" s="10">
        <v>2.8980611000000001</v>
      </c>
      <c r="AR173" s="10">
        <v>2.8577279999999998</v>
      </c>
      <c r="AS173" s="10">
        <v>2.8193948999999998</v>
      </c>
      <c r="AT173" s="10">
        <v>2.7830843999999999</v>
      </c>
      <c r="AU173" s="10">
        <v>2.7487363</v>
      </c>
      <c r="AV173" s="10">
        <v>2.7162674</v>
      </c>
      <c r="AW173" s="10">
        <v>2.6855945000000001</v>
      </c>
      <c r="AX173" s="10">
        <v>2.6566342000000001</v>
      </c>
      <c r="AY173" s="10">
        <v>2.6293034999999998</v>
      </c>
      <c r="AZ173" s="10">
        <v>2.6035189999999999</v>
      </c>
      <c r="BA173" s="10">
        <v>2.5791976999999999</v>
      </c>
      <c r="BB173" s="10">
        <v>2.5562562</v>
      </c>
      <c r="BC173" s="10">
        <v>2.5346112999999999</v>
      </c>
      <c r="BD173" s="10">
        <v>2.5141798999999998</v>
      </c>
      <c r="BE173" s="10">
        <v>2.4948787000000001</v>
      </c>
      <c r="BF173" s="10">
        <v>2.4766306</v>
      </c>
      <c r="BG173" s="10">
        <v>2.4593918000000001</v>
      </c>
      <c r="BH173" s="10">
        <v>2.4431295999999998</v>
      </c>
      <c r="BI173" s="10">
        <v>2.4278111</v>
      </c>
      <c r="BJ173" s="10">
        <v>2.4134036000000001</v>
      </c>
      <c r="BK173" s="10">
        <v>2.3998743999999999</v>
      </c>
      <c r="BL173" s="10">
        <v>2.3871907999999999</v>
      </c>
      <c r="BM173" s="10">
        <v>2.3753199</v>
      </c>
      <c r="BN173" s="10">
        <v>2.3642289999999999</v>
      </c>
      <c r="BO173" s="10">
        <v>2.3538855000000001</v>
      </c>
      <c r="BP173" s="10">
        <v>2.3442563999999999</v>
      </c>
      <c r="BQ173" s="10">
        <v>2.3353092000000002</v>
      </c>
      <c r="BR173" s="10">
        <v>2.2945593</v>
      </c>
      <c r="BS173" s="10">
        <v>2.2728598999999998</v>
      </c>
      <c r="BU173" s="7">
        <v>2.64</v>
      </c>
      <c r="BV173" s="7">
        <v>2.52</v>
      </c>
      <c r="BW173" s="9">
        <v>78.630600000000001</v>
      </c>
    </row>
    <row r="174" spans="1:75" x14ac:dyDescent="0.25">
      <c r="A174" s="6">
        <f t="shared" si="17"/>
        <v>44796</v>
      </c>
      <c r="B174" s="13">
        <f t="shared" si="12"/>
        <v>8</v>
      </c>
      <c r="C174" s="13">
        <f t="shared" si="13"/>
        <v>2022</v>
      </c>
      <c r="D174">
        <f t="shared" si="14"/>
        <v>202208</v>
      </c>
      <c r="E174">
        <f t="shared" si="15"/>
        <v>3</v>
      </c>
      <c r="F174">
        <f t="shared" si="16"/>
        <v>202203</v>
      </c>
      <c r="G174" t="s">
        <v>361</v>
      </c>
      <c r="H174" s="9">
        <v>1.75</v>
      </c>
      <c r="I174" s="9">
        <v>1.6907000000000001</v>
      </c>
      <c r="J174" s="10">
        <v>2.0486030999999998</v>
      </c>
      <c r="K174" s="10">
        <v>2.4695955000000001</v>
      </c>
      <c r="L174" s="10">
        <v>2.8476037999999999</v>
      </c>
      <c r="M174" s="10">
        <v>3.1786748</v>
      </c>
      <c r="N174" s="10">
        <v>3.4604773999999998</v>
      </c>
      <c r="O174" s="10">
        <v>3.6910885000000002</v>
      </c>
      <c r="P174" s="10">
        <v>3.8697908999999999</v>
      </c>
      <c r="Q174" s="10">
        <v>3.9993994000000002</v>
      </c>
      <c r="R174" s="10">
        <v>4.0858838000000004</v>
      </c>
      <c r="S174" s="10">
        <v>4.1377430999999998</v>
      </c>
      <c r="T174" s="10">
        <v>4.1619193000000001</v>
      </c>
      <c r="U174" s="10">
        <v>4.1645665000000003</v>
      </c>
      <c r="V174" s="10">
        <v>4.1517431</v>
      </c>
      <c r="W174" s="10">
        <v>4.1262648000000004</v>
      </c>
      <c r="X174" s="10">
        <v>4.0900787000000003</v>
      </c>
      <c r="Y174" s="10">
        <v>4.0451315000000001</v>
      </c>
      <c r="Z174" s="10">
        <v>3.9933700000000001</v>
      </c>
      <c r="AA174" s="10">
        <v>3.9367413</v>
      </c>
      <c r="AB174" s="10">
        <v>3.8770273</v>
      </c>
      <c r="AC174" s="10">
        <v>3.8152466999999999</v>
      </c>
      <c r="AD174" s="10">
        <v>3.7521965000000002</v>
      </c>
      <c r="AE174" s="10">
        <v>3.6886738000000001</v>
      </c>
      <c r="AF174" s="10">
        <v>3.6254757999999998</v>
      </c>
      <c r="AG174" s="10">
        <v>3.5633995999999999</v>
      </c>
      <c r="AH174" s="10">
        <v>3.5031229000000002</v>
      </c>
      <c r="AI174" s="10">
        <v>3.4447969999999999</v>
      </c>
      <c r="AJ174" s="10">
        <v>3.3884276999999998</v>
      </c>
      <c r="AK174" s="10">
        <v>3.3340209000000001</v>
      </c>
      <c r="AL174" s="10">
        <v>3.2815824</v>
      </c>
      <c r="AM174" s="10">
        <v>3.2311182000000001</v>
      </c>
      <c r="AN174" s="10">
        <v>3.1826341999999999</v>
      </c>
      <c r="AO174" s="10">
        <v>3.1361360999999999</v>
      </c>
      <c r="AP174" s="10">
        <v>3.0916298000000002</v>
      </c>
      <c r="AQ174" s="10">
        <v>3.0491212999999999</v>
      </c>
      <c r="AR174" s="10">
        <v>3.0086164000000002</v>
      </c>
      <c r="AS174" s="10">
        <v>2.9701209</v>
      </c>
      <c r="AT174" s="10">
        <v>2.9336299000000001</v>
      </c>
      <c r="AU174" s="10">
        <v>2.8990727000000001</v>
      </c>
      <c r="AV174" s="10">
        <v>2.8663549000000001</v>
      </c>
      <c r="AW174" s="10">
        <v>2.8353818999999998</v>
      </c>
      <c r="AX174" s="10">
        <v>2.8060589999999999</v>
      </c>
      <c r="AY174" s="10">
        <v>2.7782917999999999</v>
      </c>
      <c r="AZ174" s="10">
        <v>2.7519855</v>
      </c>
      <c r="BA174" s="10">
        <v>2.7270455</v>
      </c>
      <c r="BB174" s="10">
        <v>2.7033773999999999</v>
      </c>
      <c r="BC174" s="10">
        <v>2.6808863999999999</v>
      </c>
      <c r="BD174" s="10">
        <v>2.6594780999999998</v>
      </c>
      <c r="BE174" s="10">
        <v>2.6390577</v>
      </c>
      <c r="BF174" s="10">
        <v>2.6195400000000002</v>
      </c>
      <c r="BG174" s="10">
        <v>2.6008851000000002</v>
      </c>
      <c r="BH174" s="10">
        <v>2.5830668000000001</v>
      </c>
      <c r="BI174" s="10">
        <v>2.5660590000000001</v>
      </c>
      <c r="BJ174" s="10">
        <v>2.5498354000000001</v>
      </c>
      <c r="BK174" s="10">
        <v>2.5343700999999998</v>
      </c>
      <c r="BL174" s="10">
        <v>2.5196367</v>
      </c>
      <c r="BM174" s="10">
        <v>2.5056091999999999</v>
      </c>
      <c r="BN174" s="10">
        <v>2.4922613999999998</v>
      </c>
      <c r="BO174" s="10">
        <v>2.4795672</v>
      </c>
      <c r="BP174" s="10">
        <v>2.4675004</v>
      </c>
      <c r="BQ174" s="10">
        <v>2.4560349000000001</v>
      </c>
      <c r="BR174" s="10">
        <v>2.3989848</v>
      </c>
      <c r="BS174" s="10">
        <v>2.3605119999999999</v>
      </c>
      <c r="BU174" s="7">
        <v>2.75</v>
      </c>
      <c r="BV174" s="7">
        <v>2.58</v>
      </c>
      <c r="BW174" s="9">
        <v>78.932599999999994</v>
      </c>
    </row>
    <row r="175" spans="1:75" x14ac:dyDescent="0.25">
      <c r="A175" s="6">
        <f t="shared" si="17"/>
        <v>44797</v>
      </c>
      <c r="B175" s="13">
        <f t="shared" si="12"/>
        <v>8</v>
      </c>
      <c r="C175" s="13">
        <f t="shared" si="13"/>
        <v>2022</v>
      </c>
      <c r="D175">
        <f t="shared" si="14"/>
        <v>202208</v>
      </c>
      <c r="E175">
        <f t="shared" si="15"/>
        <v>3</v>
      </c>
      <c r="F175">
        <f t="shared" si="16"/>
        <v>202203</v>
      </c>
      <c r="G175" t="s">
        <v>362</v>
      </c>
      <c r="H175" s="9">
        <v>1.75</v>
      </c>
      <c r="I175" s="9">
        <v>1.6904999999999999</v>
      </c>
      <c r="J175" s="10">
        <v>2.0940059999999998</v>
      </c>
      <c r="K175" s="10">
        <v>2.5043901000000002</v>
      </c>
      <c r="L175" s="10">
        <v>2.8883367999999998</v>
      </c>
      <c r="M175" s="10">
        <v>3.2410895000000002</v>
      </c>
      <c r="N175" s="10">
        <v>3.5508014000000001</v>
      </c>
      <c r="O175" s="10">
        <v>3.8110973000000001</v>
      </c>
      <c r="P175" s="10">
        <v>4.0171723999999998</v>
      </c>
      <c r="Q175" s="10">
        <v>4.1684064999999997</v>
      </c>
      <c r="R175" s="10">
        <v>4.2703163000000002</v>
      </c>
      <c r="S175" s="10">
        <v>4.3317195000000002</v>
      </c>
      <c r="T175" s="10">
        <v>4.3618359</v>
      </c>
      <c r="U175" s="10">
        <v>4.3671566000000004</v>
      </c>
      <c r="V175" s="10">
        <v>4.3548551</v>
      </c>
      <c r="W175" s="10">
        <v>4.3281798</v>
      </c>
      <c r="X175" s="10">
        <v>4.2892248999999998</v>
      </c>
      <c r="Y175" s="10">
        <v>4.2400843000000004</v>
      </c>
      <c r="Z175" s="10">
        <v>4.1828522000000001</v>
      </c>
      <c r="AA175" s="10">
        <v>4.1196226999999999</v>
      </c>
      <c r="AB175" s="10">
        <v>4.0523752000000002</v>
      </c>
      <c r="AC175" s="10">
        <v>3.9824405999999999</v>
      </c>
      <c r="AD175" s="10">
        <v>3.9109212000000002</v>
      </c>
      <c r="AE175" s="10">
        <v>3.8389193000000001</v>
      </c>
      <c r="AF175" s="10">
        <v>3.7675372999999999</v>
      </c>
      <c r="AG175" s="10">
        <v>3.6978772000000002</v>
      </c>
      <c r="AH175" s="10">
        <v>3.6309144</v>
      </c>
      <c r="AI175" s="10">
        <v>3.5668658</v>
      </c>
      <c r="AJ175" s="10">
        <v>3.5056691999999998</v>
      </c>
      <c r="AK175" s="10">
        <v>3.4472618000000002</v>
      </c>
      <c r="AL175" s="10">
        <v>3.3915807999999998</v>
      </c>
      <c r="AM175" s="10">
        <v>3.3385634999999998</v>
      </c>
      <c r="AN175" s="10">
        <v>3.2881471000000002</v>
      </c>
      <c r="AO175" s="10">
        <v>3.2402687999999999</v>
      </c>
      <c r="AP175" s="10">
        <v>3.1948658000000001</v>
      </c>
      <c r="AQ175" s="10">
        <v>3.1518754000000002</v>
      </c>
      <c r="AR175" s="10">
        <v>3.1112348000000001</v>
      </c>
      <c r="AS175" s="10">
        <v>3.0728811</v>
      </c>
      <c r="AT175" s="10">
        <v>3.0367437000000002</v>
      </c>
      <c r="AU175" s="10">
        <v>3.0027086999999999</v>
      </c>
      <c r="AV175" s="10">
        <v>2.9706478000000001</v>
      </c>
      <c r="AW175" s="10">
        <v>2.9404327000000001</v>
      </c>
      <c r="AX175" s="10">
        <v>2.9119350000000002</v>
      </c>
      <c r="AY175" s="10">
        <v>2.8850264999999999</v>
      </c>
      <c r="AZ175" s="10">
        <v>2.8595788999999998</v>
      </c>
      <c r="BA175" s="10">
        <v>2.8354637999999999</v>
      </c>
      <c r="BB175" s="10">
        <v>2.8125529999999999</v>
      </c>
      <c r="BC175" s="10">
        <v>2.7907180999999999</v>
      </c>
      <c r="BD175" s="10">
        <v>2.7698309000000001</v>
      </c>
      <c r="BE175" s="10">
        <v>2.7497630000000002</v>
      </c>
      <c r="BF175" s="10">
        <v>2.7304032999999999</v>
      </c>
      <c r="BG175" s="10">
        <v>2.7117171</v>
      </c>
      <c r="BH175" s="10">
        <v>2.6936903999999999</v>
      </c>
      <c r="BI175" s="10">
        <v>2.6763092999999998</v>
      </c>
      <c r="BJ175" s="10">
        <v>2.6595599999999999</v>
      </c>
      <c r="BK175" s="10">
        <v>2.6434286</v>
      </c>
      <c r="BL175" s="10">
        <v>2.6279012000000002</v>
      </c>
      <c r="BM175" s="10">
        <v>2.6129639999999998</v>
      </c>
      <c r="BN175" s="10">
        <v>2.5986031000000001</v>
      </c>
      <c r="BO175" s="10">
        <v>2.5848046</v>
      </c>
      <c r="BP175" s="10">
        <v>2.5715545999999998</v>
      </c>
      <c r="BQ175" s="10">
        <v>2.5588392999999998</v>
      </c>
      <c r="BR175" s="10">
        <v>2.4933282999999999</v>
      </c>
      <c r="BS175" s="10">
        <v>2.4455695999999998</v>
      </c>
      <c r="BU175" s="7">
        <v>2.94</v>
      </c>
      <c r="BV175" s="7">
        <v>2.69</v>
      </c>
      <c r="BW175" s="9">
        <v>78.738299999999995</v>
      </c>
    </row>
    <row r="176" spans="1:75" x14ac:dyDescent="0.25">
      <c r="A176" s="6">
        <f t="shared" si="17"/>
        <v>44798</v>
      </c>
      <c r="B176" s="13">
        <f t="shared" si="12"/>
        <v>8</v>
      </c>
      <c r="C176" s="13">
        <f t="shared" si="13"/>
        <v>2022</v>
      </c>
      <c r="D176">
        <f t="shared" si="14"/>
        <v>202208</v>
      </c>
      <c r="E176">
        <f t="shared" si="15"/>
        <v>3</v>
      </c>
      <c r="F176">
        <f t="shared" si="16"/>
        <v>202203</v>
      </c>
      <c r="G176" t="s">
        <v>363</v>
      </c>
      <c r="H176" s="9">
        <v>1.75</v>
      </c>
      <c r="I176" s="9">
        <v>1.6900999999999999</v>
      </c>
      <c r="J176" s="10">
        <v>2.0683408000000001</v>
      </c>
      <c r="K176" s="10">
        <v>2.4714480999999999</v>
      </c>
      <c r="L176" s="10">
        <v>2.8561844000000001</v>
      </c>
      <c r="M176" s="10">
        <v>3.2066944999999998</v>
      </c>
      <c r="N176" s="10">
        <v>3.5095029000000002</v>
      </c>
      <c r="O176" s="10">
        <v>3.7593621000000002</v>
      </c>
      <c r="P176" s="10">
        <v>3.9549867000000001</v>
      </c>
      <c r="Q176" s="10">
        <v>4.0956431999999996</v>
      </c>
      <c r="R176" s="10">
        <v>4.1877263999999998</v>
      </c>
      <c r="S176" s="10">
        <v>4.2394081999999997</v>
      </c>
      <c r="T176" s="10">
        <v>4.2592027000000003</v>
      </c>
      <c r="U176" s="10">
        <v>4.2545393000000002</v>
      </c>
      <c r="V176" s="10">
        <v>4.2338861000000003</v>
      </c>
      <c r="W176" s="10">
        <v>4.2007576000000002</v>
      </c>
      <c r="X176" s="10">
        <v>4.1572505</v>
      </c>
      <c r="Y176" s="10">
        <v>4.1054617999999996</v>
      </c>
      <c r="Z176" s="10">
        <v>4.0474886000000003</v>
      </c>
      <c r="AA176" s="10">
        <v>3.9854276</v>
      </c>
      <c r="AB176" s="10">
        <v>3.9211976000000002</v>
      </c>
      <c r="AC176" s="10">
        <v>3.8558036000000002</v>
      </c>
      <c r="AD176" s="10">
        <v>3.7899588999999998</v>
      </c>
      <c r="AE176" s="10">
        <v>3.7243767000000001</v>
      </c>
      <c r="AF176" s="10">
        <v>3.6597702000000001</v>
      </c>
      <c r="AG176" s="10">
        <v>3.5968526000000001</v>
      </c>
      <c r="AH176" s="10">
        <v>3.5362398000000002</v>
      </c>
      <c r="AI176" s="10">
        <v>3.4780247000000002</v>
      </c>
      <c r="AJ176" s="10">
        <v>3.4221246000000001</v>
      </c>
      <c r="AK176" s="10">
        <v>3.3684566999999999</v>
      </c>
      <c r="AL176" s="10">
        <v>3.3169382999999999</v>
      </c>
      <c r="AM176" s="10">
        <v>3.2674865999999998</v>
      </c>
      <c r="AN176" s="10">
        <v>3.2200188000000001</v>
      </c>
      <c r="AO176" s="10">
        <v>3.1744522000000002</v>
      </c>
      <c r="AP176" s="10">
        <v>3.1307040000000002</v>
      </c>
      <c r="AQ176" s="10">
        <v>3.0886914000000001</v>
      </c>
      <c r="AR176" s="10">
        <v>3.0483316999999999</v>
      </c>
      <c r="AS176" s="10">
        <v>3.0095421</v>
      </c>
      <c r="AT176" s="10">
        <v>2.9722458</v>
      </c>
      <c r="AU176" s="10">
        <v>2.9363944000000002</v>
      </c>
      <c r="AV176" s="10">
        <v>2.9019482999999999</v>
      </c>
      <c r="AW176" s="10">
        <v>2.8688682000000001</v>
      </c>
      <c r="AX176" s="10">
        <v>2.8371141999999998</v>
      </c>
      <c r="AY176" s="10">
        <v>2.8066471000000002</v>
      </c>
      <c r="AZ176" s="10">
        <v>2.7774269999999999</v>
      </c>
      <c r="BA176" s="10">
        <v>2.7494146000000002</v>
      </c>
      <c r="BB176" s="10">
        <v>2.7225703000000001</v>
      </c>
      <c r="BC176" s="10">
        <v>2.6968543999999999</v>
      </c>
      <c r="BD176" s="10">
        <v>2.6722275</v>
      </c>
      <c r="BE176" s="10">
        <v>2.6486499999999999</v>
      </c>
      <c r="BF176" s="10">
        <v>2.6260854</v>
      </c>
      <c r="BG176" s="10">
        <v>2.6045117000000002</v>
      </c>
      <c r="BH176" s="10">
        <v>2.5839102</v>
      </c>
      <c r="BI176" s="10">
        <v>2.5642626000000002</v>
      </c>
      <c r="BJ176" s="10">
        <v>2.5455505999999999</v>
      </c>
      <c r="BK176" s="10">
        <v>2.5277555999999999</v>
      </c>
      <c r="BL176" s="10">
        <v>2.5108592999999999</v>
      </c>
      <c r="BM176" s="10">
        <v>2.4948434000000002</v>
      </c>
      <c r="BN176" s="10">
        <v>2.4796893</v>
      </c>
      <c r="BO176" s="10">
        <v>2.4653786000000002</v>
      </c>
      <c r="BP176" s="10">
        <v>2.4518930000000001</v>
      </c>
      <c r="BQ176" s="10">
        <v>2.4392141000000001</v>
      </c>
      <c r="BR176" s="10">
        <v>2.3786524</v>
      </c>
      <c r="BS176" s="10">
        <v>2.3400821000000001</v>
      </c>
      <c r="BU176" s="7">
        <v>2.82</v>
      </c>
      <c r="BV176" s="7">
        <v>2.61</v>
      </c>
      <c r="BW176" s="9">
        <v>78.761300000000006</v>
      </c>
    </row>
    <row r="177" spans="1:75" x14ac:dyDescent="0.25">
      <c r="A177" s="6">
        <f t="shared" si="17"/>
        <v>44799</v>
      </c>
      <c r="B177" s="13">
        <f t="shared" si="12"/>
        <v>8</v>
      </c>
      <c r="C177" s="13">
        <f t="shared" si="13"/>
        <v>2022</v>
      </c>
      <c r="D177">
        <f t="shared" si="14"/>
        <v>202208</v>
      </c>
      <c r="E177">
        <f t="shared" si="15"/>
        <v>3</v>
      </c>
      <c r="F177">
        <f t="shared" si="16"/>
        <v>202203</v>
      </c>
      <c r="G177" t="s">
        <v>364</v>
      </c>
      <c r="H177" s="9">
        <v>1.75</v>
      </c>
      <c r="I177" s="9">
        <v>1.6903999999999999</v>
      </c>
      <c r="J177" s="10">
        <v>2.1307672000000002</v>
      </c>
      <c r="K177" s="10">
        <v>2.5255459999999998</v>
      </c>
      <c r="L177" s="10">
        <v>2.9003486999999999</v>
      </c>
      <c r="M177" s="10">
        <v>3.2370830000000002</v>
      </c>
      <c r="N177" s="10">
        <v>3.5252007000000001</v>
      </c>
      <c r="O177" s="10">
        <v>3.7621403</v>
      </c>
      <c r="P177" s="10">
        <v>3.9470966999999999</v>
      </c>
      <c r="Q177" s="10">
        <v>4.0808911999999999</v>
      </c>
      <c r="R177" s="10">
        <v>4.1696289999999996</v>
      </c>
      <c r="S177" s="10">
        <v>4.2210270000000003</v>
      </c>
      <c r="T177" s="10">
        <v>4.2422899999999997</v>
      </c>
      <c r="U177" s="10">
        <v>4.2400609999999999</v>
      </c>
      <c r="V177" s="10">
        <v>4.2207765999999998</v>
      </c>
      <c r="W177" s="10">
        <v>4.1878332</v>
      </c>
      <c r="X177" s="10">
        <v>4.1435665000000004</v>
      </c>
      <c r="Y177" s="10">
        <v>4.0903114</v>
      </c>
      <c r="Z177" s="10">
        <v>4.0304026999999998</v>
      </c>
      <c r="AA177" s="10">
        <v>3.9661754</v>
      </c>
      <c r="AB177" s="10">
        <v>3.8997288000000001</v>
      </c>
      <c r="AC177" s="10">
        <v>3.8320694999999998</v>
      </c>
      <c r="AD177" s="10">
        <v>3.7638874000000002</v>
      </c>
      <c r="AE177" s="10">
        <v>3.6958726</v>
      </c>
      <c r="AF177" s="10">
        <v>3.6287148999999999</v>
      </c>
      <c r="AG177" s="10">
        <v>3.5631043999999998</v>
      </c>
      <c r="AH177" s="10">
        <v>3.4996366000000001</v>
      </c>
      <c r="AI177" s="10">
        <v>3.438447</v>
      </c>
      <c r="AJ177" s="10">
        <v>3.3795310999999999</v>
      </c>
      <c r="AK177" s="10">
        <v>3.3228843000000001</v>
      </c>
      <c r="AL177" s="10">
        <v>3.2685021000000001</v>
      </c>
      <c r="AM177" s="10">
        <v>3.2163799000000002</v>
      </c>
      <c r="AN177" s="10">
        <v>3.1665133000000001</v>
      </c>
      <c r="AO177" s="10">
        <v>3.1188977000000002</v>
      </c>
      <c r="AP177" s="10">
        <v>3.0735285999999999</v>
      </c>
      <c r="AQ177" s="10">
        <v>3.0304012999999999</v>
      </c>
      <c r="AR177" s="10">
        <v>2.9895114</v>
      </c>
      <c r="AS177" s="10">
        <v>2.9508543999999999</v>
      </c>
      <c r="AT177" s="10">
        <v>2.9144106000000001</v>
      </c>
      <c r="AU177" s="10">
        <v>2.8800943000000001</v>
      </c>
      <c r="AV177" s="10">
        <v>2.8478013999999998</v>
      </c>
      <c r="AW177" s="10">
        <v>2.8174275999999998</v>
      </c>
      <c r="AX177" s="10">
        <v>2.788869</v>
      </c>
      <c r="AY177" s="10">
        <v>2.7620212999999998</v>
      </c>
      <c r="AZ177" s="10">
        <v>2.7367805000000001</v>
      </c>
      <c r="BA177" s="10">
        <v>2.7130424999999998</v>
      </c>
      <c r="BB177" s="10">
        <v>2.6907032000000002</v>
      </c>
      <c r="BC177" s="10">
        <v>2.6696583</v>
      </c>
      <c r="BD177" s="10">
        <v>2.6498039000000002</v>
      </c>
      <c r="BE177" s="10">
        <v>2.6310357</v>
      </c>
      <c r="BF177" s="10">
        <v>2.6132590000000002</v>
      </c>
      <c r="BG177" s="10">
        <v>2.5964200000000002</v>
      </c>
      <c r="BH177" s="10">
        <v>2.5804762000000001</v>
      </c>
      <c r="BI177" s="10">
        <v>2.5653850999999999</v>
      </c>
      <c r="BJ177" s="10">
        <v>2.5511040999999999</v>
      </c>
      <c r="BK177" s="10">
        <v>2.5375909000000001</v>
      </c>
      <c r="BL177" s="10">
        <v>2.5248029000000001</v>
      </c>
      <c r="BM177" s="10">
        <v>2.5126976999999999</v>
      </c>
      <c r="BN177" s="10">
        <v>2.5012327000000001</v>
      </c>
      <c r="BO177" s="10">
        <v>2.4903654</v>
      </c>
      <c r="BP177" s="10">
        <v>2.4800534999999999</v>
      </c>
      <c r="BQ177" s="10">
        <v>2.4702544</v>
      </c>
      <c r="BR177" s="10">
        <v>2.4210576000000001</v>
      </c>
      <c r="BS177" s="10">
        <v>2.3869467000000002</v>
      </c>
      <c r="BU177" s="7">
        <v>2.82</v>
      </c>
      <c r="BV177" s="7">
        <v>2.62</v>
      </c>
      <c r="BW177" s="9">
        <v>78.444400000000002</v>
      </c>
    </row>
    <row r="178" spans="1:75" x14ac:dyDescent="0.25">
      <c r="A178" s="6">
        <f t="shared" si="17"/>
        <v>44802</v>
      </c>
      <c r="B178" s="13">
        <f t="shared" si="12"/>
        <v>8</v>
      </c>
      <c r="C178" s="13">
        <f t="shared" si="13"/>
        <v>2022</v>
      </c>
      <c r="D178">
        <f t="shared" si="14"/>
        <v>202208</v>
      </c>
      <c r="E178">
        <f t="shared" si="15"/>
        <v>3</v>
      </c>
      <c r="F178">
        <f t="shared" si="16"/>
        <v>202203</v>
      </c>
      <c r="G178" t="s">
        <v>365</v>
      </c>
      <c r="H178" s="9">
        <v>1.75</v>
      </c>
      <c r="I178" s="9" t="e">
        <v>#N/A</v>
      </c>
      <c r="J178" s="10" t="e">
        <v>#N/A</v>
      </c>
      <c r="K178" s="10" t="e">
        <v>#N/A</v>
      </c>
      <c r="L178" s="10" t="e">
        <v>#N/A</v>
      </c>
      <c r="M178" s="10" t="e">
        <v>#N/A</v>
      </c>
      <c r="N178" s="10" t="e">
        <v>#N/A</v>
      </c>
      <c r="O178" s="10" t="e">
        <v>#N/A</v>
      </c>
      <c r="P178" s="10" t="e">
        <v>#N/A</v>
      </c>
      <c r="Q178" s="10" t="e">
        <v>#N/A</v>
      </c>
      <c r="R178" s="10" t="e">
        <v>#N/A</v>
      </c>
      <c r="S178" s="10" t="e">
        <v>#N/A</v>
      </c>
      <c r="T178" s="10" t="e">
        <v>#N/A</v>
      </c>
      <c r="U178" s="10" t="e">
        <v>#N/A</v>
      </c>
      <c r="V178" s="10" t="e">
        <v>#N/A</v>
      </c>
      <c r="W178" s="10" t="e">
        <v>#N/A</v>
      </c>
      <c r="X178" s="10" t="e">
        <v>#N/A</v>
      </c>
      <c r="Y178" s="10" t="e">
        <v>#N/A</v>
      </c>
      <c r="Z178" s="10" t="e">
        <v>#N/A</v>
      </c>
      <c r="AA178" s="10" t="e">
        <v>#N/A</v>
      </c>
      <c r="AB178" s="10" t="e">
        <v>#N/A</v>
      </c>
      <c r="AC178" s="10" t="e">
        <v>#N/A</v>
      </c>
      <c r="AD178" s="10" t="e">
        <v>#N/A</v>
      </c>
      <c r="AE178" s="10" t="e">
        <v>#N/A</v>
      </c>
      <c r="AF178" s="10" t="e">
        <v>#N/A</v>
      </c>
      <c r="AG178" s="10" t="e">
        <v>#N/A</v>
      </c>
      <c r="AH178" s="10" t="e">
        <v>#N/A</v>
      </c>
      <c r="AI178" s="10" t="e">
        <v>#N/A</v>
      </c>
      <c r="AJ178" s="10" t="e">
        <v>#N/A</v>
      </c>
      <c r="AK178" s="10" t="e">
        <v>#N/A</v>
      </c>
      <c r="AL178" s="10" t="e">
        <v>#N/A</v>
      </c>
      <c r="AM178" s="10" t="e">
        <v>#N/A</v>
      </c>
      <c r="AN178" s="10" t="e">
        <v>#N/A</v>
      </c>
      <c r="AO178" s="10" t="e">
        <v>#N/A</v>
      </c>
      <c r="AP178" s="10" t="e">
        <v>#N/A</v>
      </c>
      <c r="AQ178" s="10" t="e">
        <v>#N/A</v>
      </c>
      <c r="AR178" s="10" t="e">
        <v>#N/A</v>
      </c>
      <c r="AS178" s="10" t="e">
        <v>#N/A</v>
      </c>
      <c r="AT178" s="10" t="e">
        <v>#N/A</v>
      </c>
      <c r="AU178" s="10" t="e">
        <v>#N/A</v>
      </c>
      <c r="AV178" s="10" t="e">
        <v>#N/A</v>
      </c>
      <c r="AW178" s="10" t="e">
        <v>#N/A</v>
      </c>
      <c r="AX178" s="10" t="e">
        <v>#N/A</v>
      </c>
      <c r="AY178" s="10" t="e">
        <v>#N/A</v>
      </c>
      <c r="AZ178" s="10" t="e">
        <v>#N/A</v>
      </c>
      <c r="BA178" s="10" t="e">
        <v>#N/A</v>
      </c>
      <c r="BB178" s="10" t="e">
        <v>#N/A</v>
      </c>
      <c r="BC178" s="10" t="e">
        <v>#N/A</v>
      </c>
      <c r="BD178" s="10" t="e">
        <v>#N/A</v>
      </c>
      <c r="BE178" s="10" t="e">
        <v>#N/A</v>
      </c>
      <c r="BF178" s="10" t="e">
        <v>#N/A</v>
      </c>
      <c r="BG178" s="10" t="e">
        <v>#N/A</v>
      </c>
      <c r="BH178" s="10" t="e">
        <v>#N/A</v>
      </c>
      <c r="BI178" s="10" t="e">
        <v>#N/A</v>
      </c>
      <c r="BJ178" s="10" t="e">
        <v>#N/A</v>
      </c>
      <c r="BK178" s="10" t="e">
        <v>#N/A</v>
      </c>
      <c r="BL178" s="10" t="e">
        <v>#N/A</v>
      </c>
      <c r="BM178" s="10" t="e">
        <v>#N/A</v>
      </c>
      <c r="BN178" s="10" t="e">
        <v>#N/A</v>
      </c>
      <c r="BO178" s="10" t="e">
        <v>#N/A</v>
      </c>
      <c r="BP178" s="10" t="e">
        <v>#N/A</v>
      </c>
      <c r="BQ178" s="10" t="e">
        <v>#N/A</v>
      </c>
      <c r="BR178" s="10" t="e">
        <v>#N/A</v>
      </c>
      <c r="BS178" s="10" t="e">
        <v>#N/A</v>
      </c>
      <c r="BU178" s="7">
        <v>2.8</v>
      </c>
      <c r="BV178" s="7">
        <v>2.63</v>
      </c>
      <c r="BW178" s="9" t="e">
        <v>#N/A</v>
      </c>
    </row>
    <row r="179" spans="1:75" x14ac:dyDescent="0.25">
      <c r="A179" s="6">
        <f t="shared" si="17"/>
        <v>44803</v>
      </c>
      <c r="B179" s="13">
        <f t="shared" si="12"/>
        <v>8</v>
      </c>
      <c r="C179" s="13">
        <f t="shared" si="13"/>
        <v>2022</v>
      </c>
      <c r="D179">
        <f t="shared" si="14"/>
        <v>202208</v>
      </c>
      <c r="E179">
        <f t="shared" si="15"/>
        <v>3</v>
      </c>
      <c r="F179">
        <f t="shared" si="16"/>
        <v>202203</v>
      </c>
      <c r="G179" t="s">
        <v>366</v>
      </c>
      <c r="H179" s="9">
        <v>1.75</v>
      </c>
      <c r="I179" s="9">
        <v>1.6904999999999999</v>
      </c>
      <c r="J179" s="10">
        <v>2.2512642999999999</v>
      </c>
      <c r="K179" s="10">
        <v>2.5980411999999999</v>
      </c>
      <c r="L179" s="10">
        <v>2.9800149999999999</v>
      </c>
      <c r="M179" s="10">
        <v>3.3284794</v>
      </c>
      <c r="N179" s="10">
        <v>3.6194098000000001</v>
      </c>
      <c r="O179" s="10">
        <v>3.8532869000000001</v>
      </c>
      <c r="P179" s="10">
        <v>4.0340543000000002</v>
      </c>
      <c r="Q179" s="10">
        <v>4.1677619000000004</v>
      </c>
      <c r="R179" s="10">
        <v>4.2596277000000002</v>
      </c>
      <c r="S179" s="10">
        <v>4.3165661999999996</v>
      </c>
      <c r="T179" s="10">
        <v>4.344258</v>
      </c>
      <c r="U179" s="10">
        <v>4.3480277999999997</v>
      </c>
      <c r="V179" s="10">
        <v>4.3328334999999996</v>
      </c>
      <c r="W179" s="10">
        <v>4.3017681000000003</v>
      </c>
      <c r="X179" s="10">
        <v>4.2574528999999997</v>
      </c>
      <c r="Y179" s="10">
        <v>4.2025093</v>
      </c>
      <c r="Z179" s="10">
        <v>4.1395587999999996</v>
      </c>
      <c r="AA179" s="10">
        <v>4.0712225999999996</v>
      </c>
      <c r="AB179" s="10">
        <v>3.9998838999999999</v>
      </c>
      <c r="AC179" s="10">
        <v>3.9268198000000001</v>
      </c>
      <c r="AD179" s="10">
        <v>3.8529871999999998</v>
      </c>
      <c r="AE179" s="10">
        <v>3.7793429000000001</v>
      </c>
      <c r="AF179" s="10">
        <v>3.7068436</v>
      </c>
      <c r="AG179" s="10">
        <v>3.6364461000000001</v>
      </c>
      <c r="AH179" s="10">
        <v>3.5689519999999999</v>
      </c>
      <c r="AI179" s="10">
        <v>3.5044773</v>
      </c>
      <c r="AJ179" s="10">
        <v>3.442949</v>
      </c>
      <c r="AK179" s="10">
        <v>3.3842941999999998</v>
      </c>
      <c r="AL179" s="10">
        <v>3.3284397000000001</v>
      </c>
      <c r="AM179" s="10">
        <v>3.2753125999999999</v>
      </c>
      <c r="AN179" s="10">
        <v>3.2248397999999998</v>
      </c>
      <c r="AO179" s="10">
        <v>3.1769482999999998</v>
      </c>
      <c r="AP179" s="10">
        <v>3.1315651</v>
      </c>
      <c r="AQ179" s="10">
        <v>3.0886171999999998</v>
      </c>
      <c r="AR179" s="10">
        <v>3.0480314000000002</v>
      </c>
      <c r="AS179" s="10">
        <v>3.0097349000000002</v>
      </c>
      <c r="AT179" s="10">
        <v>2.9736503999999999</v>
      </c>
      <c r="AU179" s="10">
        <v>2.9396781999999999</v>
      </c>
      <c r="AV179" s="10">
        <v>2.9077111000000002</v>
      </c>
      <c r="AW179" s="10">
        <v>2.8776418000000001</v>
      </c>
      <c r="AX179" s="10">
        <v>2.8493631000000001</v>
      </c>
      <c r="AY179" s="10">
        <v>2.8227677999999998</v>
      </c>
      <c r="AZ179" s="10">
        <v>2.7977487000000001</v>
      </c>
      <c r="BA179" s="10">
        <v>2.7741984</v>
      </c>
      <c r="BB179" s="10">
        <v>2.7520098000000002</v>
      </c>
      <c r="BC179" s="10">
        <v>2.7310756</v>
      </c>
      <c r="BD179" s="10">
        <v>2.7112886999999999</v>
      </c>
      <c r="BE179" s="10">
        <v>2.6925416000000002</v>
      </c>
      <c r="BF179" s="10">
        <v>2.6747363000000002</v>
      </c>
      <c r="BG179" s="10">
        <v>2.6578233</v>
      </c>
      <c r="BH179" s="10">
        <v>2.6417692000000002</v>
      </c>
      <c r="BI179" s="10">
        <v>2.6265407999999999</v>
      </c>
      <c r="BJ179" s="10">
        <v>2.6121050000000001</v>
      </c>
      <c r="BK179" s="10">
        <v>2.5984284999999998</v>
      </c>
      <c r="BL179" s="10">
        <v>2.5854781999999998</v>
      </c>
      <c r="BM179" s="10">
        <v>2.5732206999999998</v>
      </c>
      <c r="BN179" s="10">
        <v>2.5616227999999999</v>
      </c>
      <c r="BO179" s="10">
        <v>2.5506514</v>
      </c>
      <c r="BP179" s="10">
        <v>2.5402732000000001</v>
      </c>
      <c r="BQ179" s="10">
        <v>2.5304551000000002</v>
      </c>
      <c r="BR179" s="10">
        <v>2.4821844</v>
      </c>
      <c r="BS179" s="10">
        <v>2.4502332999999998</v>
      </c>
      <c r="BU179" s="7">
        <v>2.92</v>
      </c>
      <c r="BV179" s="7">
        <v>2.7</v>
      </c>
      <c r="BW179" s="9">
        <v>77.623999999999995</v>
      </c>
    </row>
    <row r="180" spans="1:75" x14ac:dyDescent="0.25">
      <c r="A180" s="6">
        <f t="shared" si="17"/>
        <v>44804</v>
      </c>
      <c r="B180" s="13">
        <f t="shared" si="12"/>
        <v>8</v>
      </c>
      <c r="C180" s="13">
        <f t="shared" si="13"/>
        <v>2022</v>
      </c>
      <c r="D180">
        <f t="shared" si="14"/>
        <v>202208</v>
      </c>
      <c r="E180">
        <f t="shared" si="15"/>
        <v>3</v>
      </c>
      <c r="F180">
        <f t="shared" si="16"/>
        <v>202203</v>
      </c>
      <c r="G180" t="s">
        <v>367</v>
      </c>
      <c r="H180" s="9">
        <v>1.75</v>
      </c>
      <c r="I180" s="9">
        <v>1.6896</v>
      </c>
      <c r="J180" s="10">
        <v>2.2805599000000001</v>
      </c>
      <c r="K180" s="10">
        <v>2.6090551999999998</v>
      </c>
      <c r="L180" s="10">
        <v>2.9922317</v>
      </c>
      <c r="M180" s="10">
        <v>3.3568264000000001</v>
      </c>
      <c r="N180" s="10">
        <v>3.6636736999999999</v>
      </c>
      <c r="O180" s="10">
        <v>3.9057464999999998</v>
      </c>
      <c r="P180" s="10">
        <v>4.0866936000000003</v>
      </c>
      <c r="Q180" s="10">
        <v>4.2180203000000001</v>
      </c>
      <c r="R180" s="10">
        <v>4.3074351000000002</v>
      </c>
      <c r="S180" s="10">
        <v>4.3627472000000003</v>
      </c>
      <c r="T180" s="10">
        <v>4.3899565999999997</v>
      </c>
      <c r="U180" s="10">
        <v>4.3945468999999999</v>
      </c>
      <c r="V180" s="10">
        <v>4.3810058999999999</v>
      </c>
      <c r="W180" s="10">
        <v>4.3520811000000004</v>
      </c>
      <c r="X180" s="10">
        <v>4.3101229999999999</v>
      </c>
      <c r="Y180" s="10">
        <v>4.2574820999999998</v>
      </c>
      <c r="Z180" s="10">
        <v>4.1965089999999998</v>
      </c>
      <c r="AA180" s="10">
        <v>4.1295541</v>
      </c>
      <c r="AB180" s="10">
        <v>4.0587495000000002</v>
      </c>
      <c r="AC180" s="10">
        <v>3.9853949000000002</v>
      </c>
      <c r="AD180" s="10">
        <v>3.9105921000000001</v>
      </c>
      <c r="AE180" s="10">
        <v>3.8354428</v>
      </c>
      <c r="AF180" s="10">
        <v>3.7610486999999999</v>
      </c>
      <c r="AG180" s="10">
        <v>3.6885116999999998</v>
      </c>
      <c r="AH180" s="10">
        <v>3.6187917999999999</v>
      </c>
      <c r="AI180" s="10">
        <v>3.5520874</v>
      </c>
      <c r="AJ180" s="10">
        <v>3.4883410000000001</v>
      </c>
      <c r="AK180" s="10">
        <v>3.4274950999999998</v>
      </c>
      <c r="AL180" s="10">
        <v>3.3694923000000001</v>
      </c>
      <c r="AM180" s="10">
        <v>3.3142749999999999</v>
      </c>
      <c r="AN180" s="10">
        <v>3.2617856000000001</v>
      </c>
      <c r="AO180" s="10">
        <v>3.2119667999999999</v>
      </c>
      <c r="AP180" s="10">
        <v>3.1647607999999998</v>
      </c>
      <c r="AQ180" s="10">
        <v>3.1201104000000002</v>
      </c>
      <c r="AR180" s="10">
        <v>3.0779578000000001</v>
      </c>
      <c r="AS180" s="10">
        <v>3.0382457</v>
      </c>
      <c r="AT180" s="10">
        <v>3.000909</v>
      </c>
      <c r="AU180" s="10">
        <v>2.9658465999999999</v>
      </c>
      <c r="AV180" s="10">
        <v>2.9329461999999999</v>
      </c>
      <c r="AW180" s="10">
        <v>2.9020955000000002</v>
      </c>
      <c r="AX180" s="10">
        <v>2.8731822999999999</v>
      </c>
      <c r="AY180" s="10">
        <v>2.8460944000000001</v>
      </c>
      <c r="AZ180" s="10">
        <v>2.8207194000000002</v>
      </c>
      <c r="BA180" s="10">
        <v>2.7969452000000001</v>
      </c>
      <c r="BB180" s="10">
        <v>2.7746594</v>
      </c>
      <c r="BC180" s="10">
        <v>2.7537498999999999</v>
      </c>
      <c r="BD180" s="10">
        <v>2.7341044000000001</v>
      </c>
      <c r="BE180" s="10">
        <v>2.7156106000000002</v>
      </c>
      <c r="BF180" s="10">
        <v>2.6981665000000001</v>
      </c>
      <c r="BG180" s="10">
        <v>2.6817191999999999</v>
      </c>
      <c r="BH180" s="10">
        <v>2.6662311999999999</v>
      </c>
      <c r="BI180" s="10">
        <v>2.6516649000000001</v>
      </c>
      <c r="BJ180" s="10">
        <v>2.6379825000000001</v>
      </c>
      <c r="BK180" s="10">
        <v>2.6251465</v>
      </c>
      <c r="BL180" s="10">
        <v>2.6131191</v>
      </c>
      <c r="BM180" s="10">
        <v>2.6018626999999999</v>
      </c>
      <c r="BN180" s="10">
        <v>2.5913398000000001</v>
      </c>
      <c r="BO180" s="10">
        <v>2.5815125000000001</v>
      </c>
      <c r="BP180" s="10">
        <v>2.5723433</v>
      </c>
      <c r="BQ180" s="10">
        <v>2.5637946</v>
      </c>
      <c r="BR180" s="10">
        <v>2.5240966</v>
      </c>
      <c r="BS180" s="10">
        <v>2.5013353</v>
      </c>
      <c r="BU180" s="7">
        <v>3.01</v>
      </c>
      <c r="BV180" s="7">
        <v>2.79</v>
      </c>
      <c r="BW180" s="9">
        <v>77.391400000000004</v>
      </c>
    </row>
    <row r="181" spans="1:75" x14ac:dyDescent="0.25">
      <c r="A181" s="6">
        <f t="shared" si="17"/>
        <v>44805</v>
      </c>
      <c r="B181" s="13">
        <f t="shared" si="12"/>
        <v>9</v>
      </c>
      <c r="C181" s="13">
        <f t="shared" si="13"/>
        <v>2022</v>
      </c>
      <c r="D181">
        <f t="shared" si="14"/>
        <v>202209</v>
      </c>
      <c r="E181">
        <f t="shared" si="15"/>
        <v>3</v>
      </c>
      <c r="F181">
        <f t="shared" si="16"/>
        <v>202203</v>
      </c>
      <c r="G181" t="s">
        <v>368</v>
      </c>
      <c r="H181" s="9">
        <v>1.75</v>
      </c>
      <c r="I181" s="9">
        <v>1.6901999999999999</v>
      </c>
      <c r="J181" s="10">
        <v>2.3391015999999998</v>
      </c>
      <c r="K181" s="10">
        <v>2.6767395999999999</v>
      </c>
      <c r="L181" s="10">
        <v>3.0791268000000001</v>
      </c>
      <c r="M181" s="10">
        <v>3.4496454999999999</v>
      </c>
      <c r="N181" s="10">
        <v>3.7512840999999999</v>
      </c>
      <c r="O181" s="10">
        <v>3.9857749</v>
      </c>
      <c r="P181" s="10">
        <v>4.1588015</v>
      </c>
      <c r="Q181" s="10">
        <v>4.2814334000000001</v>
      </c>
      <c r="R181" s="10">
        <v>4.3637234999999999</v>
      </c>
      <c r="S181" s="10">
        <v>4.4140176000000002</v>
      </c>
      <c r="T181" s="10">
        <v>4.4387699999999999</v>
      </c>
      <c r="U181" s="10">
        <v>4.4424073999999996</v>
      </c>
      <c r="V181" s="10">
        <v>4.4287878000000003</v>
      </c>
      <c r="W181" s="10">
        <v>4.4004479999999999</v>
      </c>
      <c r="X181" s="10">
        <v>4.3595791000000004</v>
      </c>
      <c r="Y181" s="10">
        <v>4.3083723000000003</v>
      </c>
      <c r="Z181" s="10">
        <v>4.2490186000000003</v>
      </c>
      <c r="AA181" s="10">
        <v>4.1837092</v>
      </c>
      <c r="AB181" s="10">
        <v>4.1144363000000004</v>
      </c>
      <c r="AC181" s="10">
        <v>4.0424362</v>
      </c>
      <c r="AD181" s="10">
        <v>3.9687648000000002</v>
      </c>
      <c r="AE181" s="10">
        <v>3.8944781000000002</v>
      </c>
      <c r="AF181" s="10">
        <v>3.8206321999999999</v>
      </c>
      <c r="AG181" s="10">
        <v>3.7482831000000001</v>
      </c>
      <c r="AH181" s="10">
        <v>3.6783456999999999</v>
      </c>
      <c r="AI181" s="10">
        <v>3.6110462999999999</v>
      </c>
      <c r="AJ181" s="10">
        <v>3.5464019000000002</v>
      </c>
      <c r="AK181" s="10">
        <v>3.4844295999999999</v>
      </c>
      <c r="AL181" s="10">
        <v>3.4251463000000002</v>
      </c>
      <c r="AM181" s="10">
        <v>3.3685687999999998</v>
      </c>
      <c r="AN181" s="10">
        <v>3.3147142999999999</v>
      </c>
      <c r="AO181" s="10">
        <v>3.2635995000000002</v>
      </c>
      <c r="AP181" s="10">
        <v>3.2152414999999999</v>
      </c>
      <c r="AQ181" s="10">
        <v>3.1696572000000001</v>
      </c>
      <c r="AR181" s="10">
        <v>3.1268636000000001</v>
      </c>
      <c r="AS181" s="10">
        <v>3.0868774999999999</v>
      </c>
      <c r="AT181" s="10">
        <v>3.0496934000000002</v>
      </c>
      <c r="AU181" s="10">
        <v>3.0152059000000002</v>
      </c>
      <c r="AV181" s="10">
        <v>2.9832819000000002</v>
      </c>
      <c r="AW181" s="10">
        <v>2.9537884999999999</v>
      </c>
      <c r="AX181" s="10">
        <v>2.9265927</v>
      </c>
      <c r="AY181" s="10">
        <v>2.9015616</v>
      </c>
      <c r="AZ181" s="10">
        <v>2.8785622000000002</v>
      </c>
      <c r="BA181" s="10">
        <v>2.8574616000000002</v>
      </c>
      <c r="BB181" s="10">
        <v>2.8381267999999999</v>
      </c>
      <c r="BC181" s="10">
        <v>2.8204248000000001</v>
      </c>
      <c r="BD181" s="10">
        <v>2.8042227</v>
      </c>
      <c r="BE181" s="10">
        <v>2.7893875000000001</v>
      </c>
      <c r="BF181" s="10">
        <v>2.7757963999999999</v>
      </c>
      <c r="BG181" s="10">
        <v>2.7633711999999999</v>
      </c>
      <c r="BH181" s="10">
        <v>2.7520462000000001</v>
      </c>
      <c r="BI181" s="10">
        <v>2.7417555999999998</v>
      </c>
      <c r="BJ181" s="10">
        <v>2.7324335999999998</v>
      </c>
      <c r="BK181" s="10">
        <v>2.7240144000000002</v>
      </c>
      <c r="BL181" s="10">
        <v>2.7164323000000001</v>
      </c>
      <c r="BM181" s="10">
        <v>2.7096214000000001</v>
      </c>
      <c r="BN181" s="10">
        <v>2.7035159000000002</v>
      </c>
      <c r="BO181" s="10">
        <v>2.6980501000000001</v>
      </c>
      <c r="BP181" s="10">
        <v>2.6931582000000001</v>
      </c>
      <c r="BQ181" s="10">
        <v>2.6887743</v>
      </c>
      <c r="BR181" s="10">
        <v>2.6708329000000002</v>
      </c>
      <c r="BS181" s="10">
        <v>2.6629497999999998</v>
      </c>
      <c r="BU181" s="7">
        <v>3.08</v>
      </c>
      <c r="BV181" s="7">
        <v>2.89</v>
      </c>
      <c r="BW181" s="9">
        <v>77.208699999999993</v>
      </c>
    </row>
    <row r="182" spans="1:75" x14ac:dyDescent="0.25">
      <c r="A182" s="6">
        <f t="shared" si="17"/>
        <v>44806</v>
      </c>
      <c r="B182" s="13">
        <f t="shared" si="12"/>
        <v>9</v>
      </c>
      <c r="C182" s="13">
        <f t="shared" si="13"/>
        <v>2022</v>
      </c>
      <c r="D182">
        <f t="shared" si="14"/>
        <v>202209</v>
      </c>
      <c r="E182">
        <f t="shared" si="15"/>
        <v>3</v>
      </c>
      <c r="F182">
        <f t="shared" si="16"/>
        <v>202203</v>
      </c>
      <c r="G182" t="s">
        <v>369</v>
      </c>
      <c r="H182" s="9">
        <v>1.75</v>
      </c>
      <c r="I182" s="9">
        <v>1.6911</v>
      </c>
      <c r="J182" s="10">
        <v>2.3453346000000002</v>
      </c>
      <c r="K182" s="10">
        <v>2.6773989999999999</v>
      </c>
      <c r="L182" s="10">
        <v>3.0677292</v>
      </c>
      <c r="M182" s="10">
        <v>3.4250970999999999</v>
      </c>
      <c r="N182" s="10">
        <v>3.7176341000000002</v>
      </c>
      <c r="O182" s="10">
        <v>3.9460644</v>
      </c>
      <c r="P182" s="10">
        <v>4.1144769999999999</v>
      </c>
      <c r="Q182" s="10">
        <v>4.2330502000000001</v>
      </c>
      <c r="R182" s="10">
        <v>4.3122607000000004</v>
      </c>
      <c r="S182" s="10">
        <v>4.3599093</v>
      </c>
      <c r="T182" s="10">
        <v>4.3819469</v>
      </c>
      <c r="U182" s="10">
        <v>4.3827803999999997</v>
      </c>
      <c r="V182" s="10">
        <v>4.3658764000000003</v>
      </c>
      <c r="W182" s="10">
        <v>4.3338798000000001</v>
      </c>
      <c r="X182" s="10">
        <v>4.2892222000000002</v>
      </c>
      <c r="Y182" s="10">
        <v>4.2343351</v>
      </c>
      <c r="Z182" s="10">
        <v>4.1716499000000002</v>
      </c>
      <c r="AA182" s="10">
        <v>4.1035981000000001</v>
      </c>
      <c r="AB182" s="10">
        <v>4.0324035</v>
      </c>
      <c r="AC182" s="10">
        <v>3.9593267000000001</v>
      </c>
      <c r="AD182" s="10">
        <v>3.8853491</v>
      </c>
      <c r="AE182" s="10">
        <v>3.8114520000000001</v>
      </c>
      <c r="AF182" s="10">
        <v>3.7386168999999998</v>
      </c>
      <c r="AG182" s="10">
        <v>3.6678250999999999</v>
      </c>
      <c r="AH182" s="10">
        <v>3.5999056999999999</v>
      </c>
      <c r="AI182" s="10">
        <v>3.5350153</v>
      </c>
      <c r="AJ182" s="10">
        <v>3.473125</v>
      </c>
      <c r="AK182" s="10">
        <v>3.4142058999999998</v>
      </c>
      <c r="AL182" s="10">
        <v>3.3582288999999999</v>
      </c>
      <c r="AM182" s="10">
        <v>3.3051651999999998</v>
      </c>
      <c r="AN182" s="10">
        <v>3.2549858</v>
      </c>
      <c r="AO182" s="10">
        <v>3.2076617999999999</v>
      </c>
      <c r="AP182" s="10">
        <v>3.1631643</v>
      </c>
      <c r="AQ182" s="10">
        <v>3.1214642000000001</v>
      </c>
      <c r="AR182" s="10">
        <v>3.0825326999999998</v>
      </c>
      <c r="AS182" s="10">
        <v>3.0463409000000001</v>
      </c>
      <c r="AT182" s="10">
        <v>3.0128398999999999</v>
      </c>
      <c r="AU182" s="10">
        <v>2.9818927999999998</v>
      </c>
      <c r="AV182" s="10">
        <v>2.9533387000000002</v>
      </c>
      <c r="AW182" s="10">
        <v>2.9270166</v>
      </c>
      <c r="AX182" s="10">
        <v>2.9027653999999998</v>
      </c>
      <c r="AY182" s="10">
        <v>2.8804240999999999</v>
      </c>
      <c r="AZ182" s="10">
        <v>2.8598317</v>
      </c>
      <c r="BA182" s="10">
        <v>2.840827</v>
      </c>
      <c r="BB182" s="10">
        <v>2.8232491999999998</v>
      </c>
      <c r="BC182" s="10">
        <v>2.8069370999999999</v>
      </c>
      <c r="BD182" s="10">
        <v>2.7917298000000002</v>
      </c>
      <c r="BE182" s="10">
        <v>2.7774660999999998</v>
      </c>
      <c r="BF182" s="10">
        <v>2.7640061999999999</v>
      </c>
      <c r="BG182" s="10">
        <v>2.7513030000000001</v>
      </c>
      <c r="BH182" s="10">
        <v>2.7393350000000001</v>
      </c>
      <c r="BI182" s="10">
        <v>2.7280807999999999</v>
      </c>
      <c r="BJ182" s="10">
        <v>2.7175191000000001</v>
      </c>
      <c r="BK182" s="10">
        <v>2.7076283999999999</v>
      </c>
      <c r="BL182" s="10">
        <v>2.6983872999999998</v>
      </c>
      <c r="BM182" s="10">
        <v>2.6897744000000001</v>
      </c>
      <c r="BN182" s="10">
        <v>2.6817682999999999</v>
      </c>
      <c r="BO182" s="10">
        <v>2.6743475999999999</v>
      </c>
      <c r="BP182" s="10">
        <v>2.6674907999999999</v>
      </c>
      <c r="BQ182" s="10">
        <v>2.6611766000000001</v>
      </c>
      <c r="BR182" s="10">
        <v>2.634042</v>
      </c>
      <c r="BS182" s="10">
        <v>2.6244182</v>
      </c>
      <c r="BU182" s="7">
        <v>3.15</v>
      </c>
      <c r="BV182" s="7">
        <v>2.9</v>
      </c>
      <c r="BW182" s="9">
        <v>77.220299999999995</v>
      </c>
    </row>
    <row r="183" spans="1:75" x14ac:dyDescent="0.25">
      <c r="A183" s="6">
        <f t="shared" si="17"/>
        <v>44809</v>
      </c>
      <c r="B183" s="13">
        <f t="shared" si="12"/>
        <v>9</v>
      </c>
      <c r="C183" s="13">
        <f t="shared" si="13"/>
        <v>2022</v>
      </c>
      <c r="D183">
        <f t="shared" si="14"/>
        <v>202209</v>
      </c>
      <c r="E183">
        <f t="shared" si="15"/>
        <v>3</v>
      </c>
      <c r="F183">
        <f t="shared" si="16"/>
        <v>202203</v>
      </c>
      <c r="G183" t="s">
        <v>370</v>
      </c>
      <c r="H183" s="9">
        <v>1.75</v>
      </c>
      <c r="I183" s="9">
        <v>1.6907000000000001</v>
      </c>
      <c r="J183" s="10">
        <v>2.4305786</v>
      </c>
      <c r="K183" s="10">
        <v>2.7879030999999999</v>
      </c>
      <c r="L183" s="10">
        <v>3.1884028999999998</v>
      </c>
      <c r="M183" s="10">
        <v>3.5509108</v>
      </c>
      <c r="N183" s="10">
        <v>3.8448908999999998</v>
      </c>
      <c r="O183" s="10">
        <v>4.0719368999999999</v>
      </c>
      <c r="P183" s="10">
        <v>4.2386464999999998</v>
      </c>
      <c r="Q183" s="10">
        <v>4.3558380000000003</v>
      </c>
      <c r="R183" s="10">
        <v>4.4337045000000002</v>
      </c>
      <c r="S183" s="10">
        <v>4.4803312999999996</v>
      </c>
      <c r="T183" s="10">
        <v>4.5019761999999997</v>
      </c>
      <c r="U183" s="10">
        <v>4.5037636000000001</v>
      </c>
      <c r="V183" s="10">
        <v>4.4898769999999999</v>
      </c>
      <c r="W183" s="10">
        <v>4.4627080000000001</v>
      </c>
      <c r="X183" s="10">
        <v>4.4242255999999998</v>
      </c>
      <c r="Y183" s="10">
        <v>4.3763984000000002</v>
      </c>
      <c r="Z183" s="10">
        <v>4.3211953999999997</v>
      </c>
      <c r="AA183" s="10">
        <v>4.2605854000000001</v>
      </c>
      <c r="AB183" s="10">
        <v>4.1963526</v>
      </c>
      <c r="AC183" s="10">
        <v>4.1295788</v>
      </c>
      <c r="AD183" s="10">
        <v>4.0611785999999999</v>
      </c>
      <c r="AE183" s="10">
        <v>3.9920667000000001</v>
      </c>
      <c r="AF183" s="10">
        <v>3.9231574</v>
      </c>
      <c r="AG183" s="10">
        <v>3.8553655</v>
      </c>
      <c r="AH183" s="10">
        <v>3.7894711000000001</v>
      </c>
      <c r="AI183" s="10">
        <v>3.7256605999999999</v>
      </c>
      <c r="AJ183" s="10">
        <v>3.6639569999999999</v>
      </c>
      <c r="AK183" s="10">
        <v>3.6043829999999999</v>
      </c>
      <c r="AL183" s="10">
        <v>3.5469613999999998</v>
      </c>
      <c r="AM183" s="10">
        <v>3.4917151</v>
      </c>
      <c r="AN183" s="10">
        <v>3.4386667000000002</v>
      </c>
      <c r="AO183" s="10">
        <v>3.3878390999999999</v>
      </c>
      <c r="AP183" s="10">
        <v>3.3392552000000002</v>
      </c>
      <c r="AQ183" s="10">
        <v>3.2929376000000001</v>
      </c>
      <c r="AR183" s="10">
        <v>3.2489093000000002</v>
      </c>
      <c r="AS183" s="10">
        <v>3.2071930000000002</v>
      </c>
      <c r="AT183" s="10">
        <v>3.1677925999999998</v>
      </c>
      <c r="AU183" s="10">
        <v>3.1306291000000002</v>
      </c>
      <c r="AV183" s="10">
        <v>3.0956001999999998</v>
      </c>
      <c r="AW183" s="10">
        <v>3.0626039</v>
      </c>
      <c r="AX183" s="10">
        <v>3.0315382</v>
      </c>
      <c r="AY183" s="10">
        <v>3.0023008</v>
      </c>
      <c r="AZ183" s="10">
        <v>2.9747897000000001</v>
      </c>
      <c r="BA183" s="10">
        <v>2.9489027999999999</v>
      </c>
      <c r="BB183" s="10">
        <v>2.9245378999999998</v>
      </c>
      <c r="BC183" s="10">
        <v>2.9015930999999999</v>
      </c>
      <c r="BD183" s="10">
        <v>2.8799660999999999</v>
      </c>
      <c r="BE183" s="10">
        <v>2.8595549</v>
      </c>
      <c r="BF183" s="10">
        <v>2.840265</v>
      </c>
      <c r="BG183" s="10">
        <v>2.8220436000000002</v>
      </c>
      <c r="BH183" s="10">
        <v>2.8048516000000001</v>
      </c>
      <c r="BI183" s="10">
        <v>2.7886500000000001</v>
      </c>
      <c r="BJ183" s="10">
        <v>2.7733998</v>
      </c>
      <c r="BK183" s="10">
        <v>2.7590618999999998</v>
      </c>
      <c r="BL183" s="10">
        <v>2.7455975000000001</v>
      </c>
      <c r="BM183" s="10">
        <v>2.7329674000000002</v>
      </c>
      <c r="BN183" s="10">
        <v>2.7211325999999998</v>
      </c>
      <c r="BO183" s="10">
        <v>2.7100542000000001</v>
      </c>
      <c r="BP183" s="10">
        <v>2.6996931000000002</v>
      </c>
      <c r="BQ183" s="10">
        <v>2.6900103</v>
      </c>
      <c r="BR183" s="10">
        <v>2.6447231000000002</v>
      </c>
      <c r="BS183" s="10">
        <v>2.6186221999999999</v>
      </c>
      <c r="BU183" s="7">
        <v>3.21</v>
      </c>
      <c r="BV183" s="7">
        <v>2.94</v>
      </c>
      <c r="BW183" s="9">
        <v>77.201300000000003</v>
      </c>
    </row>
    <row r="184" spans="1:75" x14ac:dyDescent="0.25">
      <c r="A184" s="6">
        <f t="shared" si="17"/>
        <v>44810</v>
      </c>
      <c r="B184" s="13">
        <f t="shared" si="12"/>
        <v>9</v>
      </c>
      <c r="C184" s="13">
        <f t="shared" si="13"/>
        <v>2022</v>
      </c>
      <c r="D184">
        <f t="shared" si="14"/>
        <v>202209</v>
      </c>
      <c r="E184">
        <f t="shared" si="15"/>
        <v>3</v>
      </c>
      <c r="F184">
        <f t="shared" si="16"/>
        <v>202203</v>
      </c>
      <c r="G184" t="s">
        <v>371</v>
      </c>
      <c r="H184" s="9">
        <v>1.75</v>
      </c>
      <c r="I184" s="9">
        <v>1.6913</v>
      </c>
      <c r="J184" s="10">
        <v>2.3854853</v>
      </c>
      <c r="K184" s="10">
        <v>2.7590265</v>
      </c>
      <c r="L184" s="10">
        <v>3.1727631000000001</v>
      </c>
      <c r="M184" s="10">
        <v>3.5446675999999999</v>
      </c>
      <c r="N184" s="10">
        <v>3.8451339</v>
      </c>
      <c r="O184" s="10">
        <v>4.0753424000000003</v>
      </c>
      <c r="P184" s="10">
        <v>4.2408881999999997</v>
      </c>
      <c r="Q184" s="10">
        <v>4.354635</v>
      </c>
      <c r="R184" s="10">
        <v>4.4276676000000004</v>
      </c>
      <c r="S184" s="10">
        <v>4.4702257000000003</v>
      </c>
      <c r="T184" s="10">
        <v>4.4889624000000001</v>
      </c>
      <c r="U184" s="10">
        <v>4.4891540000000001</v>
      </c>
      <c r="V184" s="10">
        <v>4.4749800999999998</v>
      </c>
      <c r="W184" s="10">
        <v>4.4487179000000001</v>
      </c>
      <c r="X184" s="10">
        <v>4.4122066000000002</v>
      </c>
      <c r="Y184" s="10">
        <v>4.3672851000000001</v>
      </c>
      <c r="Z184" s="10">
        <v>4.3157926</v>
      </c>
      <c r="AA184" s="10">
        <v>4.2595679999999998</v>
      </c>
      <c r="AB184" s="10">
        <v>4.2002749000000001</v>
      </c>
      <c r="AC184" s="10">
        <v>4.1389075999999996</v>
      </c>
      <c r="AD184" s="10">
        <v>4.0763014999999996</v>
      </c>
      <c r="AE184" s="10">
        <v>4.0132918999999996</v>
      </c>
      <c r="AF184" s="10">
        <v>3.9507140999999999</v>
      </c>
      <c r="AG184" s="10">
        <v>3.8894033000000001</v>
      </c>
      <c r="AH184" s="10">
        <v>3.8300687999999998</v>
      </c>
      <c r="AI184" s="10">
        <v>3.7728635000000001</v>
      </c>
      <c r="AJ184" s="10">
        <v>3.7177866000000002</v>
      </c>
      <c r="AK184" s="10">
        <v>3.6648375</v>
      </c>
      <c r="AL184" s="10">
        <v>3.6140154999999998</v>
      </c>
      <c r="AM184" s="10">
        <v>3.5653199</v>
      </c>
      <c r="AN184" s="10">
        <v>3.5187501000000001</v>
      </c>
      <c r="AO184" s="10">
        <v>3.4743051999999999</v>
      </c>
      <c r="AP184" s="10">
        <v>3.4319847000000001</v>
      </c>
      <c r="AQ184" s="10">
        <v>3.3917879000000002</v>
      </c>
      <c r="AR184" s="10">
        <v>3.3537140000000001</v>
      </c>
      <c r="AS184" s="10">
        <v>3.3177623999999999</v>
      </c>
      <c r="AT184" s="10">
        <v>3.2839201999999998</v>
      </c>
      <c r="AU184" s="10">
        <v>3.2521086000000001</v>
      </c>
      <c r="AV184" s="10">
        <v>3.2222267000000002</v>
      </c>
      <c r="AW184" s="10">
        <v>3.1941736000000001</v>
      </c>
      <c r="AX184" s="10">
        <v>3.1678484999999998</v>
      </c>
      <c r="AY184" s="10">
        <v>3.1431504000000001</v>
      </c>
      <c r="AZ184" s="10">
        <v>3.1199785000000002</v>
      </c>
      <c r="BA184" s="10">
        <v>3.0982319999999999</v>
      </c>
      <c r="BB184" s="10">
        <v>3.0778099000000001</v>
      </c>
      <c r="BC184" s="10">
        <v>3.0586112999999999</v>
      </c>
      <c r="BD184" s="10">
        <v>3.0405354</v>
      </c>
      <c r="BE184" s="10">
        <v>3.0234812999999998</v>
      </c>
      <c r="BF184" s="10">
        <v>3.0073571000000001</v>
      </c>
      <c r="BG184" s="10">
        <v>2.9921153999999999</v>
      </c>
      <c r="BH184" s="10">
        <v>2.9777220999999998</v>
      </c>
      <c r="BI184" s="10">
        <v>2.964143</v>
      </c>
      <c r="BJ184" s="10">
        <v>2.9513441</v>
      </c>
      <c r="BK184" s="10">
        <v>2.9392912999999998</v>
      </c>
      <c r="BL184" s="10">
        <v>2.9279505000000001</v>
      </c>
      <c r="BM184" s="10">
        <v>2.9172877000000002</v>
      </c>
      <c r="BN184" s="10">
        <v>2.9072688000000002</v>
      </c>
      <c r="BO184" s="10">
        <v>2.8978597000000001</v>
      </c>
      <c r="BP184" s="10">
        <v>2.8890262</v>
      </c>
      <c r="BQ184" s="10">
        <v>2.8807344000000001</v>
      </c>
      <c r="BR184" s="10">
        <v>2.841275</v>
      </c>
      <c r="BS184" s="10">
        <v>2.8177351000000002</v>
      </c>
      <c r="BU184" s="7">
        <v>3.2</v>
      </c>
      <c r="BV184" s="7">
        <v>3.09</v>
      </c>
      <c r="BW184" s="9">
        <v>77.467299999999994</v>
      </c>
    </row>
    <row r="185" spans="1:75" x14ac:dyDescent="0.25">
      <c r="A185" s="6">
        <f t="shared" si="17"/>
        <v>44811</v>
      </c>
      <c r="B185" s="13">
        <f t="shared" si="12"/>
        <v>9</v>
      </c>
      <c r="C185" s="13">
        <f t="shared" si="13"/>
        <v>2022</v>
      </c>
      <c r="D185">
        <f t="shared" si="14"/>
        <v>202209</v>
      </c>
      <c r="E185">
        <f t="shared" si="15"/>
        <v>3</v>
      </c>
      <c r="F185">
        <f t="shared" si="16"/>
        <v>202203</v>
      </c>
      <c r="G185" t="s">
        <v>372</v>
      </c>
      <c r="H185" s="9">
        <v>1.75</v>
      </c>
      <c r="I185" s="9">
        <v>1.6907000000000001</v>
      </c>
      <c r="J185" s="10">
        <v>2.3453788000000002</v>
      </c>
      <c r="K185" s="10">
        <v>2.7298868000000001</v>
      </c>
      <c r="L185" s="10">
        <v>3.1398975</v>
      </c>
      <c r="M185" s="10">
        <v>3.4925525999999998</v>
      </c>
      <c r="N185" s="10">
        <v>3.7644639999999998</v>
      </c>
      <c r="O185" s="10">
        <v>3.9670671</v>
      </c>
      <c r="P185" s="10">
        <v>4.1110432000000001</v>
      </c>
      <c r="Q185" s="10">
        <v>4.2097702999999997</v>
      </c>
      <c r="R185" s="10">
        <v>4.2736470000000004</v>
      </c>
      <c r="S185" s="10">
        <v>4.3109105000000003</v>
      </c>
      <c r="T185" s="10">
        <v>4.3270431</v>
      </c>
      <c r="U185" s="10">
        <v>4.3262486000000004</v>
      </c>
      <c r="V185" s="10">
        <v>4.3115845000000004</v>
      </c>
      <c r="W185" s="10">
        <v>4.2850856999999998</v>
      </c>
      <c r="X185" s="10">
        <v>4.2485809000000003</v>
      </c>
      <c r="Y185" s="10">
        <v>4.2038989000000004</v>
      </c>
      <c r="Z185" s="10">
        <v>4.1528682999999997</v>
      </c>
      <c r="AA185" s="10">
        <v>4.0973179000000002</v>
      </c>
      <c r="AB185" s="10">
        <v>4.0389151999999999</v>
      </c>
      <c r="AC185" s="10">
        <v>3.9787132000000001</v>
      </c>
      <c r="AD185" s="10">
        <v>3.9176191999999999</v>
      </c>
      <c r="AE185" s="10">
        <v>3.8565399</v>
      </c>
      <c r="AF185" s="10">
        <v>3.7963827000000001</v>
      </c>
      <c r="AG185" s="10">
        <v>3.7380542999999999</v>
      </c>
      <c r="AH185" s="10">
        <v>3.6823397</v>
      </c>
      <c r="AI185" s="10">
        <v>3.6293652999999999</v>
      </c>
      <c r="AJ185" s="10">
        <v>3.5790367000000001</v>
      </c>
      <c r="AK185" s="10">
        <v>3.5312595999999998</v>
      </c>
      <c r="AL185" s="10">
        <v>3.4859395000000002</v>
      </c>
      <c r="AM185" s="10">
        <v>3.4429818999999999</v>
      </c>
      <c r="AN185" s="10">
        <v>3.4022925000000002</v>
      </c>
      <c r="AO185" s="10">
        <v>3.3637768000000001</v>
      </c>
      <c r="AP185" s="10">
        <v>3.3273402999999999</v>
      </c>
      <c r="AQ185" s="10">
        <v>3.2928886999999998</v>
      </c>
      <c r="AR185" s="10">
        <v>3.2603274</v>
      </c>
      <c r="AS185" s="10">
        <v>3.2295620999999999</v>
      </c>
      <c r="AT185" s="10">
        <v>3.2004985000000001</v>
      </c>
      <c r="AU185" s="10">
        <v>3.1730439000000001</v>
      </c>
      <c r="AV185" s="10">
        <v>3.1471057</v>
      </c>
      <c r="AW185" s="10">
        <v>3.1225915</v>
      </c>
      <c r="AX185" s="10">
        <v>3.0994088999999998</v>
      </c>
      <c r="AY185" s="10">
        <v>3.0774653000000001</v>
      </c>
      <c r="AZ185" s="10">
        <v>3.0566684999999998</v>
      </c>
      <c r="BA185" s="10">
        <v>3.0369258000000001</v>
      </c>
      <c r="BB185" s="10">
        <v>3.0181448</v>
      </c>
      <c r="BC185" s="10">
        <v>3.0002331</v>
      </c>
      <c r="BD185" s="10">
        <v>2.9830983</v>
      </c>
      <c r="BE185" s="10">
        <v>2.9666478000000001</v>
      </c>
      <c r="BF185" s="10">
        <v>2.9508019999999999</v>
      </c>
      <c r="BG185" s="10">
        <v>2.9355375000000001</v>
      </c>
      <c r="BH185" s="10">
        <v>2.9208463999999998</v>
      </c>
      <c r="BI185" s="10">
        <v>2.9067210999999999</v>
      </c>
      <c r="BJ185" s="10">
        <v>2.8931534999999999</v>
      </c>
      <c r="BK185" s="10">
        <v>2.8801359</v>
      </c>
      <c r="BL185" s="10">
        <v>2.8676604999999999</v>
      </c>
      <c r="BM185" s="10">
        <v>2.8557193999999999</v>
      </c>
      <c r="BN185" s="10">
        <v>2.8443049</v>
      </c>
      <c r="BO185" s="10">
        <v>2.8334090000000001</v>
      </c>
      <c r="BP185" s="10">
        <v>2.8230238999999999</v>
      </c>
      <c r="BQ185" s="10">
        <v>2.8131419000000002</v>
      </c>
      <c r="BR185" s="10">
        <v>2.7641676999999998</v>
      </c>
      <c r="BS185" s="10">
        <v>2.7325002</v>
      </c>
      <c r="BU185" s="7">
        <v>3.01</v>
      </c>
      <c r="BV185" s="7">
        <v>3.01</v>
      </c>
      <c r="BW185" s="9">
        <v>76.956400000000002</v>
      </c>
    </row>
    <row r="186" spans="1:75" x14ac:dyDescent="0.25">
      <c r="A186" s="6">
        <f t="shared" si="17"/>
        <v>44812</v>
      </c>
      <c r="B186" s="13">
        <f t="shared" si="12"/>
        <v>9</v>
      </c>
      <c r="C186" s="13">
        <f t="shared" si="13"/>
        <v>2022</v>
      </c>
      <c r="D186">
        <f t="shared" si="14"/>
        <v>202209</v>
      </c>
      <c r="E186">
        <f t="shared" si="15"/>
        <v>3</v>
      </c>
      <c r="F186">
        <f t="shared" si="16"/>
        <v>202203</v>
      </c>
      <c r="G186" t="s">
        <v>373</v>
      </c>
      <c r="H186" s="9">
        <v>1.75</v>
      </c>
      <c r="I186" s="9">
        <v>1.6902999999999999</v>
      </c>
      <c r="J186" s="10">
        <v>2.3710040999999999</v>
      </c>
      <c r="K186" s="10">
        <v>2.7639244000000001</v>
      </c>
      <c r="L186" s="10">
        <v>3.1681797</v>
      </c>
      <c r="M186" s="10">
        <v>3.5130376000000001</v>
      </c>
      <c r="N186" s="10">
        <v>3.7796313000000001</v>
      </c>
      <c r="O186" s="10">
        <v>3.9781982</v>
      </c>
      <c r="P186" s="10">
        <v>4.1191585999999996</v>
      </c>
      <c r="Q186" s="10">
        <v>4.2154056999999998</v>
      </c>
      <c r="R186" s="10">
        <v>4.2781238000000004</v>
      </c>
      <c r="S186" s="10">
        <v>4.3151864</v>
      </c>
      <c r="T186" s="10">
        <v>4.332694</v>
      </c>
      <c r="U186" s="10">
        <v>4.3343780000000001</v>
      </c>
      <c r="V186" s="10">
        <v>4.3229134</v>
      </c>
      <c r="W186" s="10">
        <v>4.3001965000000002</v>
      </c>
      <c r="X186" s="10">
        <v>4.2679470000000004</v>
      </c>
      <c r="Y186" s="10">
        <v>4.2278846999999997</v>
      </c>
      <c r="Z186" s="10">
        <v>4.1817294</v>
      </c>
      <c r="AA186" s="10">
        <v>4.1312005999999997</v>
      </c>
      <c r="AB186" s="10">
        <v>4.0778666000000001</v>
      </c>
      <c r="AC186" s="10">
        <v>4.0227186000000001</v>
      </c>
      <c r="AD186" s="10">
        <v>3.9666106000000001</v>
      </c>
      <c r="AE186" s="10">
        <v>3.9103965999999999</v>
      </c>
      <c r="AF186" s="10">
        <v>3.8549305</v>
      </c>
      <c r="AG186" s="10">
        <v>3.8010660999999999</v>
      </c>
      <c r="AH186" s="10">
        <v>3.7495319</v>
      </c>
      <c r="AI186" s="10">
        <v>3.7004435999999998</v>
      </c>
      <c r="AJ186" s="10">
        <v>3.6537305</v>
      </c>
      <c r="AK186" s="10">
        <v>3.6093220000000001</v>
      </c>
      <c r="AL186" s="10">
        <v>3.5671474999999999</v>
      </c>
      <c r="AM186" s="10">
        <v>3.5271363</v>
      </c>
      <c r="AN186" s="10">
        <v>3.4892177000000002</v>
      </c>
      <c r="AO186" s="10">
        <v>3.4533211000000001</v>
      </c>
      <c r="AP186" s="10">
        <v>3.4193758000000001</v>
      </c>
      <c r="AQ186" s="10">
        <v>3.3873112000000001</v>
      </c>
      <c r="AR186" s="10">
        <v>3.3570565999999999</v>
      </c>
      <c r="AS186" s="10">
        <v>3.3285414000000002</v>
      </c>
      <c r="AT186" s="10">
        <v>3.3016920999999999</v>
      </c>
      <c r="AU186" s="10">
        <v>3.2764229999999999</v>
      </c>
      <c r="AV186" s="10">
        <v>3.2526451000000001</v>
      </c>
      <c r="AW186" s="10">
        <v>3.2302692999999998</v>
      </c>
      <c r="AX186" s="10">
        <v>3.2092065000000001</v>
      </c>
      <c r="AY186" s="10">
        <v>3.1893677</v>
      </c>
      <c r="AZ186" s="10">
        <v>3.1706637999999998</v>
      </c>
      <c r="BA186" s="10">
        <v>3.1530057</v>
      </c>
      <c r="BB186" s="10">
        <v>3.1363042999999999</v>
      </c>
      <c r="BC186" s="10">
        <v>3.1204706</v>
      </c>
      <c r="BD186" s="10">
        <v>3.1054156000000002</v>
      </c>
      <c r="BE186" s="10">
        <v>3.0910500000000001</v>
      </c>
      <c r="BF186" s="10">
        <v>3.0772965000000001</v>
      </c>
      <c r="BG186" s="10">
        <v>3.0641284</v>
      </c>
      <c r="BH186" s="10">
        <v>3.0515332000000002</v>
      </c>
      <c r="BI186" s="10">
        <v>3.0394983999999998</v>
      </c>
      <c r="BJ186" s="10">
        <v>3.0280114</v>
      </c>
      <c r="BK186" s="10">
        <v>3.0170596000000001</v>
      </c>
      <c r="BL186" s="10">
        <v>3.0066307000000001</v>
      </c>
      <c r="BM186" s="10">
        <v>2.9967119000000002</v>
      </c>
      <c r="BN186" s="10">
        <v>2.9872909000000001</v>
      </c>
      <c r="BO186" s="10">
        <v>2.9783550000000001</v>
      </c>
      <c r="BP186" s="10">
        <v>2.9698916999999998</v>
      </c>
      <c r="BQ186" s="10">
        <v>2.9618885000000001</v>
      </c>
      <c r="BR186" s="10">
        <v>2.9231061</v>
      </c>
      <c r="BS186" s="10">
        <v>2.8994070999999999</v>
      </c>
      <c r="BU186" s="7">
        <v>3.07</v>
      </c>
      <c r="BV186" s="7">
        <v>3.16</v>
      </c>
      <c r="BW186" s="9">
        <v>77.023600000000002</v>
      </c>
    </row>
    <row r="187" spans="1:75" x14ac:dyDescent="0.25">
      <c r="A187" s="6">
        <f t="shared" si="17"/>
        <v>44813</v>
      </c>
      <c r="B187" s="13">
        <f t="shared" si="12"/>
        <v>9</v>
      </c>
      <c r="C187" s="13">
        <f t="shared" si="13"/>
        <v>2022</v>
      </c>
      <c r="D187">
        <f t="shared" si="14"/>
        <v>202209</v>
      </c>
      <c r="E187">
        <f t="shared" si="15"/>
        <v>3</v>
      </c>
      <c r="F187">
        <f t="shared" si="16"/>
        <v>202203</v>
      </c>
      <c r="G187" t="s">
        <v>374</v>
      </c>
      <c r="H187" s="9">
        <v>1.75</v>
      </c>
      <c r="I187" s="9">
        <v>1.6919</v>
      </c>
      <c r="J187" s="10">
        <v>2.4108963000000001</v>
      </c>
      <c r="K187" s="10">
        <v>2.7875586999999999</v>
      </c>
      <c r="L187" s="10">
        <v>3.1900569999999999</v>
      </c>
      <c r="M187" s="10">
        <v>3.5380780000000001</v>
      </c>
      <c r="N187" s="10">
        <v>3.8063470000000001</v>
      </c>
      <c r="O187" s="10">
        <v>4.0022023000000004</v>
      </c>
      <c r="P187" s="10">
        <v>4.1369297999999999</v>
      </c>
      <c r="Q187" s="10">
        <v>4.2249550999999999</v>
      </c>
      <c r="R187" s="10">
        <v>4.2786857999999999</v>
      </c>
      <c r="S187" s="10">
        <v>4.3067738999999996</v>
      </c>
      <c r="T187" s="10">
        <v>4.3153832000000003</v>
      </c>
      <c r="U187" s="10">
        <v>4.3085544000000002</v>
      </c>
      <c r="V187" s="10">
        <v>4.2894183000000004</v>
      </c>
      <c r="W187" s="10">
        <v>4.2600110000000004</v>
      </c>
      <c r="X187" s="10">
        <v>4.2220553000000001</v>
      </c>
      <c r="Y187" s="10">
        <v>4.1772739999999997</v>
      </c>
      <c r="Z187" s="10">
        <v>4.1273895999999999</v>
      </c>
      <c r="AA187" s="10">
        <v>4.0741249000000002</v>
      </c>
      <c r="AB187" s="10">
        <v>4.0190517000000003</v>
      </c>
      <c r="AC187" s="10">
        <v>3.9630418000000001</v>
      </c>
      <c r="AD187" s="10">
        <v>3.9067642</v>
      </c>
      <c r="AE187" s="10">
        <v>3.8508876999999999</v>
      </c>
      <c r="AF187" s="10">
        <v>3.7960815000000001</v>
      </c>
      <c r="AG187" s="10">
        <v>3.7430143999999999</v>
      </c>
      <c r="AH187" s="10">
        <v>3.6922440000000001</v>
      </c>
      <c r="AI187" s="10">
        <v>3.6438370999999998</v>
      </c>
      <c r="AJ187" s="10">
        <v>3.5977244000000002</v>
      </c>
      <c r="AK187" s="10">
        <v>3.5538371999999998</v>
      </c>
      <c r="AL187" s="10">
        <v>3.5121063000000001</v>
      </c>
      <c r="AM187" s="10">
        <v>3.4724629</v>
      </c>
      <c r="AN187" s="10">
        <v>3.4348379000000002</v>
      </c>
      <c r="AO187" s="10">
        <v>3.3991623999999998</v>
      </c>
      <c r="AP187" s="10">
        <v>3.3653673</v>
      </c>
      <c r="AQ187" s="10">
        <v>3.3333837000000002</v>
      </c>
      <c r="AR187" s="10">
        <v>3.3031427</v>
      </c>
      <c r="AS187" s="10">
        <v>3.2745752000000001</v>
      </c>
      <c r="AT187" s="10">
        <v>3.2476102999999998</v>
      </c>
      <c r="AU187" s="10">
        <v>3.2221685999999998</v>
      </c>
      <c r="AV187" s="10">
        <v>3.1981682999999999</v>
      </c>
      <c r="AW187" s="10">
        <v>3.1755274999999998</v>
      </c>
      <c r="AX187" s="10">
        <v>3.1541646000000001</v>
      </c>
      <c r="AY187" s="10">
        <v>3.1339977000000001</v>
      </c>
      <c r="AZ187" s="10">
        <v>3.1149450999999999</v>
      </c>
      <c r="BA187" s="10">
        <v>3.0969248</v>
      </c>
      <c r="BB187" s="10">
        <v>3.0798553000000002</v>
      </c>
      <c r="BC187" s="10">
        <v>3.0636545000000002</v>
      </c>
      <c r="BD187" s="10">
        <v>3.0482409000000001</v>
      </c>
      <c r="BE187" s="10">
        <v>3.0335325000000002</v>
      </c>
      <c r="BF187" s="10">
        <v>3.0194578000000001</v>
      </c>
      <c r="BG187" s="10">
        <v>3.0059906000000001</v>
      </c>
      <c r="BH187" s="10">
        <v>2.9931169999999998</v>
      </c>
      <c r="BI187" s="10">
        <v>2.9808233</v>
      </c>
      <c r="BJ187" s="10">
        <v>2.9690957</v>
      </c>
      <c r="BK187" s="10">
        <v>2.9579203000000001</v>
      </c>
      <c r="BL187" s="10">
        <v>2.9472835000000002</v>
      </c>
      <c r="BM187" s="10">
        <v>2.9371713000000002</v>
      </c>
      <c r="BN187" s="10">
        <v>2.9275701000000001</v>
      </c>
      <c r="BO187" s="10">
        <v>2.9184659000000002</v>
      </c>
      <c r="BP187" s="10">
        <v>2.9098451000000001</v>
      </c>
      <c r="BQ187" s="10">
        <v>2.9016937999999999</v>
      </c>
      <c r="BR187" s="10">
        <v>2.8622532000000001</v>
      </c>
      <c r="BS187" s="10">
        <v>2.8385413000000002</v>
      </c>
      <c r="BU187" s="7">
        <v>3.06</v>
      </c>
      <c r="BV187" s="7">
        <v>3.1</v>
      </c>
      <c r="BW187" s="9">
        <v>77.168899999999994</v>
      </c>
    </row>
    <row r="188" spans="1:75" x14ac:dyDescent="0.25">
      <c r="A188" s="6">
        <f t="shared" si="17"/>
        <v>44816</v>
      </c>
      <c r="B188" s="13">
        <f t="shared" si="12"/>
        <v>9</v>
      </c>
      <c r="C188" s="13">
        <f t="shared" si="13"/>
        <v>2022</v>
      </c>
      <c r="D188">
        <f t="shared" si="14"/>
        <v>202209</v>
      </c>
      <c r="E188">
        <f t="shared" si="15"/>
        <v>3</v>
      </c>
      <c r="F188">
        <f t="shared" si="16"/>
        <v>202203</v>
      </c>
      <c r="G188" t="s">
        <v>375</v>
      </c>
      <c r="H188" s="9">
        <v>1.75</v>
      </c>
      <c r="I188" s="9">
        <v>1.6911</v>
      </c>
      <c r="J188" s="10">
        <v>2.4241438999999998</v>
      </c>
      <c r="K188" s="10">
        <v>2.8139017000000002</v>
      </c>
      <c r="L188" s="10">
        <v>3.2123365000000002</v>
      </c>
      <c r="M188" s="10">
        <v>3.5563313999999999</v>
      </c>
      <c r="N188" s="10">
        <v>3.8200604</v>
      </c>
      <c r="O188" s="10">
        <v>4.0103346000000002</v>
      </c>
      <c r="P188" s="10">
        <v>4.1389467</v>
      </c>
      <c r="Q188" s="10">
        <v>4.2208829999999997</v>
      </c>
      <c r="R188" s="10">
        <v>4.2690149999999996</v>
      </c>
      <c r="S188" s="10">
        <v>4.2924930000000003</v>
      </c>
      <c r="T188" s="10">
        <v>4.2977945999999996</v>
      </c>
      <c r="U188" s="10">
        <v>4.2896213999999997</v>
      </c>
      <c r="V188" s="10">
        <v>4.2714891000000001</v>
      </c>
      <c r="W188" s="10">
        <v>4.2450675999999996</v>
      </c>
      <c r="X188" s="10">
        <v>4.2115989000000003</v>
      </c>
      <c r="Y188" s="10">
        <v>4.1723252000000004</v>
      </c>
      <c r="Z188" s="10">
        <v>4.1284888000000004</v>
      </c>
      <c r="AA188" s="10">
        <v>4.0813318000000001</v>
      </c>
      <c r="AB188" s="10">
        <v>4.0319766000000001</v>
      </c>
      <c r="AC188" s="10">
        <v>3.9810894000000001</v>
      </c>
      <c r="AD188" s="10">
        <v>3.9292278</v>
      </c>
      <c r="AE188" s="10">
        <v>3.8769494999999998</v>
      </c>
      <c r="AF188" s="10">
        <v>3.8248120999999999</v>
      </c>
      <c r="AG188" s="10">
        <v>3.7733732999999998</v>
      </c>
      <c r="AH188" s="10">
        <v>3.7231117999999999</v>
      </c>
      <c r="AI188" s="10">
        <v>3.6741581000000001</v>
      </c>
      <c r="AJ188" s="10">
        <v>3.6265466000000002</v>
      </c>
      <c r="AK188" s="10">
        <v>3.5803117000000002</v>
      </c>
      <c r="AL188" s="10">
        <v>3.5354877999999998</v>
      </c>
      <c r="AM188" s="10">
        <v>3.4921093000000001</v>
      </c>
      <c r="AN188" s="10">
        <v>3.4502106000000001</v>
      </c>
      <c r="AO188" s="10">
        <v>3.4098259999999998</v>
      </c>
      <c r="AP188" s="10">
        <v>3.3709899000000001</v>
      </c>
      <c r="AQ188" s="10">
        <v>3.3337368000000001</v>
      </c>
      <c r="AR188" s="10">
        <v>3.2981009999999999</v>
      </c>
      <c r="AS188" s="10">
        <v>3.2641170000000002</v>
      </c>
      <c r="AT188" s="10">
        <v>3.2318045999999998</v>
      </c>
      <c r="AU188" s="10">
        <v>3.2011200999999998</v>
      </c>
      <c r="AV188" s="10">
        <v>3.1720022000000001</v>
      </c>
      <c r="AW188" s="10">
        <v>3.1443894999999999</v>
      </c>
      <c r="AX188" s="10">
        <v>3.1182205999999999</v>
      </c>
      <c r="AY188" s="10">
        <v>3.0934341999999999</v>
      </c>
      <c r="AZ188" s="10">
        <v>3.0699689000000001</v>
      </c>
      <c r="BA188" s="10">
        <v>3.0477634</v>
      </c>
      <c r="BB188" s="10">
        <v>3.0267564</v>
      </c>
      <c r="BC188" s="10">
        <v>3.0068863000000001</v>
      </c>
      <c r="BD188" s="10">
        <v>2.988092</v>
      </c>
      <c r="BE188" s="10">
        <v>2.9703121000000001</v>
      </c>
      <c r="BF188" s="10">
        <v>2.9534889999999998</v>
      </c>
      <c r="BG188" s="10">
        <v>2.937586</v>
      </c>
      <c r="BH188" s="10">
        <v>2.9225734999999999</v>
      </c>
      <c r="BI188" s="10">
        <v>2.9084216999999999</v>
      </c>
      <c r="BJ188" s="10">
        <v>2.8951007999999998</v>
      </c>
      <c r="BK188" s="10">
        <v>2.8825812000000002</v>
      </c>
      <c r="BL188" s="10">
        <v>2.8708331999999999</v>
      </c>
      <c r="BM188" s="10">
        <v>2.8598268999999998</v>
      </c>
      <c r="BN188" s="10">
        <v>2.8495325999999999</v>
      </c>
      <c r="BO188" s="10">
        <v>2.8399207</v>
      </c>
      <c r="BP188" s="10">
        <v>2.8309614000000001</v>
      </c>
      <c r="BQ188" s="10">
        <v>2.8226249999999999</v>
      </c>
      <c r="BR188" s="10">
        <v>2.7845659999999999</v>
      </c>
      <c r="BS188" s="10">
        <v>2.7647735</v>
      </c>
      <c r="BU188" s="7">
        <v>3.03</v>
      </c>
      <c r="BV188" s="7">
        <v>3.07</v>
      </c>
      <c r="BW188" s="9">
        <v>77.588700000000003</v>
      </c>
    </row>
    <row r="189" spans="1:75" x14ac:dyDescent="0.25">
      <c r="A189" s="6">
        <f t="shared" si="17"/>
        <v>44817</v>
      </c>
      <c r="B189" s="13">
        <f t="shared" si="12"/>
        <v>9</v>
      </c>
      <c r="C189" s="13">
        <f t="shared" si="13"/>
        <v>2022</v>
      </c>
      <c r="D189">
        <f t="shared" si="14"/>
        <v>202209</v>
      </c>
      <c r="E189">
        <f t="shared" si="15"/>
        <v>3</v>
      </c>
      <c r="F189">
        <f t="shared" si="16"/>
        <v>202203</v>
      </c>
      <c r="G189" t="s">
        <v>376</v>
      </c>
      <c r="H189" s="9">
        <v>1.75</v>
      </c>
      <c r="I189" s="9">
        <v>1.6911</v>
      </c>
      <c r="J189" s="10">
        <v>2.4529190000000001</v>
      </c>
      <c r="K189" s="10">
        <v>2.8758086999999999</v>
      </c>
      <c r="L189" s="10">
        <v>3.3074061000000001</v>
      </c>
      <c r="M189" s="10">
        <v>3.6785595999999998</v>
      </c>
      <c r="N189" s="10">
        <v>3.9601804999999999</v>
      </c>
      <c r="O189" s="10">
        <v>4.1606145000000003</v>
      </c>
      <c r="P189" s="10">
        <v>4.2938442999999999</v>
      </c>
      <c r="Q189" s="10">
        <v>4.3781464999999997</v>
      </c>
      <c r="R189" s="10">
        <v>4.4272714999999998</v>
      </c>
      <c r="S189" s="10">
        <v>4.4521305</v>
      </c>
      <c r="T189" s="10">
        <v>4.4593204999999996</v>
      </c>
      <c r="U189" s="10">
        <v>4.4533227000000002</v>
      </c>
      <c r="V189" s="10">
        <v>4.4370051999999998</v>
      </c>
      <c r="W189" s="10">
        <v>4.4118905000000002</v>
      </c>
      <c r="X189" s="10">
        <v>4.3792396</v>
      </c>
      <c r="Y189" s="10">
        <v>4.3403134999999997</v>
      </c>
      <c r="Z189" s="10">
        <v>4.296373</v>
      </c>
      <c r="AA189" s="10">
        <v>4.2486791999999998</v>
      </c>
      <c r="AB189" s="10">
        <v>4.1983816999999997</v>
      </c>
      <c r="AC189" s="10">
        <v>4.1462078</v>
      </c>
      <c r="AD189" s="10">
        <v>4.0927835000000004</v>
      </c>
      <c r="AE189" s="10">
        <v>4.0387354000000002</v>
      </c>
      <c r="AF189" s="10">
        <v>3.9846897000000001</v>
      </c>
      <c r="AG189" s="10">
        <v>3.9312727000000001</v>
      </c>
      <c r="AH189" s="10">
        <v>3.8790224000000002</v>
      </c>
      <c r="AI189" s="10">
        <v>3.8280862</v>
      </c>
      <c r="AJ189" s="10">
        <v>3.7785041000000001</v>
      </c>
      <c r="AK189" s="10">
        <v>3.7303158999999999</v>
      </c>
      <c r="AL189" s="10">
        <v>3.6835613999999999</v>
      </c>
      <c r="AM189" s="10">
        <v>3.6382805</v>
      </c>
      <c r="AN189" s="10">
        <v>3.5945130000000001</v>
      </c>
      <c r="AO189" s="10">
        <v>3.5522987000000001</v>
      </c>
      <c r="AP189" s="10">
        <v>3.5116774999999998</v>
      </c>
      <c r="AQ189" s="10">
        <v>3.4726892999999999</v>
      </c>
      <c r="AR189" s="10">
        <v>3.4353737999999998</v>
      </c>
      <c r="AS189" s="10">
        <v>3.3997709999999999</v>
      </c>
      <c r="AT189" s="10">
        <v>3.3659072000000001</v>
      </c>
      <c r="AU189" s="10">
        <v>3.3337365999999999</v>
      </c>
      <c r="AV189" s="10">
        <v>3.3031893000000001</v>
      </c>
      <c r="AW189" s="10">
        <v>3.2741951999999999</v>
      </c>
      <c r="AX189" s="10">
        <v>3.2466843000000001</v>
      </c>
      <c r="AY189" s="10">
        <v>3.2205865</v>
      </c>
      <c r="AZ189" s="10">
        <v>3.1958318999999999</v>
      </c>
      <c r="BA189" s="10">
        <v>3.1723503000000002</v>
      </c>
      <c r="BB189" s="10">
        <v>3.1500718999999999</v>
      </c>
      <c r="BC189" s="10">
        <v>3.1289264000000001</v>
      </c>
      <c r="BD189" s="10">
        <v>3.1088439999999999</v>
      </c>
      <c r="BE189" s="10">
        <v>3.0897546</v>
      </c>
      <c r="BF189" s="10">
        <v>3.0715938</v>
      </c>
      <c r="BG189" s="10">
        <v>3.054325</v>
      </c>
      <c r="BH189" s="10">
        <v>3.0379198999999999</v>
      </c>
      <c r="BI189" s="10">
        <v>3.0223502999999998</v>
      </c>
      <c r="BJ189" s="10">
        <v>3.0075880000000002</v>
      </c>
      <c r="BK189" s="10">
        <v>2.9936047000000001</v>
      </c>
      <c r="BL189" s="10">
        <v>2.9803722000000001</v>
      </c>
      <c r="BM189" s="10">
        <v>2.9678621999999999</v>
      </c>
      <c r="BN189" s="10">
        <v>2.9560464999999998</v>
      </c>
      <c r="BO189" s="10">
        <v>2.9448968</v>
      </c>
      <c r="BP189" s="10">
        <v>2.9343849999999998</v>
      </c>
      <c r="BQ189" s="10">
        <v>2.9244827999999998</v>
      </c>
      <c r="BR189" s="10">
        <v>2.8769014999999998</v>
      </c>
      <c r="BS189" s="10">
        <v>2.8478621</v>
      </c>
      <c r="BU189" s="7">
        <v>3.19</v>
      </c>
      <c r="BV189" s="7">
        <v>3.17</v>
      </c>
      <c r="BW189" s="9">
        <v>77.069599999999994</v>
      </c>
    </row>
    <row r="190" spans="1:75" x14ac:dyDescent="0.25">
      <c r="A190" s="6">
        <f t="shared" si="17"/>
        <v>44818</v>
      </c>
      <c r="B190" s="13">
        <f t="shared" si="12"/>
        <v>9</v>
      </c>
      <c r="C190" s="13">
        <f t="shared" si="13"/>
        <v>2022</v>
      </c>
      <c r="D190">
        <f t="shared" si="14"/>
        <v>202209</v>
      </c>
      <c r="E190">
        <f t="shared" si="15"/>
        <v>3</v>
      </c>
      <c r="F190">
        <f t="shared" si="16"/>
        <v>202203</v>
      </c>
      <c r="G190" t="s">
        <v>377</v>
      </c>
      <c r="H190" s="9">
        <v>1.75</v>
      </c>
      <c r="I190" s="9">
        <v>1.6914</v>
      </c>
      <c r="J190" s="10">
        <v>2.4626598</v>
      </c>
      <c r="K190" s="10">
        <v>2.8876393</v>
      </c>
      <c r="L190" s="10">
        <v>3.3135792999999998</v>
      </c>
      <c r="M190" s="10">
        <v>3.6777275</v>
      </c>
      <c r="N190" s="10">
        <v>3.9525926999999998</v>
      </c>
      <c r="O190" s="10">
        <v>4.1495667999999997</v>
      </c>
      <c r="P190" s="10">
        <v>4.2818655000000003</v>
      </c>
      <c r="Q190" s="10">
        <v>4.3662257000000002</v>
      </c>
      <c r="R190" s="10">
        <v>4.4159667000000002</v>
      </c>
      <c r="S190" s="10">
        <v>4.4411484000000003</v>
      </c>
      <c r="T190" s="10">
        <v>4.4481216000000003</v>
      </c>
      <c r="U190" s="10">
        <v>4.4411436999999996</v>
      </c>
      <c r="V190" s="10">
        <v>4.4228690999999998</v>
      </c>
      <c r="W190" s="10">
        <v>4.3949408999999999</v>
      </c>
      <c r="X190" s="10">
        <v>4.3588195000000001</v>
      </c>
      <c r="Y190" s="10">
        <v>4.3159653000000002</v>
      </c>
      <c r="Z190" s="10">
        <v>4.2678386000000001</v>
      </c>
      <c r="AA190" s="10">
        <v>4.2158996999999996</v>
      </c>
      <c r="AB190" s="10">
        <v>4.1614830999999999</v>
      </c>
      <c r="AC190" s="10">
        <v>4.1054440000000003</v>
      </c>
      <c r="AD190" s="10">
        <v>4.0485237999999999</v>
      </c>
      <c r="AE190" s="10">
        <v>3.9914635999999999</v>
      </c>
      <c r="AF190" s="10">
        <v>3.9350046999999999</v>
      </c>
      <c r="AG190" s="10">
        <v>3.8798884</v>
      </c>
      <c r="AH190" s="10">
        <v>3.8267587999999999</v>
      </c>
      <c r="AI190" s="10">
        <v>3.7757374000000001</v>
      </c>
      <c r="AJ190" s="10">
        <v>3.7267703000000001</v>
      </c>
      <c r="AK190" s="10">
        <v>3.6798036000000001</v>
      </c>
      <c r="AL190" s="10">
        <v>3.6347833999999999</v>
      </c>
      <c r="AM190" s="10">
        <v>3.5916557</v>
      </c>
      <c r="AN190" s="10">
        <v>3.5503665</v>
      </c>
      <c r="AO190" s="10">
        <v>3.5108619000000001</v>
      </c>
      <c r="AP190" s="10">
        <v>3.4730881</v>
      </c>
      <c r="AQ190" s="10">
        <v>3.4369909000000001</v>
      </c>
      <c r="AR190" s="10">
        <v>3.4025164999999999</v>
      </c>
      <c r="AS190" s="10">
        <v>3.3696109999999999</v>
      </c>
      <c r="AT190" s="10">
        <v>3.3382185</v>
      </c>
      <c r="AU190" s="10">
        <v>3.3082742999999999</v>
      </c>
      <c r="AV190" s="10">
        <v>3.2797106</v>
      </c>
      <c r="AW190" s="10">
        <v>3.2524601</v>
      </c>
      <c r="AX190" s="10">
        <v>3.2264550999999999</v>
      </c>
      <c r="AY190" s="10">
        <v>3.2016279999999999</v>
      </c>
      <c r="AZ190" s="10">
        <v>3.1779112999999999</v>
      </c>
      <c r="BA190" s="10">
        <v>3.1552375000000001</v>
      </c>
      <c r="BB190" s="10">
        <v>3.1335389</v>
      </c>
      <c r="BC190" s="10">
        <v>3.1127479</v>
      </c>
      <c r="BD190" s="10">
        <v>3.0927970999999999</v>
      </c>
      <c r="BE190" s="10">
        <v>3.0736188000000002</v>
      </c>
      <c r="BF190" s="10">
        <v>3.0551542</v>
      </c>
      <c r="BG190" s="10">
        <v>3.0373828</v>
      </c>
      <c r="BH190" s="10">
        <v>3.0202947</v>
      </c>
      <c r="BI190" s="10">
        <v>3.0038800000000001</v>
      </c>
      <c r="BJ190" s="10">
        <v>2.9881289</v>
      </c>
      <c r="BK190" s="10">
        <v>2.9730314999999998</v>
      </c>
      <c r="BL190" s="10">
        <v>2.9585780000000002</v>
      </c>
      <c r="BM190" s="10">
        <v>2.9447583000000002</v>
      </c>
      <c r="BN190" s="10">
        <v>2.9315627000000002</v>
      </c>
      <c r="BO190" s="10">
        <v>2.9189813</v>
      </c>
      <c r="BP190" s="10">
        <v>2.9070041999999998</v>
      </c>
      <c r="BQ190" s="10">
        <v>2.8956216000000001</v>
      </c>
      <c r="BR190" s="10">
        <v>2.8393182000000001</v>
      </c>
      <c r="BS190" s="10">
        <v>2.8023066000000001</v>
      </c>
      <c r="BU190" s="7">
        <v>3.16</v>
      </c>
      <c r="BV190" s="7">
        <v>3.14</v>
      </c>
      <c r="BW190" s="9">
        <v>77.413700000000006</v>
      </c>
    </row>
    <row r="191" spans="1:75" x14ac:dyDescent="0.25">
      <c r="A191" s="6">
        <f t="shared" si="17"/>
        <v>44819</v>
      </c>
      <c r="B191" s="13">
        <f t="shared" si="12"/>
        <v>9</v>
      </c>
      <c r="C191" s="13">
        <f t="shared" si="13"/>
        <v>2022</v>
      </c>
      <c r="D191">
        <f t="shared" si="14"/>
        <v>202209</v>
      </c>
      <c r="E191">
        <f t="shared" si="15"/>
        <v>3</v>
      </c>
      <c r="F191">
        <f t="shared" si="16"/>
        <v>202203</v>
      </c>
      <c r="G191" t="s">
        <v>378</v>
      </c>
      <c r="H191" s="9">
        <v>1.75</v>
      </c>
      <c r="I191" s="9">
        <v>1.6910000000000001</v>
      </c>
      <c r="J191" s="10">
        <v>2.4312315</v>
      </c>
      <c r="K191" s="10">
        <v>2.8690003000000002</v>
      </c>
      <c r="L191" s="10">
        <v>3.3087724000000001</v>
      </c>
      <c r="M191" s="10">
        <v>3.6914691999999998</v>
      </c>
      <c r="N191" s="10">
        <v>3.9859600999999998</v>
      </c>
      <c r="O191" s="10">
        <v>4.1984108999999998</v>
      </c>
      <c r="P191" s="10">
        <v>4.3408467000000002</v>
      </c>
      <c r="Q191" s="10">
        <v>4.4312217</v>
      </c>
      <c r="R191" s="10">
        <v>4.4860236000000002</v>
      </c>
      <c r="S191" s="10">
        <v>4.5160081999999999</v>
      </c>
      <c r="T191" s="10">
        <v>4.5282406000000002</v>
      </c>
      <c r="U191" s="10">
        <v>4.5264850000000001</v>
      </c>
      <c r="V191" s="10">
        <v>4.5130651000000004</v>
      </c>
      <c r="W191" s="10">
        <v>4.489528</v>
      </c>
      <c r="X191" s="10">
        <v>4.4572593999999999</v>
      </c>
      <c r="Y191" s="10">
        <v>4.4176447999999997</v>
      </c>
      <c r="Z191" s="10">
        <v>4.3720698000000002</v>
      </c>
      <c r="AA191" s="10">
        <v>4.3219200999999998</v>
      </c>
      <c r="AB191" s="10">
        <v>4.2684702000000003</v>
      </c>
      <c r="AC191" s="10">
        <v>4.2125724</v>
      </c>
      <c r="AD191" s="10">
        <v>4.1549782000000004</v>
      </c>
      <c r="AE191" s="10">
        <v>4.0964393000000001</v>
      </c>
      <c r="AF191" s="10">
        <v>4.0377071000000004</v>
      </c>
      <c r="AG191" s="10">
        <v>3.9795334000000002</v>
      </c>
      <c r="AH191" s="10">
        <v>3.9225745000000001</v>
      </c>
      <c r="AI191" s="10">
        <v>3.8670220999999998</v>
      </c>
      <c r="AJ191" s="10">
        <v>3.8129268999999999</v>
      </c>
      <c r="AK191" s="10">
        <v>3.7603392000000002</v>
      </c>
      <c r="AL191" s="10">
        <v>3.7093096999999999</v>
      </c>
      <c r="AM191" s="10">
        <v>3.6598887000000002</v>
      </c>
      <c r="AN191" s="10">
        <v>3.6121268999999998</v>
      </c>
      <c r="AO191" s="10">
        <v>3.5660745</v>
      </c>
      <c r="AP191" s="10">
        <v>3.5217822999999999</v>
      </c>
      <c r="AQ191" s="10">
        <v>3.4793006000000002</v>
      </c>
      <c r="AR191" s="10">
        <v>3.4386798999999999</v>
      </c>
      <c r="AS191" s="10">
        <v>3.3999706999999999</v>
      </c>
      <c r="AT191" s="10">
        <v>3.3632040999999999</v>
      </c>
      <c r="AU191" s="10">
        <v>3.3283252000000001</v>
      </c>
      <c r="AV191" s="10">
        <v>3.2952556</v>
      </c>
      <c r="AW191" s="10">
        <v>3.2639165999999999</v>
      </c>
      <c r="AX191" s="10">
        <v>3.2342297000000002</v>
      </c>
      <c r="AY191" s="10">
        <v>3.2061164999999998</v>
      </c>
      <c r="AZ191" s="10">
        <v>3.1794983000000001</v>
      </c>
      <c r="BA191" s="10">
        <v>3.1542967000000002</v>
      </c>
      <c r="BB191" s="10">
        <v>3.1304332000000001</v>
      </c>
      <c r="BC191" s="10">
        <v>3.1078291999999998</v>
      </c>
      <c r="BD191" s="10">
        <v>3.0864061</v>
      </c>
      <c r="BE191" s="10">
        <v>3.0660854999999998</v>
      </c>
      <c r="BF191" s="10">
        <v>3.0467949000000001</v>
      </c>
      <c r="BG191" s="10">
        <v>3.0284887999999999</v>
      </c>
      <c r="BH191" s="10">
        <v>3.0111290999999998</v>
      </c>
      <c r="BI191" s="10">
        <v>2.9946777</v>
      </c>
      <c r="BJ191" s="10">
        <v>2.9790964999999998</v>
      </c>
      <c r="BK191" s="10">
        <v>2.9643473</v>
      </c>
      <c r="BL191" s="10">
        <v>2.9503922</v>
      </c>
      <c r="BM191" s="10">
        <v>2.9371928999999999</v>
      </c>
      <c r="BN191" s="10">
        <v>2.9247112999999998</v>
      </c>
      <c r="BO191" s="10">
        <v>2.9129095</v>
      </c>
      <c r="BP191" s="10">
        <v>2.9017491</v>
      </c>
      <c r="BQ191" s="10">
        <v>2.8911923000000002</v>
      </c>
      <c r="BR191" s="10">
        <v>2.8394184999999998</v>
      </c>
      <c r="BS191" s="10">
        <v>2.8060073000000001</v>
      </c>
      <c r="BU191" s="7">
        <v>3.19</v>
      </c>
      <c r="BV191" s="7">
        <v>3.16</v>
      </c>
      <c r="BW191" s="9">
        <v>76.895799999999994</v>
      </c>
    </row>
    <row r="192" spans="1:75" x14ac:dyDescent="0.25">
      <c r="A192" s="6">
        <f t="shared" si="17"/>
        <v>44820</v>
      </c>
      <c r="B192" s="13">
        <f t="shared" si="12"/>
        <v>9</v>
      </c>
      <c r="C192" s="13">
        <f t="shared" si="13"/>
        <v>2022</v>
      </c>
      <c r="D192">
        <f t="shared" si="14"/>
        <v>202209</v>
      </c>
      <c r="E192">
        <f t="shared" si="15"/>
        <v>3</v>
      </c>
      <c r="F192">
        <f t="shared" si="16"/>
        <v>202203</v>
      </c>
      <c r="G192" t="s">
        <v>379</v>
      </c>
      <c r="H192" s="9">
        <v>1.75</v>
      </c>
      <c r="I192" s="9">
        <v>1.6906000000000001</v>
      </c>
      <c r="J192" s="10">
        <v>2.4153753999999998</v>
      </c>
      <c r="K192" s="10">
        <v>2.8617572</v>
      </c>
      <c r="L192" s="10">
        <v>3.2999782</v>
      </c>
      <c r="M192" s="10">
        <v>3.6750913000000001</v>
      </c>
      <c r="N192" s="10">
        <v>3.9644590000000002</v>
      </c>
      <c r="O192" s="10">
        <v>4.1779542000000003</v>
      </c>
      <c r="P192" s="10">
        <v>4.3280779999999996</v>
      </c>
      <c r="Q192" s="10">
        <v>4.4289629000000001</v>
      </c>
      <c r="R192" s="10">
        <v>4.4929733000000001</v>
      </c>
      <c r="S192" s="10">
        <v>4.5290157999999998</v>
      </c>
      <c r="T192" s="10">
        <v>4.5437620000000001</v>
      </c>
      <c r="U192" s="10">
        <v>4.5418023999999999</v>
      </c>
      <c r="V192" s="10">
        <v>4.5261792999999999</v>
      </c>
      <c r="W192" s="10">
        <v>4.4989613999999998</v>
      </c>
      <c r="X192" s="10">
        <v>4.4619949999999999</v>
      </c>
      <c r="Y192" s="10">
        <v>4.4171263999999999</v>
      </c>
      <c r="Z192" s="10">
        <v>4.3662017999999998</v>
      </c>
      <c r="AA192" s="10">
        <v>4.3110673999999998</v>
      </c>
      <c r="AB192" s="10">
        <v>4.2534067999999996</v>
      </c>
      <c r="AC192" s="10">
        <v>4.1941487000000004</v>
      </c>
      <c r="AD192" s="10">
        <v>4.1340029999999999</v>
      </c>
      <c r="AE192" s="10">
        <v>4.0736796999999996</v>
      </c>
      <c r="AF192" s="10">
        <v>4.0138888000000001</v>
      </c>
      <c r="AG192" s="10">
        <v>3.9553403</v>
      </c>
      <c r="AH192" s="10">
        <v>3.8986339000000001</v>
      </c>
      <c r="AI192" s="10">
        <v>3.8438832000000001</v>
      </c>
      <c r="AJ192" s="10">
        <v>3.7910674000000002</v>
      </c>
      <c r="AK192" s="10">
        <v>3.7401658000000002</v>
      </c>
      <c r="AL192" s="10">
        <v>3.6911577000000002</v>
      </c>
      <c r="AM192" s="10">
        <v>3.6440222000000002</v>
      </c>
      <c r="AN192" s="10">
        <v>3.5987388</v>
      </c>
      <c r="AO192" s="10">
        <v>3.5552866999999999</v>
      </c>
      <c r="AP192" s="10">
        <v>3.5136451000000002</v>
      </c>
      <c r="AQ192" s="10">
        <v>3.4737933000000001</v>
      </c>
      <c r="AR192" s="10">
        <v>3.4357106000000002</v>
      </c>
      <c r="AS192" s="10">
        <v>3.3993761999999998</v>
      </c>
      <c r="AT192" s="10">
        <v>3.3647616999999999</v>
      </c>
      <c r="AU192" s="10">
        <v>3.3318042000000001</v>
      </c>
      <c r="AV192" s="10">
        <v>3.3004313999999999</v>
      </c>
      <c r="AW192" s="10">
        <v>3.2705709000000001</v>
      </c>
      <c r="AX192" s="10">
        <v>3.2421503999999999</v>
      </c>
      <c r="AY192" s="10">
        <v>3.2150975000000002</v>
      </c>
      <c r="AZ192" s="10">
        <v>3.1893398999999998</v>
      </c>
      <c r="BA192" s="10">
        <v>3.1648052999999998</v>
      </c>
      <c r="BB192" s="10">
        <v>3.1414213000000002</v>
      </c>
      <c r="BC192" s="10">
        <v>3.1191157</v>
      </c>
      <c r="BD192" s="10">
        <v>3.0978159000000001</v>
      </c>
      <c r="BE192" s="10">
        <v>3.0774499</v>
      </c>
      <c r="BF192" s="10">
        <v>3.0579523000000002</v>
      </c>
      <c r="BG192" s="10">
        <v>3.0392902999999998</v>
      </c>
      <c r="BH192" s="10">
        <v>3.0214397000000002</v>
      </c>
      <c r="BI192" s="10">
        <v>3.0043763000000001</v>
      </c>
      <c r="BJ192" s="10">
        <v>2.988076</v>
      </c>
      <c r="BK192" s="10">
        <v>2.9725144999999999</v>
      </c>
      <c r="BL192" s="10">
        <v>2.9576677999999998</v>
      </c>
      <c r="BM192" s="10">
        <v>2.9435115999999999</v>
      </c>
      <c r="BN192" s="10">
        <v>2.9300218</v>
      </c>
      <c r="BO192" s="10">
        <v>2.9171743000000001</v>
      </c>
      <c r="BP192" s="10">
        <v>2.9049448</v>
      </c>
      <c r="BQ192" s="10">
        <v>2.8933092</v>
      </c>
      <c r="BR192" s="10">
        <v>2.8351503</v>
      </c>
      <c r="BS192" s="10">
        <v>2.7955315999999999</v>
      </c>
      <c r="BU192" s="7">
        <v>3.2</v>
      </c>
      <c r="BV192" s="7">
        <v>3.14</v>
      </c>
      <c r="BW192" s="9">
        <v>76.438999999999993</v>
      </c>
    </row>
    <row r="193" spans="1:75" x14ac:dyDescent="0.25">
      <c r="A193" s="6">
        <f t="shared" si="17"/>
        <v>44823</v>
      </c>
      <c r="B193" s="13">
        <f t="shared" si="12"/>
        <v>9</v>
      </c>
      <c r="C193" s="13">
        <f t="shared" si="13"/>
        <v>2022</v>
      </c>
      <c r="D193">
        <f t="shared" si="14"/>
        <v>202209</v>
      </c>
      <c r="E193">
        <f t="shared" si="15"/>
        <v>3</v>
      </c>
      <c r="F193">
        <f t="shared" si="16"/>
        <v>202203</v>
      </c>
      <c r="G193" t="s">
        <v>380</v>
      </c>
      <c r="H193" s="9">
        <v>1.75</v>
      </c>
      <c r="I193" s="9" t="e">
        <v>#N/A</v>
      </c>
      <c r="J193" s="10" t="e">
        <v>#N/A</v>
      </c>
      <c r="K193" s="10" t="e">
        <v>#N/A</v>
      </c>
      <c r="L193" s="10" t="e">
        <v>#N/A</v>
      </c>
      <c r="M193" s="10" t="e">
        <v>#N/A</v>
      </c>
      <c r="N193" s="10" t="e">
        <v>#N/A</v>
      </c>
      <c r="O193" s="10" t="e">
        <v>#N/A</v>
      </c>
      <c r="P193" s="10" t="e">
        <v>#N/A</v>
      </c>
      <c r="Q193" s="10" t="e">
        <v>#N/A</v>
      </c>
      <c r="R193" s="10" t="e">
        <v>#N/A</v>
      </c>
      <c r="S193" s="10" t="e">
        <v>#N/A</v>
      </c>
      <c r="T193" s="10" t="e">
        <v>#N/A</v>
      </c>
      <c r="U193" s="10" t="e">
        <v>#N/A</v>
      </c>
      <c r="V193" s="10" t="e">
        <v>#N/A</v>
      </c>
      <c r="W193" s="10" t="e">
        <v>#N/A</v>
      </c>
      <c r="X193" s="10" t="e">
        <v>#N/A</v>
      </c>
      <c r="Y193" s="10" t="e">
        <v>#N/A</v>
      </c>
      <c r="Z193" s="10" t="e">
        <v>#N/A</v>
      </c>
      <c r="AA193" s="10" t="e">
        <v>#N/A</v>
      </c>
      <c r="AB193" s="10" t="e">
        <v>#N/A</v>
      </c>
      <c r="AC193" s="10" t="e">
        <v>#N/A</v>
      </c>
      <c r="AD193" s="10" t="e">
        <v>#N/A</v>
      </c>
      <c r="AE193" s="10" t="e">
        <v>#N/A</v>
      </c>
      <c r="AF193" s="10" t="e">
        <v>#N/A</v>
      </c>
      <c r="AG193" s="10" t="e">
        <v>#N/A</v>
      </c>
      <c r="AH193" s="10" t="e">
        <v>#N/A</v>
      </c>
      <c r="AI193" s="10" t="e">
        <v>#N/A</v>
      </c>
      <c r="AJ193" s="10" t="e">
        <v>#N/A</v>
      </c>
      <c r="AK193" s="10" t="e">
        <v>#N/A</v>
      </c>
      <c r="AL193" s="10" t="e">
        <v>#N/A</v>
      </c>
      <c r="AM193" s="10" t="e">
        <v>#N/A</v>
      </c>
      <c r="AN193" s="10" t="e">
        <v>#N/A</v>
      </c>
      <c r="AO193" s="10" t="e">
        <v>#N/A</v>
      </c>
      <c r="AP193" s="10" t="e">
        <v>#N/A</v>
      </c>
      <c r="AQ193" s="10" t="e">
        <v>#N/A</v>
      </c>
      <c r="AR193" s="10" t="e">
        <v>#N/A</v>
      </c>
      <c r="AS193" s="10" t="e">
        <v>#N/A</v>
      </c>
      <c r="AT193" s="10" t="e">
        <v>#N/A</v>
      </c>
      <c r="AU193" s="10" t="e">
        <v>#N/A</v>
      </c>
      <c r="AV193" s="10" t="e">
        <v>#N/A</v>
      </c>
      <c r="AW193" s="10" t="e">
        <v>#N/A</v>
      </c>
      <c r="AX193" s="10" t="e">
        <v>#N/A</v>
      </c>
      <c r="AY193" s="10" t="e">
        <v>#N/A</v>
      </c>
      <c r="AZ193" s="10" t="e">
        <v>#N/A</v>
      </c>
      <c r="BA193" s="10" t="e">
        <v>#N/A</v>
      </c>
      <c r="BB193" s="10" t="e">
        <v>#N/A</v>
      </c>
      <c r="BC193" s="10" t="e">
        <v>#N/A</v>
      </c>
      <c r="BD193" s="10" t="e">
        <v>#N/A</v>
      </c>
      <c r="BE193" s="10" t="e">
        <v>#N/A</v>
      </c>
      <c r="BF193" s="10" t="e">
        <v>#N/A</v>
      </c>
      <c r="BG193" s="10" t="e">
        <v>#N/A</v>
      </c>
      <c r="BH193" s="10" t="e">
        <v>#N/A</v>
      </c>
      <c r="BI193" s="10" t="e">
        <v>#N/A</v>
      </c>
      <c r="BJ193" s="10" t="e">
        <v>#N/A</v>
      </c>
      <c r="BK193" s="10" t="e">
        <v>#N/A</v>
      </c>
      <c r="BL193" s="10" t="e">
        <v>#N/A</v>
      </c>
      <c r="BM193" s="10" t="e">
        <v>#N/A</v>
      </c>
      <c r="BN193" s="10" t="e">
        <v>#N/A</v>
      </c>
      <c r="BO193" s="10" t="e">
        <v>#N/A</v>
      </c>
      <c r="BP193" s="10" t="e">
        <v>#N/A</v>
      </c>
      <c r="BQ193" s="10" t="e">
        <v>#N/A</v>
      </c>
      <c r="BR193" s="10" t="e">
        <v>#N/A</v>
      </c>
      <c r="BS193" s="10" t="e">
        <v>#N/A</v>
      </c>
      <c r="BU193" s="7">
        <v>3.11</v>
      </c>
      <c r="BV193" s="7">
        <v>3.16</v>
      </c>
      <c r="BW193" s="9" t="e">
        <v>#N/A</v>
      </c>
    </row>
    <row r="194" spans="1:75" x14ac:dyDescent="0.25">
      <c r="A194" s="6">
        <f t="shared" si="17"/>
        <v>44824</v>
      </c>
      <c r="B194" s="13">
        <f t="shared" si="12"/>
        <v>9</v>
      </c>
      <c r="C194" s="13">
        <f t="shared" si="13"/>
        <v>2022</v>
      </c>
      <c r="D194">
        <f t="shared" si="14"/>
        <v>202209</v>
      </c>
      <c r="E194">
        <f t="shared" si="15"/>
        <v>3</v>
      </c>
      <c r="F194">
        <f t="shared" si="16"/>
        <v>202203</v>
      </c>
      <c r="G194" t="s">
        <v>381</v>
      </c>
      <c r="H194" s="9">
        <v>1.75</v>
      </c>
      <c r="I194" s="9">
        <v>1.6910000000000001</v>
      </c>
      <c r="J194" s="10">
        <v>2.4845554000000001</v>
      </c>
      <c r="K194" s="10">
        <v>2.9832903000000002</v>
      </c>
      <c r="L194" s="10">
        <v>3.4486857</v>
      </c>
      <c r="M194" s="10">
        <v>3.8418095000000001</v>
      </c>
      <c r="N194" s="10">
        <v>4.1487731999999999</v>
      </c>
      <c r="O194" s="10">
        <v>4.3787938999999998</v>
      </c>
      <c r="P194" s="10">
        <v>4.5421284000000002</v>
      </c>
      <c r="Q194" s="10">
        <v>4.6528761000000003</v>
      </c>
      <c r="R194" s="10">
        <v>4.7231528999999997</v>
      </c>
      <c r="S194" s="10">
        <v>4.7642503999999999</v>
      </c>
      <c r="T194" s="10">
        <v>4.7835692999999999</v>
      </c>
      <c r="U194" s="10">
        <v>4.7863708000000003</v>
      </c>
      <c r="V194" s="10">
        <v>4.7758887000000003</v>
      </c>
      <c r="W194" s="10">
        <v>4.7539708999999997</v>
      </c>
      <c r="X194" s="10">
        <v>4.7222229999999996</v>
      </c>
      <c r="Y194" s="10">
        <v>4.6822505999999997</v>
      </c>
      <c r="Z194" s="10">
        <v>4.6356590999999998</v>
      </c>
      <c r="AA194" s="10">
        <v>4.5840543</v>
      </c>
      <c r="AB194" s="10">
        <v>4.5289045999999997</v>
      </c>
      <c r="AC194" s="10">
        <v>4.4711569000000004</v>
      </c>
      <c r="AD194" s="10">
        <v>4.4116337999999997</v>
      </c>
      <c r="AE194" s="10">
        <v>4.3511579999999999</v>
      </c>
      <c r="AF194" s="10">
        <v>4.2905521000000002</v>
      </c>
      <c r="AG194" s="10">
        <v>4.2306388000000004</v>
      </c>
      <c r="AH194" s="10">
        <v>4.1721189000000001</v>
      </c>
      <c r="AI194" s="10">
        <v>4.1151559000000004</v>
      </c>
      <c r="AJ194" s="10">
        <v>4.0597649999999996</v>
      </c>
      <c r="AK194" s="10">
        <v>4.0059611999999998</v>
      </c>
      <c r="AL194" s="10">
        <v>3.9537596000000002</v>
      </c>
      <c r="AM194" s="10">
        <v>3.9031753999999999</v>
      </c>
      <c r="AN194" s="10">
        <v>3.8542238000000002</v>
      </c>
      <c r="AO194" s="10">
        <v>3.8069196999999999</v>
      </c>
      <c r="AP194" s="10">
        <v>3.7612782999999999</v>
      </c>
      <c r="AQ194" s="10">
        <v>3.7173148</v>
      </c>
      <c r="AR194" s="10">
        <v>3.6750441999999999</v>
      </c>
      <c r="AS194" s="10">
        <v>3.6344818000000001</v>
      </c>
      <c r="AT194" s="10">
        <v>3.5956321999999998</v>
      </c>
      <c r="AU194" s="10">
        <v>3.5584449999999999</v>
      </c>
      <c r="AV194" s="10">
        <v>3.5228510000000002</v>
      </c>
      <c r="AW194" s="10">
        <v>3.4887809000000001</v>
      </c>
      <c r="AX194" s="10">
        <v>3.4561657000000001</v>
      </c>
      <c r="AY194" s="10">
        <v>3.4249361</v>
      </c>
      <c r="AZ194" s="10">
        <v>3.3950228999999998</v>
      </c>
      <c r="BA194" s="10">
        <v>3.3663571000000001</v>
      </c>
      <c r="BB194" s="10">
        <v>3.3388694000000001</v>
      </c>
      <c r="BC194" s="10">
        <v>3.3124905999999998</v>
      </c>
      <c r="BD194" s="10">
        <v>3.2871516000000001</v>
      </c>
      <c r="BE194" s="10">
        <v>3.2627831999999999</v>
      </c>
      <c r="BF194" s="10">
        <v>3.2393239</v>
      </c>
      <c r="BG194" s="10">
        <v>3.2167493999999999</v>
      </c>
      <c r="BH194" s="10">
        <v>3.1950468999999999</v>
      </c>
      <c r="BI194" s="10">
        <v>3.1742035</v>
      </c>
      <c r="BJ194" s="10">
        <v>3.1542064000000001</v>
      </c>
      <c r="BK194" s="10">
        <v>3.1350427000000001</v>
      </c>
      <c r="BL194" s="10">
        <v>3.1166996</v>
      </c>
      <c r="BM194" s="10">
        <v>3.0991640999999999</v>
      </c>
      <c r="BN194" s="10">
        <v>3.0824234000000001</v>
      </c>
      <c r="BO194" s="10">
        <v>3.0664646000000002</v>
      </c>
      <c r="BP194" s="10">
        <v>3.051275</v>
      </c>
      <c r="BQ194" s="10">
        <v>3.0368415999999998</v>
      </c>
      <c r="BR194" s="10">
        <v>2.9653849000000001</v>
      </c>
      <c r="BS194" s="10">
        <v>2.9178115999999998</v>
      </c>
      <c r="BU194" s="7">
        <v>3.29</v>
      </c>
      <c r="BV194" s="7">
        <v>3.29</v>
      </c>
      <c r="BW194" s="9">
        <v>76.501800000000003</v>
      </c>
    </row>
    <row r="195" spans="1:75" x14ac:dyDescent="0.25">
      <c r="A195" s="6">
        <f t="shared" si="17"/>
        <v>44825</v>
      </c>
      <c r="B195" s="13">
        <f t="shared" si="12"/>
        <v>9</v>
      </c>
      <c r="C195" s="13">
        <f t="shared" si="13"/>
        <v>2022</v>
      </c>
      <c r="D195">
        <f t="shared" si="14"/>
        <v>202209</v>
      </c>
      <c r="E195">
        <f t="shared" si="15"/>
        <v>3</v>
      </c>
      <c r="F195">
        <f t="shared" si="16"/>
        <v>202203</v>
      </c>
      <c r="G195" t="s">
        <v>382</v>
      </c>
      <c r="H195" s="9">
        <v>1.75</v>
      </c>
      <c r="I195" s="9">
        <v>1.6902999999999999</v>
      </c>
      <c r="J195" s="10">
        <v>2.5123928000000002</v>
      </c>
      <c r="K195" s="10">
        <v>3.0032396000000001</v>
      </c>
      <c r="L195" s="10">
        <v>3.4590483999999999</v>
      </c>
      <c r="M195" s="10">
        <v>3.8513215000000001</v>
      </c>
      <c r="N195" s="10">
        <v>4.1649374000000003</v>
      </c>
      <c r="O195" s="10">
        <v>4.4073422999999998</v>
      </c>
      <c r="P195" s="10">
        <v>4.5862322999999998</v>
      </c>
      <c r="Q195" s="10">
        <v>4.7137694000000003</v>
      </c>
      <c r="R195" s="10">
        <v>4.8013671999999996</v>
      </c>
      <c r="S195" s="10">
        <v>4.8590453</v>
      </c>
      <c r="T195" s="10">
        <v>4.8936409999999997</v>
      </c>
      <c r="U195" s="10">
        <v>4.9099016999999998</v>
      </c>
      <c r="V195" s="10">
        <v>4.910482</v>
      </c>
      <c r="W195" s="10">
        <v>4.8972676999999996</v>
      </c>
      <c r="X195" s="10">
        <v>4.8720581999999997</v>
      </c>
      <c r="Y195" s="10">
        <v>4.8366528000000004</v>
      </c>
      <c r="Z195" s="10">
        <v>4.7928509999999998</v>
      </c>
      <c r="AA195" s="10">
        <v>4.7424523000000001</v>
      </c>
      <c r="AB195" s="10">
        <v>4.6871229000000003</v>
      </c>
      <c r="AC195" s="10">
        <v>4.6280222999999996</v>
      </c>
      <c r="AD195" s="10">
        <v>4.5661895000000001</v>
      </c>
      <c r="AE195" s="10">
        <v>4.5026633</v>
      </c>
      <c r="AF195" s="10">
        <v>4.4384826999999998</v>
      </c>
      <c r="AG195" s="10">
        <v>4.3746866999999998</v>
      </c>
      <c r="AH195" s="10">
        <v>4.3121898999999999</v>
      </c>
      <c r="AI195" s="10">
        <v>4.2512385000000004</v>
      </c>
      <c r="AJ195" s="10">
        <v>4.1918546000000001</v>
      </c>
      <c r="AK195" s="10">
        <v>4.1340599999999998</v>
      </c>
      <c r="AL195" s="10">
        <v>4.0778765999999997</v>
      </c>
      <c r="AM195" s="10">
        <v>4.0233261999999996</v>
      </c>
      <c r="AN195" s="10">
        <v>3.9704307999999999</v>
      </c>
      <c r="AO195" s="10">
        <v>3.9192122</v>
      </c>
      <c r="AP195" s="10">
        <v>3.8696921999999998</v>
      </c>
      <c r="AQ195" s="10">
        <v>3.8218928000000001</v>
      </c>
      <c r="AR195" s="10">
        <v>3.7758357999999999</v>
      </c>
      <c r="AS195" s="10">
        <v>3.7315431000000001</v>
      </c>
      <c r="AT195" s="10">
        <v>3.6890236000000001</v>
      </c>
      <c r="AU195" s="10">
        <v>3.6482241000000002</v>
      </c>
      <c r="AV195" s="10">
        <v>3.6090719</v>
      </c>
      <c r="AW195" s="10">
        <v>3.5714947000000001</v>
      </c>
      <c r="AX195" s="10">
        <v>3.5354198999999999</v>
      </c>
      <c r="AY195" s="10">
        <v>3.500775</v>
      </c>
      <c r="AZ195" s="10">
        <v>3.4674877</v>
      </c>
      <c r="BA195" s="10">
        <v>3.4354854000000001</v>
      </c>
      <c r="BB195" s="10">
        <v>3.4046956000000002</v>
      </c>
      <c r="BC195" s="10">
        <v>3.3750458999999999</v>
      </c>
      <c r="BD195" s="10">
        <v>3.3464638</v>
      </c>
      <c r="BE195" s="10">
        <v>3.3188768</v>
      </c>
      <c r="BF195" s="10">
        <v>3.2922208999999998</v>
      </c>
      <c r="BG195" s="10">
        <v>3.2664696000000002</v>
      </c>
      <c r="BH195" s="10">
        <v>3.2416067000000002</v>
      </c>
      <c r="BI195" s="10">
        <v>3.2176157999999999</v>
      </c>
      <c r="BJ195" s="10">
        <v>3.1944808</v>
      </c>
      <c r="BK195" s="10">
        <v>3.1721854999999999</v>
      </c>
      <c r="BL195" s="10">
        <v>3.1507136</v>
      </c>
      <c r="BM195" s="10">
        <v>3.1300488999999998</v>
      </c>
      <c r="BN195" s="10">
        <v>3.1101751000000002</v>
      </c>
      <c r="BO195" s="10">
        <v>3.0910761</v>
      </c>
      <c r="BP195" s="10">
        <v>3.0727356000000001</v>
      </c>
      <c r="BQ195" s="10">
        <v>3.0551373000000002</v>
      </c>
      <c r="BR195" s="10">
        <v>2.9645709</v>
      </c>
      <c r="BS195" s="10">
        <v>2.8987240000000001</v>
      </c>
      <c r="BU195" s="7">
        <v>3.46</v>
      </c>
      <c r="BV195" s="7">
        <v>3.31</v>
      </c>
      <c r="BW195" s="9">
        <v>76.481300000000005</v>
      </c>
    </row>
    <row r="196" spans="1:75" x14ac:dyDescent="0.25">
      <c r="A196" s="6">
        <f t="shared" si="17"/>
        <v>44826</v>
      </c>
      <c r="B196" s="13">
        <f t="shared" si="12"/>
        <v>9</v>
      </c>
      <c r="C196" s="13">
        <f t="shared" si="13"/>
        <v>2022</v>
      </c>
      <c r="D196">
        <f t="shared" si="14"/>
        <v>202209</v>
      </c>
      <c r="E196">
        <f t="shared" si="15"/>
        <v>3</v>
      </c>
      <c r="F196">
        <f t="shared" si="16"/>
        <v>202203</v>
      </c>
      <c r="G196" t="s">
        <v>383</v>
      </c>
      <c r="H196" s="9">
        <v>2.25</v>
      </c>
      <c r="I196" s="9">
        <v>2.1876000000000002</v>
      </c>
      <c r="J196" s="10">
        <v>2.3383378000000001</v>
      </c>
      <c r="K196" s="10">
        <v>2.8574991999999999</v>
      </c>
      <c r="L196" s="10">
        <v>3.3440894999999999</v>
      </c>
      <c r="M196" s="10">
        <v>3.7733750000000001</v>
      </c>
      <c r="N196" s="10">
        <v>4.1251860000000002</v>
      </c>
      <c r="O196" s="10">
        <v>4.3985630000000002</v>
      </c>
      <c r="P196" s="10">
        <v>4.5979239999999999</v>
      </c>
      <c r="Q196" s="10">
        <v>4.7376678999999999</v>
      </c>
      <c r="R196" s="10">
        <v>4.8352858999999997</v>
      </c>
      <c r="S196" s="10">
        <v>4.9032600999999998</v>
      </c>
      <c r="T196" s="10">
        <v>4.9497954999999996</v>
      </c>
      <c r="U196" s="10">
        <v>4.9789781</v>
      </c>
      <c r="V196" s="10">
        <v>4.9929353000000001</v>
      </c>
      <c r="W196" s="10">
        <v>4.9932473999999996</v>
      </c>
      <c r="X196" s="10">
        <v>4.9814157000000003</v>
      </c>
      <c r="Y196" s="10">
        <v>4.9589416999999996</v>
      </c>
      <c r="Z196" s="10">
        <v>4.9273267000000001</v>
      </c>
      <c r="AA196" s="10">
        <v>4.8880720999999996</v>
      </c>
      <c r="AB196" s="10">
        <v>4.8426119999999999</v>
      </c>
      <c r="AC196" s="10">
        <v>4.7921239</v>
      </c>
      <c r="AD196" s="10">
        <v>4.7377238999999998</v>
      </c>
      <c r="AE196" s="10">
        <v>4.6805287</v>
      </c>
      <c r="AF196" s="10">
        <v>4.6216543999999997</v>
      </c>
      <c r="AG196" s="10">
        <v>4.5622175</v>
      </c>
      <c r="AH196" s="10">
        <v>4.5031962999999999</v>
      </c>
      <c r="AI196" s="10">
        <v>4.4448961999999996</v>
      </c>
      <c r="AJ196" s="10">
        <v>4.3874177999999997</v>
      </c>
      <c r="AK196" s="10">
        <v>4.3308616000000004</v>
      </c>
      <c r="AL196" s="10">
        <v>4.2753284000000003</v>
      </c>
      <c r="AM196" s="10">
        <v>4.2209187000000004</v>
      </c>
      <c r="AN196" s="10">
        <v>4.1677330000000001</v>
      </c>
      <c r="AO196" s="10">
        <v>4.1158720000000004</v>
      </c>
      <c r="AP196" s="10">
        <v>4.0654363</v>
      </c>
      <c r="AQ196" s="10">
        <v>4.0165264000000001</v>
      </c>
      <c r="AR196" s="10">
        <v>3.9692428999999998</v>
      </c>
      <c r="AS196" s="10">
        <v>3.9236865000000001</v>
      </c>
      <c r="AT196" s="10">
        <v>3.8799318</v>
      </c>
      <c r="AU196" s="10">
        <v>3.8379398</v>
      </c>
      <c r="AV196" s="10">
        <v>3.7976397</v>
      </c>
      <c r="AW196" s="10">
        <v>3.7589608000000001</v>
      </c>
      <c r="AX196" s="10">
        <v>3.7218325999999999</v>
      </c>
      <c r="AY196" s="10">
        <v>3.6861842</v>
      </c>
      <c r="AZ196" s="10">
        <v>3.6519452000000001</v>
      </c>
      <c r="BA196" s="10">
        <v>3.6190446999999999</v>
      </c>
      <c r="BB196" s="10">
        <v>3.5874122000000002</v>
      </c>
      <c r="BC196" s="10">
        <v>3.5569769999999998</v>
      </c>
      <c r="BD196" s="10">
        <v>3.5276683000000002</v>
      </c>
      <c r="BE196" s="10">
        <v>3.4994155999999998</v>
      </c>
      <c r="BF196" s="10">
        <v>3.4721555999999998</v>
      </c>
      <c r="BG196" s="10">
        <v>3.4458574</v>
      </c>
      <c r="BH196" s="10">
        <v>3.4204992000000001</v>
      </c>
      <c r="BI196" s="10">
        <v>3.3960591999999998</v>
      </c>
      <c r="BJ196" s="10">
        <v>3.3725155</v>
      </c>
      <c r="BK196" s="10">
        <v>3.3498462999999998</v>
      </c>
      <c r="BL196" s="10">
        <v>3.3280297999999999</v>
      </c>
      <c r="BM196" s="10">
        <v>3.3070439999999999</v>
      </c>
      <c r="BN196" s="10">
        <v>3.2868672999999999</v>
      </c>
      <c r="BO196" s="10">
        <v>3.2674777000000002</v>
      </c>
      <c r="BP196" s="10">
        <v>3.2488535000000001</v>
      </c>
      <c r="BQ196" s="10">
        <v>3.2309727000000001</v>
      </c>
      <c r="BR196" s="10">
        <v>3.1385594999999999</v>
      </c>
      <c r="BS196" s="10">
        <v>3.0703303000000002</v>
      </c>
      <c r="BU196" s="7">
        <v>3.59</v>
      </c>
      <c r="BV196" s="7">
        <v>3.5</v>
      </c>
      <c r="BW196" s="9">
        <v>76.366799999999998</v>
      </c>
    </row>
    <row r="197" spans="1:75" x14ac:dyDescent="0.25">
      <c r="A197" s="6">
        <f t="shared" si="17"/>
        <v>44827</v>
      </c>
      <c r="B197" s="13">
        <f t="shared" si="12"/>
        <v>9</v>
      </c>
      <c r="C197" s="13">
        <f t="shared" si="13"/>
        <v>2022</v>
      </c>
      <c r="D197">
        <f t="shared" si="14"/>
        <v>202209</v>
      </c>
      <c r="E197">
        <f t="shared" si="15"/>
        <v>3</v>
      </c>
      <c r="F197">
        <f t="shared" si="16"/>
        <v>202203</v>
      </c>
      <c r="G197" t="s">
        <v>384</v>
      </c>
      <c r="H197" s="9">
        <v>2.25</v>
      </c>
      <c r="I197" s="9">
        <v>2.1884000000000001</v>
      </c>
      <c r="J197" s="10">
        <v>2.6932767000000002</v>
      </c>
      <c r="K197" s="10">
        <v>3.3747378000000001</v>
      </c>
      <c r="L197" s="10">
        <v>3.9864644</v>
      </c>
      <c r="M197" s="10">
        <v>4.4918003000000004</v>
      </c>
      <c r="N197" s="10">
        <v>4.8725668999999998</v>
      </c>
      <c r="O197" s="10">
        <v>5.1377185000000001</v>
      </c>
      <c r="P197" s="10">
        <v>5.3056273000000003</v>
      </c>
      <c r="Q197" s="10">
        <v>5.4058465</v>
      </c>
      <c r="R197" s="10">
        <v>5.4664311999999997</v>
      </c>
      <c r="S197" s="10">
        <v>5.506507</v>
      </c>
      <c r="T197" s="10">
        <v>5.5369023999999998</v>
      </c>
      <c r="U197" s="10">
        <v>5.5600971000000001</v>
      </c>
      <c r="V197" s="10">
        <v>5.5730538999999997</v>
      </c>
      <c r="W197" s="10">
        <v>5.5750172999999998</v>
      </c>
      <c r="X197" s="10">
        <v>5.5662687999999996</v>
      </c>
      <c r="Y197" s="10">
        <v>5.5470902000000004</v>
      </c>
      <c r="Z197" s="10">
        <v>5.5177630000000004</v>
      </c>
      <c r="AA197" s="10">
        <v>5.4785690999999996</v>
      </c>
      <c r="AB197" s="10">
        <v>5.4299692000000004</v>
      </c>
      <c r="AC197" s="10">
        <v>5.3732544000000004</v>
      </c>
      <c r="AD197" s="10">
        <v>5.3099563999999999</v>
      </c>
      <c r="AE197" s="10">
        <v>5.2416071000000004</v>
      </c>
      <c r="AF197" s="10">
        <v>5.1697382000000003</v>
      </c>
      <c r="AG197" s="10">
        <v>5.0958816000000002</v>
      </c>
      <c r="AH197" s="10">
        <v>5.0213863999999999</v>
      </c>
      <c r="AI197" s="10">
        <v>4.9467964000000002</v>
      </c>
      <c r="AJ197" s="10">
        <v>4.8724331000000003</v>
      </c>
      <c r="AK197" s="10">
        <v>4.7986179</v>
      </c>
      <c r="AL197" s="10">
        <v>4.7256722</v>
      </c>
      <c r="AM197" s="10">
        <v>4.6539174000000001</v>
      </c>
      <c r="AN197" s="10">
        <v>4.5836750000000004</v>
      </c>
      <c r="AO197" s="10">
        <v>4.5152663999999998</v>
      </c>
      <c r="AP197" s="10">
        <v>4.4490131000000002</v>
      </c>
      <c r="AQ197" s="10">
        <v>4.3852364000000001</v>
      </c>
      <c r="AR197" s="10">
        <v>4.3242579000000001</v>
      </c>
      <c r="AS197" s="10">
        <v>4.2663989000000004</v>
      </c>
      <c r="AT197" s="10">
        <v>4.2119004999999996</v>
      </c>
      <c r="AU197" s="10">
        <v>4.1606487000000003</v>
      </c>
      <c r="AV197" s="10">
        <v>4.1124315999999999</v>
      </c>
      <c r="AW197" s="10">
        <v>4.0670374000000002</v>
      </c>
      <c r="AX197" s="10">
        <v>4.0242541999999997</v>
      </c>
      <c r="AY197" s="10">
        <v>3.98387</v>
      </c>
      <c r="AZ197" s="10">
        <v>3.9456730000000002</v>
      </c>
      <c r="BA197" s="10">
        <v>3.9094513000000002</v>
      </c>
      <c r="BB197" s="10">
        <v>3.8749929999999999</v>
      </c>
      <c r="BC197" s="10">
        <v>3.8420863000000001</v>
      </c>
      <c r="BD197" s="10">
        <v>3.8105191</v>
      </c>
      <c r="BE197" s="10">
        <v>3.7800796999999999</v>
      </c>
      <c r="BF197" s="10">
        <v>3.7505812000000001</v>
      </c>
      <c r="BG197" s="10">
        <v>3.7219479</v>
      </c>
      <c r="BH197" s="10">
        <v>3.6941343</v>
      </c>
      <c r="BI197" s="10">
        <v>3.6670954</v>
      </c>
      <c r="BJ197" s="10">
        <v>3.6407859</v>
      </c>
      <c r="BK197" s="10">
        <v>3.6151604000000002</v>
      </c>
      <c r="BL197" s="10">
        <v>3.5901736999999998</v>
      </c>
      <c r="BM197" s="10">
        <v>3.5657806000000001</v>
      </c>
      <c r="BN197" s="10">
        <v>3.5419356999999998</v>
      </c>
      <c r="BO197" s="10">
        <v>3.5185940000000002</v>
      </c>
      <c r="BP197" s="10">
        <v>3.4957099999999999</v>
      </c>
      <c r="BQ197" s="10">
        <v>3.4732386000000002</v>
      </c>
      <c r="BR197" s="10">
        <v>3.3471974000000002</v>
      </c>
      <c r="BS197" s="10">
        <v>3.2407313000000002</v>
      </c>
      <c r="BU197" s="7">
        <v>3.91</v>
      </c>
      <c r="BV197" s="7">
        <v>3.81</v>
      </c>
      <c r="BW197" s="9">
        <v>74.405100000000004</v>
      </c>
    </row>
    <row r="198" spans="1:75" x14ac:dyDescent="0.25">
      <c r="A198" s="6">
        <f t="shared" si="17"/>
        <v>44830</v>
      </c>
      <c r="B198" s="13">
        <f t="shared" si="12"/>
        <v>9</v>
      </c>
      <c r="C198" s="13">
        <f t="shared" si="13"/>
        <v>2022</v>
      </c>
      <c r="D198">
        <f t="shared" si="14"/>
        <v>202209</v>
      </c>
      <c r="E198">
        <f t="shared" si="15"/>
        <v>3</v>
      </c>
      <c r="F198">
        <f t="shared" si="16"/>
        <v>202203</v>
      </c>
      <c r="G198" t="s">
        <v>385</v>
      </c>
      <c r="H198" s="9">
        <v>2.25</v>
      </c>
      <c r="I198" s="9">
        <v>2.1890000000000001</v>
      </c>
      <c r="J198" s="10">
        <v>2.8262418999999999</v>
      </c>
      <c r="K198" s="10">
        <v>3.7180040999999999</v>
      </c>
      <c r="L198" s="10">
        <v>4.4254043999999997</v>
      </c>
      <c r="M198" s="10">
        <v>4.9538190999999996</v>
      </c>
      <c r="N198" s="10">
        <v>5.3389483999999996</v>
      </c>
      <c r="O198" s="10">
        <v>5.6112839000000001</v>
      </c>
      <c r="P198" s="10">
        <v>5.7950331000000004</v>
      </c>
      <c r="Q198" s="10">
        <v>5.9169039999999997</v>
      </c>
      <c r="R198" s="10">
        <v>6.0000732000000001</v>
      </c>
      <c r="S198" s="10">
        <v>6.0594093000000004</v>
      </c>
      <c r="T198" s="10">
        <v>6.1027481999999997</v>
      </c>
      <c r="U198" s="10">
        <v>6.1334688999999996</v>
      </c>
      <c r="V198" s="10">
        <v>6.1523266000000003</v>
      </c>
      <c r="W198" s="10">
        <v>6.1596948999999999</v>
      </c>
      <c r="X198" s="10">
        <v>6.1560132000000003</v>
      </c>
      <c r="Y198" s="10">
        <v>6.1417206999999996</v>
      </c>
      <c r="Z198" s="10">
        <v>6.1172569000000001</v>
      </c>
      <c r="AA198" s="10">
        <v>6.0830609000000004</v>
      </c>
      <c r="AB198" s="10">
        <v>6.0397002999999998</v>
      </c>
      <c r="AC198" s="10">
        <v>5.9882308000000002</v>
      </c>
      <c r="AD198" s="10">
        <v>5.9298241999999997</v>
      </c>
      <c r="AE198" s="10">
        <v>5.8656522999999998</v>
      </c>
      <c r="AF198" s="10">
        <v>5.7968868999999996</v>
      </c>
      <c r="AG198" s="10">
        <v>5.7246999000000001</v>
      </c>
      <c r="AH198" s="10">
        <v>5.6501467999999999</v>
      </c>
      <c r="AI198" s="10">
        <v>5.5737703999999999</v>
      </c>
      <c r="AJ198" s="10">
        <v>5.4959718999999998</v>
      </c>
      <c r="AK198" s="10">
        <v>5.4171524</v>
      </c>
      <c r="AL198" s="10">
        <v>5.3377131999999996</v>
      </c>
      <c r="AM198" s="10">
        <v>5.2580553999999999</v>
      </c>
      <c r="AN198" s="10">
        <v>5.1785801999999999</v>
      </c>
      <c r="AO198" s="10">
        <v>5.0996889000000003</v>
      </c>
      <c r="AP198" s="10">
        <v>5.0217824999999996</v>
      </c>
      <c r="AQ198" s="10">
        <v>4.9452623000000004</v>
      </c>
      <c r="AR198" s="10">
        <v>4.8705295</v>
      </c>
      <c r="AS198" s="10">
        <v>4.7979852000000003</v>
      </c>
      <c r="AT198" s="10">
        <v>4.7279638000000004</v>
      </c>
      <c r="AU198" s="10">
        <v>4.6605043999999998</v>
      </c>
      <c r="AV198" s="10">
        <v>4.5955649000000003</v>
      </c>
      <c r="AW198" s="10">
        <v>4.5331029000000003</v>
      </c>
      <c r="AX198" s="10">
        <v>4.4730762000000004</v>
      </c>
      <c r="AY198" s="10">
        <v>4.4154426000000004</v>
      </c>
      <c r="AZ198" s="10">
        <v>4.3601597999999999</v>
      </c>
      <c r="BA198" s="10">
        <v>4.3071853999999998</v>
      </c>
      <c r="BB198" s="10">
        <v>4.2564773999999996</v>
      </c>
      <c r="BC198" s="10">
        <v>4.2079934000000003</v>
      </c>
      <c r="BD198" s="10">
        <v>4.1616910999999996</v>
      </c>
      <c r="BE198" s="10">
        <v>4.1175284000000003</v>
      </c>
      <c r="BF198" s="10">
        <v>4.0754603999999999</v>
      </c>
      <c r="BG198" s="10">
        <v>4.0354283000000004</v>
      </c>
      <c r="BH198" s="10">
        <v>3.997369</v>
      </c>
      <c r="BI198" s="10">
        <v>3.9612191000000001</v>
      </c>
      <c r="BJ198" s="10">
        <v>3.9269153000000001</v>
      </c>
      <c r="BK198" s="10">
        <v>3.8943943000000001</v>
      </c>
      <c r="BL198" s="10">
        <v>3.8635926999999999</v>
      </c>
      <c r="BM198" s="10">
        <v>3.8344472999999999</v>
      </c>
      <c r="BN198" s="10">
        <v>3.8068947999999998</v>
      </c>
      <c r="BO198" s="10">
        <v>3.7808717999999999</v>
      </c>
      <c r="BP198" s="10">
        <v>3.7563149999999998</v>
      </c>
      <c r="BQ198" s="10">
        <v>3.7331612000000001</v>
      </c>
      <c r="BR198" s="10">
        <v>3.620835</v>
      </c>
      <c r="BS198" s="10">
        <v>3.5472372000000001</v>
      </c>
      <c r="BU198" s="7">
        <v>4.49</v>
      </c>
      <c r="BV198" s="7">
        <v>4.24</v>
      </c>
      <c r="BW198" s="9">
        <v>73.991799999999998</v>
      </c>
    </row>
    <row r="199" spans="1:75" x14ac:dyDescent="0.25">
      <c r="A199" s="6">
        <f t="shared" si="17"/>
        <v>44831</v>
      </c>
      <c r="B199" s="13">
        <f t="shared" si="12"/>
        <v>9</v>
      </c>
      <c r="C199" s="13">
        <f t="shared" si="13"/>
        <v>2022</v>
      </c>
      <c r="D199">
        <f t="shared" si="14"/>
        <v>202209</v>
      </c>
      <c r="E199">
        <f t="shared" si="15"/>
        <v>3</v>
      </c>
      <c r="F199">
        <f t="shared" si="16"/>
        <v>202203</v>
      </c>
      <c r="G199" t="s">
        <v>386</v>
      </c>
      <c r="H199" s="9">
        <v>2.25</v>
      </c>
      <c r="I199" s="9">
        <v>2.1890000000000001</v>
      </c>
      <c r="J199" s="10">
        <v>2.8611434</v>
      </c>
      <c r="K199" s="10">
        <v>3.8979428</v>
      </c>
      <c r="L199" s="10">
        <v>4.6988386999999996</v>
      </c>
      <c r="M199" s="10">
        <v>5.2739187000000003</v>
      </c>
      <c r="N199" s="10">
        <v>5.6717313000000003</v>
      </c>
      <c r="O199" s="10">
        <v>5.9390587000000004</v>
      </c>
      <c r="P199" s="10">
        <v>6.1094321000000003</v>
      </c>
      <c r="Q199" s="10">
        <v>6.2155376999999996</v>
      </c>
      <c r="R199" s="10">
        <v>6.2817077000000001</v>
      </c>
      <c r="S199" s="10">
        <v>6.3257991999999996</v>
      </c>
      <c r="T199" s="10">
        <v>6.3569789999999999</v>
      </c>
      <c r="U199" s="10">
        <v>6.3790063000000004</v>
      </c>
      <c r="V199" s="10">
        <v>6.3904192000000002</v>
      </c>
      <c r="W199" s="10">
        <v>6.3909165000000003</v>
      </c>
      <c r="X199" s="10">
        <v>6.3808692999999996</v>
      </c>
      <c r="Y199" s="10">
        <v>6.3606484999999999</v>
      </c>
      <c r="Z199" s="10">
        <v>6.3306253000000003</v>
      </c>
      <c r="AA199" s="10">
        <v>6.2911707000000003</v>
      </c>
      <c r="AB199" s="10">
        <v>6.2428610000000004</v>
      </c>
      <c r="AC199" s="10">
        <v>6.1870538000000002</v>
      </c>
      <c r="AD199" s="10">
        <v>6.1252927000000001</v>
      </c>
      <c r="AE199" s="10">
        <v>6.0591214000000004</v>
      </c>
      <c r="AF199" s="10">
        <v>5.9900834999999999</v>
      </c>
      <c r="AG199" s="10">
        <v>5.9197226000000001</v>
      </c>
      <c r="AH199" s="10">
        <v>5.8493683000000001</v>
      </c>
      <c r="AI199" s="10">
        <v>5.7794062000000004</v>
      </c>
      <c r="AJ199" s="10">
        <v>5.7099611000000001</v>
      </c>
      <c r="AK199" s="10">
        <v>5.6411578999999996</v>
      </c>
      <c r="AL199" s="10">
        <v>5.5731215000000001</v>
      </c>
      <c r="AM199" s="10">
        <v>5.5059769000000003</v>
      </c>
      <c r="AN199" s="10">
        <v>5.4398488</v>
      </c>
      <c r="AO199" s="10">
        <v>5.3748623000000002</v>
      </c>
      <c r="AP199" s="10">
        <v>5.3111420999999996</v>
      </c>
      <c r="AQ199" s="10">
        <v>5.2488133000000001</v>
      </c>
      <c r="AR199" s="10">
        <v>5.1880005999999996</v>
      </c>
      <c r="AS199" s="10">
        <v>5.1288289999999996</v>
      </c>
      <c r="AT199" s="10">
        <v>5.0713993000000004</v>
      </c>
      <c r="AU199" s="10">
        <v>5.0156831000000004</v>
      </c>
      <c r="AV199" s="10">
        <v>4.9616084000000003</v>
      </c>
      <c r="AW199" s="10">
        <v>4.9091031999999997</v>
      </c>
      <c r="AX199" s="10">
        <v>4.8580956999999998</v>
      </c>
      <c r="AY199" s="10">
        <v>4.8085139000000003</v>
      </c>
      <c r="AZ199" s="10">
        <v>4.7602858000000001</v>
      </c>
      <c r="BA199" s="10">
        <v>4.7133395</v>
      </c>
      <c r="BB199" s="10">
        <v>4.6676031</v>
      </c>
      <c r="BC199" s="10">
        <v>4.6230045000000004</v>
      </c>
      <c r="BD199" s="10">
        <v>4.579472</v>
      </c>
      <c r="BE199" s="10">
        <v>4.5369335</v>
      </c>
      <c r="BF199" s="10">
        <v>4.4953291000000002</v>
      </c>
      <c r="BG199" s="10">
        <v>4.4546568999999998</v>
      </c>
      <c r="BH199" s="10">
        <v>4.4149327999999999</v>
      </c>
      <c r="BI199" s="10">
        <v>4.3761728</v>
      </c>
      <c r="BJ199" s="10">
        <v>4.3383928000000003</v>
      </c>
      <c r="BK199" s="10">
        <v>4.3016088000000003</v>
      </c>
      <c r="BL199" s="10">
        <v>4.2658366000000001</v>
      </c>
      <c r="BM199" s="10">
        <v>4.2310920999999997</v>
      </c>
      <c r="BN199" s="10">
        <v>4.1973912999999996</v>
      </c>
      <c r="BO199" s="10">
        <v>4.1647501</v>
      </c>
      <c r="BP199" s="10">
        <v>4.1331844000000002</v>
      </c>
      <c r="BQ199" s="10">
        <v>4.1027101000000004</v>
      </c>
      <c r="BR199" s="10">
        <v>3.9430763</v>
      </c>
      <c r="BS199" s="10">
        <v>3.823108</v>
      </c>
      <c r="BU199" s="7">
        <v>4.72</v>
      </c>
      <c r="BV199" s="7">
        <v>4.4800000000000004</v>
      </c>
      <c r="BW199" s="9">
        <v>74.022599999999997</v>
      </c>
    </row>
    <row r="200" spans="1:75" x14ac:dyDescent="0.25">
      <c r="A200" s="6">
        <f t="shared" si="17"/>
        <v>44832</v>
      </c>
      <c r="B200" s="13">
        <f t="shared" si="12"/>
        <v>9</v>
      </c>
      <c r="C200" s="13">
        <f t="shared" si="13"/>
        <v>2022</v>
      </c>
      <c r="D200">
        <f t="shared" si="14"/>
        <v>202209</v>
      </c>
      <c r="E200">
        <f t="shared" si="15"/>
        <v>3</v>
      </c>
      <c r="F200">
        <f t="shared" si="16"/>
        <v>202203</v>
      </c>
      <c r="G200" t="s">
        <v>387</v>
      </c>
      <c r="H200" s="9">
        <v>2.25</v>
      </c>
      <c r="I200" s="9">
        <v>2.1890999999999998</v>
      </c>
      <c r="J200" s="10">
        <v>2.9106782999999998</v>
      </c>
      <c r="K200" s="10">
        <v>3.8366736000000001</v>
      </c>
      <c r="L200" s="10">
        <v>4.5175888000000004</v>
      </c>
      <c r="M200" s="10">
        <v>5.0021632</v>
      </c>
      <c r="N200" s="10">
        <v>5.3415797999999999</v>
      </c>
      <c r="O200" s="10">
        <v>5.5720948999999997</v>
      </c>
      <c r="P200" s="10">
        <v>5.7145400000000004</v>
      </c>
      <c r="Q200" s="10">
        <v>5.7936421999999999</v>
      </c>
      <c r="R200" s="10">
        <v>5.8310300000000002</v>
      </c>
      <c r="S200" s="10">
        <v>5.8445220999999998</v>
      </c>
      <c r="T200" s="10">
        <v>5.8448631000000004</v>
      </c>
      <c r="U200" s="10">
        <v>5.8376299999999999</v>
      </c>
      <c r="V200" s="10">
        <v>5.8248705000000003</v>
      </c>
      <c r="W200" s="10">
        <v>5.8069021999999997</v>
      </c>
      <c r="X200" s="10">
        <v>5.7837766999999998</v>
      </c>
      <c r="Y200" s="10">
        <v>5.7555452999999996</v>
      </c>
      <c r="Z200" s="10">
        <v>5.7222594999999998</v>
      </c>
      <c r="AA200" s="10">
        <v>5.6839708</v>
      </c>
      <c r="AB200" s="10">
        <v>5.6408385000000001</v>
      </c>
      <c r="AC200" s="10">
        <v>5.5934334000000003</v>
      </c>
      <c r="AD200" s="10">
        <v>5.5424239999999996</v>
      </c>
      <c r="AE200" s="10">
        <v>5.4884789999999999</v>
      </c>
      <c r="AF200" s="10">
        <v>5.4322667999999998</v>
      </c>
      <c r="AG200" s="10">
        <v>5.3744560000000003</v>
      </c>
      <c r="AH200" s="10">
        <v>5.3156568000000002</v>
      </c>
      <c r="AI200" s="10">
        <v>5.2561643</v>
      </c>
      <c r="AJ200" s="10">
        <v>5.1961680000000001</v>
      </c>
      <c r="AK200" s="10">
        <v>5.1358575999999996</v>
      </c>
      <c r="AL200" s="10">
        <v>5.0754223999999999</v>
      </c>
      <c r="AM200" s="10">
        <v>5.0150522000000004</v>
      </c>
      <c r="AN200" s="10">
        <v>4.9549361999999997</v>
      </c>
      <c r="AO200" s="10">
        <v>4.8952641999999997</v>
      </c>
      <c r="AP200" s="10">
        <v>4.8362255999999997</v>
      </c>
      <c r="AQ200" s="10">
        <v>4.7780098999999998</v>
      </c>
      <c r="AR200" s="10">
        <v>4.7208066000000004</v>
      </c>
      <c r="AS200" s="10">
        <v>4.6648053000000003</v>
      </c>
      <c r="AT200" s="10">
        <v>4.6101666999999997</v>
      </c>
      <c r="AU200" s="10">
        <v>4.5569110000000004</v>
      </c>
      <c r="AV200" s="10">
        <v>4.5050156000000001</v>
      </c>
      <c r="AW200" s="10">
        <v>4.4544579999999998</v>
      </c>
      <c r="AX200" s="10">
        <v>4.4052157999999997</v>
      </c>
      <c r="AY200" s="10">
        <v>4.3572661999999998</v>
      </c>
      <c r="AZ200" s="10">
        <v>4.3105868999999997</v>
      </c>
      <c r="BA200" s="10">
        <v>4.2651553</v>
      </c>
      <c r="BB200" s="10">
        <v>4.2209488000000004</v>
      </c>
      <c r="BC200" s="10">
        <v>4.1779449</v>
      </c>
      <c r="BD200" s="10">
        <v>4.1361211000000004</v>
      </c>
      <c r="BE200" s="10">
        <v>4.0954547999999997</v>
      </c>
      <c r="BF200" s="10">
        <v>4.0559256000000001</v>
      </c>
      <c r="BG200" s="10">
        <v>4.0175225000000001</v>
      </c>
      <c r="BH200" s="10">
        <v>3.9802369999999998</v>
      </c>
      <c r="BI200" s="10">
        <v>3.9440605999999998</v>
      </c>
      <c r="BJ200" s="10">
        <v>3.9089849000000001</v>
      </c>
      <c r="BK200" s="10">
        <v>3.8750013999999999</v>
      </c>
      <c r="BL200" s="10">
        <v>3.8421015999999999</v>
      </c>
      <c r="BM200" s="10">
        <v>3.8102770000000001</v>
      </c>
      <c r="BN200" s="10">
        <v>3.7795192000000002</v>
      </c>
      <c r="BO200" s="10">
        <v>3.7498197000000002</v>
      </c>
      <c r="BP200" s="10">
        <v>3.7211701000000001</v>
      </c>
      <c r="BQ200" s="10">
        <v>3.6935619000000002</v>
      </c>
      <c r="BR200" s="10">
        <v>3.5492045000000001</v>
      </c>
      <c r="BS200" s="10">
        <v>3.4395812000000001</v>
      </c>
      <c r="BU200" s="7">
        <v>4.29</v>
      </c>
      <c r="BV200" s="7">
        <v>4.01</v>
      </c>
      <c r="BW200" s="9">
        <v>73.915599999999998</v>
      </c>
    </row>
    <row r="201" spans="1:75" x14ac:dyDescent="0.25">
      <c r="A201" s="6">
        <f t="shared" si="17"/>
        <v>44833</v>
      </c>
      <c r="B201" s="13">
        <f t="shared" ref="B201:B264" si="18">MONTH(A201)</f>
        <v>9</v>
      </c>
      <c r="C201" s="13">
        <f t="shared" ref="C201:C264" si="19">YEAR(A201)</f>
        <v>2022</v>
      </c>
      <c r="D201">
        <f t="shared" ref="D201:D264" si="20">C201*100+B201</f>
        <v>202209</v>
      </c>
      <c r="E201">
        <f t="shared" ref="E201:E264" si="21">IF(B201&lt;4,1,IF(B201&lt;7,2,IF(B201&lt;10,3,4)))</f>
        <v>3</v>
      </c>
      <c r="F201">
        <f t="shared" ref="F201:F264" si="22">C201*100+E201</f>
        <v>202203</v>
      </c>
      <c r="G201" t="s">
        <v>388</v>
      </c>
      <c r="H201" s="9">
        <v>2.25</v>
      </c>
      <c r="I201" s="9">
        <v>2.1890000000000001</v>
      </c>
      <c r="J201" s="10">
        <v>2.7583712</v>
      </c>
      <c r="K201" s="10">
        <v>3.7659010999999998</v>
      </c>
      <c r="L201" s="10">
        <v>4.4821838999999999</v>
      </c>
      <c r="M201" s="10">
        <v>4.9719204000000001</v>
      </c>
      <c r="N201" s="10">
        <v>5.3064058999999997</v>
      </c>
      <c r="O201" s="10">
        <v>5.5336300999999999</v>
      </c>
      <c r="P201" s="10">
        <v>5.6826182999999997</v>
      </c>
      <c r="Q201" s="10">
        <v>5.7764894</v>
      </c>
      <c r="R201" s="10">
        <v>5.8311377999999996</v>
      </c>
      <c r="S201" s="10">
        <v>5.85989</v>
      </c>
      <c r="T201" s="10">
        <v>5.8730843999999998</v>
      </c>
      <c r="U201" s="10">
        <v>5.8765906000000001</v>
      </c>
      <c r="V201" s="10">
        <v>5.8734352000000003</v>
      </c>
      <c r="W201" s="10">
        <v>5.8641509000000003</v>
      </c>
      <c r="X201" s="10">
        <v>5.8487247</v>
      </c>
      <c r="Y201" s="10">
        <v>5.8271436999999997</v>
      </c>
      <c r="Z201" s="10">
        <v>5.7993949999999996</v>
      </c>
      <c r="AA201" s="10">
        <v>5.7654658000000003</v>
      </c>
      <c r="AB201" s="10">
        <v>5.7254541000000003</v>
      </c>
      <c r="AC201" s="10">
        <v>5.6800883999999998</v>
      </c>
      <c r="AD201" s="10">
        <v>5.6303184000000002</v>
      </c>
      <c r="AE201" s="10">
        <v>5.5770941000000001</v>
      </c>
      <c r="AF201" s="10">
        <v>5.5213656000000002</v>
      </c>
      <c r="AG201" s="10">
        <v>5.4640827999999999</v>
      </c>
      <c r="AH201" s="10">
        <v>5.4060940999999998</v>
      </c>
      <c r="AI201" s="10">
        <v>5.3477515000000002</v>
      </c>
      <c r="AJ201" s="10">
        <v>5.2892561000000002</v>
      </c>
      <c r="AK201" s="10">
        <v>5.2308089999999998</v>
      </c>
      <c r="AL201" s="10">
        <v>5.1726112000000004</v>
      </c>
      <c r="AM201" s="10">
        <v>5.1148638999999996</v>
      </c>
      <c r="AN201" s="10">
        <v>5.0577681999999999</v>
      </c>
      <c r="AO201" s="10">
        <v>5.001525</v>
      </c>
      <c r="AP201" s="10">
        <v>4.9463355</v>
      </c>
      <c r="AQ201" s="10">
        <v>4.8924007999999999</v>
      </c>
      <c r="AR201" s="10">
        <v>4.8399219999999996</v>
      </c>
      <c r="AS201" s="10">
        <v>4.7891000999999997</v>
      </c>
      <c r="AT201" s="10">
        <v>4.7400960999999997</v>
      </c>
      <c r="AU201" s="10">
        <v>4.6928938000000002</v>
      </c>
      <c r="AV201" s="10">
        <v>4.6474283999999999</v>
      </c>
      <c r="AW201" s="10">
        <v>4.6036346999999997</v>
      </c>
      <c r="AX201" s="10">
        <v>4.5614477999999998</v>
      </c>
      <c r="AY201" s="10">
        <v>4.5208028000000002</v>
      </c>
      <c r="AZ201" s="10">
        <v>4.4816345000000002</v>
      </c>
      <c r="BA201" s="10">
        <v>4.4438781000000001</v>
      </c>
      <c r="BB201" s="10">
        <v>4.4074685999999996</v>
      </c>
      <c r="BC201" s="10">
        <v>4.3723409000000002</v>
      </c>
      <c r="BD201" s="10">
        <v>4.3384301000000001</v>
      </c>
      <c r="BE201" s="10">
        <v>4.3056711999999999</v>
      </c>
      <c r="BF201" s="10">
        <v>4.2740052999999998</v>
      </c>
      <c r="BG201" s="10">
        <v>4.2434010000000004</v>
      </c>
      <c r="BH201" s="10">
        <v>4.2138340000000003</v>
      </c>
      <c r="BI201" s="10">
        <v>4.1852805000000002</v>
      </c>
      <c r="BJ201" s="10">
        <v>4.1577164</v>
      </c>
      <c r="BK201" s="10">
        <v>4.1311175999999996</v>
      </c>
      <c r="BL201" s="10">
        <v>4.1054599999999999</v>
      </c>
      <c r="BM201" s="10">
        <v>4.0807197000000004</v>
      </c>
      <c r="BN201" s="10">
        <v>4.0568724999999999</v>
      </c>
      <c r="BO201" s="10">
        <v>4.0338944999999997</v>
      </c>
      <c r="BP201" s="10">
        <v>4.0117615999999998</v>
      </c>
      <c r="BQ201" s="10">
        <v>3.9904495999999998</v>
      </c>
      <c r="BR201" s="10">
        <v>3.8789284999999998</v>
      </c>
      <c r="BS201" s="10">
        <v>3.7936670000000001</v>
      </c>
      <c r="BU201" s="7">
        <v>4.3499999999999996</v>
      </c>
      <c r="BV201" s="7">
        <v>4.21</v>
      </c>
      <c r="BW201" s="9">
        <v>75.3309</v>
      </c>
    </row>
    <row r="202" spans="1:75" x14ac:dyDescent="0.25">
      <c r="A202" s="6">
        <f t="shared" si="17"/>
        <v>44834</v>
      </c>
      <c r="B202" s="13">
        <f t="shared" si="18"/>
        <v>9</v>
      </c>
      <c r="C202" s="13">
        <f t="shared" si="19"/>
        <v>2022</v>
      </c>
      <c r="D202">
        <f t="shared" si="20"/>
        <v>202209</v>
      </c>
      <c r="E202">
        <f t="shared" si="21"/>
        <v>3</v>
      </c>
      <c r="F202">
        <f t="shared" si="22"/>
        <v>202203</v>
      </c>
      <c r="G202" t="s">
        <v>389</v>
      </c>
      <c r="H202" s="9">
        <v>2.25</v>
      </c>
      <c r="I202" s="9">
        <v>2.1901000000000002</v>
      </c>
      <c r="J202" s="10">
        <v>2.6910517999999999</v>
      </c>
      <c r="K202" s="10">
        <v>3.6736920999999998</v>
      </c>
      <c r="L202" s="10">
        <v>4.4164265</v>
      </c>
      <c r="M202" s="10">
        <v>4.9471791999999999</v>
      </c>
      <c r="N202" s="10">
        <v>5.3043648000000001</v>
      </c>
      <c r="O202" s="10">
        <v>5.5308589000000001</v>
      </c>
      <c r="P202" s="10">
        <v>5.6671617999999997</v>
      </c>
      <c r="Q202" s="10">
        <v>5.7434153999999999</v>
      </c>
      <c r="R202" s="10">
        <v>5.7832100999999998</v>
      </c>
      <c r="S202" s="10">
        <v>5.8042087999999996</v>
      </c>
      <c r="T202" s="10">
        <v>5.8168847000000001</v>
      </c>
      <c r="U202" s="10">
        <v>5.8254408</v>
      </c>
      <c r="V202" s="10">
        <v>5.8283277</v>
      </c>
      <c r="W202" s="10">
        <v>5.8249651</v>
      </c>
      <c r="X202" s="10">
        <v>5.8154892</v>
      </c>
      <c r="Y202" s="10">
        <v>5.8000360999999998</v>
      </c>
      <c r="Z202" s="10">
        <v>5.7787420000000003</v>
      </c>
      <c r="AA202" s="10">
        <v>5.7517430999999997</v>
      </c>
      <c r="AB202" s="10">
        <v>5.7192664000000004</v>
      </c>
      <c r="AC202" s="10">
        <v>5.6820038999999998</v>
      </c>
      <c r="AD202" s="10">
        <v>5.6407961999999996</v>
      </c>
      <c r="AE202" s="10">
        <v>5.5964840999999996</v>
      </c>
      <c r="AF202" s="10">
        <v>5.5499080000000003</v>
      </c>
      <c r="AG202" s="10">
        <v>5.5019087999999998</v>
      </c>
      <c r="AH202" s="10">
        <v>5.4532179000000003</v>
      </c>
      <c r="AI202" s="10">
        <v>5.4040847000000003</v>
      </c>
      <c r="AJ202" s="10">
        <v>5.3546258</v>
      </c>
      <c r="AK202" s="10">
        <v>5.3049577000000001</v>
      </c>
      <c r="AL202" s="10">
        <v>5.2551969999999999</v>
      </c>
      <c r="AM202" s="10">
        <v>5.2054600000000004</v>
      </c>
      <c r="AN202" s="10">
        <v>5.1558634000000003</v>
      </c>
      <c r="AO202" s="10">
        <v>5.1065234999999998</v>
      </c>
      <c r="AP202" s="10">
        <v>5.0575571000000004</v>
      </c>
      <c r="AQ202" s="10">
        <v>5.0090804000000002</v>
      </c>
      <c r="AR202" s="10">
        <v>4.9612100999999997</v>
      </c>
      <c r="AS202" s="10">
        <v>4.9140626999999997</v>
      </c>
      <c r="AT202" s="10">
        <v>4.8677358999999996</v>
      </c>
      <c r="AU202" s="10">
        <v>4.8222443999999998</v>
      </c>
      <c r="AV202" s="10">
        <v>4.7775800999999998</v>
      </c>
      <c r="AW202" s="10">
        <v>4.7337349</v>
      </c>
      <c r="AX202" s="10">
        <v>4.6907006000000004</v>
      </c>
      <c r="AY202" s="10">
        <v>4.6484692000000001</v>
      </c>
      <c r="AZ202" s="10">
        <v>4.6070324999999999</v>
      </c>
      <c r="BA202" s="10">
        <v>4.5663822999999999</v>
      </c>
      <c r="BB202" s="10">
        <v>4.5265105999999999</v>
      </c>
      <c r="BC202" s="10">
        <v>4.4874092000000001</v>
      </c>
      <c r="BD202" s="10">
        <v>4.4490699999999999</v>
      </c>
      <c r="BE202" s="10">
        <v>4.4114848000000002</v>
      </c>
      <c r="BF202" s="10">
        <v>4.3746486999999998</v>
      </c>
      <c r="BG202" s="10">
        <v>4.3385705000000003</v>
      </c>
      <c r="BH202" s="10">
        <v>4.3032627000000003</v>
      </c>
      <c r="BI202" s="10">
        <v>4.2687379999999999</v>
      </c>
      <c r="BJ202" s="10">
        <v>4.2350089000000004</v>
      </c>
      <c r="BK202" s="10">
        <v>4.2020881000000001</v>
      </c>
      <c r="BL202" s="10">
        <v>4.1699881999999997</v>
      </c>
      <c r="BM202" s="10">
        <v>4.1387216999999996</v>
      </c>
      <c r="BN202" s="10">
        <v>4.1083012999999999</v>
      </c>
      <c r="BO202" s="10">
        <v>4.0787396999999999</v>
      </c>
      <c r="BP202" s="10">
        <v>4.0500492000000001</v>
      </c>
      <c r="BQ202" s="10">
        <v>4.0222426999999996</v>
      </c>
      <c r="BR202" s="10">
        <v>3.8740983999999998</v>
      </c>
      <c r="BS202" s="10">
        <v>3.7574768000000001</v>
      </c>
      <c r="BU202" s="7">
        <v>4.29</v>
      </c>
      <c r="BV202" s="7">
        <v>4.08</v>
      </c>
      <c r="BW202" s="9">
        <v>75.981499999999997</v>
      </c>
    </row>
    <row r="203" spans="1:75" x14ac:dyDescent="0.25">
      <c r="A203" s="6">
        <f t="shared" si="17"/>
        <v>44837</v>
      </c>
      <c r="B203" s="13">
        <f t="shared" si="18"/>
        <v>10</v>
      </c>
      <c r="C203" s="13">
        <f t="shared" si="19"/>
        <v>2022</v>
      </c>
      <c r="D203">
        <f t="shared" si="20"/>
        <v>202210</v>
      </c>
      <c r="E203">
        <f t="shared" si="21"/>
        <v>4</v>
      </c>
      <c r="F203">
        <f t="shared" si="22"/>
        <v>202204</v>
      </c>
      <c r="G203" t="s">
        <v>390</v>
      </c>
      <c r="H203" s="9">
        <v>2.25</v>
      </c>
      <c r="I203" s="9">
        <v>2.1880000000000002</v>
      </c>
      <c r="J203" s="10">
        <v>2.6720747</v>
      </c>
      <c r="K203" s="10">
        <v>3.5734020000000002</v>
      </c>
      <c r="L203" s="10">
        <v>4.2401581999999998</v>
      </c>
      <c r="M203" s="10">
        <v>4.7143721999999997</v>
      </c>
      <c r="N203" s="10">
        <v>5.0524633999999997</v>
      </c>
      <c r="O203" s="10">
        <v>5.2820546000000004</v>
      </c>
      <c r="P203" s="10">
        <v>5.4255133999999998</v>
      </c>
      <c r="Q203" s="10">
        <v>5.5061795</v>
      </c>
      <c r="R203" s="10">
        <v>5.5451088000000004</v>
      </c>
      <c r="S203" s="10">
        <v>5.560346</v>
      </c>
      <c r="T203" s="10">
        <v>5.5629841999999998</v>
      </c>
      <c r="U203" s="10">
        <v>5.5590137999999998</v>
      </c>
      <c r="V203" s="10">
        <v>5.5504294999999999</v>
      </c>
      <c r="W203" s="10">
        <v>5.5375972999999998</v>
      </c>
      <c r="X203" s="10">
        <v>5.5206954000000001</v>
      </c>
      <c r="Y203" s="10">
        <v>5.4999020999999999</v>
      </c>
      <c r="Z203" s="10">
        <v>5.4753957</v>
      </c>
      <c r="AA203" s="10">
        <v>5.4473545000000003</v>
      </c>
      <c r="AB203" s="10">
        <v>5.4160037000000001</v>
      </c>
      <c r="AC203" s="10">
        <v>5.3817665999999997</v>
      </c>
      <c r="AD203" s="10">
        <v>5.3451181999999999</v>
      </c>
      <c r="AE203" s="10">
        <v>5.3065335999999999</v>
      </c>
      <c r="AF203" s="10">
        <v>5.2664879999999998</v>
      </c>
      <c r="AG203" s="10">
        <v>5.2254563999999997</v>
      </c>
      <c r="AH203" s="10">
        <v>5.1838525999999998</v>
      </c>
      <c r="AI203" s="10">
        <v>5.1418198000000004</v>
      </c>
      <c r="AJ203" s="10">
        <v>5.0994269000000001</v>
      </c>
      <c r="AK203" s="10">
        <v>5.0567422999999998</v>
      </c>
      <c r="AL203" s="10">
        <v>5.0138347000000003</v>
      </c>
      <c r="AM203" s="10">
        <v>4.9707727000000004</v>
      </c>
      <c r="AN203" s="10">
        <v>4.9276249999999999</v>
      </c>
      <c r="AO203" s="10">
        <v>4.8844602000000004</v>
      </c>
      <c r="AP203" s="10">
        <v>4.8413468999999996</v>
      </c>
      <c r="AQ203" s="10">
        <v>4.7983538000000001</v>
      </c>
      <c r="AR203" s="10">
        <v>4.7555493999999996</v>
      </c>
      <c r="AS203" s="10">
        <v>4.7130026000000003</v>
      </c>
      <c r="AT203" s="10">
        <v>4.6707770000000002</v>
      </c>
      <c r="AU203" s="10">
        <v>4.6289159</v>
      </c>
      <c r="AV203" s="10">
        <v>4.5874566000000003</v>
      </c>
      <c r="AW203" s="10">
        <v>4.5464365000000004</v>
      </c>
      <c r="AX203" s="10">
        <v>4.5058929000000001</v>
      </c>
      <c r="AY203" s="10">
        <v>4.4658632000000003</v>
      </c>
      <c r="AZ203" s="10">
        <v>4.4263846999999998</v>
      </c>
      <c r="BA203" s="10">
        <v>4.3874949000000001</v>
      </c>
      <c r="BB203" s="10">
        <v>4.3492309999999996</v>
      </c>
      <c r="BC203" s="10">
        <v>4.3116304000000003</v>
      </c>
      <c r="BD203" s="10">
        <v>4.2747305000000004</v>
      </c>
      <c r="BE203" s="10">
        <v>4.2385685999999998</v>
      </c>
      <c r="BF203" s="10">
        <v>4.2031798</v>
      </c>
      <c r="BG203" s="10">
        <v>4.1685869000000002</v>
      </c>
      <c r="BH203" s="10">
        <v>4.1348086000000004</v>
      </c>
      <c r="BI203" s="10">
        <v>4.1018632999999998</v>
      </c>
      <c r="BJ203" s="10">
        <v>4.0697698999999998</v>
      </c>
      <c r="BK203" s="10">
        <v>4.0385467999999998</v>
      </c>
      <c r="BL203" s="10">
        <v>4.0082127999999999</v>
      </c>
      <c r="BM203" s="10">
        <v>3.9787865</v>
      </c>
      <c r="BN203" s="10">
        <v>3.9502864999999998</v>
      </c>
      <c r="BO203" s="10">
        <v>3.9227314</v>
      </c>
      <c r="BP203" s="10">
        <v>3.8961399999999999</v>
      </c>
      <c r="BQ203" s="10">
        <v>3.8705307000000002</v>
      </c>
      <c r="BR203" s="10">
        <v>3.7372836</v>
      </c>
      <c r="BS203" s="10">
        <v>3.6363553999999998</v>
      </c>
      <c r="BU203" s="7">
        <v>4.0199999999999996</v>
      </c>
      <c r="BV203" s="7">
        <v>3.96</v>
      </c>
      <c r="BW203" s="9">
        <v>76.657499999999999</v>
      </c>
    </row>
    <row r="204" spans="1:75" x14ac:dyDescent="0.25">
      <c r="A204" s="6">
        <f t="shared" si="17"/>
        <v>44838</v>
      </c>
      <c r="B204" s="13">
        <f t="shared" si="18"/>
        <v>10</v>
      </c>
      <c r="C204" s="13">
        <f t="shared" si="19"/>
        <v>2022</v>
      </c>
      <c r="D204">
        <f t="shared" si="20"/>
        <v>202210</v>
      </c>
      <c r="E204">
        <f t="shared" si="21"/>
        <v>4</v>
      </c>
      <c r="F204">
        <f t="shared" si="22"/>
        <v>202204</v>
      </c>
      <c r="G204" t="s">
        <v>391</v>
      </c>
      <c r="H204" s="9">
        <v>2.25</v>
      </c>
      <c r="I204" s="9">
        <v>2.1859999999999999</v>
      </c>
      <c r="J204" s="10">
        <v>2.6811398</v>
      </c>
      <c r="K204" s="10">
        <v>3.5461998000000001</v>
      </c>
      <c r="L204" s="10">
        <v>4.1841692999999998</v>
      </c>
      <c r="M204" s="10">
        <v>4.6432570999999996</v>
      </c>
      <c r="N204" s="10">
        <v>4.9712819000000001</v>
      </c>
      <c r="O204" s="10">
        <v>5.1953779999999998</v>
      </c>
      <c r="P204" s="10">
        <v>5.3306114000000004</v>
      </c>
      <c r="Q204" s="10">
        <v>5.3996938999999999</v>
      </c>
      <c r="R204" s="10">
        <v>5.4249688000000003</v>
      </c>
      <c r="S204" s="10">
        <v>5.4260159999999997</v>
      </c>
      <c r="T204" s="10">
        <v>5.4153092000000003</v>
      </c>
      <c r="U204" s="10">
        <v>5.3991018999999998</v>
      </c>
      <c r="V204" s="10">
        <v>5.3805858999999998</v>
      </c>
      <c r="W204" s="10">
        <v>5.3602381000000001</v>
      </c>
      <c r="X204" s="10">
        <v>5.3379450000000004</v>
      </c>
      <c r="Y204" s="10">
        <v>5.3135931000000003</v>
      </c>
      <c r="Z204" s="10">
        <v>5.2870691000000001</v>
      </c>
      <c r="AA204" s="10">
        <v>5.2582595000000003</v>
      </c>
      <c r="AB204" s="10">
        <v>5.2271232000000003</v>
      </c>
      <c r="AC204" s="10">
        <v>5.1939232000000004</v>
      </c>
      <c r="AD204" s="10">
        <v>5.1590023</v>
      </c>
      <c r="AE204" s="10">
        <v>5.1227033000000004</v>
      </c>
      <c r="AF204" s="10">
        <v>5.0853691000000003</v>
      </c>
      <c r="AG204" s="10">
        <v>5.0473425000000001</v>
      </c>
      <c r="AH204" s="10">
        <v>5.0089249000000002</v>
      </c>
      <c r="AI204" s="10">
        <v>4.9702346000000004</v>
      </c>
      <c r="AJ204" s="10">
        <v>4.9313393999999997</v>
      </c>
      <c r="AK204" s="10">
        <v>4.8923072999999997</v>
      </c>
      <c r="AL204" s="10">
        <v>4.8532061000000004</v>
      </c>
      <c r="AM204" s="10">
        <v>4.8141034999999999</v>
      </c>
      <c r="AN204" s="10">
        <v>4.7750674999999996</v>
      </c>
      <c r="AO204" s="10">
        <v>4.7361658999999996</v>
      </c>
      <c r="AP204" s="10">
        <v>4.6974666000000003</v>
      </c>
      <c r="AQ204" s="10">
        <v>4.6590372999999996</v>
      </c>
      <c r="AR204" s="10">
        <v>4.6209458999999997</v>
      </c>
      <c r="AS204" s="10">
        <v>4.5832603000000001</v>
      </c>
      <c r="AT204" s="10">
        <v>4.5460396999999997</v>
      </c>
      <c r="AU204" s="10">
        <v>4.5092976</v>
      </c>
      <c r="AV204" s="10">
        <v>4.4730318999999996</v>
      </c>
      <c r="AW204" s="10">
        <v>4.4372404000000003</v>
      </c>
      <c r="AX204" s="10">
        <v>4.4019212000000003</v>
      </c>
      <c r="AY204" s="10">
        <v>4.3670722</v>
      </c>
      <c r="AZ204" s="10">
        <v>4.3326912000000002</v>
      </c>
      <c r="BA204" s="10">
        <v>4.2987763000000001</v>
      </c>
      <c r="BB204" s="10">
        <v>4.2653254</v>
      </c>
      <c r="BC204" s="10">
        <v>4.2323363000000001</v>
      </c>
      <c r="BD204" s="10">
        <v>4.1998071000000001</v>
      </c>
      <c r="BE204" s="10">
        <v>4.1677356000000003</v>
      </c>
      <c r="BF204" s="10">
        <v>4.1361235000000001</v>
      </c>
      <c r="BG204" s="10">
        <v>4.1049905000000004</v>
      </c>
      <c r="BH204" s="10">
        <v>4.0743615999999996</v>
      </c>
      <c r="BI204" s="10">
        <v>4.0442619000000004</v>
      </c>
      <c r="BJ204" s="10">
        <v>4.0147165999999999</v>
      </c>
      <c r="BK204" s="10">
        <v>3.9857509000000002</v>
      </c>
      <c r="BL204" s="10">
        <v>3.9573896999999998</v>
      </c>
      <c r="BM204" s="10">
        <v>3.9296582999999998</v>
      </c>
      <c r="BN204" s="10">
        <v>3.9025818000000001</v>
      </c>
      <c r="BO204" s="10">
        <v>3.8761852000000001</v>
      </c>
      <c r="BP204" s="10">
        <v>3.8504938000000002</v>
      </c>
      <c r="BQ204" s="10">
        <v>3.8255325</v>
      </c>
      <c r="BR204" s="10">
        <v>3.6917458000000001</v>
      </c>
      <c r="BS204" s="10">
        <v>3.5859632000000001</v>
      </c>
      <c r="BU204" s="7">
        <v>3.88</v>
      </c>
      <c r="BV204" s="7">
        <v>3.86</v>
      </c>
      <c r="BW204" s="9">
        <v>76.903000000000006</v>
      </c>
    </row>
    <row r="205" spans="1:75" x14ac:dyDescent="0.25">
      <c r="A205" s="6">
        <f t="shared" si="17"/>
        <v>44839</v>
      </c>
      <c r="B205" s="13">
        <f t="shared" si="18"/>
        <v>10</v>
      </c>
      <c r="C205" s="13">
        <f t="shared" si="19"/>
        <v>2022</v>
      </c>
      <c r="D205">
        <f t="shared" si="20"/>
        <v>202210</v>
      </c>
      <c r="E205">
        <f t="shared" si="21"/>
        <v>4</v>
      </c>
      <c r="F205">
        <f t="shared" si="22"/>
        <v>202204</v>
      </c>
      <c r="G205" t="s">
        <v>392</v>
      </c>
      <c r="H205" s="9">
        <v>2.25</v>
      </c>
      <c r="I205" s="9">
        <v>2.1865999999999999</v>
      </c>
      <c r="J205" s="10">
        <v>2.7404609999999998</v>
      </c>
      <c r="K205" s="10">
        <v>3.5865729000000002</v>
      </c>
      <c r="L205" s="10">
        <v>4.233174</v>
      </c>
      <c r="M205" s="10">
        <v>4.7128521000000001</v>
      </c>
      <c r="N205" s="10">
        <v>5.0636659000000002</v>
      </c>
      <c r="O205" s="10">
        <v>5.3096870000000003</v>
      </c>
      <c r="P205" s="10">
        <v>5.4698567000000002</v>
      </c>
      <c r="Q205" s="10">
        <v>5.5671755999999997</v>
      </c>
      <c r="R205" s="10">
        <v>5.6229551000000004</v>
      </c>
      <c r="S205" s="10">
        <v>5.6535320999999996</v>
      </c>
      <c r="T205" s="10">
        <v>5.6693942000000002</v>
      </c>
      <c r="U205" s="10">
        <v>5.6754537000000003</v>
      </c>
      <c r="V205" s="10">
        <v>5.6736825</v>
      </c>
      <c r="W205" s="10">
        <v>5.6646625000000004</v>
      </c>
      <c r="X205" s="10">
        <v>5.6487194000000001</v>
      </c>
      <c r="Y205" s="10">
        <v>5.6261789999999996</v>
      </c>
      <c r="Z205" s="10">
        <v>5.5973670999999996</v>
      </c>
      <c r="AA205" s="10">
        <v>5.5626096</v>
      </c>
      <c r="AB205" s="10">
        <v>5.5223363000000001</v>
      </c>
      <c r="AC205" s="10">
        <v>5.4774158999999996</v>
      </c>
      <c r="AD205" s="10">
        <v>5.4288315999999996</v>
      </c>
      <c r="AE205" s="10">
        <v>5.3775668999999997</v>
      </c>
      <c r="AF205" s="10">
        <v>5.3246053</v>
      </c>
      <c r="AG205" s="10">
        <v>5.2709302999999998</v>
      </c>
      <c r="AH205" s="10">
        <v>5.2174161999999997</v>
      </c>
      <c r="AI205" s="10">
        <v>5.1643502999999997</v>
      </c>
      <c r="AJ205" s="10">
        <v>5.1118228999999999</v>
      </c>
      <c r="AK205" s="10">
        <v>5.0599242000000002</v>
      </c>
      <c r="AL205" s="10">
        <v>5.0087443</v>
      </c>
      <c r="AM205" s="10">
        <v>4.9583735000000004</v>
      </c>
      <c r="AN205" s="10">
        <v>4.9089019</v>
      </c>
      <c r="AO205" s="10">
        <v>4.8604197999999998</v>
      </c>
      <c r="AP205" s="10">
        <v>4.8130173000000003</v>
      </c>
      <c r="AQ205" s="10">
        <v>4.7667846999999997</v>
      </c>
      <c r="AR205" s="10">
        <v>4.7218121000000002</v>
      </c>
      <c r="AS205" s="10">
        <v>4.6781896999999999</v>
      </c>
      <c r="AT205" s="10">
        <v>4.6359861000000002</v>
      </c>
      <c r="AU205" s="10">
        <v>4.5951648</v>
      </c>
      <c r="AV205" s="10">
        <v>4.5556571999999997</v>
      </c>
      <c r="AW205" s="10">
        <v>4.5173947999999999</v>
      </c>
      <c r="AX205" s="10">
        <v>4.4803088999999998</v>
      </c>
      <c r="AY205" s="10">
        <v>4.444331</v>
      </c>
      <c r="AZ205" s="10">
        <v>4.4093925</v>
      </c>
      <c r="BA205" s="10">
        <v>4.3754248000000002</v>
      </c>
      <c r="BB205" s="10">
        <v>4.3423594000000003</v>
      </c>
      <c r="BC205" s="10">
        <v>4.3101276999999998</v>
      </c>
      <c r="BD205" s="10">
        <v>4.2786612000000002</v>
      </c>
      <c r="BE205" s="10">
        <v>4.2478911000000004</v>
      </c>
      <c r="BF205" s="10">
        <v>4.2177594999999997</v>
      </c>
      <c r="BG205" s="10">
        <v>4.1882539999999997</v>
      </c>
      <c r="BH205" s="10">
        <v>4.1593749999999998</v>
      </c>
      <c r="BI205" s="10">
        <v>4.1311230999999999</v>
      </c>
      <c r="BJ205" s="10">
        <v>4.1034986</v>
      </c>
      <c r="BK205" s="10">
        <v>4.0765019999999996</v>
      </c>
      <c r="BL205" s="10">
        <v>4.0501336999999999</v>
      </c>
      <c r="BM205" s="10">
        <v>4.0243941999999997</v>
      </c>
      <c r="BN205" s="10">
        <v>3.9992838000000002</v>
      </c>
      <c r="BO205" s="10">
        <v>3.9748030000000001</v>
      </c>
      <c r="BP205" s="10">
        <v>3.9509522000000001</v>
      </c>
      <c r="BQ205" s="10">
        <v>3.9277319999999998</v>
      </c>
      <c r="BR205" s="10">
        <v>3.8017791000000001</v>
      </c>
      <c r="BS205" s="10">
        <v>3.6992661999999998</v>
      </c>
      <c r="BU205" s="7">
        <v>4</v>
      </c>
      <c r="BV205" s="7">
        <v>4.03</v>
      </c>
      <c r="BW205" s="9">
        <v>76.248500000000007</v>
      </c>
    </row>
    <row r="206" spans="1:75" x14ac:dyDescent="0.25">
      <c r="A206" s="6">
        <f t="shared" ref="A206:A269" si="23">+A201+7</f>
        <v>44840</v>
      </c>
      <c r="B206" s="13">
        <f t="shared" si="18"/>
        <v>10</v>
      </c>
      <c r="C206" s="13">
        <f t="shared" si="19"/>
        <v>2022</v>
      </c>
      <c r="D206">
        <f t="shared" si="20"/>
        <v>202210</v>
      </c>
      <c r="E206">
        <f t="shared" si="21"/>
        <v>4</v>
      </c>
      <c r="F206">
        <f t="shared" si="22"/>
        <v>202204</v>
      </c>
      <c r="G206" t="s">
        <v>393</v>
      </c>
      <c r="H206" s="9">
        <v>2.25</v>
      </c>
      <c r="I206" s="9">
        <v>2.1869000000000001</v>
      </c>
      <c r="J206" s="10">
        <v>2.8104547000000002</v>
      </c>
      <c r="K206" s="10">
        <v>3.6746715000000001</v>
      </c>
      <c r="L206" s="10">
        <v>4.3274436999999999</v>
      </c>
      <c r="M206" s="10">
        <v>4.8076860999999997</v>
      </c>
      <c r="N206" s="10">
        <v>5.1611393999999997</v>
      </c>
      <c r="O206" s="10">
        <v>5.4121487000000004</v>
      </c>
      <c r="P206" s="10">
        <v>5.5820999999999996</v>
      </c>
      <c r="Q206" s="10">
        <v>5.6920902</v>
      </c>
      <c r="R206" s="10">
        <v>5.7615629000000004</v>
      </c>
      <c r="S206" s="10">
        <v>5.8048601</v>
      </c>
      <c r="T206" s="10">
        <v>5.8310748999999999</v>
      </c>
      <c r="U206" s="10">
        <v>5.8447905999999996</v>
      </c>
      <c r="V206" s="10">
        <v>5.8477220000000001</v>
      </c>
      <c r="W206" s="10">
        <v>5.8408990000000003</v>
      </c>
      <c r="X206" s="10">
        <v>5.8253069999999996</v>
      </c>
      <c r="Y206" s="10">
        <v>5.8019315999999996</v>
      </c>
      <c r="Z206" s="10">
        <v>5.7717584999999998</v>
      </c>
      <c r="AA206" s="10">
        <v>5.7357731999999997</v>
      </c>
      <c r="AB206" s="10">
        <v>5.6949513999999999</v>
      </c>
      <c r="AC206" s="10">
        <v>5.6502182999999997</v>
      </c>
      <c r="AD206" s="10">
        <v>5.6024832</v>
      </c>
      <c r="AE206" s="10">
        <v>5.5526551</v>
      </c>
      <c r="AF206" s="10">
        <v>5.5016433999999999</v>
      </c>
      <c r="AG206" s="10">
        <v>5.4503569000000001</v>
      </c>
      <c r="AH206" s="10">
        <v>5.3995847000000001</v>
      </c>
      <c r="AI206" s="10">
        <v>5.3495283999999996</v>
      </c>
      <c r="AJ206" s="10">
        <v>5.3002113</v>
      </c>
      <c r="AK206" s="10">
        <v>5.2516565999999996</v>
      </c>
      <c r="AL206" s="10">
        <v>5.2038877000000001</v>
      </c>
      <c r="AM206" s="10">
        <v>5.1569276000000004</v>
      </c>
      <c r="AN206" s="10">
        <v>5.1107994999999997</v>
      </c>
      <c r="AO206" s="10">
        <v>5.0655267999999998</v>
      </c>
      <c r="AP206" s="10">
        <v>5.0211326999999999</v>
      </c>
      <c r="AQ206" s="10">
        <v>4.9776403</v>
      </c>
      <c r="AR206" s="10">
        <v>4.9350728000000004</v>
      </c>
      <c r="AS206" s="10">
        <v>4.8934536</v>
      </c>
      <c r="AT206" s="10">
        <v>4.8527962999999996</v>
      </c>
      <c r="AU206" s="10">
        <v>4.8130737000000003</v>
      </c>
      <c r="AV206" s="10">
        <v>4.7742467</v>
      </c>
      <c r="AW206" s="10">
        <v>4.7362766000000001</v>
      </c>
      <c r="AX206" s="10">
        <v>4.6991244999999999</v>
      </c>
      <c r="AY206" s="10">
        <v>4.6627514999999997</v>
      </c>
      <c r="AZ206" s="10">
        <v>4.6271186999999996</v>
      </c>
      <c r="BA206" s="10">
        <v>4.5921873</v>
      </c>
      <c r="BB206" s="10">
        <v>4.5579185000000004</v>
      </c>
      <c r="BC206" s="10">
        <v>4.5242731999999997</v>
      </c>
      <c r="BD206" s="10">
        <v>4.4912127999999996</v>
      </c>
      <c r="BE206" s="10">
        <v>4.4586981999999997</v>
      </c>
      <c r="BF206" s="10">
        <v>4.4266991999999998</v>
      </c>
      <c r="BG206" s="10">
        <v>4.3952226000000003</v>
      </c>
      <c r="BH206" s="10">
        <v>4.3642856999999999</v>
      </c>
      <c r="BI206" s="10">
        <v>4.3339056999999999</v>
      </c>
      <c r="BJ206" s="10">
        <v>4.3040998000000004</v>
      </c>
      <c r="BK206" s="10">
        <v>4.2748853000000002</v>
      </c>
      <c r="BL206" s="10">
        <v>4.2462793999999997</v>
      </c>
      <c r="BM206" s="10">
        <v>4.2182994000000003</v>
      </c>
      <c r="BN206" s="10">
        <v>4.1909624000000001</v>
      </c>
      <c r="BO206" s="10">
        <v>4.1642856999999998</v>
      </c>
      <c r="BP206" s="10">
        <v>4.1382865999999998</v>
      </c>
      <c r="BQ206" s="10">
        <v>4.1129822000000003</v>
      </c>
      <c r="BR206" s="10">
        <v>3.9762685000000002</v>
      </c>
      <c r="BS206" s="10">
        <v>3.8662225000000001</v>
      </c>
      <c r="BU206" s="7">
        <v>4.13</v>
      </c>
      <c r="BV206" s="7">
        <v>4.1900000000000004</v>
      </c>
      <c r="BW206" s="9">
        <v>76.021600000000007</v>
      </c>
    </row>
    <row r="207" spans="1:75" x14ac:dyDescent="0.25">
      <c r="A207" s="6">
        <f t="shared" si="23"/>
        <v>44841</v>
      </c>
      <c r="B207" s="13">
        <f t="shared" si="18"/>
        <v>10</v>
      </c>
      <c r="C207" s="13">
        <f t="shared" si="19"/>
        <v>2022</v>
      </c>
      <c r="D207">
        <f t="shared" si="20"/>
        <v>202210</v>
      </c>
      <c r="E207">
        <f t="shared" si="21"/>
        <v>4</v>
      </c>
      <c r="F207">
        <f t="shared" si="22"/>
        <v>202204</v>
      </c>
      <c r="G207" t="s">
        <v>394</v>
      </c>
      <c r="H207" s="9">
        <v>2.25</v>
      </c>
      <c r="I207" s="9">
        <v>2.1876000000000002</v>
      </c>
      <c r="J207" s="10">
        <v>2.8319163999999999</v>
      </c>
      <c r="K207" s="10">
        <v>3.6922755999999999</v>
      </c>
      <c r="L207" s="10">
        <v>4.3501792000000004</v>
      </c>
      <c r="M207" s="10">
        <v>4.8376522</v>
      </c>
      <c r="N207" s="10">
        <v>5.1970768999999999</v>
      </c>
      <c r="O207" s="10">
        <v>5.4481915000000001</v>
      </c>
      <c r="P207" s="10">
        <v>5.6131966999999996</v>
      </c>
      <c r="Q207" s="10">
        <v>5.7089637</v>
      </c>
      <c r="R207" s="10">
        <v>5.7571383999999997</v>
      </c>
      <c r="S207" s="10">
        <v>5.7752229000000002</v>
      </c>
      <c r="T207" s="10">
        <v>5.7759590999999997</v>
      </c>
      <c r="U207" s="10">
        <v>5.7677792999999999</v>
      </c>
      <c r="V207" s="10">
        <v>5.7569211999999998</v>
      </c>
      <c r="W207" s="10">
        <v>5.7446387000000003</v>
      </c>
      <c r="X207" s="10">
        <v>5.7306914999999998</v>
      </c>
      <c r="Y207" s="10">
        <v>5.7148389999999996</v>
      </c>
      <c r="Z207" s="10">
        <v>5.6968407000000001</v>
      </c>
      <c r="AA207" s="10">
        <v>5.6764558000000003</v>
      </c>
      <c r="AB207" s="10">
        <v>5.6535032999999997</v>
      </c>
      <c r="AC207" s="10">
        <v>5.6280783999999997</v>
      </c>
      <c r="AD207" s="10">
        <v>5.6003560999999999</v>
      </c>
      <c r="AE207" s="10">
        <v>5.5705115000000003</v>
      </c>
      <c r="AF207" s="10">
        <v>5.5387196999999997</v>
      </c>
      <c r="AG207" s="10">
        <v>5.5051557000000004</v>
      </c>
      <c r="AH207" s="10">
        <v>5.4699954999999996</v>
      </c>
      <c r="AI207" s="10">
        <v>5.4334176999999997</v>
      </c>
      <c r="AJ207" s="10">
        <v>5.3956019</v>
      </c>
      <c r="AK207" s="10">
        <v>5.3567276000000001</v>
      </c>
      <c r="AL207" s="10">
        <v>5.3169744999999997</v>
      </c>
      <c r="AM207" s="10">
        <v>5.2765221999999996</v>
      </c>
      <c r="AN207" s="10">
        <v>5.2355501000000002</v>
      </c>
      <c r="AO207" s="10">
        <v>5.1942379000000001</v>
      </c>
      <c r="AP207" s="10">
        <v>5.1527650999999999</v>
      </c>
      <c r="AQ207" s="10">
        <v>5.1113112999999997</v>
      </c>
      <c r="AR207" s="10">
        <v>5.0700561000000004</v>
      </c>
      <c r="AS207" s="10">
        <v>5.0291791000000003</v>
      </c>
      <c r="AT207" s="10">
        <v>4.9888329999999996</v>
      </c>
      <c r="AU207" s="10">
        <v>4.9490521000000003</v>
      </c>
      <c r="AV207" s="10">
        <v>4.9098379000000003</v>
      </c>
      <c r="AW207" s="10">
        <v>4.8711921</v>
      </c>
      <c r="AX207" s="10">
        <v>4.8331163999999998</v>
      </c>
      <c r="AY207" s="10">
        <v>4.7956120999999996</v>
      </c>
      <c r="AZ207" s="10">
        <v>4.7586811000000004</v>
      </c>
      <c r="BA207" s="10">
        <v>4.7223249000000003</v>
      </c>
      <c r="BB207" s="10">
        <v>4.6865449999999997</v>
      </c>
      <c r="BC207" s="10">
        <v>4.6513431000000001</v>
      </c>
      <c r="BD207" s="10">
        <v>4.6167207000000001</v>
      </c>
      <c r="BE207" s="10">
        <v>4.5826795999999996</v>
      </c>
      <c r="BF207" s="10">
        <v>4.5492229999999996</v>
      </c>
      <c r="BG207" s="10">
        <v>4.5163618999999997</v>
      </c>
      <c r="BH207" s="10">
        <v>4.4841096</v>
      </c>
      <c r="BI207" s="10">
        <v>4.4524792</v>
      </c>
      <c r="BJ207" s="10">
        <v>4.4214839000000001</v>
      </c>
      <c r="BK207" s="10">
        <v>4.3911369000000002</v>
      </c>
      <c r="BL207" s="10">
        <v>4.3614512999999997</v>
      </c>
      <c r="BM207" s="10">
        <v>4.3324404000000003</v>
      </c>
      <c r="BN207" s="10">
        <v>4.3041172000000003</v>
      </c>
      <c r="BO207" s="10">
        <v>4.2764951</v>
      </c>
      <c r="BP207" s="10">
        <v>4.2495871000000003</v>
      </c>
      <c r="BQ207" s="10">
        <v>4.2234065000000003</v>
      </c>
      <c r="BR207" s="10">
        <v>4.0820898000000003</v>
      </c>
      <c r="BS207" s="10">
        <v>3.9687926</v>
      </c>
      <c r="BU207" s="7">
        <v>4.0599999999999996</v>
      </c>
      <c r="BV207" s="7">
        <v>4.26</v>
      </c>
      <c r="BW207" s="9">
        <v>75.797600000000003</v>
      </c>
    </row>
    <row r="208" spans="1:75" x14ac:dyDescent="0.25">
      <c r="A208" s="6">
        <f t="shared" si="23"/>
        <v>44844</v>
      </c>
      <c r="B208" s="13">
        <f t="shared" si="18"/>
        <v>10</v>
      </c>
      <c r="C208" s="13">
        <f t="shared" si="19"/>
        <v>2022</v>
      </c>
      <c r="D208">
        <f t="shared" si="20"/>
        <v>202210</v>
      </c>
      <c r="E208">
        <f t="shared" si="21"/>
        <v>4</v>
      </c>
      <c r="F208">
        <f t="shared" si="22"/>
        <v>202204</v>
      </c>
      <c r="G208" t="s">
        <v>395</v>
      </c>
      <c r="H208" s="9">
        <v>2.25</v>
      </c>
      <c r="I208" s="9">
        <v>2.1863999999999999</v>
      </c>
      <c r="J208" s="10">
        <v>2.9549432000000002</v>
      </c>
      <c r="K208" s="10">
        <v>3.7839548999999999</v>
      </c>
      <c r="L208" s="10">
        <v>4.4407807999999998</v>
      </c>
      <c r="M208" s="10">
        <v>4.9305123000000002</v>
      </c>
      <c r="N208" s="10">
        <v>5.2886787999999996</v>
      </c>
      <c r="O208" s="10">
        <v>5.5380694000000004</v>
      </c>
      <c r="P208" s="10">
        <v>5.7002259000000004</v>
      </c>
      <c r="Q208" s="10">
        <v>5.7978702000000002</v>
      </c>
      <c r="R208" s="10">
        <v>5.8515876999999996</v>
      </c>
      <c r="S208" s="10">
        <v>5.8790316999999996</v>
      </c>
      <c r="T208" s="10">
        <v>5.8911930999999997</v>
      </c>
      <c r="U208" s="10">
        <v>5.8946911999999996</v>
      </c>
      <c r="V208" s="10">
        <v>5.8932921</v>
      </c>
      <c r="W208" s="10">
        <v>5.8877905999999998</v>
      </c>
      <c r="X208" s="10">
        <v>5.8783507999999998</v>
      </c>
      <c r="Y208" s="10">
        <v>5.8651365999999996</v>
      </c>
      <c r="Z208" s="10">
        <v>5.8483118999999997</v>
      </c>
      <c r="AA208" s="10">
        <v>5.8280405999999996</v>
      </c>
      <c r="AB208" s="10">
        <v>5.8045298000000001</v>
      </c>
      <c r="AC208" s="10">
        <v>5.7781684999999996</v>
      </c>
      <c r="AD208" s="10">
        <v>5.7493930999999998</v>
      </c>
      <c r="AE208" s="10">
        <v>5.7186402000000003</v>
      </c>
      <c r="AF208" s="10">
        <v>5.6863463999999997</v>
      </c>
      <c r="AG208" s="10">
        <v>5.6529480999999997</v>
      </c>
      <c r="AH208" s="10">
        <v>5.6188275000000001</v>
      </c>
      <c r="AI208" s="10">
        <v>5.5841262</v>
      </c>
      <c r="AJ208" s="10">
        <v>5.5489195999999996</v>
      </c>
      <c r="AK208" s="10">
        <v>5.5132829000000001</v>
      </c>
      <c r="AL208" s="10">
        <v>5.4772914000000004</v>
      </c>
      <c r="AM208" s="10">
        <v>5.4410204000000002</v>
      </c>
      <c r="AN208" s="10">
        <v>5.4045452000000003</v>
      </c>
      <c r="AO208" s="10">
        <v>5.3679411999999997</v>
      </c>
      <c r="AP208" s="10">
        <v>5.3312835999999999</v>
      </c>
      <c r="AQ208" s="10">
        <v>5.2946476999999996</v>
      </c>
      <c r="AR208" s="10">
        <v>5.2581088999999999</v>
      </c>
      <c r="AS208" s="10">
        <v>5.2217422999999998</v>
      </c>
      <c r="AT208" s="10">
        <v>5.1856137000000002</v>
      </c>
      <c r="AU208" s="10">
        <v>5.1497453999999996</v>
      </c>
      <c r="AV208" s="10">
        <v>5.1141478999999999</v>
      </c>
      <c r="AW208" s="10">
        <v>5.0788317999999997</v>
      </c>
      <c r="AX208" s="10">
        <v>5.0438076000000001</v>
      </c>
      <c r="AY208" s="10">
        <v>5.0090858999999996</v>
      </c>
      <c r="AZ208" s="10">
        <v>4.9746772999999997</v>
      </c>
      <c r="BA208" s="10">
        <v>4.9405922000000002</v>
      </c>
      <c r="BB208" s="10">
        <v>4.9068411999999997</v>
      </c>
      <c r="BC208" s="10">
        <v>4.8734349000000003</v>
      </c>
      <c r="BD208" s="10">
        <v>4.8403837000000003</v>
      </c>
      <c r="BE208" s="10">
        <v>4.8076983000000002</v>
      </c>
      <c r="BF208" s="10">
        <v>4.7753921999999998</v>
      </c>
      <c r="BG208" s="10">
        <v>4.7434950000000002</v>
      </c>
      <c r="BH208" s="10">
        <v>4.7120417000000003</v>
      </c>
      <c r="BI208" s="10">
        <v>4.6810675000000002</v>
      </c>
      <c r="BJ208" s="10">
        <v>4.6506074000000002</v>
      </c>
      <c r="BK208" s="10">
        <v>4.6206962999999996</v>
      </c>
      <c r="BL208" s="10">
        <v>4.5913694999999999</v>
      </c>
      <c r="BM208" s="10">
        <v>4.5626617999999999</v>
      </c>
      <c r="BN208" s="10">
        <v>4.5346085</v>
      </c>
      <c r="BO208" s="10">
        <v>4.5072444000000003</v>
      </c>
      <c r="BP208" s="10">
        <v>4.4806048000000001</v>
      </c>
      <c r="BQ208" s="10">
        <v>4.4547245999999996</v>
      </c>
      <c r="BR208" s="10">
        <v>4.3162896000000002</v>
      </c>
      <c r="BS208" s="10">
        <v>4.2074967000000001</v>
      </c>
      <c r="BU208" s="7">
        <v>4.34</v>
      </c>
      <c r="BV208" s="7">
        <v>4.46</v>
      </c>
      <c r="BW208" s="9">
        <v>75.684899999999999</v>
      </c>
    </row>
    <row r="209" spans="1:75" x14ac:dyDescent="0.25">
      <c r="A209" s="6">
        <f t="shared" si="23"/>
        <v>44845</v>
      </c>
      <c r="B209" s="13">
        <f t="shared" si="18"/>
        <v>10</v>
      </c>
      <c r="C209" s="13">
        <f t="shared" si="19"/>
        <v>2022</v>
      </c>
      <c r="D209">
        <f t="shared" si="20"/>
        <v>202210</v>
      </c>
      <c r="E209">
        <f t="shared" si="21"/>
        <v>4</v>
      </c>
      <c r="F209">
        <f t="shared" si="22"/>
        <v>202204</v>
      </c>
      <c r="G209" t="s">
        <v>396</v>
      </c>
      <c r="H209" s="9">
        <v>2.25</v>
      </c>
      <c r="I209" s="9">
        <v>2.1873</v>
      </c>
      <c r="J209" s="10">
        <v>2.9580513000000002</v>
      </c>
      <c r="K209" s="10">
        <v>3.7596056999999998</v>
      </c>
      <c r="L209" s="10">
        <v>4.4116011999999998</v>
      </c>
      <c r="M209" s="10">
        <v>4.9055745999999996</v>
      </c>
      <c r="N209" s="10">
        <v>5.2625726000000004</v>
      </c>
      <c r="O209" s="10">
        <v>5.5073635000000003</v>
      </c>
      <c r="P209" s="10">
        <v>5.6572975000000003</v>
      </c>
      <c r="Q209" s="10">
        <v>5.7388310999999996</v>
      </c>
      <c r="R209" s="10">
        <v>5.7763204999999997</v>
      </c>
      <c r="S209" s="10">
        <v>5.7898782000000004</v>
      </c>
      <c r="T209" s="10">
        <v>5.7918281</v>
      </c>
      <c r="U209" s="10">
        <v>5.7884909000000002</v>
      </c>
      <c r="V209" s="10">
        <v>5.7824511000000003</v>
      </c>
      <c r="W209" s="10">
        <v>5.7740790999999998</v>
      </c>
      <c r="X209" s="10">
        <v>5.7633462</v>
      </c>
      <c r="Y209" s="10">
        <v>5.7502237000000003</v>
      </c>
      <c r="Z209" s="10">
        <v>5.7346830999999998</v>
      </c>
      <c r="AA209" s="10">
        <v>5.7166953999999999</v>
      </c>
      <c r="AB209" s="10">
        <v>5.6962881000000003</v>
      </c>
      <c r="AC209" s="10">
        <v>5.6737229999999998</v>
      </c>
      <c r="AD209" s="10">
        <v>5.6493238999999997</v>
      </c>
      <c r="AE209" s="10">
        <v>5.6234143999999997</v>
      </c>
      <c r="AF209" s="10">
        <v>5.5963183000000001</v>
      </c>
      <c r="AG209" s="10">
        <v>5.5683593</v>
      </c>
      <c r="AH209" s="10">
        <v>5.5398198000000001</v>
      </c>
      <c r="AI209" s="10">
        <v>5.5108005999999996</v>
      </c>
      <c r="AJ209" s="10">
        <v>5.4813521999999999</v>
      </c>
      <c r="AK209" s="10">
        <v>5.4515250000000002</v>
      </c>
      <c r="AL209" s="10">
        <v>5.4213696000000002</v>
      </c>
      <c r="AM209" s="10">
        <v>5.3909365999999999</v>
      </c>
      <c r="AN209" s="10">
        <v>5.3602762999999998</v>
      </c>
      <c r="AO209" s="10">
        <v>5.3294392999999998</v>
      </c>
      <c r="AP209" s="10">
        <v>5.2984761999999996</v>
      </c>
      <c r="AQ209" s="10">
        <v>5.2674374999999998</v>
      </c>
      <c r="AR209" s="10">
        <v>5.2363736000000003</v>
      </c>
      <c r="AS209" s="10">
        <v>5.2053351000000001</v>
      </c>
      <c r="AT209" s="10">
        <v>5.1743674000000004</v>
      </c>
      <c r="AU209" s="10">
        <v>5.1434892000000003</v>
      </c>
      <c r="AV209" s="10">
        <v>5.1127098000000002</v>
      </c>
      <c r="AW209" s="10">
        <v>5.0820387</v>
      </c>
      <c r="AX209" s="10">
        <v>5.0514855000000001</v>
      </c>
      <c r="AY209" s="10">
        <v>5.0210594000000004</v>
      </c>
      <c r="AZ209" s="10">
        <v>4.9907700999999998</v>
      </c>
      <c r="BA209" s="10">
        <v>4.9606269999999997</v>
      </c>
      <c r="BB209" s="10">
        <v>4.9306396000000001</v>
      </c>
      <c r="BC209" s="10">
        <v>4.9008171999999997</v>
      </c>
      <c r="BD209" s="10">
        <v>4.8711694999999997</v>
      </c>
      <c r="BE209" s="10">
        <v>4.8417057000000003</v>
      </c>
      <c r="BF209" s="10">
        <v>4.8124389000000001</v>
      </c>
      <c r="BG209" s="10">
        <v>4.7833987000000002</v>
      </c>
      <c r="BH209" s="10">
        <v>4.7546197000000001</v>
      </c>
      <c r="BI209" s="10">
        <v>4.7261367999999999</v>
      </c>
      <c r="BJ209" s="10">
        <v>4.6979844999999996</v>
      </c>
      <c r="BK209" s="10">
        <v>4.6701975999999998</v>
      </c>
      <c r="BL209" s="10">
        <v>4.6428108999999997</v>
      </c>
      <c r="BM209" s="10">
        <v>4.6158590000000004</v>
      </c>
      <c r="BN209" s="10">
        <v>4.5893766999999999</v>
      </c>
      <c r="BO209" s="10">
        <v>4.5633986000000002</v>
      </c>
      <c r="BP209" s="10">
        <v>4.5379595000000004</v>
      </c>
      <c r="BQ209" s="10">
        <v>4.5130941</v>
      </c>
      <c r="BR209" s="10">
        <v>4.3771089999999999</v>
      </c>
      <c r="BS209" s="10">
        <v>4.2657669</v>
      </c>
      <c r="BU209" s="7">
        <v>4.18</v>
      </c>
      <c r="BV209" s="7">
        <v>4.4400000000000004</v>
      </c>
      <c r="BW209" s="9">
        <v>75.980699999999999</v>
      </c>
    </row>
    <row r="210" spans="1:75" x14ac:dyDescent="0.25">
      <c r="A210" s="6">
        <f t="shared" si="23"/>
        <v>44846</v>
      </c>
      <c r="B210" s="13">
        <f t="shared" si="18"/>
        <v>10</v>
      </c>
      <c r="C210" s="13">
        <f t="shared" si="19"/>
        <v>2022</v>
      </c>
      <c r="D210">
        <f t="shared" si="20"/>
        <v>202210</v>
      </c>
      <c r="E210">
        <f t="shared" si="21"/>
        <v>4</v>
      </c>
      <c r="F210">
        <f t="shared" si="22"/>
        <v>202204</v>
      </c>
      <c r="G210" t="s">
        <v>397</v>
      </c>
      <c r="H210" s="9">
        <v>2.25</v>
      </c>
      <c r="I210" s="9">
        <v>2.1859999999999999</v>
      </c>
      <c r="J210" s="10">
        <v>2.9848097</v>
      </c>
      <c r="K210" s="10">
        <v>3.7135967000000001</v>
      </c>
      <c r="L210" s="10">
        <v>4.3291918999999996</v>
      </c>
      <c r="M210" s="10">
        <v>4.8131180999999996</v>
      </c>
      <c r="N210" s="10">
        <v>5.1708388000000003</v>
      </c>
      <c r="O210" s="10">
        <v>5.4134096999999999</v>
      </c>
      <c r="P210" s="10">
        <v>5.5576205999999999</v>
      </c>
      <c r="Q210" s="10">
        <v>5.6313066999999997</v>
      </c>
      <c r="R210" s="10">
        <v>5.6612229000000003</v>
      </c>
      <c r="S210" s="10">
        <v>5.6679215000000003</v>
      </c>
      <c r="T210" s="10">
        <v>5.6641209000000003</v>
      </c>
      <c r="U210" s="10">
        <v>5.6557167000000002</v>
      </c>
      <c r="V210" s="10">
        <v>5.6448523000000002</v>
      </c>
      <c r="W210" s="10">
        <v>5.6319254000000001</v>
      </c>
      <c r="X210" s="10">
        <v>5.6170232999999996</v>
      </c>
      <c r="Y210" s="10">
        <v>5.6002337999999998</v>
      </c>
      <c r="Z210" s="10">
        <v>5.5816442000000004</v>
      </c>
      <c r="AA210" s="10">
        <v>5.5613422999999997</v>
      </c>
      <c r="AB210" s="10">
        <v>5.5394658000000003</v>
      </c>
      <c r="AC210" s="10">
        <v>5.5163633000000001</v>
      </c>
      <c r="AD210" s="10">
        <v>5.4924390000000001</v>
      </c>
      <c r="AE210" s="10">
        <v>5.4680970999999996</v>
      </c>
      <c r="AF210" s="10">
        <v>5.4437414999999998</v>
      </c>
      <c r="AG210" s="10">
        <v>5.4197763999999999</v>
      </c>
      <c r="AH210" s="10">
        <v>5.3965468999999997</v>
      </c>
      <c r="AI210" s="10">
        <v>5.3740800000000002</v>
      </c>
      <c r="AJ210" s="10">
        <v>5.3522958000000003</v>
      </c>
      <c r="AK210" s="10">
        <v>5.3311146999999997</v>
      </c>
      <c r="AL210" s="10">
        <v>5.3104569000000001</v>
      </c>
      <c r="AM210" s="10">
        <v>5.2902427000000003</v>
      </c>
      <c r="AN210" s="10">
        <v>5.2703921999999999</v>
      </c>
      <c r="AO210" s="10">
        <v>5.2508258000000003</v>
      </c>
      <c r="AP210" s="10">
        <v>5.2314635999999997</v>
      </c>
      <c r="AQ210" s="10">
        <v>5.2122260000000002</v>
      </c>
      <c r="AR210" s="10">
        <v>5.1930331000000001</v>
      </c>
      <c r="AS210" s="10">
        <v>5.1738051</v>
      </c>
      <c r="AT210" s="10">
        <v>5.1544704000000001</v>
      </c>
      <c r="AU210" s="10">
        <v>5.1349964000000003</v>
      </c>
      <c r="AV210" s="10">
        <v>5.1153624000000004</v>
      </c>
      <c r="AW210" s="10">
        <v>5.0955475999999997</v>
      </c>
      <c r="AX210" s="10">
        <v>5.0755315000000003</v>
      </c>
      <c r="AY210" s="10">
        <v>5.0552934</v>
      </c>
      <c r="AZ210" s="10">
        <v>5.0348125000000001</v>
      </c>
      <c r="BA210" s="10">
        <v>5.0140681999999996</v>
      </c>
      <c r="BB210" s="10">
        <v>4.9930399000000003</v>
      </c>
      <c r="BC210" s="10">
        <v>4.9717067999999998</v>
      </c>
      <c r="BD210" s="10">
        <v>4.9500482000000003</v>
      </c>
      <c r="BE210" s="10">
        <v>4.9280435999999996</v>
      </c>
      <c r="BF210" s="10">
        <v>4.9056841000000002</v>
      </c>
      <c r="BG210" s="10">
        <v>4.8830143000000001</v>
      </c>
      <c r="BH210" s="10">
        <v>4.860093</v>
      </c>
      <c r="BI210" s="10">
        <v>4.8369792</v>
      </c>
      <c r="BJ210" s="10">
        <v>4.8137318999999996</v>
      </c>
      <c r="BK210" s="10">
        <v>4.7904100999999999</v>
      </c>
      <c r="BL210" s="10">
        <v>4.7670726999999999</v>
      </c>
      <c r="BM210" s="10">
        <v>4.7437788000000003</v>
      </c>
      <c r="BN210" s="10">
        <v>4.7205871999999998</v>
      </c>
      <c r="BO210" s="10">
        <v>4.6975569999999998</v>
      </c>
      <c r="BP210" s="10">
        <v>4.6747471999999997</v>
      </c>
      <c r="BQ210" s="10">
        <v>4.6522167000000003</v>
      </c>
      <c r="BR210" s="10">
        <v>4.5251086999999997</v>
      </c>
      <c r="BS210" s="10">
        <v>4.4162863999999997</v>
      </c>
      <c r="BU210" s="7">
        <v>4</v>
      </c>
      <c r="BV210" s="7">
        <v>4.43</v>
      </c>
      <c r="BW210" s="9">
        <v>75.906099999999995</v>
      </c>
    </row>
    <row r="211" spans="1:75" x14ac:dyDescent="0.25">
      <c r="A211" s="6">
        <f t="shared" si="23"/>
        <v>44847</v>
      </c>
      <c r="B211" s="13">
        <f t="shared" si="18"/>
        <v>10</v>
      </c>
      <c r="C211" s="13">
        <f t="shared" si="19"/>
        <v>2022</v>
      </c>
      <c r="D211">
        <f t="shared" si="20"/>
        <v>202210</v>
      </c>
      <c r="E211">
        <f t="shared" si="21"/>
        <v>4</v>
      </c>
      <c r="F211">
        <f t="shared" si="22"/>
        <v>202204</v>
      </c>
      <c r="G211" t="s">
        <v>398</v>
      </c>
      <c r="H211" s="9">
        <v>2.25</v>
      </c>
      <c r="I211" s="9">
        <v>2.1861999999999999</v>
      </c>
      <c r="J211" s="10">
        <v>2.9694522000000001</v>
      </c>
      <c r="K211" s="10">
        <v>3.6939155000000001</v>
      </c>
      <c r="L211" s="10">
        <v>4.2992178000000001</v>
      </c>
      <c r="M211" s="10">
        <v>4.7661429999999996</v>
      </c>
      <c r="N211" s="10">
        <v>5.1065877999999998</v>
      </c>
      <c r="O211" s="10">
        <v>5.3335903</v>
      </c>
      <c r="P211" s="10">
        <v>5.4652836000000002</v>
      </c>
      <c r="Q211" s="10">
        <v>5.5260249999999997</v>
      </c>
      <c r="R211" s="10">
        <v>5.5414281000000001</v>
      </c>
      <c r="S211" s="10">
        <v>5.5316049999999999</v>
      </c>
      <c r="T211" s="10">
        <v>5.5098282999999997</v>
      </c>
      <c r="U211" s="10">
        <v>5.4833926999999996</v>
      </c>
      <c r="V211" s="10">
        <v>5.4566283000000002</v>
      </c>
      <c r="W211" s="10">
        <v>5.4302790999999999</v>
      </c>
      <c r="X211" s="10">
        <v>5.4042475999999997</v>
      </c>
      <c r="Y211" s="10">
        <v>5.3784361000000001</v>
      </c>
      <c r="Z211" s="10">
        <v>5.3527471999999996</v>
      </c>
      <c r="AA211" s="10">
        <v>5.3270834000000002</v>
      </c>
      <c r="AB211" s="10">
        <v>5.3013705</v>
      </c>
      <c r="AC211" s="10">
        <v>5.2756533000000001</v>
      </c>
      <c r="AD211" s="10">
        <v>5.2500147999999998</v>
      </c>
      <c r="AE211" s="10">
        <v>5.2245381000000002</v>
      </c>
      <c r="AF211" s="10">
        <v>5.1993062999999999</v>
      </c>
      <c r="AG211" s="10">
        <v>5.1744022999999997</v>
      </c>
      <c r="AH211" s="10">
        <v>5.1498932000000002</v>
      </c>
      <c r="AI211" s="10">
        <v>5.1257679999999999</v>
      </c>
      <c r="AJ211" s="10">
        <v>5.1019920000000001</v>
      </c>
      <c r="AK211" s="10">
        <v>5.0785305000000003</v>
      </c>
      <c r="AL211" s="10">
        <v>5.0553489000000003</v>
      </c>
      <c r="AM211" s="10">
        <v>5.0324122999999998</v>
      </c>
      <c r="AN211" s="10">
        <v>5.0096862</v>
      </c>
      <c r="AO211" s="10">
        <v>4.9871357999999999</v>
      </c>
      <c r="AP211" s="10">
        <v>4.9647264</v>
      </c>
      <c r="AQ211" s="10">
        <v>4.9424234</v>
      </c>
      <c r="AR211" s="10">
        <v>4.9201920000000001</v>
      </c>
      <c r="AS211" s="10">
        <v>4.8979974999999998</v>
      </c>
      <c r="AT211" s="10">
        <v>4.8758071000000003</v>
      </c>
      <c r="AU211" s="10">
        <v>4.8535966999999998</v>
      </c>
      <c r="AV211" s="10">
        <v>4.8313442999999996</v>
      </c>
      <c r="AW211" s="10">
        <v>4.8090282000000002</v>
      </c>
      <c r="AX211" s="10">
        <v>4.7866263</v>
      </c>
      <c r="AY211" s="10">
        <v>4.7641169000000003</v>
      </c>
      <c r="AZ211" s="10">
        <v>4.7414779999999999</v>
      </c>
      <c r="BA211" s="10">
        <v>4.7186877999999997</v>
      </c>
      <c r="BB211" s="10">
        <v>4.6957244999999999</v>
      </c>
      <c r="BC211" s="10">
        <v>4.6725661000000001</v>
      </c>
      <c r="BD211" s="10">
        <v>4.6491907000000001</v>
      </c>
      <c r="BE211" s="10">
        <v>4.6255765999999996</v>
      </c>
      <c r="BF211" s="10">
        <v>4.6017123</v>
      </c>
      <c r="BG211" s="10">
        <v>4.5776326999999997</v>
      </c>
      <c r="BH211" s="10">
        <v>4.5533856000000004</v>
      </c>
      <c r="BI211" s="10">
        <v>4.5290185999999997</v>
      </c>
      <c r="BJ211" s="10">
        <v>4.5045795000000002</v>
      </c>
      <c r="BK211" s="10">
        <v>4.4801159000000004</v>
      </c>
      <c r="BL211" s="10">
        <v>4.4556756000000002</v>
      </c>
      <c r="BM211" s="10">
        <v>4.4313063000000001</v>
      </c>
      <c r="BN211" s="10">
        <v>4.4070556999999999</v>
      </c>
      <c r="BO211" s="10">
        <v>4.3829713999999997</v>
      </c>
      <c r="BP211" s="10">
        <v>4.3591011999999996</v>
      </c>
      <c r="BQ211" s="10">
        <v>4.3354929000000002</v>
      </c>
      <c r="BR211" s="10">
        <v>4.2014709000000003</v>
      </c>
      <c r="BS211" s="10">
        <v>4.0856152000000003</v>
      </c>
      <c r="BU211" s="7">
        <v>3.78</v>
      </c>
      <c r="BV211" s="7">
        <v>4.18</v>
      </c>
      <c r="BW211" s="9">
        <v>77.061099999999996</v>
      </c>
    </row>
    <row r="212" spans="1:75" x14ac:dyDescent="0.25">
      <c r="A212" s="6">
        <f t="shared" si="23"/>
        <v>44848</v>
      </c>
      <c r="B212" s="13">
        <f t="shared" si="18"/>
        <v>10</v>
      </c>
      <c r="C212" s="13">
        <f t="shared" si="19"/>
        <v>2022</v>
      </c>
      <c r="D212">
        <f t="shared" si="20"/>
        <v>202210</v>
      </c>
      <c r="E212">
        <f t="shared" si="21"/>
        <v>4</v>
      </c>
      <c r="F212">
        <f t="shared" si="22"/>
        <v>202204</v>
      </c>
      <c r="G212" t="s">
        <v>399</v>
      </c>
      <c r="H212" s="9">
        <v>2.25</v>
      </c>
      <c r="I212" s="9">
        <v>2.1844000000000001</v>
      </c>
      <c r="J212" s="10">
        <v>2.9635750000000001</v>
      </c>
      <c r="K212" s="10">
        <v>3.6733229000000001</v>
      </c>
      <c r="L212" s="10">
        <v>4.2731450999999998</v>
      </c>
      <c r="M212" s="10">
        <v>4.7357996</v>
      </c>
      <c r="N212" s="10">
        <v>5.0747849</v>
      </c>
      <c r="O212" s="10">
        <v>5.3060431000000001</v>
      </c>
      <c r="P212" s="10">
        <v>5.4477703000000002</v>
      </c>
      <c r="Q212" s="10">
        <v>5.5232112999999998</v>
      </c>
      <c r="R212" s="10">
        <v>5.5558861000000004</v>
      </c>
      <c r="S212" s="10">
        <v>5.5640578999999999</v>
      </c>
      <c r="T212" s="10">
        <v>5.5593026999999999</v>
      </c>
      <c r="U212" s="10">
        <v>5.5478094000000002</v>
      </c>
      <c r="V212" s="10">
        <v>5.5321309999999997</v>
      </c>
      <c r="W212" s="10">
        <v>5.5132032999999998</v>
      </c>
      <c r="X212" s="10">
        <v>5.4916710000000002</v>
      </c>
      <c r="Y212" s="10">
        <v>5.4681791000000004</v>
      </c>
      <c r="Z212" s="10">
        <v>5.4433723000000001</v>
      </c>
      <c r="AA212" s="10">
        <v>5.4178953999999999</v>
      </c>
      <c r="AB212" s="10">
        <v>5.3923227000000002</v>
      </c>
      <c r="AC212" s="10">
        <v>5.3669016999999997</v>
      </c>
      <c r="AD212" s="10">
        <v>5.3417851000000001</v>
      </c>
      <c r="AE212" s="10">
        <v>5.3171257000000001</v>
      </c>
      <c r="AF212" s="10">
        <v>5.2930761000000004</v>
      </c>
      <c r="AG212" s="10">
        <v>5.2697890999999997</v>
      </c>
      <c r="AH212" s="10">
        <v>5.2473784999999999</v>
      </c>
      <c r="AI212" s="10">
        <v>5.2257864999999999</v>
      </c>
      <c r="AJ212" s="10">
        <v>5.2049079999999996</v>
      </c>
      <c r="AK212" s="10">
        <v>5.1846376000000003</v>
      </c>
      <c r="AL212" s="10">
        <v>5.1648702999999996</v>
      </c>
      <c r="AM212" s="10">
        <v>5.1455007000000004</v>
      </c>
      <c r="AN212" s="10">
        <v>5.1264237000000001</v>
      </c>
      <c r="AO212" s="10">
        <v>5.1075340999999996</v>
      </c>
      <c r="AP212" s="10">
        <v>5.0887266999999996</v>
      </c>
      <c r="AQ212" s="10">
        <v>5.0698962999999999</v>
      </c>
      <c r="AR212" s="10">
        <v>5.0509377000000004</v>
      </c>
      <c r="AS212" s="10">
        <v>5.0317455999999998</v>
      </c>
      <c r="AT212" s="10">
        <v>5.0122308999999996</v>
      </c>
      <c r="AU212" s="10">
        <v>4.9923742999999998</v>
      </c>
      <c r="AV212" s="10">
        <v>4.9721764000000004</v>
      </c>
      <c r="AW212" s="10">
        <v>4.9516375000000004</v>
      </c>
      <c r="AX212" s="10">
        <v>4.9307578999999997</v>
      </c>
      <c r="AY212" s="10">
        <v>4.9095379000000001</v>
      </c>
      <c r="AZ212" s="10">
        <v>4.8879780000000004</v>
      </c>
      <c r="BA212" s="10">
        <v>4.8660785000000004</v>
      </c>
      <c r="BB212" s="10">
        <v>4.8438395999999999</v>
      </c>
      <c r="BC212" s="10">
        <v>4.8212618999999997</v>
      </c>
      <c r="BD212" s="10">
        <v>4.7983456000000002</v>
      </c>
      <c r="BE212" s="10">
        <v>4.7750909999999998</v>
      </c>
      <c r="BF212" s="10">
        <v>4.7515070000000001</v>
      </c>
      <c r="BG212" s="10">
        <v>4.7276392999999999</v>
      </c>
      <c r="BH212" s="10">
        <v>4.7035438000000003</v>
      </c>
      <c r="BI212" s="10">
        <v>4.6792765000000003</v>
      </c>
      <c r="BJ212" s="10">
        <v>4.6548933999999997</v>
      </c>
      <c r="BK212" s="10">
        <v>4.6304505000000002</v>
      </c>
      <c r="BL212" s="10">
        <v>4.6060036999999996</v>
      </c>
      <c r="BM212" s="10">
        <v>4.5816089</v>
      </c>
      <c r="BN212" s="10">
        <v>4.5573223</v>
      </c>
      <c r="BO212" s="10">
        <v>4.5331996999999999</v>
      </c>
      <c r="BP212" s="10">
        <v>4.5092971000000004</v>
      </c>
      <c r="BQ212" s="10">
        <v>4.4856704000000001</v>
      </c>
      <c r="BR212" s="10">
        <v>4.3520542999999998</v>
      </c>
      <c r="BS212" s="10">
        <v>4.2377094</v>
      </c>
      <c r="BU212" s="7">
        <v>3.93</v>
      </c>
      <c r="BV212" s="7">
        <v>4.37</v>
      </c>
      <c r="BW212" s="9">
        <v>77.004999999999995</v>
      </c>
    </row>
    <row r="213" spans="1:75" x14ac:dyDescent="0.25">
      <c r="A213" s="6">
        <f t="shared" si="23"/>
        <v>44851</v>
      </c>
      <c r="B213" s="13">
        <f t="shared" si="18"/>
        <v>10</v>
      </c>
      <c r="C213" s="13">
        <f t="shared" si="19"/>
        <v>2022</v>
      </c>
      <c r="D213">
        <f t="shared" si="20"/>
        <v>202210</v>
      </c>
      <c r="E213">
        <f t="shared" si="21"/>
        <v>4</v>
      </c>
      <c r="F213">
        <f t="shared" si="22"/>
        <v>202204</v>
      </c>
      <c r="G213" t="s">
        <v>400</v>
      </c>
      <c r="H213" s="9">
        <v>2.25</v>
      </c>
      <c r="I213" s="9">
        <v>2.1839</v>
      </c>
      <c r="J213" s="10">
        <v>3.0272917000000001</v>
      </c>
      <c r="K213" s="10">
        <v>3.5298585999999998</v>
      </c>
      <c r="L213" s="10">
        <v>4.0138585999999998</v>
      </c>
      <c r="M213" s="10">
        <v>4.4215127000000001</v>
      </c>
      <c r="N213" s="10">
        <v>4.7331460999999999</v>
      </c>
      <c r="O213" s="10">
        <v>4.9490091999999999</v>
      </c>
      <c r="P213" s="10">
        <v>5.0815041000000001</v>
      </c>
      <c r="Q213" s="10">
        <v>5.1524165999999996</v>
      </c>
      <c r="R213" s="10">
        <v>5.1823436000000003</v>
      </c>
      <c r="S213" s="10">
        <v>5.1883241</v>
      </c>
      <c r="T213" s="10">
        <v>5.1798785000000001</v>
      </c>
      <c r="U213" s="10">
        <v>5.1622450000000004</v>
      </c>
      <c r="V213" s="10">
        <v>5.1388077000000001</v>
      </c>
      <c r="W213" s="10">
        <v>5.1110113000000004</v>
      </c>
      <c r="X213" s="10">
        <v>5.0798727000000001</v>
      </c>
      <c r="Y213" s="10">
        <v>5.0464086000000004</v>
      </c>
      <c r="Z213" s="10">
        <v>5.0116357000000002</v>
      </c>
      <c r="AA213" s="10">
        <v>4.9765708000000002</v>
      </c>
      <c r="AB213" s="10">
        <v>4.9421008000000004</v>
      </c>
      <c r="AC213" s="10">
        <v>4.9085675999999996</v>
      </c>
      <c r="AD213" s="10">
        <v>4.8761698999999998</v>
      </c>
      <c r="AE213" s="10">
        <v>4.8451065</v>
      </c>
      <c r="AF213" s="10">
        <v>4.8155760000000001</v>
      </c>
      <c r="AG213" s="10">
        <v>4.7877770999999996</v>
      </c>
      <c r="AH213" s="10">
        <v>4.7618514000000003</v>
      </c>
      <c r="AI213" s="10">
        <v>4.7376886000000002</v>
      </c>
      <c r="AJ213" s="10">
        <v>4.7151087</v>
      </c>
      <c r="AK213" s="10">
        <v>4.6939318999999999</v>
      </c>
      <c r="AL213" s="10">
        <v>4.6739781000000002</v>
      </c>
      <c r="AM213" s="10">
        <v>4.6550675999999998</v>
      </c>
      <c r="AN213" s="10">
        <v>4.6370202999999997</v>
      </c>
      <c r="AO213" s="10">
        <v>4.6196562999999999</v>
      </c>
      <c r="AP213" s="10">
        <v>4.6027958</v>
      </c>
      <c r="AQ213" s="10">
        <v>4.5862588999999998</v>
      </c>
      <c r="AR213" s="10">
        <v>4.5698654999999997</v>
      </c>
      <c r="AS213" s="10">
        <v>4.5534357999999999</v>
      </c>
      <c r="AT213" s="10">
        <v>4.5368154000000001</v>
      </c>
      <c r="AU213" s="10">
        <v>4.5199625000000001</v>
      </c>
      <c r="AV213" s="10">
        <v>4.5028663</v>
      </c>
      <c r="AW213" s="10">
        <v>4.4855159000000002</v>
      </c>
      <c r="AX213" s="10">
        <v>4.4679007999999998</v>
      </c>
      <c r="AY213" s="10">
        <v>4.4500101000000001</v>
      </c>
      <c r="AZ213" s="10">
        <v>4.4318331000000004</v>
      </c>
      <c r="BA213" s="10">
        <v>4.4133589000000004</v>
      </c>
      <c r="BB213" s="10">
        <v>4.3945768999999997</v>
      </c>
      <c r="BC213" s="10">
        <v>4.3754762999999999</v>
      </c>
      <c r="BD213" s="10">
        <v>4.3560463</v>
      </c>
      <c r="BE213" s="10">
        <v>4.3362762000000004</v>
      </c>
      <c r="BF213" s="10">
        <v>4.3161635</v>
      </c>
      <c r="BG213" s="10">
        <v>4.2957507000000001</v>
      </c>
      <c r="BH213" s="10">
        <v>4.2750953999999997</v>
      </c>
      <c r="BI213" s="10">
        <v>4.2542552000000002</v>
      </c>
      <c r="BJ213" s="10">
        <v>4.2332875000000003</v>
      </c>
      <c r="BK213" s="10">
        <v>4.21225</v>
      </c>
      <c r="BL213" s="10">
        <v>4.1912000999999997</v>
      </c>
      <c r="BM213" s="10">
        <v>4.1701955000000002</v>
      </c>
      <c r="BN213" s="10">
        <v>4.1492937000000003</v>
      </c>
      <c r="BO213" s="10">
        <v>4.1285523</v>
      </c>
      <c r="BP213" s="10">
        <v>4.1080287000000002</v>
      </c>
      <c r="BQ213" s="10">
        <v>4.0877806000000003</v>
      </c>
      <c r="BR213" s="10">
        <v>3.9741719</v>
      </c>
      <c r="BS213" s="10">
        <v>3.8780663999999998</v>
      </c>
      <c r="BU213" s="7">
        <v>3.54</v>
      </c>
      <c r="BV213" s="7">
        <v>3.97</v>
      </c>
      <c r="BW213" s="9">
        <v>77.962000000000003</v>
      </c>
    </row>
    <row r="214" spans="1:75" x14ac:dyDescent="0.25">
      <c r="A214" s="6">
        <f t="shared" si="23"/>
        <v>44852</v>
      </c>
      <c r="B214" s="13">
        <f t="shared" si="18"/>
        <v>10</v>
      </c>
      <c r="C214" s="13">
        <f t="shared" si="19"/>
        <v>2022</v>
      </c>
      <c r="D214">
        <f t="shared" si="20"/>
        <v>202210</v>
      </c>
      <c r="E214">
        <f t="shared" si="21"/>
        <v>4</v>
      </c>
      <c r="F214">
        <f t="shared" si="22"/>
        <v>202204</v>
      </c>
      <c r="G214" t="s">
        <v>401</v>
      </c>
      <c r="H214" s="9">
        <v>2.25</v>
      </c>
      <c r="I214" s="9">
        <v>2.1842000000000001</v>
      </c>
      <c r="J214" s="10">
        <v>3.0979467000000001</v>
      </c>
      <c r="K214" s="10">
        <v>3.5918421</v>
      </c>
      <c r="L214" s="10">
        <v>4.0842073000000001</v>
      </c>
      <c r="M214" s="10">
        <v>4.5022916999999998</v>
      </c>
      <c r="N214" s="10">
        <v>4.8172712999999998</v>
      </c>
      <c r="O214" s="10">
        <v>5.0344696000000004</v>
      </c>
      <c r="P214" s="10">
        <v>5.1652794000000002</v>
      </c>
      <c r="Q214" s="10">
        <v>5.2335943</v>
      </c>
      <c r="R214" s="10">
        <v>5.2608351999999998</v>
      </c>
      <c r="S214" s="10">
        <v>5.2638641000000002</v>
      </c>
      <c r="T214" s="10">
        <v>5.2527400999999996</v>
      </c>
      <c r="U214" s="10">
        <v>5.2331234000000002</v>
      </c>
      <c r="V214" s="10">
        <v>5.2082037000000003</v>
      </c>
      <c r="W214" s="10">
        <v>5.1793206999999999</v>
      </c>
      <c r="X214" s="10">
        <v>5.1474443000000001</v>
      </c>
      <c r="Y214" s="10">
        <v>5.1135441999999998</v>
      </c>
      <c r="Z214" s="10">
        <v>5.0785903000000001</v>
      </c>
      <c r="AA214" s="10">
        <v>5.0435524000000003</v>
      </c>
      <c r="AB214" s="10">
        <v>5.0092454999999996</v>
      </c>
      <c r="AC214" s="10">
        <v>4.9758342999999998</v>
      </c>
      <c r="AD214" s="10">
        <v>4.9433123999999999</v>
      </c>
      <c r="AE214" s="10">
        <v>4.9116735</v>
      </c>
      <c r="AF214" s="10">
        <v>4.8809113999999996</v>
      </c>
      <c r="AG214" s="10">
        <v>4.8510198000000004</v>
      </c>
      <c r="AH214" s="10">
        <v>4.8219861000000002</v>
      </c>
      <c r="AI214" s="10">
        <v>4.7937702</v>
      </c>
      <c r="AJ214" s="10">
        <v>4.7663241000000003</v>
      </c>
      <c r="AK214" s="10">
        <v>4.7396000000000003</v>
      </c>
      <c r="AL214" s="10">
        <v>4.7135499000000003</v>
      </c>
      <c r="AM214" s="10">
        <v>4.6881260999999999</v>
      </c>
      <c r="AN214" s="10">
        <v>4.6632806999999996</v>
      </c>
      <c r="AO214" s="10">
        <v>4.6389658000000003</v>
      </c>
      <c r="AP214" s="10">
        <v>4.6151334999999998</v>
      </c>
      <c r="AQ214" s="10">
        <v>4.591736</v>
      </c>
      <c r="AR214" s="10">
        <v>4.5687252999999997</v>
      </c>
      <c r="AS214" s="10">
        <v>4.5460536999999999</v>
      </c>
      <c r="AT214" s="10">
        <v>4.5236767000000002</v>
      </c>
      <c r="AU214" s="10">
        <v>4.5015687</v>
      </c>
      <c r="AV214" s="10">
        <v>4.4797101000000001</v>
      </c>
      <c r="AW214" s="10">
        <v>4.4580818000000004</v>
      </c>
      <c r="AX214" s="10">
        <v>4.4366640999999998</v>
      </c>
      <c r="AY214" s="10">
        <v>4.4154378000000003</v>
      </c>
      <c r="AZ214" s="10">
        <v>4.3943833999999997</v>
      </c>
      <c r="BA214" s="10">
        <v>4.3734814999999996</v>
      </c>
      <c r="BB214" s="10">
        <v>4.3527127999999999</v>
      </c>
      <c r="BC214" s="10">
        <v>4.3320578000000003</v>
      </c>
      <c r="BD214" s="10">
        <v>4.3114970000000001</v>
      </c>
      <c r="BE214" s="10">
        <v>4.2910113000000001</v>
      </c>
      <c r="BF214" s="10">
        <v>4.2705864</v>
      </c>
      <c r="BG214" s="10">
        <v>4.2502347</v>
      </c>
      <c r="BH214" s="10">
        <v>4.2299764</v>
      </c>
      <c r="BI214" s="10">
        <v>4.2098319999999996</v>
      </c>
      <c r="BJ214" s="10">
        <v>4.1898216000000001</v>
      </c>
      <c r="BK214" s="10">
        <v>4.1699655</v>
      </c>
      <c r="BL214" s="10">
        <v>4.1502841000000004</v>
      </c>
      <c r="BM214" s="10">
        <v>4.1307976000000002</v>
      </c>
      <c r="BN214" s="10">
        <v>4.1115263000000004</v>
      </c>
      <c r="BO214" s="10">
        <v>4.0924905000000003</v>
      </c>
      <c r="BP214" s="10">
        <v>4.0737104999999998</v>
      </c>
      <c r="BQ214" s="10">
        <v>4.0552066</v>
      </c>
      <c r="BR214" s="10">
        <v>3.9511452</v>
      </c>
      <c r="BS214" s="10">
        <v>3.8623080999999999</v>
      </c>
      <c r="BU214" s="7">
        <v>3.56</v>
      </c>
      <c r="BV214" s="7">
        <v>3.93</v>
      </c>
      <c r="BW214" s="9">
        <v>77.036500000000004</v>
      </c>
    </row>
    <row r="215" spans="1:75" x14ac:dyDescent="0.25">
      <c r="A215" s="6">
        <f t="shared" si="23"/>
        <v>44853</v>
      </c>
      <c r="B215" s="13">
        <f t="shared" si="18"/>
        <v>10</v>
      </c>
      <c r="C215" s="13">
        <f t="shared" si="19"/>
        <v>2022</v>
      </c>
      <c r="D215">
        <f t="shared" si="20"/>
        <v>202210</v>
      </c>
      <c r="E215">
        <f t="shared" si="21"/>
        <v>4</v>
      </c>
      <c r="F215">
        <f t="shared" si="22"/>
        <v>202204</v>
      </c>
      <c r="G215" t="s">
        <v>402</v>
      </c>
      <c r="H215" s="9">
        <v>2.25</v>
      </c>
      <c r="I215" s="9">
        <v>2.1842999999999999</v>
      </c>
      <c r="J215" s="10">
        <v>3.1013218</v>
      </c>
      <c r="K215" s="10">
        <v>3.5585178000000002</v>
      </c>
      <c r="L215" s="10">
        <v>4.0360046000000001</v>
      </c>
      <c r="M215" s="10">
        <v>4.4503833000000004</v>
      </c>
      <c r="N215" s="10">
        <v>4.7666588000000001</v>
      </c>
      <c r="O215" s="10">
        <v>4.9848125999999997</v>
      </c>
      <c r="P215" s="10">
        <v>5.1169693000000001</v>
      </c>
      <c r="Q215" s="10">
        <v>5.1865702000000002</v>
      </c>
      <c r="R215" s="10">
        <v>5.2156808000000003</v>
      </c>
      <c r="S215" s="10">
        <v>5.2205630999999997</v>
      </c>
      <c r="T215" s="10">
        <v>5.2113839999999998</v>
      </c>
      <c r="U215" s="10">
        <v>5.1931767999999998</v>
      </c>
      <c r="V215" s="10">
        <v>5.1684980999999999</v>
      </c>
      <c r="W215" s="10">
        <v>5.1385918999999998</v>
      </c>
      <c r="X215" s="10">
        <v>5.1044431000000001</v>
      </c>
      <c r="Y215" s="10">
        <v>5.0670365000000004</v>
      </c>
      <c r="Z215" s="10">
        <v>5.0273569</v>
      </c>
      <c r="AA215" s="10">
        <v>4.9863891000000002</v>
      </c>
      <c r="AB215" s="10">
        <v>4.9450247999999997</v>
      </c>
      <c r="AC215" s="10">
        <v>4.9037644</v>
      </c>
      <c r="AD215" s="10">
        <v>4.8630053000000002</v>
      </c>
      <c r="AE215" s="10">
        <v>4.8231453000000002</v>
      </c>
      <c r="AF215" s="10">
        <v>4.7845817999999998</v>
      </c>
      <c r="AG215" s="10">
        <v>4.7477124999999996</v>
      </c>
      <c r="AH215" s="10">
        <v>4.7128684999999999</v>
      </c>
      <c r="AI215" s="10">
        <v>4.6800237999999998</v>
      </c>
      <c r="AJ215" s="10">
        <v>4.6490327000000002</v>
      </c>
      <c r="AK215" s="10">
        <v>4.6197493999999999</v>
      </c>
      <c r="AL215" s="10">
        <v>4.5920278999999997</v>
      </c>
      <c r="AM215" s="10">
        <v>4.5657224999999997</v>
      </c>
      <c r="AN215" s="10">
        <v>4.5406871999999998</v>
      </c>
      <c r="AO215" s="10">
        <v>4.5167763000000001</v>
      </c>
      <c r="AP215" s="10">
        <v>4.4938437999999996</v>
      </c>
      <c r="AQ215" s="10">
        <v>4.4717440000000002</v>
      </c>
      <c r="AR215" s="10">
        <v>4.4503310000000003</v>
      </c>
      <c r="AS215" s="10">
        <v>4.4294589000000002</v>
      </c>
      <c r="AT215" s="10">
        <v>4.4089951000000003</v>
      </c>
      <c r="AU215" s="10">
        <v>4.388871</v>
      </c>
      <c r="AV215" s="10">
        <v>4.3690378000000001</v>
      </c>
      <c r="AW215" s="10">
        <v>4.3494463999999997</v>
      </c>
      <c r="AX215" s="10">
        <v>4.3300478</v>
      </c>
      <c r="AY215" s="10">
        <v>4.3107932</v>
      </c>
      <c r="AZ215" s="10">
        <v>4.2916335999999999</v>
      </c>
      <c r="BA215" s="10">
        <v>4.2725200000000001</v>
      </c>
      <c r="BB215" s="10">
        <v>4.2534035000000001</v>
      </c>
      <c r="BC215" s="10">
        <v>4.234235</v>
      </c>
      <c r="BD215" s="10">
        <v>4.2149656999999996</v>
      </c>
      <c r="BE215" s="10">
        <v>4.1955466000000001</v>
      </c>
      <c r="BF215" s="10">
        <v>4.1759414000000001</v>
      </c>
      <c r="BG215" s="10">
        <v>4.1561691999999999</v>
      </c>
      <c r="BH215" s="10">
        <v>4.1362648999999996</v>
      </c>
      <c r="BI215" s="10">
        <v>4.116263</v>
      </c>
      <c r="BJ215" s="10">
        <v>4.0961983000000002</v>
      </c>
      <c r="BK215" s="10">
        <v>4.0761053</v>
      </c>
      <c r="BL215" s="10">
        <v>4.0560187000000001</v>
      </c>
      <c r="BM215" s="10">
        <v>4.0359731999999999</v>
      </c>
      <c r="BN215" s="10">
        <v>4.0160033999999998</v>
      </c>
      <c r="BO215" s="10">
        <v>3.9961440000000001</v>
      </c>
      <c r="BP215" s="10">
        <v>3.9764297000000002</v>
      </c>
      <c r="BQ215" s="10">
        <v>3.9568949999999998</v>
      </c>
      <c r="BR215" s="10">
        <v>3.8450356000000001</v>
      </c>
      <c r="BS215" s="10">
        <v>3.7461582</v>
      </c>
      <c r="BU215" s="7">
        <v>3.47</v>
      </c>
      <c r="BV215" s="7">
        <v>3.89</v>
      </c>
      <c r="BW215" s="9">
        <v>76.955100000000002</v>
      </c>
    </row>
    <row r="216" spans="1:75" x14ac:dyDescent="0.25">
      <c r="A216" s="6">
        <f t="shared" si="23"/>
        <v>44854</v>
      </c>
      <c r="B216" s="13">
        <f t="shared" si="18"/>
        <v>10</v>
      </c>
      <c r="C216" s="13">
        <f t="shared" si="19"/>
        <v>2022</v>
      </c>
      <c r="D216">
        <f t="shared" si="20"/>
        <v>202210</v>
      </c>
      <c r="E216">
        <f t="shared" si="21"/>
        <v>4</v>
      </c>
      <c r="F216">
        <f t="shared" si="22"/>
        <v>202204</v>
      </c>
      <c r="G216" t="s">
        <v>403</v>
      </c>
      <c r="H216" s="9">
        <v>2.25</v>
      </c>
      <c r="I216" s="9">
        <v>2.1850999999999998</v>
      </c>
      <c r="J216" s="10">
        <v>3.0954541999999998</v>
      </c>
      <c r="K216" s="10">
        <v>3.5210685000000002</v>
      </c>
      <c r="L216" s="10">
        <v>3.9787808</v>
      </c>
      <c r="M216" s="10">
        <v>4.3848189</v>
      </c>
      <c r="N216" s="10">
        <v>4.7015881000000004</v>
      </c>
      <c r="O216" s="10">
        <v>4.9241777999999998</v>
      </c>
      <c r="P216" s="10">
        <v>5.0652477999999999</v>
      </c>
      <c r="Q216" s="10">
        <v>5.1467948000000003</v>
      </c>
      <c r="R216" s="10">
        <v>5.1901292000000003</v>
      </c>
      <c r="S216" s="10">
        <v>5.2102994999999996</v>
      </c>
      <c r="T216" s="10">
        <v>5.2162837</v>
      </c>
      <c r="U216" s="10">
        <v>5.2124094999999997</v>
      </c>
      <c r="V216" s="10">
        <v>5.2005042000000001</v>
      </c>
      <c r="W216" s="10">
        <v>5.1817038999999996</v>
      </c>
      <c r="X216" s="10">
        <v>5.1570711999999999</v>
      </c>
      <c r="Y216" s="10">
        <v>5.1276688000000004</v>
      </c>
      <c r="Z216" s="10">
        <v>5.0945593999999996</v>
      </c>
      <c r="AA216" s="10">
        <v>5.0588056999999997</v>
      </c>
      <c r="AB216" s="10">
        <v>5.0214005999999998</v>
      </c>
      <c r="AC216" s="10">
        <v>4.9829799000000001</v>
      </c>
      <c r="AD216" s="10">
        <v>4.9440653000000001</v>
      </c>
      <c r="AE216" s="10">
        <v>4.9051783000000002</v>
      </c>
      <c r="AF216" s="10">
        <v>4.8668407</v>
      </c>
      <c r="AG216" s="10">
        <v>4.829574</v>
      </c>
      <c r="AH216" s="10">
        <v>4.7938174</v>
      </c>
      <c r="AI216" s="10">
        <v>4.7596084000000003</v>
      </c>
      <c r="AJ216" s="10">
        <v>4.7268622999999996</v>
      </c>
      <c r="AK216" s="10">
        <v>4.6954941000000003</v>
      </c>
      <c r="AL216" s="10">
        <v>4.6654191000000003</v>
      </c>
      <c r="AM216" s="10">
        <v>4.6365524000000002</v>
      </c>
      <c r="AN216" s="10">
        <v>4.6088092999999999</v>
      </c>
      <c r="AO216" s="10">
        <v>4.5821049</v>
      </c>
      <c r="AP216" s="10">
        <v>4.5563544</v>
      </c>
      <c r="AQ216" s="10">
        <v>4.5314730000000001</v>
      </c>
      <c r="AR216" s="10">
        <v>4.5073759000000004</v>
      </c>
      <c r="AS216" s="10">
        <v>4.4839783000000004</v>
      </c>
      <c r="AT216" s="10">
        <v>4.4611995000000002</v>
      </c>
      <c r="AU216" s="10">
        <v>4.4389772000000001</v>
      </c>
      <c r="AV216" s="10">
        <v>4.4172542999999997</v>
      </c>
      <c r="AW216" s="10">
        <v>4.3959733999999999</v>
      </c>
      <c r="AX216" s="10">
        <v>4.3750774999999997</v>
      </c>
      <c r="AY216" s="10">
        <v>4.3545091999999999</v>
      </c>
      <c r="AZ216" s="10">
        <v>4.3342115000000003</v>
      </c>
      <c r="BA216" s="10">
        <v>4.314127</v>
      </c>
      <c r="BB216" s="10">
        <v>4.2941985000000003</v>
      </c>
      <c r="BC216" s="10">
        <v>4.2743688999999998</v>
      </c>
      <c r="BD216" s="10">
        <v>4.2545808999999997</v>
      </c>
      <c r="BE216" s="10">
        <v>4.2347773000000002</v>
      </c>
      <c r="BF216" s="10">
        <v>4.2149128999999999</v>
      </c>
      <c r="BG216" s="10">
        <v>4.1949953000000004</v>
      </c>
      <c r="BH216" s="10">
        <v>4.1750467999999996</v>
      </c>
      <c r="BI216" s="10">
        <v>4.1550896000000002</v>
      </c>
      <c r="BJ216" s="10">
        <v>4.1351459000000004</v>
      </c>
      <c r="BK216" s="10">
        <v>4.1152379999999997</v>
      </c>
      <c r="BL216" s="10">
        <v>4.0953881000000001</v>
      </c>
      <c r="BM216" s="10">
        <v>4.0756183999999998</v>
      </c>
      <c r="BN216" s="10">
        <v>4.0559510999999997</v>
      </c>
      <c r="BO216" s="10">
        <v>4.0364085999999997</v>
      </c>
      <c r="BP216" s="10">
        <v>4.0170130000000004</v>
      </c>
      <c r="BQ216" s="10">
        <v>3.9977865000000001</v>
      </c>
      <c r="BR216" s="10">
        <v>3.8872781000000001</v>
      </c>
      <c r="BS216" s="10">
        <v>3.7887829000000002</v>
      </c>
      <c r="BU216" s="7">
        <v>3.57</v>
      </c>
      <c r="BV216" s="7">
        <v>3.94</v>
      </c>
      <c r="BW216" s="9">
        <v>77.150400000000005</v>
      </c>
    </row>
    <row r="217" spans="1:75" x14ac:dyDescent="0.25">
      <c r="A217" s="6">
        <f t="shared" si="23"/>
        <v>44855</v>
      </c>
      <c r="B217" s="13">
        <f t="shared" si="18"/>
        <v>10</v>
      </c>
      <c r="C217" s="13">
        <f t="shared" si="19"/>
        <v>2022</v>
      </c>
      <c r="D217">
        <f t="shared" si="20"/>
        <v>202210</v>
      </c>
      <c r="E217">
        <f t="shared" si="21"/>
        <v>4</v>
      </c>
      <c r="F217">
        <f t="shared" si="22"/>
        <v>202204</v>
      </c>
      <c r="G217" t="s">
        <v>404</v>
      </c>
      <c r="H217" s="9">
        <v>2.25</v>
      </c>
      <c r="I217" s="9">
        <v>2.1850000000000001</v>
      </c>
      <c r="J217" s="10">
        <v>3.1189431999999999</v>
      </c>
      <c r="K217" s="10">
        <v>3.5346251</v>
      </c>
      <c r="L217" s="10">
        <v>3.9921563</v>
      </c>
      <c r="M217" s="10">
        <v>4.4060607999999997</v>
      </c>
      <c r="N217" s="10">
        <v>4.7338521</v>
      </c>
      <c r="O217" s="10">
        <v>4.9681661000000004</v>
      </c>
      <c r="P217" s="10">
        <v>5.1195541999999996</v>
      </c>
      <c r="Q217" s="10">
        <v>5.2091146000000004</v>
      </c>
      <c r="R217" s="10">
        <v>5.2582898</v>
      </c>
      <c r="S217" s="10">
        <v>5.2826200999999999</v>
      </c>
      <c r="T217" s="10">
        <v>5.2906503000000003</v>
      </c>
      <c r="U217" s="10">
        <v>5.2864022000000004</v>
      </c>
      <c r="V217" s="10">
        <v>5.2722968000000003</v>
      </c>
      <c r="W217" s="10">
        <v>5.2500914999999999</v>
      </c>
      <c r="X217" s="10">
        <v>5.2213997000000001</v>
      </c>
      <c r="Y217" s="10">
        <v>5.1878348000000001</v>
      </c>
      <c r="Z217" s="10">
        <v>5.1510100999999997</v>
      </c>
      <c r="AA217" s="10">
        <v>5.1125391000000002</v>
      </c>
      <c r="AB217" s="10">
        <v>5.0738507999999998</v>
      </c>
      <c r="AC217" s="10">
        <v>5.0355204000000002</v>
      </c>
      <c r="AD217" s="10">
        <v>4.9978753999999999</v>
      </c>
      <c r="AE217" s="10">
        <v>4.9612433999999999</v>
      </c>
      <c r="AF217" s="10">
        <v>4.9259519000000003</v>
      </c>
      <c r="AG217" s="10">
        <v>4.8923284999999996</v>
      </c>
      <c r="AH217" s="10">
        <v>4.8606268999999998</v>
      </c>
      <c r="AI217" s="10">
        <v>4.8307744000000001</v>
      </c>
      <c r="AJ217" s="10">
        <v>4.8026087999999998</v>
      </c>
      <c r="AK217" s="10">
        <v>4.7759673999999999</v>
      </c>
      <c r="AL217" s="10">
        <v>4.7506879</v>
      </c>
      <c r="AM217" s="10">
        <v>4.7266076000000004</v>
      </c>
      <c r="AN217" s="10">
        <v>4.7035643</v>
      </c>
      <c r="AO217" s="10">
        <v>4.6813953000000001</v>
      </c>
      <c r="AP217" s="10">
        <v>4.6599380999999997</v>
      </c>
      <c r="AQ217" s="10">
        <v>4.6390304000000002</v>
      </c>
      <c r="AR217" s="10">
        <v>4.6185096000000003</v>
      </c>
      <c r="AS217" s="10">
        <v>4.5982133000000003</v>
      </c>
      <c r="AT217" s="10">
        <v>4.5780003999999996</v>
      </c>
      <c r="AU217" s="10">
        <v>4.5578249</v>
      </c>
      <c r="AV217" s="10">
        <v>4.5376669999999999</v>
      </c>
      <c r="AW217" s="10">
        <v>4.5175067000000002</v>
      </c>
      <c r="AX217" s="10">
        <v>4.4973242000000004</v>
      </c>
      <c r="AY217" s="10">
        <v>4.4770997000000001</v>
      </c>
      <c r="AZ217" s="10">
        <v>4.4568132</v>
      </c>
      <c r="BA217" s="10">
        <v>4.4364448999999997</v>
      </c>
      <c r="BB217" s="10">
        <v>4.4159750000000004</v>
      </c>
      <c r="BC217" s="10">
        <v>4.3953834000000001</v>
      </c>
      <c r="BD217" s="10">
        <v>4.3746505000000004</v>
      </c>
      <c r="BE217" s="10">
        <v>4.3537562999999997</v>
      </c>
      <c r="BF217" s="10">
        <v>4.3326903000000003</v>
      </c>
      <c r="BG217" s="10">
        <v>4.3114838000000004</v>
      </c>
      <c r="BH217" s="10">
        <v>4.2901790999999996</v>
      </c>
      <c r="BI217" s="10">
        <v>4.2688189999999997</v>
      </c>
      <c r="BJ217" s="10">
        <v>4.2474461000000003</v>
      </c>
      <c r="BK217" s="10">
        <v>4.2261027999999996</v>
      </c>
      <c r="BL217" s="10">
        <v>4.2048318</v>
      </c>
      <c r="BM217" s="10">
        <v>4.1836757000000002</v>
      </c>
      <c r="BN217" s="10">
        <v>4.1626770000000004</v>
      </c>
      <c r="BO217" s="10">
        <v>4.1418784000000004</v>
      </c>
      <c r="BP217" s="10">
        <v>4.1213224000000004</v>
      </c>
      <c r="BQ217" s="10">
        <v>4.1010514999999996</v>
      </c>
      <c r="BR217" s="10">
        <v>3.9870895000000002</v>
      </c>
      <c r="BS217" s="10">
        <v>3.8898139999999999</v>
      </c>
      <c r="BU217" s="7">
        <v>3.72</v>
      </c>
      <c r="BV217" s="7">
        <v>4.0599999999999996</v>
      </c>
      <c r="BW217" s="9">
        <v>76.366500000000002</v>
      </c>
    </row>
    <row r="218" spans="1:75" x14ac:dyDescent="0.25">
      <c r="A218" s="6">
        <f t="shared" si="23"/>
        <v>44858</v>
      </c>
      <c r="B218" s="13">
        <f t="shared" si="18"/>
        <v>10</v>
      </c>
      <c r="C218" s="13">
        <f t="shared" si="19"/>
        <v>2022</v>
      </c>
      <c r="D218">
        <f t="shared" si="20"/>
        <v>202210</v>
      </c>
      <c r="E218">
        <f t="shared" si="21"/>
        <v>4</v>
      </c>
      <c r="F218">
        <f t="shared" si="22"/>
        <v>202204</v>
      </c>
      <c r="G218" t="s">
        <v>405</v>
      </c>
      <c r="H218" s="9">
        <v>2.25</v>
      </c>
      <c r="I218" s="9">
        <v>2.1861999999999999</v>
      </c>
      <c r="J218" s="10">
        <v>3.0795275000000002</v>
      </c>
      <c r="K218" s="10">
        <v>3.4846045999999999</v>
      </c>
      <c r="L218" s="10">
        <v>3.9048240999999999</v>
      </c>
      <c r="M218" s="10">
        <v>4.2832008000000004</v>
      </c>
      <c r="N218" s="10">
        <v>4.5843657000000002</v>
      </c>
      <c r="O218" s="10">
        <v>4.8006770999999997</v>
      </c>
      <c r="P218" s="10">
        <v>4.9407005000000002</v>
      </c>
      <c r="Q218" s="10">
        <v>5.0241275999999999</v>
      </c>
      <c r="R218" s="10">
        <v>5.0695112</v>
      </c>
      <c r="S218" s="10">
        <v>5.0918815000000004</v>
      </c>
      <c r="T218" s="10">
        <v>5.0995961000000003</v>
      </c>
      <c r="U218" s="10">
        <v>5.0971070000000003</v>
      </c>
      <c r="V218" s="10">
        <v>5.0864148</v>
      </c>
      <c r="W218" s="10">
        <v>5.0686852</v>
      </c>
      <c r="X218" s="10">
        <v>5.0450077000000002</v>
      </c>
      <c r="Y218" s="10">
        <v>5.0164714000000004</v>
      </c>
      <c r="Z218" s="10">
        <v>4.9841658000000004</v>
      </c>
      <c r="AA218" s="10">
        <v>4.9491801999999998</v>
      </c>
      <c r="AB218" s="10">
        <v>4.9124916000000001</v>
      </c>
      <c r="AC218" s="10">
        <v>4.874606</v>
      </c>
      <c r="AD218" s="10">
        <v>4.8359055</v>
      </c>
      <c r="AE218" s="10">
        <v>4.7967721000000001</v>
      </c>
      <c r="AF218" s="10">
        <v>4.7575878999999999</v>
      </c>
      <c r="AG218" s="10">
        <v>4.7187349999999997</v>
      </c>
      <c r="AH218" s="10">
        <v>4.6805351999999996</v>
      </c>
      <c r="AI218" s="10">
        <v>4.6430439000000003</v>
      </c>
      <c r="AJ218" s="10">
        <v>4.6062433</v>
      </c>
      <c r="AK218" s="10">
        <v>4.5701153999999997</v>
      </c>
      <c r="AL218" s="10">
        <v>4.5346422000000004</v>
      </c>
      <c r="AM218" s="10">
        <v>4.4998059000000001</v>
      </c>
      <c r="AN218" s="10">
        <v>4.4655883000000003</v>
      </c>
      <c r="AO218" s="10">
        <v>4.4319718000000003</v>
      </c>
      <c r="AP218" s="10">
        <v>4.3989380999999996</v>
      </c>
      <c r="AQ218" s="10">
        <v>4.3664695</v>
      </c>
      <c r="AR218" s="10">
        <v>4.3345479999999998</v>
      </c>
      <c r="AS218" s="10">
        <v>4.3031556999999996</v>
      </c>
      <c r="AT218" s="10">
        <v>4.2722753000000004</v>
      </c>
      <c r="AU218" s="10">
        <v>4.2418931999999998</v>
      </c>
      <c r="AV218" s="10">
        <v>4.2119967000000003</v>
      </c>
      <c r="AW218" s="10">
        <v>4.1825729999999997</v>
      </c>
      <c r="AX218" s="10">
        <v>4.1536093999999997</v>
      </c>
      <c r="AY218" s="10">
        <v>4.1250931</v>
      </c>
      <c r="AZ218" s="10">
        <v>4.0970114000000004</v>
      </c>
      <c r="BA218" s="10">
        <v>4.0693514999999998</v>
      </c>
      <c r="BB218" s="10">
        <v>4.0421008</v>
      </c>
      <c r="BC218" s="10">
        <v>4.0152463999999997</v>
      </c>
      <c r="BD218" s="10">
        <v>3.9887757000000001</v>
      </c>
      <c r="BE218" s="10">
        <v>3.9626758999999998</v>
      </c>
      <c r="BF218" s="10">
        <v>3.9369380999999999</v>
      </c>
      <c r="BG218" s="10">
        <v>3.9115738000000002</v>
      </c>
      <c r="BH218" s="10">
        <v>3.8866014</v>
      </c>
      <c r="BI218" s="10">
        <v>3.8620394</v>
      </c>
      <c r="BJ218" s="10">
        <v>3.8379063000000002</v>
      </c>
      <c r="BK218" s="10">
        <v>3.8142204</v>
      </c>
      <c r="BL218" s="10">
        <v>3.7910002</v>
      </c>
      <c r="BM218" s="10">
        <v>3.7682641000000001</v>
      </c>
      <c r="BN218" s="10">
        <v>3.7460306000000001</v>
      </c>
      <c r="BO218" s="10">
        <v>3.7243179999999998</v>
      </c>
      <c r="BP218" s="10">
        <v>3.7031448999999999</v>
      </c>
      <c r="BQ218" s="10">
        <v>3.6825296999999999</v>
      </c>
      <c r="BR218" s="10">
        <v>3.5711680000000001</v>
      </c>
      <c r="BS218" s="10">
        <v>3.4819749</v>
      </c>
      <c r="BU218" s="7">
        <v>3.38</v>
      </c>
      <c r="BV218" s="7">
        <v>3.71</v>
      </c>
      <c r="BW218" s="9">
        <v>76.995500000000007</v>
      </c>
    </row>
    <row r="219" spans="1:75" x14ac:dyDescent="0.25">
      <c r="A219" s="6">
        <f t="shared" si="23"/>
        <v>44859</v>
      </c>
      <c r="B219" s="13">
        <f t="shared" si="18"/>
        <v>10</v>
      </c>
      <c r="C219" s="13">
        <f t="shared" si="19"/>
        <v>2022</v>
      </c>
      <c r="D219">
        <f t="shared" si="20"/>
        <v>202210</v>
      </c>
      <c r="E219">
        <f t="shared" si="21"/>
        <v>4</v>
      </c>
      <c r="F219">
        <f t="shared" si="22"/>
        <v>202204</v>
      </c>
      <c r="G219" t="s">
        <v>406</v>
      </c>
      <c r="H219" s="9">
        <v>2.25</v>
      </c>
      <c r="I219" s="9">
        <v>2.1861999999999999</v>
      </c>
      <c r="J219" s="10">
        <v>3.0874456000000001</v>
      </c>
      <c r="K219" s="10">
        <v>3.5042531000000001</v>
      </c>
      <c r="L219" s="10">
        <v>3.9129499000000001</v>
      </c>
      <c r="M219" s="10">
        <v>4.2684879999999996</v>
      </c>
      <c r="N219" s="10">
        <v>4.5419298000000001</v>
      </c>
      <c r="O219" s="10">
        <v>4.7347052999999999</v>
      </c>
      <c r="P219" s="10">
        <v>4.8557361999999999</v>
      </c>
      <c r="Q219" s="10">
        <v>4.9253381999999997</v>
      </c>
      <c r="R219" s="10">
        <v>4.9620945000000001</v>
      </c>
      <c r="S219" s="10">
        <v>4.9807854000000003</v>
      </c>
      <c r="T219" s="10">
        <v>4.9903104000000003</v>
      </c>
      <c r="U219" s="10">
        <v>4.9947609000000002</v>
      </c>
      <c r="V219" s="10">
        <v>4.9917176999999997</v>
      </c>
      <c r="W219" s="10">
        <v>4.9809872000000004</v>
      </c>
      <c r="X219" s="10">
        <v>4.9633910999999999</v>
      </c>
      <c r="Y219" s="10">
        <v>4.9397510000000002</v>
      </c>
      <c r="Z219" s="10">
        <v>4.9108885000000004</v>
      </c>
      <c r="AA219" s="10">
        <v>4.8776251999999998</v>
      </c>
      <c r="AB219" s="10">
        <v>4.8407904999999998</v>
      </c>
      <c r="AC219" s="10">
        <v>4.8012461000000002</v>
      </c>
      <c r="AD219" s="10">
        <v>4.7598624000000003</v>
      </c>
      <c r="AE219" s="10">
        <v>4.7175095999999996</v>
      </c>
      <c r="AF219" s="10">
        <v>4.6750581000000002</v>
      </c>
      <c r="AG219" s="10">
        <v>4.6333780000000004</v>
      </c>
      <c r="AH219" s="10">
        <v>4.5931940999999998</v>
      </c>
      <c r="AI219" s="10">
        <v>4.5545878000000002</v>
      </c>
      <c r="AJ219" s="10">
        <v>4.5174631999999999</v>
      </c>
      <c r="AK219" s="10">
        <v>4.4817241000000001</v>
      </c>
      <c r="AL219" s="10">
        <v>4.4472747000000004</v>
      </c>
      <c r="AM219" s="10">
        <v>4.4140189999999997</v>
      </c>
      <c r="AN219" s="10">
        <v>4.3818609999999998</v>
      </c>
      <c r="AO219" s="10">
        <v>4.3507046999999996</v>
      </c>
      <c r="AP219" s="10">
        <v>4.3204542000000004</v>
      </c>
      <c r="AQ219" s="10">
        <v>4.2910133999999998</v>
      </c>
      <c r="AR219" s="10">
        <v>4.2622865000000001</v>
      </c>
      <c r="AS219" s="10">
        <v>4.2341772999999998</v>
      </c>
      <c r="AT219" s="10">
        <v>4.2065976000000003</v>
      </c>
      <c r="AU219" s="10">
        <v>4.1795001999999997</v>
      </c>
      <c r="AV219" s="10">
        <v>4.1528520000000002</v>
      </c>
      <c r="AW219" s="10">
        <v>4.1266195999999997</v>
      </c>
      <c r="AX219" s="10">
        <v>4.1007696999999999</v>
      </c>
      <c r="AY219" s="10">
        <v>4.0752690999999999</v>
      </c>
      <c r="AZ219" s="10">
        <v>4.0500844999999996</v>
      </c>
      <c r="BA219" s="10">
        <v>4.0251825999999999</v>
      </c>
      <c r="BB219" s="10">
        <v>4.0005300999999998</v>
      </c>
      <c r="BC219" s="10">
        <v>3.9760938000000001</v>
      </c>
      <c r="BD219" s="10">
        <v>3.9518404</v>
      </c>
      <c r="BE219" s="10">
        <v>3.9277367000000001</v>
      </c>
      <c r="BF219" s="10">
        <v>3.9037576999999999</v>
      </c>
      <c r="BG219" s="10">
        <v>3.8799203000000002</v>
      </c>
      <c r="BH219" s="10">
        <v>3.8562536999999999</v>
      </c>
      <c r="BI219" s="10">
        <v>3.8327871999999998</v>
      </c>
      <c r="BJ219" s="10">
        <v>3.8095501000000001</v>
      </c>
      <c r="BK219" s="10">
        <v>3.7865715999999998</v>
      </c>
      <c r="BL219" s="10">
        <v>3.7638810999999999</v>
      </c>
      <c r="BM219" s="10">
        <v>3.7415077000000001</v>
      </c>
      <c r="BN219" s="10">
        <v>3.7194809000000002</v>
      </c>
      <c r="BO219" s="10">
        <v>3.6978298999999999</v>
      </c>
      <c r="BP219" s="10">
        <v>3.6765838999999998</v>
      </c>
      <c r="BQ219" s="10">
        <v>3.6557723000000002</v>
      </c>
      <c r="BR219" s="10">
        <v>3.5410506000000002</v>
      </c>
      <c r="BS219" s="10">
        <v>3.4456234000000001</v>
      </c>
      <c r="BU219" s="7">
        <v>3.32</v>
      </c>
      <c r="BV219" s="7">
        <v>3.63</v>
      </c>
      <c r="BW219" s="9">
        <v>77.672600000000003</v>
      </c>
    </row>
    <row r="220" spans="1:75" x14ac:dyDescent="0.25">
      <c r="A220" s="6">
        <f t="shared" si="23"/>
        <v>44860</v>
      </c>
      <c r="B220" s="13">
        <f t="shared" si="18"/>
        <v>10</v>
      </c>
      <c r="C220" s="13">
        <f t="shared" si="19"/>
        <v>2022</v>
      </c>
      <c r="D220">
        <f t="shared" si="20"/>
        <v>202210</v>
      </c>
      <c r="E220">
        <f t="shared" si="21"/>
        <v>4</v>
      </c>
      <c r="F220">
        <f t="shared" si="22"/>
        <v>202204</v>
      </c>
      <c r="G220" t="s">
        <v>407</v>
      </c>
      <c r="H220" s="9">
        <v>2.25</v>
      </c>
      <c r="I220" s="9">
        <v>2.1852</v>
      </c>
      <c r="J220" s="10">
        <v>3.0267520999999999</v>
      </c>
      <c r="K220" s="10">
        <v>3.4244563000000001</v>
      </c>
      <c r="L220" s="10">
        <v>3.8111727000000002</v>
      </c>
      <c r="M220" s="10">
        <v>4.1530123000000003</v>
      </c>
      <c r="N220" s="10">
        <v>4.4276919000000001</v>
      </c>
      <c r="O220" s="10">
        <v>4.6330312999999999</v>
      </c>
      <c r="P220" s="10">
        <v>4.7738095999999999</v>
      </c>
      <c r="Q220" s="10">
        <v>4.8632989999999996</v>
      </c>
      <c r="R220" s="10">
        <v>4.9155652999999999</v>
      </c>
      <c r="S220" s="10">
        <v>4.9420221</v>
      </c>
      <c r="T220" s="10">
        <v>4.9509014000000002</v>
      </c>
      <c r="U220" s="10">
        <v>4.9463343000000002</v>
      </c>
      <c r="V220" s="10">
        <v>4.9313460999999998</v>
      </c>
      <c r="W220" s="10">
        <v>4.9076944999999998</v>
      </c>
      <c r="X220" s="10">
        <v>4.8767892000000002</v>
      </c>
      <c r="Y220" s="10">
        <v>4.8400397999999996</v>
      </c>
      <c r="Z220" s="10">
        <v>4.7988561000000001</v>
      </c>
      <c r="AA220" s="10">
        <v>4.7546479000000001</v>
      </c>
      <c r="AB220" s="10">
        <v>4.7087114999999997</v>
      </c>
      <c r="AC220" s="10">
        <v>4.6618678999999998</v>
      </c>
      <c r="AD220" s="10">
        <v>4.6148129000000004</v>
      </c>
      <c r="AE220" s="10">
        <v>4.5682422999999996</v>
      </c>
      <c r="AF220" s="10">
        <v>4.5228520000000003</v>
      </c>
      <c r="AG220" s="10">
        <v>4.4793377999999997</v>
      </c>
      <c r="AH220" s="10">
        <v>4.4382903000000002</v>
      </c>
      <c r="AI220" s="10">
        <v>4.3997327000000004</v>
      </c>
      <c r="AJ220" s="10">
        <v>4.3634979999999999</v>
      </c>
      <c r="AK220" s="10">
        <v>4.3294189999999997</v>
      </c>
      <c r="AL220" s="10">
        <v>4.2973286000000002</v>
      </c>
      <c r="AM220" s="10">
        <v>4.2670596999999999</v>
      </c>
      <c r="AN220" s="10">
        <v>4.2384452000000001</v>
      </c>
      <c r="AO220" s="10">
        <v>4.2113179000000001</v>
      </c>
      <c r="AP220" s="10">
        <v>4.1855108000000003</v>
      </c>
      <c r="AQ220" s="10">
        <v>4.1608567000000001</v>
      </c>
      <c r="AR220" s="10">
        <v>4.1371884999999997</v>
      </c>
      <c r="AS220" s="10">
        <v>4.1143390000000002</v>
      </c>
      <c r="AT220" s="10">
        <v>4.0921547</v>
      </c>
      <c r="AU220" s="10">
        <v>4.0705482000000002</v>
      </c>
      <c r="AV220" s="10">
        <v>4.0494519000000002</v>
      </c>
      <c r="AW220" s="10">
        <v>4.0287986</v>
      </c>
      <c r="AX220" s="10">
        <v>4.0085208000000003</v>
      </c>
      <c r="AY220" s="10">
        <v>3.9885511999999999</v>
      </c>
      <c r="AZ220" s="10">
        <v>3.9688222999999998</v>
      </c>
      <c r="BA220" s="10">
        <v>3.9492669</v>
      </c>
      <c r="BB220" s="10">
        <v>3.9298174000000001</v>
      </c>
      <c r="BC220" s="10">
        <v>3.9104066</v>
      </c>
      <c r="BD220" s="10">
        <v>3.8909669999999998</v>
      </c>
      <c r="BE220" s="10">
        <v>3.8714312999999998</v>
      </c>
      <c r="BF220" s="10">
        <v>3.8517478000000001</v>
      </c>
      <c r="BG220" s="10">
        <v>3.8319342000000001</v>
      </c>
      <c r="BH220" s="10">
        <v>3.8120275000000001</v>
      </c>
      <c r="BI220" s="10">
        <v>3.7920645999999998</v>
      </c>
      <c r="BJ220" s="10">
        <v>3.7720823999999999</v>
      </c>
      <c r="BK220" s="10">
        <v>3.7521176999999999</v>
      </c>
      <c r="BL220" s="10">
        <v>3.7322076000000002</v>
      </c>
      <c r="BM220" s="10">
        <v>3.7123889000000001</v>
      </c>
      <c r="BN220" s="10">
        <v>3.6926985999999999</v>
      </c>
      <c r="BO220" s="10">
        <v>3.6731734999999999</v>
      </c>
      <c r="BP220" s="10">
        <v>3.6538504999999999</v>
      </c>
      <c r="BQ220" s="10">
        <v>3.6347665999999998</v>
      </c>
      <c r="BR220" s="10">
        <v>3.5268144000000001</v>
      </c>
      <c r="BS220" s="10">
        <v>3.4335165999999999</v>
      </c>
      <c r="BU220" s="7">
        <v>3.28</v>
      </c>
      <c r="BV220" s="7">
        <v>3.58</v>
      </c>
      <c r="BW220" s="9">
        <v>78.0428</v>
      </c>
    </row>
    <row r="221" spans="1:75" x14ac:dyDescent="0.25">
      <c r="A221" s="6">
        <f t="shared" si="23"/>
        <v>44861</v>
      </c>
      <c r="B221" s="13">
        <f t="shared" si="18"/>
        <v>10</v>
      </c>
      <c r="C221" s="13">
        <f t="shared" si="19"/>
        <v>2022</v>
      </c>
      <c r="D221">
        <f t="shared" si="20"/>
        <v>202210</v>
      </c>
      <c r="E221">
        <f t="shared" si="21"/>
        <v>4</v>
      </c>
      <c r="F221">
        <f t="shared" si="22"/>
        <v>202204</v>
      </c>
      <c r="G221" t="s">
        <v>408</v>
      </c>
      <c r="H221" s="9">
        <v>2.25</v>
      </c>
      <c r="I221" s="9">
        <v>2.1852</v>
      </c>
      <c r="J221" s="10">
        <v>3.0095219000000002</v>
      </c>
      <c r="K221" s="10">
        <v>3.3916965000000001</v>
      </c>
      <c r="L221" s="10">
        <v>3.7637725999999998</v>
      </c>
      <c r="M221" s="10">
        <v>4.0845852000000002</v>
      </c>
      <c r="N221" s="10">
        <v>4.3341658000000001</v>
      </c>
      <c r="O221" s="10">
        <v>4.5128826999999996</v>
      </c>
      <c r="P221" s="10">
        <v>4.6302880999999996</v>
      </c>
      <c r="Q221" s="10">
        <v>4.7016796999999997</v>
      </c>
      <c r="R221" s="10">
        <v>4.7425198000000002</v>
      </c>
      <c r="S221" s="10">
        <v>4.7640026000000004</v>
      </c>
      <c r="T221" s="10">
        <v>4.7727681999999998</v>
      </c>
      <c r="U221" s="10">
        <v>4.7715285999999999</v>
      </c>
      <c r="V221" s="10">
        <v>4.7611695000000003</v>
      </c>
      <c r="W221" s="10">
        <v>4.7427337999999999</v>
      </c>
      <c r="X221" s="10">
        <v>4.7173720000000001</v>
      </c>
      <c r="Y221" s="10">
        <v>4.6862347</v>
      </c>
      <c r="Z221" s="10">
        <v>4.6504724</v>
      </c>
      <c r="AA221" s="10">
        <v>4.6112358000000002</v>
      </c>
      <c r="AB221" s="10">
        <v>4.5696228000000003</v>
      </c>
      <c r="AC221" s="10">
        <v>4.5264625000000001</v>
      </c>
      <c r="AD221" s="10">
        <v>4.4824979000000003</v>
      </c>
      <c r="AE221" s="10">
        <v>4.4384718999999997</v>
      </c>
      <c r="AF221" s="10">
        <v>4.3951276000000004</v>
      </c>
      <c r="AG221" s="10">
        <v>4.3532079000000001</v>
      </c>
      <c r="AH221" s="10">
        <v>4.3133365000000001</v>
      </c>
      <c r="AI221" s="10">
        <v>4.2755555999999997</v>
      </c>
      <c r="AJ221" s="10">
        <v>4.2397299999999998</v>
      </c>
      <c r="AK221" s="10">
        <v>4.2057248999999999</v>
      </c>
      <c r="AL221" s="10">
        <v>4.1734052000000004</v>
      </c>
      <c r="AM221" s="10">
        <v>4.1426360999999998</v>
      </c>
      <c r="AN221" s="10">
        <v>4.1132824000000001</v>
      </c>
      <c r="AO221" s="10">
        <v>4.0852092999999998</v>
      </c>
      <c r="AP221" s="10">
        <v>4.0582817999999996</v>
      </c>
      <c r="AQ221" s="10">
        <v>4.0323649000000001</v>
      </c>
      <c r="AR221" s="10">
        <v>4.0073236000000003</v>
      </c>
      <c r="AS221" s="10">
        <v>3.9830228999999999</v>
      </c>
      <c r="AT221" s="10">
        <v>3.9593395999999998</v>
      </c>
      <c r="AU221" s="10">
        <v>3.9362024999999998</v>
      </c>
      <c r="AV221" s="10">
        <v>3.9135548</v>
      </c>
      <c r="AW221" s="10">
        <v>3.8913394000000001</v>
      </c>
      <c r="AX221" s="10">
        <v>3.8694994999999999</v>
      </c>
      <c r="AY221" s="10">
        <v>3.8479782999999999</v>
      </c>
      <c r="AZ221" s="10">
        <v>3.8267186999999998</v>
      </c>
      <c r="BA221" s="10">
        <v>3.8056638999999999</v>
      </c>
      <c r="BB221" s="10">
        <v>3.7847569999999999</v>
      </c>
      <c r="BC221" s="10">
        <v>3.7639410999999998</v>
      </c>
      <c r="BD221" s="10">
        <v>3.7431592999999999</v>
      </c>
      <c r="BE221" s="10">
        <v>3.7223546999999999</v>
      </c>
      <c r="BF221" s="10">
        <v>3.7014844999999998</v>
      </c>
      <c r="BG221" s="10">
        <v>3.6805674000000002</v>
      </c>
      <c r="BH221" s="10">
        <v>3.6596397000000001</v>
      </c>
      <c r="BI221" s="10">
        <v>3.6387372</v>
      </c>
      <c r="BJ221" s="10">
        <v>3.6178960999999998</v>
      </c>
      <c r="BK221" s="10">
        <v>3.5971522</v>
      </c>
      <c r="BL221" s="10">
        <v>3.5765416999999999</v>
      </c>
      <c r="BM221" s="10">
        <v>3.5561004999999999</v>
      </c>
      <c r="BN221" s="10">
        <v>3.5358646</v>
      </c>
      <c r="BO221" s="10">
        <v>3.5158700999999999</v>
      </c>
      <c r="BP221" s="10">
        <v>3.4961530000000001</v>
      </c>
      <c r="BQ221" s="10">
        <v>3.4767492</v>
      </c>
      <c r="BR221" s="10">
        <v>3.3682761999999999</v>
      </c>
      <c r="BS221" s="10">
        <v>3.2762283999999999</v>
      </c>
      <c r="BU221" s="7">
        <v>3.08</v>
      </c>
      <c r="BV221" s="7">
        <v>3.41</v>
      </c>
      <c r="BW221" s="9">
        <v>78.103999999999999</v>
      </c>
    </row>
    <row r="222" spans="1:75" x14ac:dyDescent="0.25">
      <c r="A222" s="6">
        <f t="shared" si="23"/>
        <v>44862</v>
      </c>
      <c r="B222" s="13">
        <f t="shared" si="18"/>
        <v>10</v>
      </c>
      <c r="C222" s="13">
        <f t="shared" si="19"/>
        <v>2022</v>
      </c>
      <c r="D222">
        <f t="shared" si="20"/>
        <v>202210</v>
      </c>
      <c r="E222">
        <f t="shared" si="21"/>
        <v>4</v>
      </c>
      <c r="F222">
        <f t="shared" si="22"/>
        <v>202204</v>
      </c>
      <c r="G222" t="s">
        <v>409</v>
      </c>
      <c r="H222" s="9">
        <v>2.25</v>
      </c>
      <c r="I222" s="9">
        <v>2.1852999999999998</v>
      </c>
      <c r="J222" s="10">
        <v>3.0317523999999998</v>
      </c>
      <c r="K222" s="10">
        <v>3.4213471000000002</v>
      </c>
      <c r="L222" s="10">
        <v>3.7996789999999998</v>
      </c>
      <c r="M222" s="10">
        <v>4.1272532000000002</v>
      </c>
      <c r="N222" s="10">
        <v>4.3836689</v>
      </c>
      <c r="O222" s="10">
        <v>4.5701125999999999</v>
      </c>
      <c r="P222" s="10">
        <v>4.6966732000000002</v>
      </c>
      <c r="Q222" s="10">
        <v>4.7781731000000001</v>
      </c>
      <c r="R222" s="10">
        <v>4.8292676999999999</v>
      </c>
      <c r="S222" s="10">
        <v>4.8604951999999999</v>
      </c>
      <c r="T222" s="10">
        <v>4.8777898999999998</v>
      </c>
      <c r="U222" s="10">
        <v>4.8832503000000003</v>
      </c>
      <c r="V222" s="10">
        <v>4.8771570000000004</v>
      </c>
      <c r="W222" s="10">
        <v>4.8607526999999999</v>
      </c>
      <c r="X222" s="10">
        <v>4.8356789999999998</v>
      </c>
      <c r="Y222" s="10">
        <v>4.8035772999999997</v>
      </c>
      <c r="Z222" s="10">
        <v>4.7660891999999997</v>
      </c>
      <c r="AA222" s="10">
        <v>4.7248562999999999</v>
      </c>
      <c r="AB222" s="10">
        <v>4.6813862999999998</v>
      </c>
      <c r="AC222" s="10">
        <v>4.6365667000000004</v>
      </c>
      <c r="AD222" s="10">
        <v>4.5911051</v>
      </c>
      <c r="AE222" s="10">
        <v>4.5457093000000004</v>
      </c>
      <c r="AF222" s="10">
        <v>4.5010868000000004</v>
      </c>
      <c r="AG222" s="10">
        <v>4.4579453000000004</v>
      </c>
      <c r="AH222" s="10">
        <v>4.4168646999999996</v>
      </c>
      <c r="AI222" s="10">
        <v>4.3778607999999997</v>
      </c>
      <c r="AJ222" s="10">
        <v>4.3407936999999999</v>
      </c>
      <c r="AK222" s="10">
        <v>4.3055234000000002</v>
      </c>
      <c r="AL222" s="10">
        <v>4.2719103</v>
      </c>
      <c r="AM222" s="10">
        <v>4.2398142999999999</v>
      </c>
      <c r="AN222" s="10">
        <v>4.2090956000000004</v>
      </c>
      <c r="AO222" s="10">
        <v>4.1796142999999999</v>
      </c>
      <c r="AP222" s="10">
        <v>4.1512305999999999</v>
      </c>
      <c r="AQ222" s="10">
        <v>4.1238045999999997</v>
      </c>
      <c r="AR222" s="10">
        <v>4.0971963999999996</v>
      </c>
      <c r="AS222" s="10">
        <v>4.0712662000000002</v>
      </c>
      <c r="AT222" s="10">
        <v>4.0458886999999999</v>
      </c>
      <c r="AU222" s="10">
        <v>4.0210033999999997</v>
      </c>
      <c r="AV222" s="10">
        <v>3.9965676999999999</v>
      </c>
      <c r="AW222" s="10">
        <v>3.9725389</v>
      </c>
      <c r="AX222" s="10">
        <v>3.9488743999999998</v>
      </c>
      <c r="AY222" s="10">
        <v>3.9255315999999998</v>
      </c>
      <c r="AZ222" s="10">
        <v>3.9024678000000002</v>
      </c>
      <c r="BA222" s="10">
        <v>3.8796403000000002</v>
      </c>
      <c r="BB222" s="10">
        <v>3.8570064999999998</v>
      </c>
      <c r="BC222" s="10">
        <v>3.8345237000000001</v>
      </c>
      <c r="BD222" s="10">
        <v>3.8121493000000002</v>
      </c>
      <c r="BE222" s="10">
        <v>3.7898407000000001</v>
      </c>
      <c r="BF222" s="10">
        <v>3.7675662999999999</v>
      </c>
      <c r="BG222" s="10">
        <v>3.7453432000000002</v>
      </c>
      <c r="BH222" s="10">
        <v>3.7232020000000001</v>
      </c>
      <c r="BI222" s="10">
        <v>3.7011736000000002</v>
      </c>
      <c r="BJ222" s="10">
        <v>3.6792883000000001</v>
      </c>
      <c r="BK222" s="10">
        <v>3.6575769999999999</v>
      </c>
      <c r="BL222" s="10">
        <v>3.6360703000000001</v>
      </c>
      <c r="BM222" s="10">
        <v>3.6147988</v>
      </c>
      <c r="BN222" s="10">
        <v>3.5937931000000001</v>
      </c>
      <c r="BO222" s="10">
        <v>3.5730840000000001</v>
      </c>
      <c r="BP222" s="10">
        <v>3.552702</v>
      </c>
      <c r="BQ222" s="10">
        <v>3.5326776999999998</v>
      </c>
      <c r="BR222" s="10">
        <v>3.4212748999999998</v>
      </c>
      <c r="BS222" s="10">
        <v>3.3275188999999998</v>
      </c>
      <c r="BU222" s="7">
        <v>3.23</v>
      </c>
      <c r="BV222" s="7">
        <v>3.5</v>
      </c>
      <c r="BW222" s="9">
        <v>78.486900000000006</v>
      </c>
    </row>
    <row r="223" spans="1:75" x14ac:dyDescent="0.25">
      <c r="A223" s="6">
        <f t="shared" si="23"/>
        <v>44865</v>
      </c>
      <c r="B223" s="13">
        <f t="shared" si="18"/>
        <v>10</v>
      </c>
      <c r="C223" s="13">
        <f t="shared" si="19"/>
        <v>2022</v>
      </c>
      <c r="D223">
        <f t="shared" si="20"/>
        <v>202210</v>
      </c>
      <c r="E223">
        <f t="shared" si="21"/>
        <v>4</v>
      </c>
      <c r="F223">
        <f t="shared" si="22"/>
        <v>202204</v>
      </c>
      <c r="G223" t="s">
        <v>410</v>
      </c>
      <c r="H223" s="9">
        <v>2.25</v>
      </c>
      <c r="I223" s="9">
        <v>2.1838000000000002</v>
      </c>
      <c r="J223" s="10">
        <v>3.0172056</v>
      </c>
      <c r="K223" s="10">
        <v>3.4165608999999999</v>
      </c>
      <c r="L223" s="10">
        <v>3.8012516999999999</v>
      </c>
      <c r="M223" s="10">
        <v>4.1185504999999996</v>
      </c>
      <c r="N223" s="10">
        <v>4.3607475000000004</v>
      </c>
      <c r="O223" s="10">
        <v>4.5378936999999997</v>
      </c>
      <c r="P223" s="10">
        <v>4.6624129999999999</v>
      </c>
      <c r="Q223" s="10">
        <v>4.7455974000000003</v>
      </c>
      <c r="R223" s="10">
        <v>4.8000841000000003</v>
      </c>
      <c r="S223" s="10">
        <v>4.8348750000000003</v>
      </c>
      <c r="T223" s="10">
        <v>4.8555184000000002</v>
      </c>
      <c r="U223" s="10">
        <v>4.8648661000000004</v>
      </c>
      <c r="V223" s="10">
        <v>4.8645288999999998</v>
      </c>
      <c r="W223" s="10">
        <v>4.8556454000000002</v>
      </c>
      <c r="X223" s="10">
        <v>4.8392840000000001</v>
      </c>
      <c r="Y223" s="10">
        <v>4.8165129000000002</v>
      </c>
      <c r="Z223" s="10">
        <v>4.7884003000000002</v>
      </c>
      <c r="AA223" s="10">
        <v>4.7560145</v>
      </c>
      <c r="AB223" s="10">
        <v>4.7203679000000003</v>
      </c>
      <c r="AC223" s="10">
        <v>4.6822600000000003</v>
      </c>
      <c r="AD223" s="10">
        <v>4.6424396000000003</v>
      </c>
      <c r="AE223" s="10">
        <v>4.6016557000000002</v>
      </c>
      <c r="AF223" s="10">
        <v>4.5606568999999997</v>
      </c>
      <c r="AG223" s="10">
        <v>4.5201922999999997</v>
      </c>
      <c r="AH223" s="10">
        <v>4.4808884999999998</v>
      </c>
      <c r="AI223" s="10">
        <v>4.4428330000000003</v>
      </c>
      <c r="AJ223" s="10">
        <v>4.4059642999999999</v>
      </c>
      <c r="AK223" s="10">
        <v>4.3702214000000001</v>
      </c>
      <c r="AL223" s="10">
        <v>4.3355427000000004</v>
      </c>
      <c r="AM223" s="10">
        <v>4.3018669000000003</v>
      </c>
      <c r="AN223" s="10">
        <v>4.2691328000000004</v>
      </c>
      <c r="AO223" s="10">
        <v>4.237279</v>
      </c>
      <c r="AP223" s="10">
        <v>4.2062442000000004</v>
      </c>
      <c r="AQ223" s="10">
        <v>4.1759671000000003</v>
      </c>
      <c r="AR223" s="10">
        <v>4.1463862999999996</v>
      </c>
      <c r="AS223" s="10">
        <v>4.1174403999999996</v>
      </c>
      <c r="AT223" s="10">
        <v>4.0890727</v>
      </c>
      <c r="AU223" s="10">
        <v>4.0612455000000001</v>
      </c>
      <c r="AV223" s="10">
        <v>4.0339266</v>
      </c>
      <c r="AW223" s="10">
        <v>4.0070838000000002</v>
      </c>
      <c r="AX223" s="10">
        <v>3.9806848000000001</v>
      </c>
      <c r="AY223" s="10">
        <v>3.9546975999999998</v>
      </c>
      <c r="AZ223" s="10">
        <v>3.9290897999999999</v>
      </c>
      <c r="BA223" s="10">
        <v>3.9038293999999998</v>
      </c>
      <c r="BB223" s="10">
        <v>3.8788838999999999</v>
      </c>
      <c r="BC223" s="10">
        <v>3.8542214000000001</v>
      </c>
      <c r="BD223" s="10">
        <v>3.8298095000000001</v>
      </c>
      <c r="BE223" s="10">
        <v>3.8056160000000001</v>
      </c>
      <c r="BF223" s="10">
        <v>3.7816158999999998</v>
      </c>
      <c r="BG223" s="10">
        <v>3.7578231</v>
      </c>
      <c r="BH223" s="10">
        <v>3.7342642000000001</v>
      </c>
      <c r="BI223" s="10">
        <v>3.710966</v>
      </c>
      <c r="BJ223" s="10">
        <v>3.6879553</v>
      </c>
      <c r="BK223" s="10">
        <v>3.6652588000000002</v>
      </c>
      <c r="BL223" s="10">
        <v>3.6429033999999998</v>
      </c>
      <c r="BM223" s="10">
        <v>3.6209156999999998</v>
      </c>
      <c r="BN223" s="10">
        <v>3.5993225999999998</v>
      </c>
      <c r="BO223" s="10">
        <v>3.5781508</v>
      </c>
      <c r="BP223" s="10">
        <v>3.5574270000000001</v>
      </c>
      <c r="BQ223" s="10">
        <v>3.5371782000000001</v>
      </c>
      <c r="BR223" s="10">
        <v>3.4264977000000001</v>
      </c>
      <c r="BS223" s="10">
        <v>3.3356226000000002</v>
      </c>
      <c r="BU223" s="7">
        <v>3.27</v>
      </c>
      <c r="BV223" s="7">
        <v>3.52</v>
      </c>
      <c r="BW223" s="9">
        <v>78.311999999999998</v>
      </c>
    </row>
    <row r="224" spans="1:75" x14ac:dyDescent="0.25">
      <c r="A224" s="6">
        <f t="shared" si="23"/>
        <v>44866</v>
      </c>
      <c r="B224" s="13">
        <f t="shared" si="18"/>
        <v>11</v>
      </c>
      <c r="C224" s="13">
        <f t="shared" si="19"/>
        <v>2022</v>
      </c>
      <c r="D224">
        <f t="shared" si="20"/>
        <v>202211</v>
      </c>
      <c r="E224">
        <f t="shared" si="21"/>
        <v>4</v>
      </c>
      <c r="F224">
        <f t="shared" si="22"/>
        <v>202204</v>
      </c>
      <c r="G224" t="s">
        <v>411</v>
      </c>
      <c r="H224" s="9">
        <v>2.25</v>
      </c>
      <c r="I224" s="9">
        <v>2.1856</v>
      </c>
      <c r="J224" s="10">
        <v>3.0316561000000002</v>
      </c>
      <c r="K224" s="10">
        <v>3.4240404999999998</v>
      </c>
      <c r="L224" s="10">
        <v>3.781288</v>
      </c>
      <c r="M224" s="10">
        <v>4.0793710000000001</v>
      </c>
      <c r="N224" s="10">
        <v>4.3091824000000001</v>
      </c>
      <c r="O224" s="10">
        <v>4.4770488999999998</v>
      </c>
      <c r="P224" s="10">
        <v>4.5939399999999999</v>
      </c>
      <c r="Q224" s="10">
        <v>4.6739869000000001</v>
      </c>
      <c r="R224" s="10">
        <v>4.7276790000000002</v>
      </c>
      <c r="S224" s="10">
        <v>4.7626150000000003</v>
      </c>
      <c r="T224" s="10">
        <v>4.7827393999999996</v>
      </c>
      <c r="U224" s="10">
        <v>4.7903472000000002</v>
      </c>
      <c r="V224" s="10">
        <v>4.7870261000000003</v>
      </c>
      <c r="W224" s="10">
        <v>4.7742836999999998</v>
      </c>
      <c r="X224" s="10">
        <v>4.7536421000000004</v>
      </c>
      <c r="Y224" s="10">
        <v>4.7266234000000003</v>
      </c>
      <c r="Z224" s="10">
        <v>4.6947495000000004</v>
      </c>
      <c r="AA224" s="10">
        <v>4.6595424000000003</v>
      </c>
      <c r="AB224" s="10">
        <v>4.6223380000000001</v>
      </c>
      <c r="AC224" s="10">
        <v>4.5837621999999998</v>
      </c>
      <c r="AD224" s="10">
        <v>4.5442722</v>
      </c>
      <c r="AE224" s="10">
        <v>4.5043253999999999</v>
      </c>
      <c r="AF224" s="10">
        <v>4.4643788999999998</v>
      </c>
      <c r="AG224" s="10">
        <v>4.4248899000000002</v>
      </c>
      <c r="AH224" s="10">
        <v>4.3862426000000001</v>
      </c>
      <c r="AI224" s="10">
        <v>4.3484980999999996</v>
      </c>
      <c r="AJ224" s="10">
        <v>4.3116287</v>
      </c>
      <c r="AK224" s="10">
        <v>4.2756065000000003</v>
      </c>
      <c r="AL224" s="10">
        <v>4.2404035000000002</v>
      </c>
      <c r="AM224" s="10">
        <v>4.2059920000000002</v>
      </c>
      <c r="AN224" s="10">
        <v>4.1723442000000004</v>
      </c>
      <c r="AO224" s="10">
        <v>4.1394320000000002</v>
      </c>
      <c r="AP224" s="10">
        <v>4.1072278000000004</v>
      </c>
      <c r="AQ224" s="10">
        <v>4.0757035999999998</v>
      </c>
      <c r="AR224" s="10">
        <v>4.0448314999999999</v>
      </c>
      <c r="AS224" s="10">
        <v>4.0145837999999996</v>
      </c>
      <c r="AT224" s="10">
        <v>3.9849344000000002</v>
      </c>
      <c r="AU224" s="10">
        <v>3.9558672000000001</v>
      </c>
      <c r="AV224" s="10">
        <v>3.9273690999999999</v>
      </c>
      <c r="AW224" s="10">
        <v>3.8994274999999998</v>
      </c>
      <c r="AX224" s="10">
        <v>3.8720292999999999</v>
      </c>
      <c r="AY224" s="10">
        <v>3.8451618000000001</v>
      </c>
      <c r="AZ224" s="10">
        <v>3.8188119999999999</v>
      </c>
      <c r="BA224" s="10">
        <v>3.7929670999999998</v>
      </c>
      <c r="BB224" s="10">
        <v>3.7676142000000001</v>
      </c>
      <c r="BC224" s="10">
        <v>3.7427405</v>
      </c>
      <c r="BD224" s="10">
        <v>3.7183329999999999</v>
      </c>
      <c r="BE224" s="10">
        <v>3.6943788</v>
      </c>
      <c r="BF224" s="10">
        <v>3.6708682000000001</v>
      </c>
      <c r="BG224" s="10">
        <v>3.6478054000000002</v>
      </c>
      <c r="BH224" s="10">
        <v>3.6251992999999998</v>
      </c>
      <c r="BI224" s="10">
        <v>3.6030587999999999</v>
      </c>
      <c r="BJ224" s="10">
        <v>3.5813926</v>
      </c>
      <c r="BK224" s="10">
        <v>3.5602095</v>
      </c>
      <c r="BL224" s="10">
        <v>3.5395184</v>
      </c>
      <c r="BM224" s="10">
        <v>3.5193279999999998</v>
      </c>
      <c r="BN224" s="10">
        <v>3.4996472000000001</v>
      </c>
      <c r="BO224" s="10">
        <v>3.4804849</v>
      </c>
      <c r="BP224" s="10">
        <v>3.4618497000000001</v>
      </c>
      <c r="BQ224" s="10">
        <v>3.4437505000000002</v>
      </c>
      <c r="BR224" s="10">
        <v>3.3466269</v>
      </c>
      <c r="BS224" s="10">
        <v>3.2693314999999998</v>
      </c>
      <c r="BU224" s="7">
        <v>3.16</v>
      </c>
      <c r="BV224" s="7">
        <v>3.46</v>
      </c>
      <c r="BW224" s="9">
        <v>77.936000000000007</v>
      </c>
    </row>
    <row r="225" spans="1:75" x14ac:dyDescent="0.25">
      <c r="A225" s="6">
        <f t="shared" si="23"/>
        <v>44867</v>
      </c>
      <c r="B225" s="13">
        <f t="shared" si="18"/>
        <v>11</v>
      </c>
      <c r="C225" s="13">
        <f t="shared" si="19"/>
        <v>2022</v>
      </c>
      <c r="D225">
        <f t="shared" si="20"/>
        <v>202211</v>
      </c>
      <c r="E225">
        <f t="shared" si="21"/>
        <v>4</v>
      </c>
      <c r="F225">
        <f t="shared" si="22"/>
        <v>202204</v>
      </c>
      <c r="G225" t="s">
        <v>412</v>
      </c>
      <c r="H225" s="9">
        <v>2.25</v>
      </c>
      <c r="I225" s="9">
        <v>2.1859000000000002</v>
      </c>
      <c r="J225" s="10">
        <v>3.0295930000000002</v>
      </c>
      <c r="K225" s="10">
        <v>3.4186006999999998</v>
      </c>
      <c r="L225" s="10">
        <v>3.7700301999999999</v>
      </c>
      <c r="M225" s="10">
        <v>4.0602235000000002</v>
      </c>
      <c r="N225" s="10">
        <v>4.2802597000000002</v>
      </c>
      <c r="O225" s="10">
        <v>4.4364977000000003</v>
      </c>
      <c r="P225" s="10">
        <v>4.5408251000000002</v>
      </c>
      <c r="Q225" s="10">
        <v>4.6075194000000002</v>
      </c>
      <c r="R225" s="10">
        <v>4.6485146999999998</v>
      </c>
      <c r="S225" s="10">
        <v>4.6717516000000003</v>
      </c>
      <c r="T225" s="10">
        <v>4.6819649999999999</v>
      </c>
      <c r="U225" s="10">
        <v>4.6818964999999997</v>
      </c>
      <c r="V225" s="10">
        <v>4.6728544999999997</v>
      </c>
      <c r="W225" s="10">
        <v>4.6560934999999999</v>
      </c>
      <c r="X225" s="10">
        <v>4.6329212999999996</v>
      </c>
      <c r="Y225" s="10">
        <v>4.6046459000000004</v>
      </c>
      <c r="Z225" s="10">
        <v>4.5725750999999999</v>
      </c>
      <c r="AA225" s="10">
        <v>4.538017</v>
      </c>
      <c r="AB225" s="10">
        <v>4.5021040000000001</v>
      </c>
      <c r="AC225" s="10">
        <v>4.4653010000000002</v>
      </c>
      <c r="AD225" s="10">
        <v>4.4279136000000001</v>
      </c>
      <c r="AE225" s="10">
        <v>4.3902479000000003</v>
      </c>
      <c r="AF225" s="10">
        <v>4.3526094999999998</v>
      </c>
      <c r="AG225" s="10">
        <v>4.3153043999999996</v>
      </c>
      <c r="AH225" s="10">
        <v>4.2786004000000002</v>
      </c>
      <c r="AI225" s="10">
        <v>4.2425617000000004</v>
      </c>
      <c r="AJ225" s="10">
        <v>4.2071839000000004</v>
      </c>
      <c r="AK225" s="10">
        <v>4.1724626999999996</v>
      </c>
      <c r="AL225" s="10">
        <v>4.1383935999999997</v>
      </c>
      <c r="AM225" s="10">
        <v>4.1049724000000003</v>
      </c>
      <c r="AN225" s="10">
        <v>4.0721946999999998</v>
      </c>
      <c r="AO225" s="10">
        <v>4.0400561000000001</v>
      </c>
      <c r="AP225" s="10">
        <v>4.0085521999999996</v>
      </c>
      <c r="AQ225" s="10">
        <v>3.9776788000000001</v>
      </c>
      <c r="AR225" s="10">
        <v>3.9474312999999999</v>
      </c>
      <c r="AS225" s="10">
        <v>3.9178055999999999</v>
      </c>
      <c r="AT225" s="10">
        <v>3.8887966</v>
      </c>
      <c r="AU225" s="10">
        <v>3.8603966999999999</v>
      </c>
      <c r="AV225" s="10">
        <v>3.8325974</v>
      </c>
      <c r="AW225" s="10">
        <v>3.8053903</v>
      </c>
      <c r="AX225" s="10">
        <v>3.7787668000000001</v>
      </c>
      <c r="AY225" s="10">
        <v>3.7527184999999998</v>
      </c>
      <c r="AZ225" s="10">
        <v>3.7272368999999999</v>
      </c>
      <c r="BA225" s="10">
        <v>3.7023134</v>
      </c>
      <c r="BB225" s="10">
        <v>3.6779397</v>
      </c>
      <c r="BC225" s="10">
        <v>3.6541073000000002</v>
      </c>
      <c r="BD225" s="10">
        <v>3.6308075999999998</v>
      </c>
      <c r="BE225" s="10">
        <v>3.6080321999999998</v>
      </c>
      <c r="BF225" s="10">
        <v>3.5857738000000001</v>
      </c>
      <c r="BG225" s="10">
        <v>3.5640307999999998</v>
      </c>
      <c r="BH225" s="10">
        <v>3.5428028999999999</v>
      </c>
      <c r="BI225" s="10">
        <v>3.5220899000000001</v>
      </c>
      <c r="BJ225" s="10">
        <v>3.5018916999999998</v>
      </c>
      <c r="BK225" s="10">
        <v>3.4822080999999998</v>
      </c>
      <c r="BL225" s="10">
        <v>3.4630388000000001</v>
      </c>
      <c r="BM225" s="10">
        <v>3.4443836999999999</v>
      </c>
      <c r="BN225" s="10">
        <v>3.4262426000000001</v>
      </c>
      <c r="BO225" s="10">
        <v>3.4086153000000001</v>
      </c>
      <c r="BP225" s="10">
        <v>3.3915014999999999</v>
      </c>
      <c r="BQ225" s="10">
        <v>3.3749012</v>
      </c>
      <c r="BR225" s="10">
        <v>3.2861001000000001</v>
      </c>
      <c r="BS225" s="10">
        <v>3.2159168</v>
      </c>
      <c r="BU225" s="7">
        <v>3.01</v>
      </c>
      <c r="BV225" s="7">
        <v>3.39</v>
      </c>
      <c r="BW225" s="9">
        <v>77.946299999999994</v>
      </c>
    </row>
    <row r="226" spans="1:75" x14ac:dyDescent="0.25">
      <c r="A226" s="6">
        <f t="shared" si="23"/>
        <v>44868</v>
      </c>
      <c r="B226" s="13">
        <f t="shared" si="18"/>
        <v>11</v>
      </c>
      <c r="C226" s="13">
        <f t="shared" si="19"/>
        <v>2022</v>
      </c>
      <c r="D226">
        <f t="shared" si="20"/>
        <v>202211</v>
      </c>
      <c r="E226">
        <f t="shared" si="21"/>
        <v>4</v>
      </c>
      <c r="F226">
        <f t="shared" si="22"/>
        <v>202204</v>
      </c>
      <c r="G226" t="s">
        <v>413</v>
      </c>
      <c r="H226" s="9">
        <v>3</v>
      </c>
      <c r="I226" s="9">
        <v>2.9306000000000001</v>
      </c>
      <c r="J226" s="10">
        <v>3.0860216999999999</v>
      </c>
      <c r="K226" s="10">
        <v>3.4749933</v>
      </c>
      <c r="L226" s="10">
        <v>3.8234244999999998</v>
      </c>
      <c r="M226" s="10">
        <v>4.1100770000000004</v>
      </c>
      <c r="N226" s="10">
        <v>4.3288305999999999</v>
      </c>
      <c r="O226" s="10">
        <v>4.4848008000000004</v>
      </c>
      <c r="P226" s="10">
        <v>4.5898437000000003</v>
      </c>
      <c r="Q226" s="10">
        <v>4.6572826000000003</v>
      </c>
      <c r="R226" s="10">
        <v>4.6997447000000001</v>
      </c>
      <c r="S226" s="10">
        <v>4.7251614999999996</v>
      </c>
      <c r="T226" s="10">
        <v>4.7381450000000003</v>
      </c>
      <c r="U226" s="10">
        <v>4.7407440999999997</v>
      </c>
      <c r="V226" s="10">
        <v>4.7337562000000002</v>
      </c>
      <c r="W226" s="10">
        <v>4.7183638999999999</v>
      </c>
      <c r="X226" s="10">
        <v>4.6958986999999999</v>
      </c>
      <c r="Y226" s="10">
        <v>4.6676921</v>
      </c>
      <c r="Z226" s="10">
        <v>4.6350756000000004</v>
      </c>
      <c r="AA226" s="10">
        <v>4.5993807999999996</v>
      </c>
      <c r="AB226" s="10">
        <v>4.5617998999999996</v>
      </c>
      <c r="AC226" s="10">
        <v>4.5229949999999999</v>
      </c>
      <c r="AD226" s="10">
        <v>4.4835020999999999</v>
      </c>
      <c r="AE226" s="10">
        <v>4.4438572000000001</v>
      </c>
      <c r="AF226" s="10">
        <v>4.4045962000000003</v>
      </c>
      <c r="AG226" s="10">
        <v>4.3662551000000001</v>
      </c>
      <c r="AH226" s="10">
        <v>4.329288</v>
      </c>
      <c r="AI226" s="10">
        <v>4.2937491999999997</v>
      </c>
      <c r="AJ226" s="10">
        <v>4.2595717000000004</v>
      </c>
      <c r="AK226" s="10">
        <v>4.2266883999999996</v>
      </c>
      <c r="AL226" s="10">
        <v>4.1950322</v>
      </c>
      <c r="AM226" s="10">
        <v>4.164536</v>
      </c>
      <c r="AN226" s="10">
        <v>4.1351326000000004</v>
      </c>
      <c r="AO226" s="10">
        <v>4.1067549999999997</v>
      </c>
      <c r="AP226" s="10">
        <v>4.0793360999999999</v>
      </c>
      <c r="AQ226" s="10">
        <v>4.0528085999999997</v>
      </c>
      <c r="AR226" s="10">
        <v>4.0271056999999999</v>
      </c>
      <c r="AS226" s="10">
        <v>4.0021599999999999</v>
      </c>
      <c r="AT226" s="10">
        <v>3.9779097999999999</v>
      </c>
      <c r="AU226" s="10">
        <v>3.9543160999999998</v>
      </c>
      <c r="AV226" s="10">
        <v>3.9313463</v>
      </c>
      <c r="AW226" s="10">
        <v>3.9089678999999999</v>
      </c>
      <c r="AX226" s="10">
        <v>3.8871481999999999</v>
      </c>
      <c r="AY226" s="10">
        <v>3.8658546999999999</v>
      </c>
      <c r="AZ226" s="10">
        <v>3.8450548000000002</v>
      </c>
      <c r="BA226" s="10">
        <v>3.824716</v>
      </c>
      <c r="BB226" s="10">
        <v>3.8048055999999999</v>
      </c>
      <c r="BC226" s="10">
        <v>3.785291</v>
      </c>
      <c r="BD226" s="10">
        <v>3.7661397000000001</v>
      </c>
      <c r="BE226" s="10">
        <v>3.7473192000000002</v>
      </c>
      <c r="BF226" s="10">
        <v>3.7288028999999998</v>
      </c>
      <c r="BG226" s="10">
        <v>3.7105912999999999</v>
      </c>
      <c r="BH226" s="10">
        <v>3.6926925000000002</v>
      </c>
      <c r="BI226" s="10">
        <v>3.6751143000000002</v>
      </c>
      <c r="BJ226" s="10">
        <v>3.6578648999999999</v>
      </c>
      <c r="BK226" s="10">
        <v>3.640952</v>
      </c>
      <c r="BL226" s="10">
        <v>3.6243837999999999</v>
      </c>
      <c r="BM226" s="10">
        <v>3.6081682000000002</v>
      </c>
      <c r="BN226" s="10">
        <v>3.5923129999999999</v>
      </c>
      <c r="BO226" s="10">
        <v>3.5768263999999999</v>
      </c>
      <c r="BP226" s="10">
        <v>3.5617163000000001</v>
      </c>
      <c r="BQ226" s="10">
        <v>3.5469906</v>
      </c>
      <c r="BR226" s="10">
        <v>3.4670610000000002</v>
      </c>
      <c r="BS226" s="10">
        <v>3.4024032000000002</v>
      </c>
      <c r="BU226" s="7">
        <v>3.07</v>
      </c>
      <c r="BV226" s="7">
        <v>3.5</v>
      </c>
      <c r="BW226" s="9">
        <v>76.601699999999994</v>
      </c>
    </row>
    <row r="227" spans="1:75" x14ac:dyDescent="0.25">
      <c r="A227" s="6">
        <f t="shared" si="23"/>
        <v>44869</v>
      </c>
      <c r="B227" s="13">
        <f t="shared" si="18"/>
        <v>11</v>
      </c>
      <c r="C227" s="13">
        <f t="shared" si="19"/>
        <v>2022</v>
      </c>
      <c r="D227">
        <f t="shared" si="20"/>
        <v>202211</v>
      </c>
      <c r="E227">
        <f t="shared" si="21"/>
        <v>4</v>
      </c>
      <c r="F227">
        <f t="shared" si="22"/>
        <v>202204</v>
      </c>
      <c r="G227" t="s">
        <v>414</v>
      </c>
      <c r="H227" s="9">
        <v>3</v>
      </c>
      <c r="I227" s="9">
        <v>2.9264999999999999</v>
      </c>
      <c r="J227" s="10">
        <v>3.0815446999999998</v>
      </c>
      <c r="K227" s="10">
        <v>3.4721498999999998</v>
      </c>
      <c r="L227" s="10">
        <v>3.8051504999999999</v>
      </c>
      <c r="M227" s="10">
        <v>4.0731292999999997</v>
      </c>
      <c r="N227" s="10">
        <v>4.2771067</v>
      </c>
      <c r="O227" s="10">
        <v>4.4239369000000002</v>
      </c>
      <c r="P227" s="10">
        <v>4.5240185999999998</v>
      </c>
      <c r="Q227" s="10">
        <v>4.5892096999999996</v>
      </c>
      <c r="R227" s="10">
        <v>4.630808</v>
      </c>
      <c r="S227" s="10">
        <v>4.6560785999999998</v>
      </c>
      <c r="T227" s="10">
        <v>4.6690367000000004</v>
      </c>
      <c r="U227" s="10">
        <v>4.6715347999999999</v>
      </c>
      <c r="V227" s="10">
        <v>4.6637589999999998</v>
      </c>
      <c r="W227" s="10">
        <v>4.6468819999999997</v>
      </c>
      <c r="X227" s="10">
        <v>4.6224949000000004</v>
      </c>
      <c r="Y227" s="10">
        <v>4.5921889</v>
      </c>
      <c r="Z227" s="10">
        <v>4.5575552000000004</v>
      </c>
      <c r="AA227" s="10">
        <v>4.5201849999999997</v>
      </c>
      <c r="AB227" s="10">
        <v>4.4815301999999999</v>
      </c>
      <c r="AC227" s="10">
        <v>4.4423300000000001</v>
      </c>
      <c r="AD227" s="10">
        <v>4.4030956999999997</v>
      </c>
      <c r="AE227" s="10">
        <v>4.3643386</v>
      </c>
      <c r="AF227" s="10">
        <v>4.3265699</v>
      </c>
      <c r="AG227" s="10">
        <v>4.2903007999999998</v>
      </c>
      <c r="AH227" s="10">
        <v>4.2559450999999999</v>
      </c>
      <c r="AI227" s="10">
        <v>4.2234860000000003</v>
      </c>
      <c r="AJ227" s="10">
        <v>4.1927875999999999</v>
      </c>
      <c r="AK227" s="10">
        <v>4.1637143999999999</v>
      </c>
      <c r="AL227" s="10">
        <v>4.1361306000000004</v>
      </c>
      <c r="AM227" s="10">
        <v>4.1099005999999996</v>
      </c>
      <c r="AN227" s="10">
        <v>4.0848886999999996</v>
      </c>
      <c r="AO227" s="10">
        <v>4.0609592000000001</v>
      </c>
      <c r="AP227" s="10">
        <v>4.0379765000000001</v>
      </c>
      <c r="AQ227" s="10">
        <v>4.0158047999999997</v>
      </c>
      <c r="AR227" s="10">
        <v>3.9943084999999998</v>
      </c>
      <c r="AS227" s="10">
        <v>3.9733518000000001</v>
      </c>
      <c r="AT227" s="10">
        <v>3.9528162</v>
      </c>
      <c r="AU227" s="10">
        <v>3.9326577</v>
      </c>
      <c r="AV227" s="10">
        <v>3.9128533999999999</v>
      </c>
      <c r="AW227" s="10">
        <v>3.8933800999999999</v>
      </c>
      <c r="AX227" s="10">
        <v>3.8742147999999998</v>
      </c>
      <c r="AY227" s="10">
        <v>3.8553343</v>
      </c>
      <c r="AZ227" s="10">
        <v>3.8367154999999999</v>
      </c>
      <c r="BA227" s="10">
        <v>3.8183354</v>
      </c>
      <c r="BB227" s="10">
        <v>3.8001708999999999</v>
      </c>
      <c r="BC227" s="10">
        <v>3.7821989</v>
      </c>
      <c r="BD227" s="10">
        <v>3.7643962000000002</v>
      </c>
      <c r="BE227" s="10">
        <v>3.7467397999999998</v>
      </c>
      <c r="BF227" s="10">
        <v>3.7292136999999999</v>
      </c>
      <c r="BG227" s="10">
        <v>3.7118332000000001</v>
      </c>
      <c r="BH227" s="10">
        <v>3.6946222</v>
      </c>
      <c r="BI227" s="10">
        <v>3.6776048000000001</v>
      </c>
      <c r="BJ227" s="10">
        <v>3.6608049</v>
      </c>
      <c r="BK227" s="10">
        <v>3.6442464999999999</v>
      </c>
      <c r="BL227" s="10">
        <v>3.6279534999999998</v>
      </c>
      <c r="BM227" s="10">
        <v>3.6119498999999999</v>
      </c>
      <c r="BN227" s="10">
        <v>3.5962595999999998</v>
      </c>
      <c r="BO227" s="10">
        <v>3.5809066000000001</v>
      </c>
      <c r="BP227" s="10">
        <v>3.5659149999999999</v>
      </c>
      <c r="BQ227" s="10">
        <v>3.5513085000000002</v>
      </c>
      <c r="BR227" s="10">
        <v>3.4725921</v>
      </c>
      <c r="BS227" s="10">
        <v>3.4106898000000001</v>
      </c>
      <c r="BU227" s="7">
        <v>3.05</v>
      </c>
      <c r="BV227" s="7">
        <v>3.54</v>
      </c>
      <c r="BW227" s="9">
        <v>76.542500000000004</v>
      </c>
    </row>
    <row r="228" spans="1:75" x14ac:dyDescent="0.25">
      <c r="A228" s="6">
        <f t="shared" si="23"/>
        <v>44872</v>
      </c>
      <c r="B228" s="13">
        <f t="shared" si="18"/>
        <v>11</v>
      </c>
      <c r="C228" s="13">
        <f t="shared" si="19"/>
        <v>2022</v>
      </c>
      <c r="D228">
        <f t="shared" si="20"/>
        <v>202211</v>
      </c>
      <c r="E228">
        <f t="shared" si="21"/>
        <v>4</v>
      </c>
      <c r="F228">
        <f t="shared" si="22"/>
        <v>202204</v>
      </c>
      <c r="G228" t="s">
        <v>415</v>
      </c>
      <c r="H228" s="9">
        <v>3</v>
      </c>
      <c r="I228" s="9">
        <v>2.9268000000000001</v>
      </c>
      <c r="J228" s="10">
        <v>3.1069314000000001</v>
      </c>
      <c r="K228" s="10">
        <v>3.5106989999999998</v>
      </c>
      <c r="L228" s="10">
        <v>3.8413008</v>
      </c>
      <c r="M228" s="10">
        <v>4.1026521999999996</v>
      </c>
      <c r="N228" s="10">
        <v>4.3025858000000001</v>
      </c>
      <c r="O228" s="10">
        <v>4.4483886000000004</v>
      </c>
      <c r="P228" s="10">
        <v>4.5488384000000002</v>
      </c>
      <c r="Q228" s="10">
        <v>4.6141768000000001</v>
      </c>
      <c r="R228" s="10">
        <v>4.6542051000000004</v>
      </c>
      <c r="S228" s="10">
        <v>4.6759363</v>
      </c>
      <c r="T228" s="10">
        <v>4.6840253000000001</v>
      </c>
      <c r="U228" s="10">
        <v>4.6814305999999997</v>
      </c>
      <c r="V228" s="10">
        <v>4.6700312000000004</v>
      </c>
      <c r="W228" s="10">
        <v>4.6512324999999999</v>
      </c>
      <c r="X228" s="10">
        <v>4.6263737000000003</v>
      </c>
      <c r="Y228" s="10">
        <v>4.5967938000000004</v>
      </c>
      <c r="Z228" s="10">
        <v>4.5638319000000003</v>
      </c>
      <c r="AA228" s="10">
        <v>4.5288269000000003</v>
      </c>
      <c r="AB228" s="10">
        <v>4.4929525000000003</v>
      </c>
      <c r="AC228" s="10">
        <v>4.4567525000000003</v>
      </c>
      <c r="AD228" s="10">
        <v>4.4206206999999997</v>
      </c>
      <c r="AE228" s="10">
        <v>4.3849508999999998</v>
      </c>
      <c r="AF228" s="10">
        <v>4.3501370000000001</v>
      </c>
      <c r="AG228" s="10">
        <v>4.3165727</v>
      </c>
      <c r="AH228" s="10">
        <v>4.2845757999999998</v>
      </c>
      <c r="AI228" s="10">
        <v>4.2541270000000004</v>
      </c>
      <c r="AJ228" s="10">
        <v>4.2251143000000004</v>
      </c>
      <c r="AK228" s="10">
        <v>4.1974257000000001</v>
      </c>
      <c r="AL228" s="10">
        <v>4.1709490999999996</v>
      </c>
      <c r="AM228" s="10">
        <v>4.1455725000000001</v>
      </c>
      <c r="AN228" s="10">
        <v>4.1211840000000004</v>
      </c>
      <c r="AO228" s="10">
        <v>4.0976713</v>
      </c>
      <c r="AP228" s="10">
        <v>4.0749225999999998</v>
      </c>
      <c r="AQ228" s="10">
        <v>4.0528257999999999</v>
      </c>
      <c r="AR228" s="10">
        <v>4.0312688000000003</v>
      </c>
      <c r="AS228" s="10">
        <v>4.0101395999999996</v>
      </c>
      <c r="AT228" s="10">
        <v>3.9893418999999999</v>
      </c>
      <c r="AU228" s="10">
        <v>3.9688485</v>
      </c>
      <c r="AV228" s="10">
        <v>3.9486515999999998</v>
      </c>
      <c r="AW228" s="10">
        <v>3.9287432</v>
      </c>
      <c r="AX228" s="10">
        <v>3.9091152</v>
      </c>
      <c r="AY228" s="10">
        <v>3.8897598000000002</v>
      </c>
      <c r="AZ228" s="10">
        <v>3.8706689000000001</v>
      </c>
      <c r="BA228" s="10">
        <v>3.8518346000000001</v>
      </c>
      <c r="BB228" s="10">
        <v>3.8332489000000001</v>
      </c>
      <c r="BC228" s="10">
        <v>3.8149039</v>
      </c>
      <c r="BD228" s="10">
        <v>3.7967914999999999</v>
      </c>
      <c r="BE228" s="10">
        <v>3.7789038000000001</v>
      </c>
      <c r="BF228" s="10">
        <v>3.7612369000000001</v>
      </c>
      <c r="BG228" s="10">
        <v>3.7438082000000001</v>
      </c>
      <c r="BH228" s="10">
        <v>3.7266425999999999</v>
      </c>
      <c r="BI228" s="10">
        <v>3.7097647</v>
      </c>
      <c r="BJ228" s="10">
        <v>3.6931992999999999</v>
      </c>
      <c r="BK228" s="10">
        <v>3.6769712000000001</v>
      </c>
      <c r="BL228" s="10">
        <v>3.6611050999999999</v>
      </c>
      <c r="BM228" s="10">
        <v>3.6456257999999999</v>
      </c>
      <c r="BN228" s="10">
        <v>3.6305578999999999</v>
      </c>
      <c r="BO228" s="10">
        <v>3.6159264000000002</v>
      </c>
      <c r="BP228" s="10">
        <v>3.6017557999999998</v>
      </c>
      <c r="BQ228" s="10">
        <v>3.5880709999999998</v>
      </c>
      <c r="BR228" s="10">
        <v>3.5167565000000001</v>
      </c>
      <c r="BS228" s="10">
        <v>3.4643035000000002</v>
      </c>
      <c r="BU228" s="7">
        <v>3.22</v>
      </c>
      <c r="BV228" s="7">
        <v>3.64</v>
      </c>
      <c r="BW228" s="9">
        <v>77.288200000000003</v>
      </c>
    </row>
    <row r="229" spans="1:75" x14ac:dyDescent="0.25">
      <c r="A229" s="6">
        <f t="shared" si="23"/>
        <v>44873</v>
      </c>
      <c r="B229" s="13">
        <f t="shared" si="18"/>
        <v>11</v>
      </c>
      <c r="C229" s="13">
        <f t="shared" si="19"/>
        <v>2022</v>
      </c>
      <c r="D229">
        <f t="shared" si="20"/>
        <v>202211</v>
      </c>
      <c r="E229">
        <f t="shared" si="21"/>
        <v>4</v>
      </c>
      <c r="F229">
        <f t="shared" si="22"/>
        <v>202204</v>
      </c>
      <c r="G229" t="s">
        <v>416</v>
      </c>
      <c r="H229" s="9">
        <v>3</v>
      </c>
      <c r="I229" s="9">
        <v>2.9276</v>
      </c>
      <c r="J229" s="10">
        <v>3.1085373000000001</v>
      </c>
      <c r="K229" s="10">
        <v>3.5156304</v>
      </c>
      <c r="L229" s="10">
        <v>3.8458416999999998</v>
      </c>
      <c r="M229" s="10">
        <v>4.1059713000000002</v>
      </c>
      <c r="N229" s="10">
        <v>4.3037733999999999</v>
      </c>
      <c r="O229" s="10">
        <v>4.4470846999999996</v>
      </c>
      <c r="P229" s="10">
        <v>4.5443236000000002</v>
      </c>
      <c r="Q229" s="10">
        <v>4.6073830999999998</v>
      </c>
      <c r="R229" s="10">
        <v>4.6462931999999997</v>
      </c>
      <c r="S229" s="10">
        <v>4.6689764</v>
      </c>
      <c r="T229" s="10">
        <v>4.6798320000000002</v>
      </c>
      <c r="U229" s="10">
        <v>4.6811936999999997</v>
      </c>
      <c r="V229" s="10">
        <v>4.6739180999999999</v>
      </c>
      <c r="W229" s="10">
        <v>4.6590179000000003</v>
      </c>
      <c r="X229" s="10">
        <v>4.6376331000000004</v>
      </c>
      <c r="Y229" s="10">
        <v>4.6109038</v>
      </c>
      <c r="Z229" s="10">
        <v>4.5799699</v>
      </c>
      <c r="AA229" s="10">
        <v>4.5459715000000003</v>
      </c>
      <c r="AB229" s="10">
        <v>4.5099451999999998</v>
      </c>
      <c r="AC229" s="10">
        <v>4.4725340999999998</v>
      </c>
      <c r="AD229" s="10">
        <v>4.4342876999999996</v>
      </c>
      <c r="AE229" s="10">
        <v>4.3957556000000002</v>
      </c>
      <c r="AF229" s="10">
        <v>4.3574871999999996</v>
      </c>
      <c r="AG229" s="10">
        <v>4.3200319</v>
      </c>
      <c r="AH229" s="10">
        <v>4.2838459999999996</v>
      </c>
      <c r="AI229" s="10">
        <v>4.2489733999999997</v>
      </c>
      <c r="AJ229" s="10">
        <v>4.2153444999999996</v>
      </c>
      <c r="AK229" s="10">
        <v>4.1828897999999999</v>
      </c>
      <c r="AL229" s="10">
        <v>4.1515393999999999</v>
      </c>
      <c r="AM229" s="10">
        <v>4.1212239000000004</v>
      </c>
      <c r="AN229" s="10">
        <v>4.0918733999999999</v>
      </c>
      <c r="AO229" s="10">
        <v>4.0634185</v>
      </c>
      <c r="AP229" s="10">
        <v>4.0357893999999996</v>
      </c>
      <c r="AQ229" s="10">
        <v>4.0089164999999998</v>
      </c>
      <c r="AR229" s="10">
        <v>3.9827302000000002</v>
      </c>
      <c r="AS229" s="10">
        <v>3.9571608</v>
      </c>
      <c r="AT229" s="10">
        <v>3.9321451000000001</v>
      </c>
      <c r="AU229" s="10">
        <v>3.9076555000000002</v>
      </c>
      <c r="AV229" s="10">
        <v>3.8836757999999998</v>
      </c>
      <c r="AW229" s="10">
        <v>3.8601901999999999</v>
      </c>
      <c r="AX229" s="10">
        <v>3.8371824999999999</v>
      </c>
      <c r="AY229" s="10">
        <v>3.8146369</v>
      </c>
      <c r="AZ229" s="10">
        <v>3.7925372999999998</v>
      </c>
      <c r="BA229" s="10">
        <v>3.7708677000000002</v>
      </c>
      <c r="BB229" s="10">
        <v>3.7496122000000001</v>
      </c>
      <c r="BC229" s="10">
        <v>3.7287547000000001</v>
      </c>
      <c r="BD229" s="10">
        <v>3.7082793000000001</v>
      </c>
      <c r="BE229" s="10">
        <v>3.6881699999999999</v>
      </c>
      <c r="BF229" s="10">
        <v>3.6684154000000002</v>
      </c>
      <c r="BG229" s="10">
        <v>3.6490266</v>
      </c>
      <c r="BH229" s="10">
        <v>3.6300216000000001</v>
      </c>
      <c r="BI229" s="10">
        <v>3.6114185000000001</v>
      </c>
      <c r="BJ229" s="10">
        <v>3.5932350999999998</v>
      </c>
      <c r="BK229" s="10">
        <v>3.5754893999999999</v>
      </c>
      <c r="BL229" s="10">
        <v>3.5581995000000002</v>
      </c>
      <c r="BM229" s="10">
        <v>3.5413833000000001</v>
      </c>
      <c r="BN229" s="10">
        <v>3.5250588</v>
      </c>
      <c r="BO229" s="10">
        <v>3.5092439999999998</v>
      </c>
      <c r="BP229" s="10">
        <v>3.4939567999999999</v>
      </c>
      <c r="BQ229" s="10">
        <v>3.4792152000000001</v>
      </c>
      <c r="BR229" s="10">
        <v>3.4025561999999998</v>
      </c>
      <c r="BS229" s="10">
        <v>3.3459780000000001</v>
      </c>
      <c r="BU229" s="7">
        <v>3.24</v>
      </c>
      <c r="BV229" s="7">
        <v>3.55</v>
      </c>
      <c r="BW229" s="9">
        <v>77.664100000000005</v>
      </c>
    </row>
    <row r="230" spans="1:75" x14ac:dyDescent="0.25">
      <c r="A230" s="6">
        <f t="shared" si="23"/>
        <v>44874</v>
      </c>
      <c r="B230" s="13">
        <f t="shared" si="18"/>
        <v>11</v>
      </c>
      <c r="C230" s="13">
        <f t="shared" si="19"/>
        <v>2022</v>
      </c>
      <c r="D230">
        <f t="shared" si="20"/>
        <v>202211</v>
      </c>
      <c r="E230">
        <f t="shared" si="21"/>
        <v>4</v>
      </c>
      <c r="F230">
        <f t="shared" si="22"/>
        <v>202204</v>
      </c>
      <c r="G230" t="s">
        <v>417</v>
      </c>
      <c r="H230" s="9">
        <v>3</v>
      </c>
      <c r="I230" s="9">
        <v>2.9262999999999999</v>
      </c>
      <c r="J230" s="10">
        <v>3.1185982000000001</v>
      </c>
      <c r="K230" s="10">
        <v>3.5287321</v>
      </c>
      <c r="L230" s="10">
        <v>3.8523196999999998</v>
      </c>
      <c r="M230" s="10">
        <v>4.1018144000000003</v>
      </c>
      <c r="N230" s="10">
        <v>4.2885223000000003</v>
      </c>
      <c r="O230" s="10">
        <v>4.4225162999999998</v>
      </c>
      <c r="P230" s="10">
        <v>4.5135382999999996</v>
      </c>
      <c r="Q230" s="10">
        <v>4.5739599999999996</v>
      </c>
      <c r="R230" s="10">
        <v>4.6139754999999996</v>
      </c>
      <c r="S230" s="10">
        <v>4.6402051000000002</v>
      </c>
      <c r="T230" s="10">
        <v>4.6560419</v>
      </c>
      <c r="U230" s="10">
        <v>4.6625354999999997</v>
      </c>
      <c r="V230" s="10">
        <v>4.6589463000000002</v>
      </c>
      <c r="W230" s="10">
        <v>4.6459967999999998</v>
      </c>
      <c r="X230" s="10">
        <v>4.6248860000000001</v>
      </c>
      <c r="Y230" s="10">
        <v>4.5968125999999998</v>
      </c>
      <c r="Z230" s="10">
        <v>4.5629754</v>
      </c>
      <c r="AA230" s="10">
        <v>4.5245734000000004</v>
      </c>
      <c r="AB230" s="10">
        <v>4.4827456000000003</v>
      </c>
      <c r="AC230" s="10">
        <v>4.4384034000000003</v>
      </c>
      <c r="AD230" s="10">
        <v>4.3924041000000003</v>
      </c>
      <c r="AE230" s="10">
        <v>4.3456049999999999</v>
      </c>
      <c r="AF230" s="10">
        <v>4.2988632000000004</v>
      </c>
      <c r="AG230" s="10">
        <v>4.2530361000000001</v>
      </c>
      <c r="AH230" s="10">
        <v>4.2088656000000002</v>
      </c>
      <c r="AI230" s="10">
        <v>4.1664729999999999</v>
      </c>
      <c r="AJ230" s="10">
        <v>4.1257713000000003</v>
      </c>
      <c r="AK230" s="10">
        <v>4.0866734999999998</v>
      </c>
      <c r="AL230" s="10">
        <v>4.0490925999999998</v>
      </c>
      <c r="AM230" s="10">
        <v>4.0129416000000004</v>
      </c>
      <c r="AN230" s="10">
        <v>3.9781333999999999</v>
      </c>
      <c r="AO230" s="10">
        <v>3.9445809000000001</v>
      </c>
      <c r="AP230" s="10">
        <v>3.9121971000000002</v>
      </c>
      <c r="AQ230" s="10">
        <v>3.8808950000000002</v>
      </c>
      <c r="AR230" s="10">
        <v>3.8505875999999999</v>
      </c>
      <c r="AS230" s="10">
        <v>3.8211878000000001</v>
      </c>
      <c r="AT230" s="10">
        <v>3.7926152000000002</v>
      </c>
      <c r="AU230" s="10">
        <v>3.7648223000000001</v>
      </c>
      <c r="AV230" s="10">
        <v>3.7377715</v>
      </c>
      <c r="AW230" s="10">
        <v>3.7114251</v>
      </c>
      <c r="AX230" s="10">
        <v>3.6857454999999999</v>
      </c>
      <c r="AY230" s="10">
        <v>3.6606950999999999</v>
      </c>
      <c r="AZ230" s="10">
        <v>3.6362361999999999</v>
      </c>
      <c r="BA230" s="10">
        <v>3.6123311999999999</v>
      </c>
      <c r="BB230" s="10">
        <v>3.5889424999999999</v>
      </c>
      <c r="BC230" s="10">
        <v>3.5660324999999999</v>
      </c>
      <c r="BD230" s="10">
        <v>3.5435634</v>
      </c>
      <c r="BE230" s="10">
        <v>3.5214978000000001</v>
      </c>
      <c r="BF230" s="10">
        <v>3.4998064000000002</v>
      </c>
      <c r="BG230" s="10">
        <v>3.4784978</v>
      </c>
      <c r="BH230" s="10">
        <v>3.4575906000000001</v>
      </c>
      <c r="BI230" s="10">
        <v>3.4371037000000002</v>
      </c>
      <c r="BJ230" s="10">
        <v>3.4170558</v>
      </c>
      <c r="BK230" s="10">
        <v>3.3974658999999998</v>
      </c>
      <c r="BL230" s="10">
        <v>3.3783525000000001</v>
      </c>
      <c r="BM230" s="10">
        <v>3.3597345999999999</v>
      </c>
      <c r="BN230" s="10">
        <v>3.3416309000000002</v>
      </c>
      <c r="BO230" s="10">
        <v>3.3240601999999999</v>
      </c>
      <c r="BP230" s="10">
        <v>3.3070412999999999</v>
      </c>
      <c r="BQ230" s="10">
        <v>3.2905929999999999</v>
      </c>
      <c r="BR230" s="10">
        <v>3.2042826999999998</v>
      </c>
      <c r="BS230" s="10">
        <v>3.1392758999999999</v>
      </c>
      <c r="BU230" s="7">
        <v>3.21</v>
      </c>
      <c r="BV230" s="7">
        <v>3.45</v>
      </c>
      <c r="BW230" s="9">
        <v>76.568899999999999</v>
      </c>
    </row>
    <row r="231" spans="1:75" x14ac:dyDescent="0.25">
      <c r="A231" s="6">
        <f t="shared" si="23"/>
        <v>44875</v>
      </c>
      <c r="B231" s="13">
        <f t="shared" si="18"/>
        <v>11</v>
      </c>
      <c r="C231" s="13">
        <f t="shared" si="19"/>
        <v>2022</v>
      </c>
      <c r="D231">
        <f t="shared" si="20"/>
        <v>202211</v>
      </c>
      <c r="E231">
        <f t="shared" si="21"/>
        <v>4</v>
      </c>
      <c r="F231">
        <f t="shared" si="22"/>
        <v>202204</v>
      </c>
      <c r="G231" t="s">
        <v>418</v>
      </c>
      <c r="H231" s="9">
        <v>3</v>
      </c>
      <c r="I231" s="9">
        <v>2.9264999999999999</v>
      </c>
      <c r="J231" s="10">
        <v>3.1055437000000001</v>
      </c>
      <c r="K231" s="10">
        <v>3.5093093</v>
      </c>
      <c r="L231" s="10">
        <v>3.8227481000000001</v>
      </c>
      <c r="M231" s="10">
        <v>4.0607949000000003</v>
      </c>
      <c r="N231" s="10">
        <v>4.236256</v>
      </c>
      <c r="O231" s="10">
        <v>4.3571109000000003</v>
      </c>
      <c r="P231" s="10">
        <v>4.4328015000000001</v>
      </c>
      <c r="Q231" s="10">
        <v>4.4755684999999996</v>
      </c>
      <c r="R231" s="10">
        <v>4.4977270999999996</v>
      </c>
      <c r="S231" s="10">
        <v>4.5072501999999997</v>
      </c>
      <c r="T231" s="10">
        <v>4.5085014000000001</v>
      </c>
      <c r="U231" s="10">
        <v>4.5029338000000001</v>
      </c>
      <c r="V231" s="10">
        <v>4.4900244000000002</v>
      </c>
      <c r="W231" s="10">
        <v>4.4702963000000002</v>
      </c>
      <c r="X231" s="10">
        <v>4.4446418000000003</v>
      </c>
      <c r="Y231" s="10">
        <v>4.4139533999999996</v>
      </c>
      <c r="Z231" s="10">
        <v>4.3791235999999998</v>
      </c>
      <c r="AA231" s="10">
        <v>4.3410450000000003</v>
      </c>
      <c r="AB231" s="10">
        <v>4.3005601999999996</v>
      </c>
      <c r="AC231" s="10">
        <v>4.2583224</v>
      </c>
      <c r="AD231" s="10">
        <v>4.2149397000000004</v>
      </c>
      <c r="AE231" s="10">
        <v>4.1710203000000003</v>
      </c>
      <c r="AF231" s="10">
        <v>4.1271722000000004</v>
      </c>
      <c r="AG231" s="10">
        <v>4.0840036</v>
      </c>
      <c r="AH231" s="10">
        <v>4.0420353000000002</v>
      </c>
      <c r="AI231" s="10">
        <v>4.0013633000000004</v>
      </c>
      <c r="AJ231" s="10">
        <v>3.9619540999999998</v>
      </c>
      <c r="AK231" s="10">
        <v>3.9237742999999998</v>
      </c>
      <c r="AL231" s="10">
        <v>3.8867902999999999</v>
      </c>
      <c r="AM231" s="10">
        <v>3.8509685999999999</v>
      </c>
      <c r="AN231" s="10">
        <v>3.8162758999999999</v>
      </c>
      <c r="AO231" s="10">
        <v>3.7826786000000001</v>
      </c>
      <c r="AP231" s="10">
        <v>3.7501432000000001</v>
      </c>
      <c r="AQ231" s="10">
        <v>3.7186363</v>
      </c>
      <c r="AR231" s="10">
        <v>3.6881244</v>
      </c>
      <c r="AS231" s="10">
        <v>3.6585740000000002</v>
      </c>
      <c r="AT231" s="10">
        <v>3.6299518000000002</v>
      </c>
      <c r="AU231" s="10">
        <v>3.6022246</v>
      </c>
      <c r="AV231" s="10">
        <v>3.5753594999999998</v>
      </c>
      <c r="AW231" s="10">
        <v>3.5493237</v>
      </c>
      <c r="AX231" s="10">
        <v>3.5240840000000002</v>
      </c>
      <c r="AY231" s="10">
        <v>3.4996076999999999</v>
      </c>
      <c r="AZ231" s="10">
        <v>3.4758616</v>
      </c>
      <c r="BA231" s="10">
        <v>3.4528129999999999</v>
      </c>
      <c r="BB231" s="10">
        <v>3.4304287000000002</v>
      </c>
      <c r="BC231" s="10">
        <v>3.4086759999999998</v>
      </c>
      <c r="BD231" s="10">
        <v>3.3875217000000002</v>
      </c>
      <c r="BE231" s="10">
        <v>3.3669330999999998</v>
      </c>
      <c r="BF231" s="10">
        <v>3.3468819999999999</v>
      </c>
      <c r="BG231" s="10">
        <v>3.3273625</v>
      </c>
      <c r="BH231" s="10">
        <v>3.3083748000000002</v>
      </c>
      <c r="BI231" s="10">
        <v>3.2899186999999999</v>
      </c>
      <c r="BJ231" s="10">
        <v>3.2719944999999999</v>
      </c>
      <c r="BK231" s="10">
        <v>3.2546021999999999</v>
      </c>
      <c r="BL231" s="10">
        <v>3.2377417999999998</v>
      </c>
      <c r="BM231" s="10">
        <v>3.2214133999999999</v>
      </c>
      <c r="BN231" s="10">
        <v>3.2056171</v>
      </c>
      <c r="BO231" s="10">
        <v>3.190353</v>
      </c>
      <c r="BP231" s="10">
        <v>3.1756212000000001</v>
      </c>
      <c r="BQ231" s="10">
        <v>3.1614216000000002</v>
      </c>
      <c r="BR231" s="10">
        <v>3.0873105999999999</v>
      </c>
      <c r="BS231" s="10">
        <v>3.0318003</v>
      </c>
      <c r="BU231" s="7">
        <v>3.07</v>
      </c>
      <c r="BV231" s="7">
        <v>3.29</v>
      </c>
      <c r="BW231" s="9">
        <v>77.828299999999999</v>
      </c>
    </row>
    <row r="232" spans="1:75" x14ac:dyDescent="0.25">
      <c r="A232" s="6">
        <f t="shared" si="23"/>
        <v>44876</v>
      </c>
      <c r="B232" s="13">
        <f t="shared" si="18"/>
        <v>11</v>
      </c>
      <c r="C232" s="13">
        <f t="shared" si="19"/>
        <v>2022</v>
      </c>
      <c r="D232">
        <f t="shared" si="20"/>
        <v>202211</v>
      </c>
      <c r="E232">
        <f t="shared" si="21"/>
        <v>4</v>
      </c>
      <c r="F232">
        <f t="shared" si="22"/>
        <v>202204</v>
      </c>
      <c r="G232" t="s">
        <v>419</v>
      </c>
      <c r="H232" s="9">
        <v>3</v>
      </c>
      <c r="I232" s="9">
        <v>2.9268000000000001</v>
      </c>
      <c r="J232" s="10">
        <v>3.1176039000000002</v>
      </c>
      <c r="K232" s="10">
        <v>3.5168043</v>
      </c>
      <c r="L232" s="10">
        <v>3.8236718000000001</v>
      </c>
      <c r="M232" s="10">
        <v>4.0586263999999996</v>
      </c>
      <c r="N232" s="10">
        <v>4.2368866000000001</v>
      </c>
      <c r="O232" s="10">
        <v>4.3654035000000002</v>
      </c>
      <c r="P232" s="10">
        <v>4.4518863</v>
      </c>
      <c r="Q232" s="10">
        <v>4.5057029000000002</v>
      </c>
      <c r="R232" s="10">
        <v>4.5365824000000003</v>
      </c>
      <c r="S232" s="10">
        <v>4.5509136999999997</v>
      </c>
      <c r="T232" s="10">
        <v>4.552397</v>
      </c>
      <c r="U232" s="10">
        <v>4.5429769000000002</v>
      </c>
      <c r="V232" s="10">
        <v>4.5233280000000002</v>
      </c>
      <c r="W232" s="10">
        <v>4.4948268999999996</v>
      </c>
      <c r="X232" s="10">
        <v>4.4591512</v>
      </c>
      <c r="Y232" s="10">
        <v>4.4179785000000003</v>
      </c>
      <c r="Z232" s="10">
        <v>4.3729864999999997</v>
      </c>
      <c r="AA232" s="10">
        <v>4.3258527999999998</v>
      </c>
      <c r="AB232" s="10">
        <v>4.2780858000000004</v>
      </c>
      <c r="AC232" s="10">
        <v>4.2304078000000001</v>
      </c>
      <c r="AD232" s="10">
        <v>4.1833133</v>
      </c>
      <c r="AE232" s="10">
        <v>4.1372970000000002</v>
      </c>
      <c r="AF232" s="10">
        <v>4.0928535000000004</v>
      </c>
      <c r="AG232" s="10">
        <v>4.0504772999999998</v>
      </c>
      <c r="AH232" s="10">
        <v>4.0105615999999999</v>
      </c>
      <c r="AI232" s="10">
        <v>3.9730512</v>
      </c>
      <c r="AJ232" s="10">
        <v>3.9377675999999999</v>
      </c>
      <c r="AK232" s="10">
        <v>3.9045318999999998</v>
      </c>
      <c r="AL232" s="10">
        <v>3.8731654</v>
      </c>
      <c r="AM232" s="10">
        <v>3.8434895</v>
      </c>
      <c r="AN232" s="10">
        <v>3.8153255000000001</v>
      </c>
      <c r="AO232" s="10">
        <v>3.7884945999999999</v>
      </c>
      <c r="AP232" s="10">
        <v>3.7628181000000001</v>
      </c>
      <c r="AQ232" s="10">
        <v>3.7381172999999999</v>
      </c>
      <c r="AR232" s="10">
        <v>3.7142135999999999</v>
      </c>
      <c r="AS232" s="10">
        <v>3.6909280999999998</v>
      </c>
      <c r="AT232" s="10">
        <v>3.6681062999999998</v>
      </c>
      <c r="AU232" s="10">
        <v>3.6456993</v>
      </c>
      <c r="AV232" s="10">
        <v>3.6236875999999998</v>
      </c>
      <c r="AW232" s="10">
        <v>3.6020519000000002</v>
      </c>
      <c r="AX232" s="10">
        <v>3.5807725000000001</v>
      </c>
      <c r="AY232" s="10">
        <v>3.5598299</v>
      </c>
      <c r="AZ232" s="10">
        <v>3.5392047999999998</v>
      </c>
      <c r="BA232" s="10">
        <v>3.5188774999999999</v>
      </c>
      <c r="BB232" s="10">
        <v>3.4988286</v>
      </c>
      <c r="BC232" s="10">
        <v>3.4790385000000001</v>
      </c>
      <c r="BD232" s="10">
        <v>3.4594879000000001</v>
      </c>
      <c r="BE232" s="10">
        <v>3.4401571</v>
      </c>
      <c r="BF232" s="10">
        <v>3.4210335999999999</v>
      </c>
      <c r="BG232" s="10">
        <v>3.4021351000000002</v>
      </c>
      <c r="BH232" s="10">
        <v>3.3834875000000002</v>
      </c>
      <c r="BI232" s="10">
        <v>3.3651170000000001</v>
      </c>
      <c r="BJ232" s="10">
        <v>3.3470496000000001</v>
      </c>
      <c r="BK232" s="10">
        <v>3.3293113000000001</v>
      </c>
      <c r="BL232" s="10">
        <v>3.3119282000000001</v>
      </c>
      <c r="BM232" s="10">
        <v>3.2949264</v>
      </c>
      <c r="BN232" s="10">
        <v>3.2783319</v>
      </c>
      <c r="BO232" s="10">
        <v>3.2621707999999998</v>
      </c>
      <c r="BP232" s="10">
        <v>3.2464689999999998</v>
      </c>
      <c r="BQ232" s="10">
        <v>3.2312528</v>
      </c>
      <c r="BR232" s="10">
        <v>3.1507998000000002</v>
      </c>
      <c r="BS232" s="10">
        <v>3.0894811999999998</v>
      </c>
      <c r="BU232" s="7">
        <v>3.12</v>
      </c>
      <c r="BV232" s="7">
        <v>3.35</v>
      </c>
      <c r="BW232" s="9">
        <v>77.566299999999998</v>
      </c>
    </row>
    <row r="233" spans="1:75" x14ac:dyDescent="0.25">
      <c r="A233" s="6">
        <f t="shared" si="23"/>
        <v>44879</v>
      </c>
      <c r="B233" s="13">
        <f t="shared" si="18"/>
        <v>11</v>
      </c>
      <c r="C233" s="13">
        <f t="shared" si="19"/>
        <v>2022</v>
      </c>
      <c r="D233">
        <f t="shared" si="20"/>
        <v>202211</v>
      </c>
      <c r="E233">
        <f t="shared" si="21"/>
        <v>4</v>
      </c>
      <c r="F233">
        <f t="shared" si="22"/>
        <v>202204</v>
      </c>
      <c r="G233" t="s">
        <v>420</v>
      </c>
      <c r="H233" s="9">
        <v>3</v>
      </c>
      <c r="I233" s="9">
        <v>2.9266000000000001</v>
      </c>
      <c r="J233" s="10">
        <v>3.1592072</v>
      </c>
      <c r="K233" s="10">
        <v>3.5861428000000002</v>
      </c>
      <c r="L233" s="10">
        <v>3.8942017</v>
      </c>
      <c r="M233" s="10">
        <v>4.1158614</v>
      </c>
      <c r="N233" s="10">
        <v>4.2789083000000003</v>
      </c>
      <c r="O233" s="10">
        <v>4.3937081999999998</v>
      </c>
      <c r="P233" s="10">
        <v>4.4692331000000003</v>
      </c>
      <c r="Q233" s="10">
        <v>4.5144402000000001</v>
      </c>
      <c r="R233" s="10">
        <v>4.5381752000000004</v>
      </c>
      <c r="S233" s="10">
        <v>4.5465941000000001</v>
      </c>
      <c r="T233" s="10">
        <v>4.5435414999999999</v>
      </c>
      <c r="U233" s="10">
        <v>4.5313331999999997</v>
      </c>
      <c r="V233" s="10">
        <v>4.5113608999999997</v>
      </c>
      <c r="W233" s="10">
        <v>4.4848191999999996</v>
      </c>
      <c r="X233" s="10">
        <v>4.4529008000000001</v>
      </c>
      <c r="Y233" s="10">
        <v>4.4167987000000002</v>
      </c>
      <c r="Z233" s="10">
        <v>4.3777059999999999</v>
      </c>
      <c r="AA233" s="10">
        <v>4.3368155000000002</v>
      </c>
      <c r="AB233" s="10">
        <v>4.2951743999999996</v>
      </c>
      <c r="AC233" s="10">
        <v>4.2532743999999996</v>
      </c>
      <c r="AD233" s="10">
        <v>4.2114751999999998</v>
      </c>
      <c r="AE233" s="10">
        <v>4.1701363000000002</v>
      </c>
      <c r="AF233" s="10">
        <v>4.1296173999999999</v>
      </c>
      <c r="AG233" s="10">
        <v>4.0902779999999996</v>
      </c>
      <c r="AH233" s="10">
        <v>4.0524108999999999</v>
      </c>
      <c r="AI233" s="10">
        <v>4.0160134999999997</v>
      </c>
      <c r="AJ233" s="10">
        <v>3.9810020000000002</v>
      </c>
      <c r="AK233" s="10">
        <v>3.9472922000000001</v>
      </c>
      <c r="AL233" s="10">
        <v>3.9148003</v>
      </c>
      <c r="AM233" s="10">
        <v>3.8834422000000002</v>
      </c>
      <c r="AN233" s="10">
        <v>3.8531339999999998</v>
      </c>
      <c r="AO233" s="10">
        <v>3.8237915999999998</v>
      </c>
      <c r="AP233" s="10">
        <v>3.7953310999999998</v>
      </c>
      <c r="AQ233" s="10">
        <v>3.7676685000000001</v>
      </c>
      <c r="AR233" s="10">
        <v>3.7407197999999999</v>
      </c>
      <c r="AS233" s="10">
        <v>3.7144010999999999</v>
      </c>
      <c r="AT233" s="10">
        <v>3.6886391000000001</v>
      </c>
      <c r="AU233" s="10">
        <v>3.6634083</v>
      </c>
      <c r="AV233" s="10">
        <v>3.6386962999999999</v>
      </c>
      <c r="AW233" s="10">
        <v>3.6144907000000002</v>
      </c>
      <c r="AX233" s="10">
        <v>3.5907790999999998</v>
      </c>
      <c r="AY233" s="10">
        <v>3.5675492000000002</v>
      </c>
      <c r="AZ233" s="10">
        <v>3.5447883999999998</v>
      </c>
      <c r="BA233" s="10">
        <v>3.5224845</v>
      </c>
      <c r="BB233" s="10">
        <v>3.5006249999999999</v>
      </c>
      <c r="BC233" s="10">
        <v>3.4791975000000002</v>
      </c>
      <c r="BD233" s="10">
        <v>3.4581895999999999</v>
      </c>
      <c r="BE233" s="10">
        <v>3.437589</v>
      </c>
      <c r="BF233" s="10">
        <v>3.4173867000000002</v>
      </c>
      <c r="BG233" s="10">
        <v>3.3975928</v>
      </c>
      <c r="BH233" s="10">
        <v>3.3782236000000001</v>
      </c>
      <c r="BI233" s="10">
        <v>3.3592954000000002</v>
      </c>
      <c r="BJ233" s="10">
        <v>3.3408248</v>
      </c>
      <c r="BK233" s="10">
        <v>3.3228279000000001</v>
      </c>
      <c r="BL233" s="10">
        <v>3.3053213000000001</v>
      </c>
      <c r="BM233" s="10">
        <v>3.2883211000000001</v>
      </c>
      <c r="BN233" s="10">
        <v>3.2718438999999999</v>
      </c>
      <c r="BO233" s="10">
        <v>3.255906</v>
      </c>
      <c r="BP233" s="10">
        <v>3.2405236999999998</v>
      </c>
      <c r="BQ233" s="10">
        <v>3.2257134000000001</v>
      </c>
      <c r="BR233" s="10">
        <v>3.1491520999999998</v>
      </c>
      <c r="BS233" s="10">
        <v>3.0934539000000001</v>
      </c>
      <c r="BU233" s="7">
        <v>3.11</v>
      </c>
      <c r="BV233" s="7">
        <v>3.35</v>
      </c>
      <c r="BW233" s="9">
        <v>77.227400000000003</v>
      </c>
    </row>
    <row r="234" spans="1:75" x14ac:dyDescent="0.25">
      <c r="A234" s="6">
        <f t="shared" si="23"/>
        <v>44880</v>
      </c>
      <c r="B234" s="13">
        <f t="shared" si="18"/>
        <v>11</v>
      </c>
      <c r="C234" s="13">
        <f t="shared" si="19"/>
        <v>2022</v>
      </c>
      <c r="D234">
        <f t="shared" si="20"/>
        <v>202211</v>
      </c>
      <c r="E234">
        <f t="shared" si="21"/>
        <v>4</v>
      </c>
      <c r="F234">
        <f t="shared" si="22"/>
        <v>202204</v>
      </c>
      <c r="G234" t="s">
        <v>421</v>
      </c>
      <c r="H234" s="9">
        <v>3</v>
      </c>
      <c r="I234" s="9">
        <v>2.9268999999999998</v>
      </c>
      <c r="J234" s="10">
        <v>3.1676981999999998</v>
      </c>
      <c r="K234" s="10">
        <v>3.6024077999999999</v>
      </c>
      <c r="L234" s="10">
        <v>3.9081692000000001</v>
      </c>
      <c r="M234" s="10">
        <v>4.1220862</v>
      </c>
      <c r="N234" s="10">
        <v>4.2759653999999996</v>
      </c>
      <c r="O234" s="10">
        <v>4.3845913000000003</v>
      </c>
      <c r="P234" s="10">
        <v>4.4563354000000004</v>
      </c>
      <c r="Q234" s="10">
        <v>4.5003973000000004</v>
      </c>
      <c r="R234" s="10">
        <v>4.5240277000000004</v>
      </c>
      <c r="S234" s="10">
        <v>4.5327792000000002</v>
      </c>
      <c r="T234" s="10">
        <v>4.5297371000000002</v>
      </c>
      <c r="U234" s="10">
        <v>4.5169043000000002</v>
      </c>
      <c r="V234" s="10">
        <v>4.4956141000000001</v>
      </c>
      <c r="W234" s="10">
        <v>4.4671669999999999</v>
      </c>
      <c r="X234" s="10">
        <v>4.4328934000000002</v>
      </c>
      <c r="Y234" s="10">
        <v>4.3941238</v>
      </c>
      <c r="Z234" s="10">
        <v>4.3521888999999998</v>
      </c>
      <c r="AA234" s="10">
        <v>4.3084191000000001</v>
      </c>
      <c r="AB234" s="10">
        <v>4.2639722000000004</v>
      </c>
      <c r="AC234" s="10">
        <v>4.2193478999999998</v>
      </c>
      <c r="AD234" s="10">
        <v>4.1748896000000002</v>
      </c>
      <c r="AE234" s="10">
        <v>4.1309402000000004</v>
      </c>
      <c r="AF234" s="10">
        <v>4.0878430000000003</v>
      </c>
      <c r="AG234" s="10">
        <v>4.0459413</v>
      </c>
      <c r="AH234" s="10">
        <v>4.0055149999999999</v>
      </c>
      <c r="AI234" s="10">
        <v>3.9665659999999998</v>
      </c>
      <c r="AJ234" s="10">
        <v>3.9290193000000002</v>
      </c>
      <c r="AK234" s="10">
        <v>3.8927998000000001</v>
      </c>
      <c r="AL234" s="10">
        <v>3.8578323999999999</v>
      </c>
      <c r="AM234" s="10">
        <v>3.8240422000000001</v>
      </c>
      <c r="AN234" s="10">
        <v>3.7913540999999999</v>
      </c>
      <c r="AO234" s="10">
        <v>3.759693</v>
      </c>
      <c r="AP234" s="10">
        <v>3.7289840000000001</v>
      </c>
      <c r="AQ234" s="10">
        <v>3.6991518999999999</v>
      </c>
      <c r="AR234" s="10">
        <v>3.6701218</v>
      </c>
      <c r="AS234" s="10">
        <v>3.6418187</v>
      </c>
      <c r="AT234" s="10">
        <v>3.6141746000000001</v>
      </c>
      <c r="AU234" s="10">
        <v>3.5871607999999999</v>
      </c>
      <c r="AV234" s="10">
        <v>3.5607617</v>
      </c>
      <c r="AW234" s="10">
        <v>3.5349613999999998</v>
      </c>
      <c r="AX234" s="10">
        <v>3.5097442000000001</v>
      </c>
      <c r="AY234" s="10">
        <v>3.4850945000000002</v>
      </c>
      <c r="AZ234" s="10">
        <v>3.4609964999999998</v>
      </c>
      <c r="BA234" s="10">
        <v>3.4374343999999999</v>
      </c>
      <c r="BB234" s="10">
        <v>3.4143927000000001</v>
      </c>
      <c r="BC234" s="10">
        <v>3.3918553999999999</v>
      </c>
      <c r="BD234" s="10">
        <v>3.3698070000000002</v>
      </c>
      <c r="BE234" s="10">
        <v>3.3482316999999999</v>
      </c>
      <c r="BF234" s="10">
        <v>3.3271174000000001</v>
      </c>
      <c r="BG234" s="10">
        <v>3.3064699000000002</v>
      </c>
      <c r="BH234" s="10">
        <v>3.2863001000000001</v>
      </c>
      <c r="BI234" s="10">
        <v>3.2666192999999999</v>
      </c>
      <c r="BJ234" s="10">
        <v>3.2474384999999999</v>
      </c>
      <c r="BK234" s="10">
        <v>3.2287688000000001</v>
      </c>
      <c r="BL234" s="10">
        <v>3.2106214</v>
      </c>
      <c r="BM234" s="10">
        <v>3.1930071999999998</v>
      </c>
      <c r="BN234" s="10">
        <v>3.1759374999999999</v>
      </c>
      <c r="BO234" s="10">
        <v>3.1594232999999998</v>
      </c>
      <c r="BP234" s="10">
        <v>3.1434757000000002</v>
      </c>
      <c r="BQ234" s="10">
        <v>3.1281059</v>
      </c>
      <c r="BR234" s="10">
        <v>3.0482078000000001</v>
      </c>
      <c r="BS234" s="10">
        <v>2.9892794</v>
      </c>
      <c r="BU234" s="7">
        <v>3.13</v>
      </c>
      <c r="BV234" s="7">
        <v>3.29</v>
      </c>
      <c r="BW234" s="9">
        <v>78.115300000000005</v>
      </c>
    </row>
    <row r="235" spans="1:75" x14ac:dyDescent="0.25">
      <c r="A235" s="6">
        <f t="shared" si="23"/>
        <v>44881</v>
      </c>
      <c r="B235" s="13">
        <f t="shared" si="18"/>
        <v>11</v>
      </c>
      <c r="C235" s="13">
        <f t="shared" si="19"/>
        <v>2022</v>
      </c>
      <c r="D235">
        <f t="shared" si="20"/>
        <v>202211</v>
      </c>
      <c r="E235">
        <f t="shared" si="21"/>
        <v>4</v>
      </c>
      <c r="F235">
        <f t="shared" si="22"/>
        <v>202204</v>
      </c>
      <c r="G235" t="s">
        <v>422</v>
      </c>
      <c r="H235" s="9">
        <v>3</v>
      </c>
      <c r="I235" s="9">
        <v>2.9264999999999999</v>
      </c>
      <c r="J235" s="10">
        <v>3.1857264000000001</v>
      </c>
      <c r="K235" s="10">
        <v>3.6141448999999999</v>
      </c>
      <c r="L235" s="10">
        <v>3.9207721000000002</v>
      </c>
      <c r="M235" s="10">
        <v>4.1381380999999999</v>
      </c>
      <c r="N235" s="10">
        <v>4.2936247999999999</v>
      </c>
      <c r="O235" s="10">
        <v>4.4007123999999997</v>
      </c>
      <c r="P235" s="10">
        <v>4.4695644000000003</v>
      </c>
      <c r="Q235" s="10">
        <v>4.5093370000000004</v>
      </c>
      <c r="R235" s="10">
        <v>4.5272610000000002</v>
      </c>
      <c r="S235" s="10">
        <v>4.5284142000000003</v>
      </c>
      <c r="T235" s="10">
        <v>4.5162146999999999</v>
      </c>
      <c r="U235" s="10">
        <v>4.4926566000000001</v>
      </c>
      <c r="V235" s="10">
        <v>4.4597281999999998</v>
      </c>
      <c r="W235" s="10">
        <v>4.4191510999999997</v>
      </c>
      <c r="X235" s="10">
        <v>4.3725522000000003</v>
      </c>
      <c r="Y235" s="10">
        <v>4.3215579000000002</v>
      </c>
      <c r="Z235" s="10">
        <v>4.2677950999999998</v>
      </c>
      <c r="AA235" s="10">
        <v>4.2128902999999998</v>
      </c>
      <c r="AB235" s="10">
        <v>4.1582499000000004</v>
      </c>
      <c r="AC235" s="10">
        <v>4.1044407999999999</v>
      </c>
      <c r="AD235" s="10">
        <v>4.0518302999999998</v>
      </c>
      <c r="AE235" s="10">
        <v>4.0007858000000001</v>
      </c>
      <c r="AF235" s="10">
        <v>3.9516746</v>
      </c>
      <c r="AG235" s="10">
        <v>3.9048639000000001</v>
      </c>
      <c r="AH235" s="10">
        <v>3.8606541999999999</v>
      </c>
      <c r="AI235" s="10">
        <v>3.8189850000000001</v>
      </c>
      <c r="AJ235" s="10">
        <v>3.7796750000000001</v>
      </c>
      <c r="AK235" s="10">
        <v>3.7425429000000001</v>
      </c>
      <c r="AL235" s="10">
        <v>3.7074072</v>
      </c>
      <c r="AM235" s="10">
        <v>3.6740865</v>
      </c>
      <c r="AN235" s="10">
        <v>3.6423994999999998</v>
      </c>
      <c r="AO235" s="10">
        <v>3.6121648</v>
      </c>
      <c r="AP235" s="10">
        <v>3.5832009</v>
      </c>
      <c r="AQ235" s="10">
        <v>3.5553264000000002</v>
      </c>
      <c r="AR235" s="10">
        <v>3.5283601</v>
      </c>
      <c r="AS235" s="10">
        <v>3.5021203999999999</v>
      </c>
      <c r="AT235" s="10">
        <v>3.4764477</v>
      </c>
      <c r="AU235" s="10">
        <v>3.4512877</v>
      </c>
      <c r="AV235" s="10">
        <v>3.4266182999999999</v>
      </c>
      <c r="AW235" s="10">
        <v>3.4024174999999999</v>
      </c>
      <c r="AX235" s="10">
        <v>3.378663</v>
      </c>
      <c r="AY235" s="10">
        <v>3.3553329000000001</v>
      </c>
      <c r="AZ235" s="10">
        <v>3.3324050000000001</v>
      </c>
      <c r="BA235" s="10">
        <v>3.3098570999999999</v>
      </c>
      <c r="BB235" s="10">
        <v>3.2876672999999998</v>
      </c>
      <c r="BC235" s="10">
        <v>3.2658133999999999</v>
      </c>
      <c r="BD235" s="10">
        <v>3.2442734</v>
      </c>
      <c r="BE235" s="10">
        <v>3.2230249999999998</v>
      </c>
      <c r="BF235" s="10">
        <v>3.2020533000000002</v>
      </c>
      <c r="BG235" s="10">
        <v>3.1813745</v>
      </c>
      <c r="BH235" s="10">
        <v>3.1610133</v>
      </c>
      <c r="BI235" s="10">
        <v>3.1409945000000001</v>
      </c>
      <c r="BJ235" s="10">
        <v>3.1213429000000001</v>
      </c>
      <c r="BK235" s="10">
        <v>3.1020832</v>
      </c>
      <c r="BL235" s="10">
        <v>3.0832402999999999</v>
      </c>
      <c r="BM235" s="10">
        <v>3.0648390000000001</v>
      </c>
      <c r="BN235" s="10">
        <v>3.0469039000000002</v>
      </c>
      <c r="BO235" s="10">
        <v>3.0294599</v>
      </c>
      <c r="BP235" s="10">
        <v>3.0125318000000001</v>
      </c>
      <c r="BQ235" s="10">
        <v>2.9961443999999999</v>
      </c>
      <c r="BR235" s="10">
        <v>2.9097563000000002</v>
      </c>
      <c r="BS235" s="10">
        <v>2.8441949000000002</v>
      </c>
      <c r="BU235" s="7">
        <v>3</v>
      </c>
      <c r="BV235" s="7">
        <v>3.15</v>
      </c>
      <c r="BW235" s="9">
        <v>78.048000000000002</v>
      </c>
    </row>
    <row r="236" spans="1:75" x14ac:dyDescent="0.25">
      <c r="A236" s="6">
        <f t="shared" si="23"/>
        <v>44882</v>
      </c>
      <c r="B236" s="13">
        <f t="shared" si="18"/>
        <v>11</v>
      </c>
      <c r="C236" s="13">
        <f t="shared" si="19"/>
        <v>2022</v>
      </c>
      <c r="D236">
        <f t="shared" si="20"/>
        <v>202211</v>
      </c>
      <c r="E236">
        <f t="shared" si="21"/>
        <v>4</v>
      </c>
      <c r="F236">
        <f t="shared" si="22"/>
        <v>202204</v>
      </c>
      <c r="G236" t="s">
        <v>423</v>
      </c>
      <c r="H236" s="9">
        <v>3</v>
      </c>
      <c r="I236" s="9">
        <v>2.9266000000000001</v>
      </c>
      <c r="J236" s="10">
        <v>3.2181552999999998</v>
      </c>
      <c r="K236" s="10">
        <v>3.6265814999999999</v>
      </c>
      <c r="L236" s="10">
        <v>3.9381916000000001</v>
      </c>
      <c r="M236" s="10">
        <v>4.1723337000000003</v>
      </c>
      <c r="N236" s="10">
        <v>4.3456967000000004</v>
      </c>
      <c r="O236" s="10">
        <v>4.4662538999999999</v>
      </c>
      <c r="P236" s="10">
        <v>4.5439850000000002</v>
      </c>
      <c r="Q236" s="10">
        <v>4.5887612000000004</v>
      </c>
      <c r="R236" s="10">
        <v>4.6101631000000003</v>
      </c>
      <c r="S236" s="10">
        <v>4.6145395000000002</v>
      </c>
      <c r="T236" s="10">
        <v>4.6059508999999998</v>
      </c>
      <c r="U236" s="10">
        <v>4.5863825</v>
      </c>
      <c r="V236" s="10">
        <v>4.5567586999999996</v>
      </c>
      <c r="W236" s="10">
        <v>4.5185629</v>
      </c>
      <c r="X236" s="10">
        <v>4.4734670000000003</v>
      </c>
      <c r="Y236" s="10">
        <v>4.4231427999999999</v>
      </c>
      <c r="Z236" s="10">
        <v>4.3692621000000003</v>
      </c>
      <c r="AA236" s="10">
        <v>4.3134968999999996</v>
      </c>
      <c r="AB236" s="10">
        <v>4.2573153000000001</v>
      </c>
      <c r="AC236" s="10">
        <v>4.2014101999999998</v>
      </c>
      <c r="AD236" s="10">
        <v>4.1462903000000004</v>
      </c>
      <c r="AE236" s="10">
        <v>4.0924639000000003</v>
      </c>
      <c r="AF236" s="10">
        <v>4.0404394999999997</v>
      </c>
      <c r="AG236" s="10">
        <v>3.9907257</v>
      </c>
      <c r="AH236" s="10">
        <v>3.9437376</v>
      </c>
      <c r="AI236" s="10">
        <v>3.8994355000000001</v>
      </c>
      <c r="AJ236" s="10">
        <v>3.8576412000000002</v>
      </c>
      <c r="AK236" s="10">
        <v>3.8181767999999998</v>
      </c>
      <c r="AL236" s="10">
        <v>3.7808638999999999</v>
      </c>
      <c r="AM236" s="10">
        <v>3.7455246</v>
      </c>
      <c r="AN236" s="10">
        <v>3.7119806</v>
      </c>
      <c r="AO236" s="10">
        <v>3.6800538</v>
      </c>
      <c r="AP236" s="10">
        <v>3.6495662000000002</v>
      </c>
      <c r="AQ236" s="10">
        <v>3.6203395</v>
      </c>
      <c r="AR236" s="10">
        <v>3.5921956000000002</v>
      </c>
      <c r="AS236" s="10">
        <v>3.5649565000000001</v>
      </c>
      <c r="AT236" s="10">
        <v>3.5384649000000001</v>
      </c>
      <c r="AU236" s="10">
        <v>3.5126566000000001</v>
      </c>
      <c r="AV236" s="10">
        <v>3.4874928000000001</v>
      </c>
      <c r="AW236" s="10">
        <v>3.4629348000000002</v>
      </c>
      <c r="AX236" s="10">
        <v>3.4389436999999998</v>
      </c>
      <c r="AY236" s="10">
        <v>3.4154810000000002</v>
      </c>
      <c r="AZ236" s="10">
        <v>3.3925078000000002</v>
      </c>
      <c r="BA236" s="10">
        <v>3.3699854</v>
      </c>
      <c r="BB236" s="10">
        <v>3.3478751</v>
      </c>
      <c r="BC236" s="10">
        <v>3.3261379999999998</v>
      </c>
      <c r="BD236" s="10">
        <v>3.3047355999999999</v>
      </c>
      <c r="BE236" s="10">
        <v>3.2836289999999999</v>
      </c>
      <c r="BF236" s="10">
        <v>3.2627885000000001</v>
      </c>
      <c r="BG236" s="10">
        <v>3.2422236</v>
      </c>
      <c r="BH236" s="10">
        <v>3.2219549999999999</v>
      </c>
      <c r="BI236" s="10">
        <v>3.2020031000000002</v>
      </c>
      <c r="BJ236" s="10">
        <v>3.1823885999999999</v>
      </c>
      <c r="BK236" s="10">
        <v>3.1631320000000001</v>
      </c>
      <c r="BL236" s="10">
        <v>3.1442538</v>
      </c>
      <c r="BM236" s="10">
        <v>3.1257746000000002</v>
      </c>
      <c r="BN236" s="10">
        <v>3.1077148000000001</v>
      </c>
      <c r="BO236" s="10">
        <v>3.0900951999999999</v>
      </c>
      <c r="BP236" s="10">
        <v>3.0729361000000002</v>
      </c>
      <c r="BQ236" s="10">
        <v>3.0562581999999998</v>
      </c>
      <c r="BR236" s="10">
        <v>2.9669325999999998</v>
      </c>
      <c r="BS236" s="10">
        <v>2.8969960000000001</v>
      </c>
      <c r="BU236" s="7">
        <v>3.11</v>
      </c>
      <c r="BV236" s="7">
        <v>3.19</v>
      </c>
      <c r="BW236" s="9">
        <v>77.764399999999995</v>
      </c>
    </row>
    <row r="237" spans="1:75" x14ac:dyDescent="0.25">
      <c r="A237" s="6">
        <f t="shared" si="23"/>
        <v>44883</v>
      </c>
      <c r="B237" s="13">
        <f t="shared" si="18"/>
        <v>11</v>
      </c>
      <c r="C237" s="13">
        <f t="shared" si="19"/>
        <v>2022</v>
      </c>
      <c r="D237">
        <f t="shared" si="20"/>
        <v>202211</v>
      </c>
      <c r="E237">
        <f t="shared" si="21"/>
        <v>4</v>
      </c>
      <c r="F237">
        <f t="shared" si="22"/>
        <v>202204</v>
      </c>
      <c r="G237" t="s">
        <v>424</v>
      </c>
      <c r="H237" s="9">
        <v>3</v>
      </c>
      <c r="I237" s="9">
        <v>2.9275000000000002</v>
      </c>
      <c r="J237" s="10">
        <v>3.2353695</v>
      </c>
      <c r="K237" s="10">
        <v>3.6392136000000002</v>
      </c>
      <c r="L237" s="10">
        <v>3.9472632000000001</v>
      </c>
      <c r="M237" s="10">
        <v>4.1813849000000003</v>
      </c>
      <c r="N237" s="10">
        <v>4.3567749999999998</v>
      </c>
      <c r="O237" s="10">
        <v>4.4796788999999997</v>
      </c>
      <c r="P237" s="10">
        <v>4.5591787000000004</v>
      </c>
      <c r="Q237" s="10">
        <v>4.6057129000000003</v>
      </c>
      <c r="R237" s="10">
        <v>4.6293213</v>
      </c>
      <c r="S237" s="10">
        <v>4.6364571999999997</v>
      </c>
      <c r="T237" s="10">
        <v>4.6308661000000004</v>
      </c>
      <c r="U237" s="10">
        <v>4.6146592000000002</v>
      </c>
      <c r="V237" s="10">
        <v>4.5887621000000003</v>
      </c>
      <c r="W237" s="10">
        <v>4.5545787999999998</v>
      </c>
      <c r="X237" s="10">
        <v>4.5137388999999999</v>
      </c>
      <c r="Y237" s="10">
        <v>4.4678718999999996</v>
      </c>
      <c r="Z237" s="10">
        <v>4.4186071</v>
      </c>
      <c r="AA237" s="10">
        <v>4.3675742</v>
      </c>
      <c r="AB237" s="10">
        <v>4.3162208</v>
      </c>
      <c r="AC237" s="10">
        <v>4.2651510000000004</v>
      </c>
      <c r="AD237" s="10">
        <v>4.2147243000000003</v>
      </c>
      <c r="AE237" s="10">
        <v>4.1653003000000002</v>
      </c>
      <c r="AF237" s="10">
        <v>4.1172385</v>
      </c>
      <c r="AG237" s="10">
        <v>4.0708986999999999</v>
      </c>
      <c r="AH237" s="10">
        <v>4.0265671000000003</v>
      </c>
      <c r="AI237" s="10">
        <v>3.9842067000000001</v>
      </c>
      <c r="AJ237" s="10">
        <v>3.9436914000000001</v>
      </c>
      <c r="AK237" s="10">
        <v>3.9048949999999998</v>
      </c>
      <c r="AL237" s="10">
        <v>3.8676913000000002</v>
      </c>
      <c r="AM237" s="10">
        <v>3.8319543</v>
      </c>
      <c r="AN237" s="10">
        <v>3.7975576000000002</v>
      </c>
      <c r="AO237" s="10">
        <v>3.7643751999999999</v>
      </c>
      <c r="AP237" s="10">
        <v>3.7322809000000001</v>
      </c>
      <c r="AQ237" s="10">
        <v>3.7011485</v>
      </c>
      <c r="AR237" s="10">
        <v>3.6708517999999999</v>
      </c>
      <c r="AS237" s="10">
        <v>3.6412646999999998</v>
      </c>
      <c r="AT237" s="10">
        <v>3.6122774999999998</v>
      </c>
      <c r="AU237" s="10">
        <v>3.5838527999999998</v>
      </c>
      <c r="AV237" s="10">
        <v>3.5559737</v>
      </c>
      <c r="AW237" s="10">
        <v>3.5286227999999999</v>
      </c>
      <c r="AX237" s="10">
        <v>3.5017830000000001</v>
      </c>
      <c r="AY237" s="10">
        <v>3.4754371000000002</v>
      </c>
      <c r="AZ237" s="10">
        <v>3.4495678999999999</v>
      </c>
      <c r="BA237" s="10">
        <v>3.4241581999999999</v>
      </c>
      <c r="BB237" s="10">
        <v>3.3991908999999998</v>
      </c>
      <c r="BC237" s="10">
        <v>3.3746486999999998</v>
      </c>
      <c r="BD237" s="10">
        <v>3.3505145000000001</v>
      </c>
      <c r="BE237" s="10">
        <v>3.3267711000000002</v>
      </c>
      <c r="BF237" s="10">
        <v>3.3034064999999999</v>
      </c>
      <c r="BG237" s="10">
        <v>3.2804318000000001</v>
      </c>
      <c r="BH237" s="10">
        <v>3.2578646999999998</v>
      </c>
      <c r="BI237" s="10">
        <v>3.2357225000000001</v>
      </c>
      <c r="BJ237" s="10">
        <v>3.2140227000000001</v>
      </c>
      <c r="BK237" s="10">
        <v>3.1927829999999999</v>
      </c>
      <c r="BL237" s="10">
        <v>3.1720207</v>
      </c>
      <c r="BM237" s="10">
        <v>3.1517534999999999</v>
      </c>
      <c r="BN237" s="10">
        <v>3.1319987</v>
      </c>
      <c r="BO237" s="10">
        <v>3.1127739000000001</v>
      </c>
      <c r="BP237" s="10">
        <v>3.0940965999999999</v>
      </c>
      <c r="BQ237" s="10">
        <v>3.0759843</v>
      </c>
      <c r="BR237" s="10">
        <v>2.9797585999999998</v>
      </c>
      <c r="BS237" s="10">
        <v>2.9058742</v>
      </c>
      <c r="BU237" s="7">
        <v>3.21</v>
      </c>
      <c r="BV237" s="7">
        <v>3.24</v>
      </c>
      <c r="BW237" s="9">
        <v>78.592500000000001</v>
      </c>
    </row>
    <row r="238" spans="1:75" x14ac:dyDescent="0.25">
      <c r="A238" s="6">
        <f t="shared" si="23"/>
        <v>44886</v>
      </c>
      <c r="B238" s="13">
        <f t="shared" si="18"/>
        <v>11</v>
      </c>
      <c r="C238" s="13">
        <f t="shared" si="19"/>
        <v>2022</v>
      </c>
      <c r="D238">
        <f t="shared" si="20"/>
        <v>202211</v>
      </c>
      <c r="E238">
        <f t="shared" si="21"/>
        <v>4</v>
      </c>
      <c r="F238">
        <f t="shared" si="22"/>
        <v>202204</v>
      </c>
      <c r="G238" t="s">
        <v>425</v>
      </c>
      <c r="H238" s="9">
        <v>3</v>
      </c>
      <c r="I238" s="9">
        <v>2.9275000000000002</v>
      </c>
      <c r="J238" s="10">
        <v>3.2762902999999999</v>
      </c>
      <c r="K238" s="10">
        <v>3.6504851999999999</v>
      </c>
      <c r="L238" s="10">
        <v>3.9481080999999998</v>
      </c>
      <c r="M238" s="10">
        <v>4.1801782999999997</v>
      </c>
      <c r="N238" s="10">
        <v>4.3555533000000004</v>
      </c>
      <c r="O238" s="10">
        <v>4.4765899999999998</v>
      </c>
      <c r="P238" s="10">
        <v>4.5521115999999999</v>
      </c>
      <c r="Q238" s="10">
        <v>4.5932005</v>
      </c>
      <c r="R238" s="10">
        <v>4.6107889000000002</v>
      </c>
      <c r="S238" s="10">
        <v>4.6124561000000002</v>
      </c>
      <c r="T238" s="10">
        <v>4.6029299999999997</v>
      </c>
      <c r="U238" s="10">
        <v>4.5849209000000002</v>
      </c>
      <c r="V238" s="10">
        <v>4.5598121999999996</v>
      </c>
      <c r="W238" s="10">
        <v>4.5286761000000002</v>
      </c>
      <c r="X238" s="10">
        <v>4.4925781000000002</v>
      </c>
      <c r="Y238" s="10">
        <v>4.4525834</v>
      </c>
      <c r="Z238" s="10">
        <v>4.4097572999999999</v>
      </c>
      <c r="AA238" s="10">
        <v>4.3651650999999996</v>
      </c>
      <c r="AB238" s="10">
        <v>4.3197460000000003</v>
      </c>
      <c r="AC238" s="10">
        <v>4.2739592999999996</v>
      </c>
      <c r="AD238" s="10">
        <v>4.2281500000000003</v>
      </c>
      <c r="AE238" s="10">
        <v>4.1826634</v>
      </c>
      <c r="AF238" s="10">
        <v>4.1378443000000003</v>
      </c>
      <c r="AG238" s="10">
        <v>4.0940380000000003</v>
      </c>
      <c r="AH238" s="10">
        <v>4.0515276</v>
      </c>
      <c r="AI238" s="10">
        <v>4.0103226000000003</v>
      </c>
      <c r="AJ238" s="10">
        <v>3.9703574000000001</v>
      </c>
      <c r="AK238" s="10">
        <v>3.9315660000000001</v>
      </c>
      <c r="AL238" s="10">
        <v>3.8938826</v>
      </c>
      <c r="AM238" s="10">
        <v>3.8572413999999999</v>
      </c>
      <c r="AN238" s="10">
        <v>3.8215767</v>
      </c>
      <c r="AO238" s="10">
        <v>3.7868225</v>
      </c>
      <c r="AP238" s="10">
        <v>3.7529130999999998</v>
      </c>
      <c r="AQ238" s="10">
        <v>3.7197825999999998</v>
      </c>
      <c r="AR238" s="10">
        <v>3.6873651999999999</v>
      </c>
      <c r="AS238" s="10">
        <v>3.6555951000000002</v>
      </c>
      <c r="AT238" s="10">
        <v>3.6244152000000001</v>
      </c>
      <c r="AU238" s="10">
        <v>3.5938064999999999</v>
      </c>
      <c r="AV238" s="10">
        <v>3.5637607</v>
      </c>
      <c r="AW238" s="10">
        <v>3.5342695000000002</v>
      </c>
      <c r="AX238" s="10">
        <v>3.5053245</v>
      </c>
      <c r="AY238" s="10">
        <v>3.4769173000000002</v>
      </c>
      <c r="AZ238" s="10">
        <v>3.4490397000000002</v>
      </c>
      <c r="BA238" s="10">
        <v>3.4216831999999999</v>
      </c>
      <c r="BB238" s="10">
        <v>3.3948396000000001</v>
      </c>
      <c r="BC238" s="10">
        <v>3.3685003999999998</v>
      </c>
      <c r="BD238" s="10">
        <v>3.3426575000000001</v>
      </c>
      <c r="BE238" s="10">
        <v>3.3173023000000001</v>
      </c>
      <c r="BF238" s="10">
        <v>3.2924292999999998</v>
      </c>
      <c r="BG238" s="10">
        <v>3.2680479999999998</v>
      </c>
      <c r="BH238" s="10">
        <v>3.244173</v>
      </c>
      <c r="BI238" s="10">
        <v>3.2208185999999999</v>
      </c>
      <c r="BJ238" s="10">
        <v>3.1979994</v>
      </c>
      <c r="BK238" s="10">
        <v>3.1757298</v>
      </c>
      <c r="BL238" s="10">
        <v>3.1540244</v>
      </c>
      <c r="BM238" s="10">
        <v>3.1328977</v>
      </c>
      <c r="BN238" s="10">
        <v>3.1123639999999999</v>
      </c>
      <c r="BO238" s="10">
        <v>3.0924380999999999</v>
      </c>
      <c r="BP238" s="10">
        <v>3.0731342000000001</v>
      </c>
      <c r="BQ238" s="10">
        <v>3.0544669999999998</v>
      </c>
      <c r="BR238" s="10">
        <v>2.9560879</v>
      </c>
      <c r="BS238" s="10">
        <v>2.8808666000000001</v>
      </c>
      <c r="BU238" s="7">
        <v>3.23</v>
      </c>
      <c r="BV238" s="7">
        <v>3.21</v>
      </c>
      <c r="BW238" s="9">
        <v>78.248400000000004</v>
      </c>
    </row>
    <row r="239" spans="1:75" x14ac:dyDescent="0.25">
      <c r="A239" s="6">
        <f t="shared" si="23"/>
        <v>44887</v>
      </c>
      <c r="B239" s="13">
        <f t="shared" si="18"/>
        <v>11</v>
      </c>
      <c r="C239" s="13">
        <f t="shared" si="19"/>
        <v>2022</v>
      </c>
      <c r="D239">
        <f t="shared" si="20"/>
        <v>202211</v>
      </c>
      <c r="E239">
        <f t="shared" si="21"/>
        <v>4</v>
      </c>
      <c r="F239">
        <f t="shared" si="22"/>
        <v>202204</v>
      </c>
      <c r="G239" t="s">
        <v>426</v>
      </c>
      <c r="H239" s="9">
        <v>3</v>
      </c>
      <c r="I239" s="9">
        <v>2.9270999999999998</v>
      </c>
      <c r="J239" s="10">
        <v>3.2930543999999999</v>
      </c>
      <c r="K239" s="10">
        <v>3.6531977000000002</v>
      </c>
      <c r="L239" s="10">
        <v>3.9432594000000001</v>
      </c>
      <c r="M239" s="10">
        <v>4.1728322999999996</v>
      </c>
      <c r="N239" s="10">
        <v>4.3456340000000004</v>
      </c>
      <c r="O239" s="10">
        <v>4.4633650999999999</v>
      </c>
      <c r="P239" s="10">
        <v>4.5334712000000001</v>
      </c>
      <c r="Q239" s="10">
        <v>4.5693247000000001</v>
      </c>
      <c r="R239" s="10">
        <v>4.5820248000000001</v>
      </c>
      <c r="S239" s="10">
        <v>4.5796861</v>
      </c>
      <c r="T239" s="10">
        <v>4.5665215000000003</v>
      </c>
      <c r="U239" s="10">
        <v>4.5446938000000001</v>
      </c>
      <c r="V239" s="10">
        <v>4.5150136999999999</v>
      </c>
      <c r="W239" s="10">
        <v>4.4786212000000001</v>
      </c>
      <c r="X239" s="10">
        <v>4.4368216</v>
      </c>
      <c r="Y239" s="10">
        <v>4.3909203999999997</v>
      </c>
      <c r="Z239" s="10">
        <v>4.3422229999999997</v>
      </c>
      <c r="AA239" s="10">
        <v>4.2920347999999997</v>
      </c>
      <c r="AB239" s="10">
        <v>4.2414904</v>
      </c>
      <c r="AC239" s="10">
        <v>4.1910749999999997</v>
      </c>
      <c r="AD239" s="10">
        <v>4.1411186999999998</v>
      </c>
      <c r="AE239" s="10">
        <v>4.091952</v>
      </c>
      <c r="AF239" s="10">
        <v>4.0439052999999996</v>
      </c>
      <c r="AG239" s="10">
        <v>3.9973087999999999</v>
      </c>
      <c r="AH239" s="10">
        <v>3.9524294000000002</v>
      </c>
      <c r="AI239" s="10">
        <v>3.9092541999999999</v>
      </c>
      <c r="AJ239" s="10">
        <v>3.8676927999999999</v>
      </c>
      <c r="AK239" s="10">
        <v>3.8276547999999999</v>
      </c>
      <c r="AL239" s="10">
        <v>3.7890499000000002</v>
      </c>
      <c r="AM239" s="10">
        <v>3.7517879000000001</v>
      </c>
      <c r="AN239" s="10">
        <v>3.7157784</v>
      </c>
      <c r="AO239" s="10">
        <v>3.6809310000000002</v>
      </c>
      <c r="AP239" s="10">
        <v>3.6471555000000002</v>
      </c>
      <c r="AQ239" s="10">
        <v>3.6143614999999998</v>
      </c>
      <c r="AR239" s="10">
        <v>3.5824587999999999</v>
      </c>
      <c r="AS239" s="10">
        <v>3.5513569</v>
      </c>
      <c r="AT239" s="10">
        <v>3.5209736999999999</v>
      </c>
      <c r="AU239" s="10">
        <v>3.4912700999999999</v>
      </c>
      <c r="AV239" s="10">
        <v>3.4622218</v>
      </c>
      <c r="AW239" s="10">
        <v>3.4338044000000001</v>
      </c>
      <c r="AX239" s="10">
        <v>3.4059933999999998</v>
      </c>
      <c r="AY239" s="10">
        <v>3.3787645999999998</v>
      </c>
      <c r="AZ239" s="10">
        <v>3.3520933999999998</v>
      </c>
      <c r="BA239" s="10">
        <v>3.3259555000000001</v>
      </c>
      <c r="BB239" s="10">
        <v>3.3003265000000002</v>
      </c>
      <c r="BC239" s="10">
        <v>3.275182</v>
      </c>
      <c r="BD239" s="10">
        <v>3.2504976000000001</v>
      </c>
      <c r="BE239" s="10">
        <v>3.2262488999999999</v>
      </c>
      <c r="BF239" s="10">
        <v>3.2024168999999998</v>
      </c>
      <c r="BG239" s="10">
        <v>3.1790090000000002</v>
      </c>
      <c r="BH239" s="10">
        <v>3.1560404000000002</v>
      </c>
      <c r="BI239" s="10">
        <v>3.1335267999999998</v>
      </c>
      <c r="BJ239" s="10">
        <v>3.1114831999999999</v>
      </c>
      <c r="BK239" s="10">
        <v>3.0899253</v>
      </c>
      <c r="BL239" s="10">
        <v>3.0688683000000001</v>
      </c>
      <c r="BM239" s="10">
        <v>3.0483275999999999</v>
      </c>
      <c r="BN239" s="10">
        <v>3.0283186</v>
      </c>
      <c r="BO239" s="10">
        <v>3.0088566999999999</v>
      </c>
      <c r="BP239" s="10">
        <v>2.9899572000000001</v>
      </c>
      <c r="BQ239" s="10">
        <v>2.9716355000000001</v>
      </c>
      <c r="BR239" s="10">
        <v>2.8743218000000001</v>
      </c>
      <c r="BS239" s="10">
        <v>2.7993868000000002</v>
      </c>
      <c r="BU239" s="7">
        <v>3.12</v>
      </c>
      <c r="BV239" s="7">
        <v>3.13</v>
      </c>
      <c r="BW239" s="9">
        <v>78.626499999999993</v>
      </c>
    </row>
    <row r="240" spans="1:75" x14ac:dyDescent="0.25">
      <c r="A240" s="6">
        <f t="shared" si="23"/>
        <v>44888</v>
      </c>
      <c r="B240" s="13">
        <f t="shared" si="18"/>
        <v>11</v>
      </c>
      <c r="C240" s="13">
        <f t="shared" si="19"/>
        <v>2022</v>
      </c>
      <c r="D240">
        <f t="shared" si="20"/>
        <v>202211</v>
      </c>
      <c r="E240">
        <f t="shared" si="21"/>
        <v>4</v>
      </c>
      <c r="F240">
        <f t="shared" si="22"/>
        <v>202204</v>
      </c>
      <c r="G240" t="s">
        <v>427</v>
      </c>
      <c r="H240" s="9">
        <v>3</v>
      </c>
      <c r="I240" s="9">
        <v>2.9270999999999998</v>
      </c>
      <c r="J240" s="10">
        <v>3.3203790999999998</v>
      </c>
      <c r="K240" s="10">
        <v>3.6709301000000001</v>
      </c>
      <c r="L240" s="10">
        <v>3.9565902999999998</v>
      </c>
      <c r="M240" s="10">
        <v>4.1864281999999999</v>
      </c>
      <c r="N240" s="10">
        <v>4.3630266000000004</v>
      </c>
      <c r="O240" s="10">
        <v>4.4863523000000001</v>
      </c>
      <c r="P240" s="10">
        <v>4.5635573000000003</v>
      </c>
      <c r="Q240" s="10">
        <v>4.6058459000000003</v>
      </c>
      <c r="R240" s="10">
        <v>4.6231454999999997</v>
      </c>
      <c r="S240" s="10">
        <v>4.6225490000000002</v>
      </c>
      <c r="T240" s="10">
        <v>4.6084814999999999</v>
      </c>
      <c r="U240" s="10">
        <v>4.5830035000000002</v>
      </c>
      <c r="V240" s="10">
        <v>4.5473388999999997</v>
      </c>
      <c r="W240" s="10">
        <v>4.5031179000000003</v>
      </c>
      <c r="X240" s="10">
        <v>4.4520967999999996</v>
      </c>
      <c r="Y240" s="10">
        <v>4.3960315000000003</v>
      </c>
      <c r="Z240" s="10">
        <v>4.3366783</v>
      </c>
      <c r="AA240" s="10">
        <v>4.2757933000000001</v>
      </c>
      <c r="AB240" s="10">
        <v>4.2148944000000004</v>
      </c>
      <c r="AC240" s="10">
        <v>4.1545927999999996</v>
      </c>
      <c r="AD240" s="10">
        <v>4.0952837000000004</v>
      </c>
      <c r="AE240" s="10">
        <v>4.0373625000000004</v>
      </c>
      <c r="AF240" s="10">
        <v>3.9812245000000002</v>
      </c>
      <c r="AG240" s="10">
        <v>3.9272649999999998</v>
      </c>
      <c r="AH240" s="10">
        <v>3.875813</v>
      </c>
      <c r="AI240" s="10">
        <v>3.8268399</v>
      </c>
      <c r="AJ240" s="10">
        <v>3.7801973000000002</v>
      </c>
      <c r="AK240" s="10">
        <v>3.7357368000000002</v>
      </c>
      <c r="AL240" s="10">
        <v>3.6933099</v>
      </c>
      <c r="AM240" s="10">
        <v>3.6527680999999999</v>
      </c>
      <c r="AN240" s="10">
        <v>3.613963</v>
      </c>
      <c r="AO240" s="10">
        <v>3.576746</v>
      </c>
      <c r="AP240" s="10">
        <v>3.5409687999999999</v>
      </c>
      <c r="AQ240" s="10">
        <v>3.5064829</v>
      </c>
      <c r="AR240" s="10">
        <v>3.4731398000000002</v>
      </c>
      <c r="AS240" s="10">
        <v>3.4407909999999999</v>
      </c>
      <c r="AT240" s="10">
        <v>3.4093037000000002</v>
      </c>
      <c r="AU240" s="10">
        <v>3.3786217999999999</v>
      </c>
      <c r="AV240" s="10">
        <v>3.3487122999999999</v>
      </c>
      <c r="AW240" s="10">
        <v>3.3195421000000001</v>
      </c>
      <c r="AX240" s="10">
        <v>3.2910784999999998</v>
      </c>
      <c r="AY240" s="10">
        <v>3.2632883000000001</v>
      </c>
      <c r="AZ240" s="10">
        <v>3.2361387000000001</v>
      </c>
      <c r="BA240" s="10">
        <v>3.2095967000000001</v>
      </c>
      <c r="BB240" s="10">
        <v>3.1836294000000001</v>
      </c>
      <c r="BC240" s="10">
        <v>3.1582037999999999</v>
      </c>
      <c r="BD240" s="10">
        <v>3.1332868999999999</v>
      </c>
      <c r="BE240" s="10">
        <v>3.1088458999999999</v>
      </c>
      <c r="BF240" s="10">
        <v>3.0848539000000001</v>
      </c>
      <c r="BG240" s="10">
        <v>3.0613123</v>
      </c>
      <c r="BH240" s="10">
        <v>3.0382299000000001</v>
      </c>
      <c r="BI240" s="10">
        <v>3.0156152999999999</v>
      </c>
      <c r="BJ240" s="10">
        <v>2.9934775999999998</v>
      </c>
      <c r="BK240" s="10">
        <v>2.9718254000000002</v>
      </c>
      <c r="BL240" s="10">
        <v>2.9506676000000001</v>
      </c>
      <c r="BM240" s="10">
        <v>2.9300130000000002</v>
      </c>
      <c r="BN240" s="10">
        <v>2.9098704999999998</v>
      </c>
      <c r="BO240" s="10">
        <v>2.8902489</v>
      </c>
      <c r="BP240" s="10">
        <v>2.8711570000000002</v>
      </c>
      <c r="BQ240" s="10">
        <v>2.8526036000000001</v>
      </c>
      <c r="BR240" s="10">
        <v>2.7528774</v>
      </c>
      <c r="BS240" s="10">
        <v>2.6734965000000002</v>
      </c>
      <c r="BU240" s="7">
        <v>3.22</v>
      </c>
      <c r="BV240" s="7">
        <v>3.01</v>
      </c>
      <c r="BW240" s="9">
        <v>79.4405</v>
      </c>
    </row>
    <row r="241" spans="1:75" x14ac:dyDescent="0.25">
      <c r="A241" s="6">
        <f t="shared" si="23"/>
        <v>44889</v>
      </c>
      <c r="B241" s="13">
        <f t="shared" si="18"/>
        <v>11</v>
      </c>
      <c r="C241" s="13">
        <f t="shared" si="19"/>
        <v>2022</v>
      </c>
      <c r="D241">
        <f t="shared" si="20"/>
        <v>202211</v>
      </c>
      <c r="E241">
        <f t="shared" si="21"/>
        <v>4</v>
      </c>
      <c r="F241">
        <f t="shared" si="22"/>
        <v>202204</v>
      </c>
      <c r="G241" t="s">
        <v>428</v>
      </c>
      <c r="H241" s="9">
        <v>3</v>
      </c>
      <c r="I241" s="9">
        <v>2.9277000000000002</v>
      </c>
      <c r="J241" s="10">
        <v>3.3436408000000002</v>
      </c>
      <c r="K241" s="10">
        <v>3.6698265999999999</v>
      </c>
      <c r="L241" s="10">
        <v>3.9452345000000002</v>
      </c>
      <c r="M241" s="10">
        <v>4.1743924000000003</v>
      </c>
      <c r="N241" s="10">
        <v>4.3552321000000003</v>
      </c>
      <c r="O241" s="10">
        <v>4.4852407999999997</v>
      </c>
      <c r="P241" s="10">
        <v>4.5712536999999998</v>
      </c>
      <c r="Q241" s="10">
        <v>4.6227416000000003</v>
      </c>
      <c r="R241" s="10">
        <v>4.6495379000000003</v>
      </c>
      <c r="S241" s="10">
        <v>4.6583123000000004</v>
      </c>
      <c r="T241" s="10">
        <v>4.6534307999999998</v>
      </c>
      <c r="U241" s="10">
        <v>4.6371878000000004</v>
      </c>
      <c r="V241" s="10">
        <v>4.6105383</v>
      </c>
      <c r="W241" s="10">
        <v>4.5748572999999997</v>
      </c>
      <c r="X241" s="10">
        <v>4.5316901999999999</v>
      </c>
      <c r="Y241" s="10">
        <v>4.4825825000000004</v>
      </c>
      <c r="Z241" s="10">
        <v>4.4290795999999997</v>
      </c>
      <c r="AA241" s="10">
        <v>4.3727269</v>
      </c>
      <c r="AB241" s="10">
        <v>4.3149031999999998</v>
      </c>
      <c r="AC241" s="10">
        <v>4.2563519000000003</v>
      </c>
      <c r="AD241" s="10">
        <v>4.1976655000000003</v>
      </c>
      <c r="AE241" s="10">
        <v>4.1394365000000004</v>
      </c>
      <c r="AF241" s="10">
        <v>4.0822571999999999</v>
      </c>
      <c r="AG241" s="10">
        <v>4.0267201000000004</v>
      </c>
      <c r="AH241" s="10">
        <v>3.9733239</v>
      </c>
      <c r="AI241" s="10">
        <v>3.9221097</v>
      </c>
      <c r="AJ241" s="10">
        <v>3.8729797000000001</v>
      </c>
      <c r="AK241" s="10">
        <v>3.8258361000000001</v>
      </c>
      <c r="AL241" s="10">
        <v>3.7805808999999999</v>
      </c>
      <c r="AM241" s="10">
        <v>3.7371162999999998</v>
      </c>
      <c r="AN241" s="10">
        <v>3.6953442000000001</v>
      </c>
      <c r="AO241" s="10">
        <v>3.6551670000000001</v>
      </c>
      <c r="AP241" s="10">
        <v>3.6164865000000002</v>
      </c>
      <c r="AQ241" s="10">
        <v>3.5792050999999998</v>
      </c>
      <c r="AR241" s="10">
        <v>3.5432245999999998</v>
      </c>
      <c r="AS241" s="10">
        <v>3.5084474000000001</v>
      </c>
      <c r="AT241" s="10">
        <v>3.4747843</v>
      </c>
      <c r="AU241" s="10">
        <v>3.4421862000000001</v>
      </c>
      <c r="AV241" s="10">
        <v>3.4106144999999999</v>
      </c>
      <c r="AW241" s="10">
        <v>3.3800308000000001</v>
      </c>
      <c r="AX241" s="10">
        <v>3.3503968</v>
      </c>
      <c r="AY241" s="10">
        <v>3.3216739</v>
      </c>
      <c r="AZ241" s="10">
        <v>3.2938238000000002</v>
      </c>
      <c r="BA241" s="10">
        <v>3.2668081</v>
      </c>
      <c r="BB241" s="10">
        <v>3.2405883000000002</v>
      </c>
      <c r="BC241" s="10">
        <v>3.2151260000000002</v>
      </c>
      <c r="BD241" s="10">
        <v>3.1903828000000001</v>
      </c>
      <c r="BE241" s="10">
        <v>3.1663203000000002</v>
      </c>
      <c r="BF241" s="10">
        <v>3.1429040000000001</v>
      </c>
      <c r="BG241" s="10">
        <v>3.1201173999999998</v>
      </c>
      <c r="BH241" s="10">
        <v>3.0979486999999999</v>
      </c>
      <c r="BI241" s="10">
        <v>3.0763864000000001</v>
      </c>
      <c r="BJ241" s="10">
        <v>3.0554185999999999</v>
      </c>
      <c r="BK241" s="10">
        <v>3.0350337999999999</v>
      </c>
      <c r="BL241" s="10">
        <v>3.0152201000000001</v>
      </c>
      <c r="BM241" s="10">
        <v>2.9959660000000001</v>
      </c>
      <c r="BN241" s="10">
        <v>2.9772596999999998</v>
      </c>
      <c r="BO241" s="10">
        <v>2.9590895000000002</v>
      </c>
      <c r="BP241" s="10">
        <v>2.9414438000000001</v>
      </c>
      <c r="BQ241" s="10">
        <v>2.9243109</v>
      </c>
      <c r="BR241" s="10">
        <v>2.8318631999999999</v>
      </c>
      <c r="BS241" s="10">
        <v>2.7563662999999998</v>
      </c>
      <c r="BU241" s="7">
        <v>3.19</v>
      </c>
      <c r="BV241" s="7">
        <v>3.04</v>
      </c>
      <c r="BW241" s="9">
        <v>79.740700000000004</v>
      </c>
    </row>
    <row r="242" spans="1:75" x14ac:dyDescent="0.25">
      <c r="A242" s="6">
        <f t="shared" si="23"/>
        <v>44890</v>
      </c>
      <c r="B242" s="13">
        <f t="shared" si="18"/>
        <v>11</v>
      </c>
      <c r="C242" s="13">
        <f t="shared" si="19"/>
        <v>2022</v>
      </c>
      <c r="D242">
        <f t="shared" si="20"/>
        <v>202211</v>
      </c>
      <c r="E242">
        <f t="shared" si="21"/>
        <v>4</v>
      </c>
      <c r="F242">
        <f t="shared" si="22"/>
        <v>202204</v>
      </c>
      <c r="G242" t="s">
        <v>429</v>
      </c>
      <c r="H242" s="9">
        <v>3</v>
      </c>
      <c r="I242" s="9">
        <v>2.9278</v>
      </c>
      <c r="J242" s="10">
        <v>3.3657501000000001</v>
      </c>
      <c r="K242" s="10">
        <v>3.6818628000000002</v>
      </c>
      <c r="L242" s="10">
        <v>3.9581572999999999</v>
      </c>
      <c r="M242" s="10">
        <v>4.1885510999999997</v>
      </c>
      <c r="N242" s="10">
        <v>4.3693631000000002</v>
      </c>
      <c r="O242" s="10">
        <v>4.5001213</v>
      </c>
      <c r="P242" s="10">
        <v>4.5876396000000002</v>
      </c>
      <c r="Q242" s="10">
        <v>4.6411894</v>
      </c>
      <c r="R242" s="10">
        <v>4.6699685000000004</v>
      </c>
      <c r="S242" s="10">
        <v>4.6800804999999999</v>
      </c>
      <c r="T242" s="10">
        <v>4.6752251999999999</v>
      </c>
      <c r="U242" s="10">
        <v>4.6575772000000004</v>
      </c>
      <c r="V242" s="10">
        <v>4.6280068999999999</v>
      </c>
      <c r="W242" s="10">
        <v>4.5881729</v>
      </c>
      <c r="X242" s="10">
        <v>4.5400691999999996</v>
      </c>
      <c r="Y242" s="10">
        <v>4.4856898000000003</v>
      </c>
      <c r="Z242" s="10">
        <v>4.4270288000000004</v>
      </c>
      <c r="AA242" s="10">
        <v>4.3660804000000004</v>
      </c>
      <c r="AB242" s="10">
        <v>4.3046506000000004</v>
      </c>
      <c r="AC242" s="10">
        <v>4.2435828000000004</v>
      </c>
      <c r="AD242" s="10">
        <v>4.1834131000000001</v>
      </c>
      <c r="AE242" s="10">
        <v>4.1246771999999998</v>
      </c>
      <c r="AF242" s="10">
        <v>4.0679107999999999</v>
      </c>
      <c r="AG242" s="10">
        <v>4.0136497999999996</v>
      </c>
      <c r="AH242" s="10">
        <v>3.9623214</v>
      </c>
      <c r="AI242" s="10">
        <v>3.9138730000000002</v>
      </c>
      <c r="AJ242" s="10">
        <v>3.8681199999999998</v>
      </c>
      <c r="AK242" s="10">
        <v>3.8248774000000001</v>
      </c>
      <c r="AL242" s="10">
        <v>3.7839605000000001</v>
      </c>
      <c r="AM242" s="10">
        <v>3.7451846</v>
      </c>
      <c r="AN242" s="10">
        <v>3.7083647000000002</v>
      </c>
      <c r="AO242" s="10">
        <v>3.6733163000000002</v>
      </c>
      <c r="AP242" s="10">
        <v>3.6398543999999999</v>
      </c>
      <c r="AQ242" s="10">
        <v>3.6077941999999998</v>
      </c>
      <c r="AR242" s="10">
        <v>3.5769511000000001</v>
      </c>
      <c r="AS242" s="10">
        <v>3.5471401</v>
      </c>
      <c r="AT242" s="10">
        <v>3.5181973000000002</v>
      </c>
      <c r="AU242" s="10">
        <v>3.4900500000000001</v>
      </c>
      <c r="AV242" s="10">
        <v>3.4626508</v>
      </c>
      <c r="AW242" s="10">
        <v>3.4359525999999998</v>
      </c>
      <c r="AX242" s="10">
        <v>3.4099078</v>
      </c>
      <c r="AY242" s="10">
        <v>3.3844691</v>
      </c>
      <c r="AZ242" s="10">
        <v>3.3595891999999998</v>
      </c>
      <c r="BA242" s="10">
        <v>3.3352206999999998</v>
      </c>
      <c r="BB242" s="10">
        <v>3.3113163999999999</v>
      </c>
      <c r="BC242" s="10">
        <v>3.2878286999999999</v>
      </c>
      <c r="BD242" s="10">
        <v>3.2647103999999998</v>
      </c>
      <c r="BE242" s="10">
        <v>3.2419142000000001</v>
      </c>
      <c r="BF242" s="10">
        <v>3.2194020000000001</v>
      </c>
      <c r="BG242" s="10">
        <v>3.1971772000000001</v>
      </c>
      <c r="BH242" s="10">
        <v>3.1752546000000001</v>
      </c>
      <c r="BI242" s="10">
        <v>3.1536491</v>
      </c>
      <c r="BJ242" s="10">
        <v>3.1323753999999999</v>
      </c>
      <c r="BK242" s="10">
        <v>3.1114483000000002</v>
      </c>
      <c r="BL242" s="10">
        <v>3.0908826</v>
      </c>
      <c r="BM242" s="10">
        <v>3.0706931000000002</v>
      </c>
      <c r="BN242" s="10">
        <v>3.0508945999999999</v>
      </c>
      <c r="BO242" s="10">
        <v>3.0315018999999999</v>
      </c>
      <c r="BP242" s="10">
        <v>3.0125297999999998</v>
      </c>
      <c r="BQ242" s="10">
        <v>2.9939931</v>
      </c>
      <c r="BR242" s="10">
        <v>2.8925497</v>
      </c>
      <c r="BS242" s="10">
        <v>2.8093281000000001</v>
      </c>
      <c r="BU242" s="7">
        <v>3.26</v>
      </c>
      <c r="BV242" s="7">
        <v>3.11</v>
      </c>
      <c r="BW242" s="9">
        <v>79.489500000000007</v>
      </c>
    </row>
    <row r="243" spans="1:75" x14ac:dyDescent="0.25">
      <c r="A243" s="6">
        <f t="shared" si="23"/>
        <v>44893</v>
      </c>
      <c r="B243" s="13">
        <f t="shared" si="18"/>
        <v>11</v>
      </c>
      <c r="C243" s="13">
        <f t="shared" si="19"/>
        <v>2022</v>
      </c>
      <c r="D243">
        <f t="shared" si="20"/>
        <v>202211</v>
      </c>
      <c r="E243">
        <f t="shared" si="21"/>
        <v>4</v>
      </c>
      <c r="F243">
        <f t="shared" si="22"/>
        <v>202204</v>
      </c>
      <c r="G243" t="s">
        <v>430</v>
      </c>
      <c r="H243" s="9">
        <v>3</v>
      </c>
      <c r="I243" s="9">
        <v>2.9278</v>
      </c>
      <c r="J243" s="10">
        <v>3.4283860000000002</v>
      </c>
      <c r="K243" s="10">
        <v>3.6958552</v>
      </c>
      <c r="L243" s="10">
        <v>3.9637785999999999</v>
      </c>
      <c r="M243" s="10">
        <v>4.1953658999999996</v>
      </c>
      <c r="N243" s="10">
        <v>4.3758331999999998</v>
      </c>
      <c r="O243" s="10">
        <v>4.5021424999999997</v>
      </c>
      <c r="P243" s="10">
        <v>4.5824859</v>
      </c>
      <c r="Q243" s="10">
        <v>4.6270486000000002</v>
      </c>
      <c r="R243" s="10">
        <v>4.6456052999999997</v>
      </c>
      <c r="S243" s="10">
        <v>4.6451384999999998</v>
      </c>
      <c r="T243" s="10">
        <v>4.6299089999999996</v>
      </c>
      <c r="U243" s="10">
        <v>4.6031759000000001</v>
      </c>
      <c r="V243" s="10">
        <v>4.5676636999999998</v>
      </c>
      <c r="W243" s="10">
        <v>4.5250671999999996</v>
      </c>
      <c r="X243" s="10">
        <v>4.4768374</v>
      </c>
      <c r="Y243" s="10">
        <v>4.4244251999999999</v>
      </c>
      <c r="Z243" s="10">
        <v>4.3692812999999999</v>
      </c>
      <c r="AA243" s="10">
        <v>4.3128568999999999</v>
      </c>
      <c r="AB243" s="10">
        <v>4.2564126</v>
      </c>
      <c r="AC243" s="10">
        <v>4.2004862000000003</v>
      </c>
      <c r="AD243" s="10">
        <v>4.1454427999999997</v>
      </c>
      <c r="AE243" s="10">
        <v>4.0916477999999996</v>
      </c>
      <c r="AF243" s="10">
        <v>4.0394664999999996</v>
      </c>
      <c r="AG243" s="10">
        <v>3.9892642999999999</v>
      </c>
      <c r="AH243" s="10">
        <v>3.9413334</v>
      </c>
      <c r="AI243" s="10">
        <v>3.8956426999999998</v>
      </c>
      <c r="AJ243" s="10">
        <v>3.8520721</v>
      </c>
      <c r="AK243" s="10">
        <v>3.8105014000000001</v>
      </c>
      <c r="AL243" s="10">
        <v>3.7708105999999999</v>
      </c>
      <c r="AM243" s="10">
        <v>3.7328795000000001</v>
      </c>
      <c r="AN243" s="10">
        <v>3.6965878999999999</v>
      </c>
      <c r="AO243" s="10">
        <v>3.6618157</v>
      </c>
      <c r="AP243" s="10">
        <v>3.6284429</v>
      </c>
      <c r="AQ243" s="10">
        <v>3.5963490999999999</v>
      </c>
      <c r="AR243" s="10">
        <v>3.5654143999999999</v>
      </c>
      <c r="AS243" s="10">
        <v>3.5355184999999998</v>
      </c>
      <c r="AT243" s="10">
        <v>3.5065526</v>
      </c>
      <c r="AU243" s="10">
        <v>3.4784568</v>
      </c>
      <c r="AV243" s="10">
        <v>3.4511848999999999</v>
      </c>
      <c r="AW243" s="10">
        <v>3.4246908999999999</v>
      </c>
      <c r="AX243" s="10">
        <v>3.3989284999999998</v>
      </c>
      <c r="AY243" s="10">
        <v>3.3738516999999999</v>
      </c>
      <c r="AZ243" s="10">
        <v>3.3494142</v>
      </c>
      <c r="BA243" s="10">
        <v>3.3255699000000001</v>
      </c>
      <c r="BB243" s="10">
        <v>3.3022727000000001</v>
      </c>
      <c r="BC243" s="10">
        <v>3.2794762999999998</v>
      </c>
      <c r="BD243" s="10">
        <v>3.2571346000000001</v>
      </c>
      <c r="BE243" s="10">
        <v>3.2352015000000001</v>
      </c>
      <c r="BF243" s="10">
        <v>3.2136377</v>
      </c>
      <c r="BG243" s="10">
        <v>3.1924405</v>
      </c>
      <c r="BH243" s="10">
        <v>3.1716199999999999</v>
      </c>
      <c r="BI243" s="10">
        <v>3.1511859000000002</v>
      </c>
      <c r="BJ243" s="10">
        <v>3.131148</v>
      </c>
      <c r="BK243" s="10">
        <v>3.1115162999999999</v>
      </c>
      <c r="BL243" s="10">
        <v>3.0923004999999999</v>
      </c>
      <c r="BM243" s="10">
        <v>3.0735106000000001</v>
      </c>
      <c r="BN243" s="10">
        <v>3.0551563000000002</v>
      </c>
      <c r="BO243" s="10">
        <v>3.0372476000000002</v>
      </c>
      <c r="BP243" s="10">
        <v>3.0197942000000002</v>
      </c>
      <c r="BQ243" s="10">
        <v>3.0028060000000001</v>
      </c>
      <c r="BR243" s="10">
        <v>2.9110819999999999</v>
      </c>
      <c r="BS243" s="10">
        <v>2.8378757999999999</v>
      </c>
      <c r="BU243" s="7">
        <v>3.28</v>
      </c>
      <c r="BV243" s="7">
        <v>3.13</v>
      </c>
      <c r="BW243" s="9">
        <v>79.224400000000003</v>
      </c>
    </row>
    <row r="244" spans="1:75" x14ac:dyDescent="0.25">
      <c r="A244" s="6">
        <f t="shared" si="23"/>
        <v>44894</v>
      </c>
      <c r="B244" s="13">
        <f t="shared" si="18"/>
        <v>11</v>
      </c>
      <c r="C244" s="13">
        <f t="shared" si="19"/>
        <v>2022</v>
      </c>
      <c r="D244">
        <f t="shared" si="20"/>
        <v>202211</v>
      </c>
      <c r="E244">
        <f t="shared" si="21"/>
        <v>4</v>
      </c>
      <c r="F244">
        <f t="shared" si="22"/>
        <v>202204</v>
      </c>
      <c r="G244" t="s">
        <v>431</v>
      </c>
      <c r="H244" s="9">
        <v>3</v>
      </c>
      <c r="I244" s="9">
        <v>2.9281999999999999</v>
      </c>
      <c r="J244" s="10">
        <v>3.4776646000000002</v>
      </c>
      <c r="K244" s="10">
        <v>3.7198980000000001</v>
      </c>
      <c r="L244" s="10">
        <v>3.9770441000000001</v>
      </c>
      <c r="M244" s="10">
        <v>4.2051071000000002</v>
      </c>
      <c r="N244" s="10">
        <v>4.3839072999999997</v>
      </c>
      <c r="O244" s="10">
        <v>4.5080741</v>
      </c>
      <c r="P244" s="10">
        <v>4.5820299000000002</v>
      </c>
      <c r="Q244" s="10">
        <v>4.6191483</v>
      </c>
      <c r="R244" s="10">
        <v>4.6309009999999997</v>
      </c>
      <c r="S244" s="10">
        <v>4.6255701</v>
      </c>
      <c r="T244" s="10">
        <v>4.6074776999999996</v>
      </c>
      <c r="U244" s="10">
        <v>4.5789748000000001</v>
      </c>
      <c r="V244" s="10">
        <v>4.5416261999999996</v>
      </c>
      <c r="W244" s="10">
        <v>4.4968937000000002</v>
      </c>
      <c r="X244" s="10">
        <v>4.4462475000000001</v>
      </c>
      <c r="Y244" s="10">
        <v>4.3911578999999996</v>
      </c>
      <c r="Z244" s="10">
        <v>4.3330951000000004</v>
      </c>
      <c r="AA244" s="10">
        <v>4.2735292999999999</v>
      </c>
      <c r="AB244" s="10">
        <v>4.2137557000000001</v>
      </c>
      <c r="AC244" s="10">
        <v>4.1544024999999998</v>
      </c>
      <c r="AD244" s="10">
        <v>4.0959392000000001</v>
      </c>
      <c r="AE244" s="10">
        <v>4.0388352999999997</v>
      </c>
      <c r="AF244" s="10">
        <v>3.9835603000000002</v>
      </c>
      <c r="AG244" s="10">
        <v>3.9305838</v>
      </c>
      <c r="AH244" s="10">
        <v>3.8802821000000001</v>
      </c>
      <c r="AI244" s="10">
        <v>3.8326204000000001</v>
      </c>
      <c r="AJ244" s="10">
        <v>3.7874506000000001</v>
      </c>
      <c r="AK244" s="10">
        <v>3.7446244000000002</v>
      </c>
      <c r="AL244" s="10">
        <v>3.7039935000000002</v>
      </c>
      <c r="AM244" s="10">
        <v>3.6654097000000001</v>
      </c>
      <c r="AN244" s="10">
        <v>3.6287248000000001</v>
      </c>
      <c r="AO244" s="10">
        <v>3.5937904999999999</v>
      </c>
      <c r="AP244" s="10">
        <v>3.5604586</v>
      </c>
      <c r="AQ244" s="10">
        <v>3.5285809000000001</v>
      </c>
      <c r="AR244" s="10">
        <v>3.4980091</v>
      </c>
      <c r="AS244" s="10">
        <v>3.4685950000000001</v>
      </c>
      <c r="AT244" s="10">
        <v>3.4402016</v>
      </c>
      <c r="AU244" s="10">
        <v>3.4127527</v>
      </c>
      <c r="AV244" s="10">
        <v>3.3861924000000001</v>
      </c>
      <c r="AW244" s="10">
        <v>3.3604649000000002</v>
      </c>
      <c r="AX244" s="10">
        <v>3.3355142</v>
      </c>
      <c r="AY244" s="10">
        <v>3.3112845000000002</v>
      </c>
      <c r="AZ244" s="10">
        <v>3.2877200000000002</v>
      </c>
      <c r="BA244" s="10">
        <v>3.2647647000000002</v>
      </c>
      <c r="BB244" s="10">
        <v>3.2423627000000002</v>
      </c>
      <c r="BC244" s="10">
        <v>3.2204583000000002</v>
      </c>
      <c r="BD244" s="10">
        <v>3.1989955999999999</v>
      </c>
      <c r="BE244" s="10">
        <v>3.1779185999999999</v>
      </c>
      <c r="BF244" s="10">
        <v>3.1571807000000001</v>
      </c>
      <c r="BG244" s="10">
        <v>3.1367799000000001</v>
      </c>
      <c r="BH244" s="10">
        <v>3.1167278</v>
      </c>
      <c r="BI244" s="10">
        <v>3.0970360000000001</v>
      </c>
      <c r="BJ244" s="10">
        <v>3.0777161</v>
      </c>
      <c r="BK244" s="10">
        <v>3.0587797000000001</v>
      </c>
      <c r="BL244" s="10">
        <v>3.0402383999999998</v>
      </c>
      <c r="BM244" s="10">
        <v>3.0221038999999998</v>
      </c>
      <c r="BN244" s="10">
        <v>3.0043877000000001</v>
      </c>
      <c r="BO244" s="10">
        <v>2.9871013999999998</v>
      </c>
      <c r="BP244" s="10">
        <v>2.9702567000000002</v>
      </c>
      <c r="BQ244" s="10">
        <v>2.9538652000000001</v>
      </c>
      <c r="BR244" s="10">
        <v>2.8654836000000001</v>
      </c>
      <c r="BS244" s="10">
        <v>2.7951358000000002</v>
      </c>
      <c r="BU244" s="7">
        <v>3.24</v>
      </c>
      <c r="BV244" s="7">
        <v>3.12</v>
      </c>
      <c r="BW244" s="9">
        <v>79.092399999999998</v>
      </c>
    </row>
    <row r="245" spans="1:75" x14ac:dyDescent="0.25">
      <c r="A245" s="6">
        <f t="shared" si="23"/>
        <v>44895</v>
      </c>
      <c r="B245" s="13">
        <f t="shared" si="18"/>
        <v>11</v>
      </c>
      <c r="C245" s="13">
        <f t="shared" si="19"/>
        <v>2022</v>
      </c>
      <c r="D245">
        <f t="shared" si="20"/>
        <v>202211</v>
      </c>
      <c r="E245">
        <f t="shared" si="21"/>
        <v>4</v>
      </c>
      <c r="F245">
        <f t="shared" si="22"/>
        <v>202204</v>
      </c>
      <c r="G245" t="s">
        <v>432</v>
      </c>
      <c r="H245" s="9">
        <v>3</v>
      </c>
      <c r="I245" s="9">
        <v>2.9272999999999998</v>
      </c>
      <c r="J245" s="10">
        <v>3.4617197000000002</v>
      </c>
      <c r="K245" s="10">
        <v>3.7191736999999998</v>
      </c>
      <c r="L245" s="10">
        <v>3.9809021000000002</v>
      </c>
      <c r="M245" s="10">
        <v>4.2059990999999997</v>
      </c>
      <c r="N245" s="10">
        <v>4.3810551000000002</v>
      </c>
      <c r="O245" s="10">
        <v>4.5045095999999996</v>
      </c>
      <c r="P245" s="10">
        <v>4.5819510000000001</v>
      </c>
      <c r="Q245" s="10">
        <v>4.6264038000000003</v>
      </c>
      <c r="R245" s="10">
        <v>4.6487414999999999</v>
      </c>
      <c r="S245" s="10">
        <v>4.6559729000000001</v>
      </c>
      <c r="T245" s="10">
        <v>4.6511749</v>
      </c>
      <c r="U245" s="10">
        <v>4.6352232000000004</v>
      </c>
      <c r="V245" s="10">
        <v>4.6082090999999998</v>
      </c>
      <c r="W245" s="10">
        <v>4.5713971999999998</v>
      </c>
      <c r="X245" s="10">
        <v>4.5263951000000002</v>
      </c>
      <c r="Y245" s="10">
        <v>4.4748105000000002</v>
      </c>
      <c r="Z245" s="10">
        <v>4.4182509999999997</v>
      </c>
      <c r="AA245" s="10">
        <v>4.3583242999999996</v>
      </c>
      <c r="AB245" s="10">
        <v>4.2965112999999997</v>
      </c>
      <c r="AC245" s="10">
        <v>4.2337615</v>
      </c>
      <c r="AD245" s="10">
        <v>4.1708845999999999</v>
      </c>
      <c r="AE245" s="10">
        <v>4.1086904999999998</v>
      </c>
      <c r="AF245" s="10">
        <v>4.0479887000000003</v>
      </c>
      <c r="AG245" s="10">
        <v>3.9895892000000002</v>
      </c>
      <c r="AH245" s="10">
        <v>3.9341840000000001</v>
      </c>
      <c r="AI245" s="10">
        <v>3.8818313</v>
      </c>
      <c r="AJ245" s="10">
        <v>3.8323768999999999</v>
      </c>
      <c r="AK245" s="10">
        <v>3.7856665</v>
      </c>
      <c r="AL245" s="10">
        <v>3.7415457999999999</v>
      </c>
      <c r="AM245" s="10">
        <v>3.6998603000000001</v>
      </c>
      <c r="AN245" s="10">
        <v>3.6604557999999998</v>
      </c>
      <c r="AO245" s="10">
        <v>3.6231779</v>
      </c>
      <c r="AP245" s="10">
        <v>3.5878722000000001</v>
      </c>
      <c r="AQ245" s="10">
        <v>3.5543844</v>
      </c>
      <c r="AR245" s="10">
        <v>3.5225602</v>
      </c>
      <c r="AS245" s="10">
        <v>3.4922450999999999</v>
      </c>
      <c r="AT245" s="10">
        <v>3.4632944000000001</v>
      </c>
      <c r="AU245" s="10">
        <v>3.4356095</v>
      </c>
      <c r="AV245" s="10">
        <v>3.4091057999999999</v>
      </c>
      <c r="AW245" s="10">
        <v>3.383699</v>
      </c>
      <c r="AX245" s="10">
        <v>3.3593046000000002</v>
      </c>
      <c r="AY245" s="10">
        <v>3.3358379999999999</v>
      </c>
      <c r="AZ245" s="10">
        <v>3.3132147999999999</v>
      </c>
      <c r="BA245" s="10">
        <v>3.2913505999999999</v>
      </c>
      <c r="BB245" s="10">
        <v>3.2701608000000002</v>
      </c>
      <c r="BC245" s="10">
        <v>3.2495609999999999</v>
      </c>
      <c r="BD245" s="10">
        <v>3.2294668</v>
      </c>
      <c r="BE245" s="10">
        <v>3.2097935999999998</v>
      </c>
      <c r="BF245" s="10">
        <v>3.1904705</v>
      </c>
      <c r="BG245" s="10">
        <v>3.1714861000000001</v>
      </c>
      <c r="BH245" s="10">
        <v>3.1528456999999999</v>
      </c>
      <c r="BI245" s="10">
        <v>3.1345545000000001</v>
      </c>
      <c r="BJ245" s="10">
        <v>3.1166174999999998</v>
      </c>
      <c r="BK245" s="10">
        <v>3.09904</v>
      </c>
      <c r="BL245" s="10">
        <v>3.0818270999999999</v>
      </c>
      <c r="BM245" s="10">
        <v>3.0649839999999999</v>
      </c>
      <c r="BN245" s="10">
        <v>3.0485158999999999</v>
      </c>
      <c r="BO245" s="10">
        <v>3.0324279000000001</v>
      </c>
      <c r="BP245" s="10">
        <v>3.0167250999999999</v>
      </c>
      <c r="BQ245" s="10">
        <v>3.0014129000000001</v>
      </c>
      <c r="BR245" s="10">
        <v>2.9180959999999998</v>
      </c>
      <c r="BS245" s="10">
        <v>2.8505497000000002</v>
      </c>
      <c r="BU245" s="7">
        <v>3.28</v>
      </c>
      <c r="BV245" s="7">
        <v>3.16</v>
      </c>
      <c r="BW245" s="9">
        <v>78.692800000000005</v>
      </c>
    </row>
    <row r="246" spans="1:75" x14ac:dyDescent="0.25">
      <c r="A246" s="6">
        <f t="shared" si="23"/>
        <v>44896</v>
      </c>
      <c r="B246" s="13">
        <f t="shared" si="18"/>
        <v>12</v>
      </c>
      <c r="C246" s="13">
        <f t="shared" si="19"/>
        <v>2022</v>
      </c>
      <c r="D246">
        <f t="shared" si="20"/>
        <v>202212</v>
      </c>
      <c r="E246">
        <f t="shared" si="21"/>
        <v>4</v>
      </c>
      <c r="F246">
        <f t="shared" si="22"/>
        <v>202204</v>
      </c>
      <c r="G246" t="s">
        <v>433</v>
      </c>
      <c r="H246" s="9">
        <v>3</v>
      </c>
      <c r="I246" s="9">
        <v>2.9279000000000002</v>
      </c>
      <c r="J246" s="10">
        <v>3.4815496000000001</v>
      </c>
      <c r="K246" s="10">
        <v>3.6984061000000001</v>
      </c>
      <c r="L246" s="10">
        <v>3.9538210999999999</v>
      </c>
      <c r="M246" s="10">
        <v>4.1805539999999999</v>
      </c>
      <c r="N246" s="10">
        <v>4.3508573000000004</v>
      </c>
      <c r="O246" s="10">
        <v>4.4657004000000002</v>
      </c>
      <c r="P246" s="10">
        <v>4.5354825999999999</v>
      </c>
      <c r="Q246" s="10">
        <v>4.5734729999999999</v>
      </c>
      <c r="R246" s="10">
        <v>4.5899861</v>
      </c>
      <c r="S246" s="10">
        <v>4.5913133999999998</v>
      </c>
      <c r="T246" s="10">
        <v>4.5801730999999997</v>
      </c>
      <c r="U246" s="10">
        <v>4.5576637</v>
      </c>
      <c r="V246" s="10">
        <v>4.5238152999999999</v>
      </c>
      <c r="W246" s="10">
        <v>4.4799771000000002</v>
      </c>
      <c r="X246" s="10">
        <v>4.4279146999999996</v>
      </c>
      <c r="Y246" s="10">
        <v>4.3693935000000002</v>
      </c>
      <c r="Z246" s="10">
        <v>4.3061790999999996</v>
      </c>
      <c r="AA246" s="10">
        <v>4.2400371000000003</v>
      </c>
      <c r="AB246" s="10">
        <v>4.1726244000000001</v>
      </c>
      <c r="AC246" s="10">
        <v>4.1050408999999997</v>
      </c>
      <c r="AD246" s="10">
        <v>4.0382087999999996</v>
      </c>
      <c r="AE246" s="10">
        <v>3.9730501999999999</v>
      </c>
      <c r="AF246" s="10">
        <v>3.9104871999999999</v>
      </c>
      <c r="AG246" s="10">
        <v>3.851442</v>
      </c>
      <c r="AH246" s="10">
        <v>3.7966726999999998</v>
      </c>
      <c r="AI246" s="10">
        <v>3.7461386000000001</v>
      </c>
      <c r="AJ246" s="10">
        <v>3.6995561000000001</v>
      </c>
      <c r="AK246" s="10">
        <v>3.6566413999999998</v>
      </c>
      <c r="AL246" s="10">
        <v>3.6171106000000002</v>
      </c>
      <c r="AM246" s="10">
        <v>3.5806800000000001</v>
      </c>
      <c r="AN246" s="10">
        <v>3.5470657999999999</v>
      </c>
      <c r="AO246" s="10">
        <v>3.5159842000000001</v>
      </c>
      <c r="AP246" s="10">
        <v>3.4871515</v>
      </c>
      <c r="AQ246" s="10">
        <v>3.4602838</v>
      </c>
      <c r="AR246" s="10">
        <v>3.4350974000000001</v>
      </c>
      <c r="AS246" s="10">
        <v>3.4113085000000001</v>
      </c>
      <c r="AT246" s="10">
        <v>3.3886615</v>
      </c>
      <c r="AU246" s="10">
        <v>3.3670252000000001</v>
      </c>
      <c r="AV246" s="10">
        <v>3.3463026999999999</v>
      </c>
      <c r="AW246" s="10">
        <v>3.3263972000000002</v>
      </c>
      <c r="AX246" s="10">
        <v>3.3072119</v>
      </c>
      <c r="AY246" s="10">
        <v>3.2886497000000001</v>
      </c>
      <c r="AZ246" s="10">
        <v>3.2706138999999999</v>
      </c>
      <c r="BA246" s="10">
        <v>3.2530076000000001</v>
      </c>
      <c r="BB246" s="10">
        <v>3.2357339999999999</v>
      </c>
      <c r="BC246" s="10">
        <v>3.2186960999999998</v>
      </c>
      <c r="BD246" s="10">
        <v>3.2017972000000001</v>
      </c>
      <c r="BE246" s="10">
        <v>3.1849403000000001</v>
      </c>
      <c r="BF246" s="10">
        <v>3.1680478000000001</v>
      </c>
      <c r="BG246" s="10">
        <v>3.1511274999999999</v>
      </c>
      <c r="BH246" s="10">
        <v>3.1342105999999998</v>
      </c>
      <c r="BI246" s="10">
        <v>3.1173283000000001</v>
      </c>
      <c r="BJ246" s="10">
        <v>3.1005117000000002</v>
      </c>
      <c r="BK246" s="10">
        <v>3.0837919999999999</v>
      </c>
      <c r="BL246" s="10">
        <v>3.0672006000000001</v>
      </c>
      <c r="BM246" s="10">
        <v>3.0507685000000002</v>
      </c>
      <c r="BN246" s="10">
        <v>3.0345270000000002</v>
      </c>
      <c r="BO246" s="10">
        <v>3.0185073</v>
      </c>
      <c r="BP246" s="10">
        <v>3.0027404999999998</v>
      </c>
      <c r="BQ246" s="10">
        <v>2.9872578999999999</v>
      </c>
      <c r="BR246" s="10">
        <v>2.9015365000000002</v>
      </c>
      <c r="BS246" s="10">
        <v>2.8306282</v>
      </c>
      <c r="BU246" s="7">
        <v>3.24</v>
      </c>
      <c r="BV246" s="7">
        <v>3.1</v>
      </c>
      <c r="BW246" s="9">
        <v>80.070899999999995</v>
      </c>
    </row>
    <row r="247" spans="1:75" x14ac:dyDescent="0.25">
      <c r="A247" s="6">
        <f t="shared" si="23"/>
        <v>44897</v>
      </c>
      <c r="B247" s="13">
        <f t="shared" si="18"/>
        <v>12</v>
      </c>
      <c r="C247" s="13">
        <f t="shared" si="19"/>
        <v>2022</v>
      </c>
      <c r="D247">
        <f t="shared" si="20"/>
        <v>202212</v>
      </c>
      <c r="E247">
        <f t="shared" si="21"/>
        <v>4</v>
      </c>
      <c r="F247">
        <f t="shared" si="22"/>
        <v>202204</v>
      </c>
      <c r="G247" t="s">
        <v>434</v>
      </c>
      <c r="H247" s="9">
        <v>3</v>
      </c>
      <c r="I247" s="9">
        <v>2.9281000000000001</v>
      </c>
      <c r="J247" s="10">
        <v>3.4836187000000001</v>
      </c>
      <c r="K247" s="10">
        <v>3.7079605</v>
      </c>
      <c r="L247" s="10">
        <v>3.9681377000000002</v>
      </c>
      <c r="M247" s="10">
        <v>4.1962419000000004</v>
      </c>
      <c r="N247" s="10">
        <v>4.3676402999999997</v>
      </c>
      <c r="O247" s="10">
        <v>4.4832637999999996</v>
      </c>
      <c r="P247" s="10">
        <v>4.5552275</v>
      </c>
      <c r="Q247" s="10">
        <v>4.5967243</v>
      </c>
      <c r="R247" s="10">
        <v>4.6175347999999996</v>
      </c>
      <c r="S247" s="10">
        <v>4.6226772</v>
      </c>
      <c r="T247" s="10">
        <v>4.6142063000000002</v>
      </c>
      <c r="U247" s="10">
        <v>4.5928215000000003</v>
      </c>
      <c r="V247" s="10">
        <v>4.5583787999999998</v>
      </c>
      <c r="W247" s="10">
        <v>4.512524</v>
      </c>
      <c r="X247" s="10">
        <v>4.4575391</v>
      </c>
      <c r="Y247" s="10">
        <v>4.3957065999999996</v>
      </c>
      <c r="Z247" s="10">
        <v>4.3293084999999998</v>
      </c>
      <c r="AA247" s="10">
        <v>4.2606270999999998</v>
      </c>
      <c r="AB247" s="10">
        <v>4.1917175000000002</v>
      </c>
      <c r="AC247" s="10">
        <v>4.1235812999999997</v>
      </c>
      <c r="AD247" s="10">
        <v>4.0569147000000001</v>
      </c>
      <c r="AE247" s="10">
        <v>3.9924138</v>
      </c>
      <c r="AF247" s="10">
        <v>3.9307748</v>
      </c>
      <c r="AG247" s="10">
        <v>3.8726940000000001</v>
      </c>
      <c r="AH247" s="10">
        <v>3.818721</v>
      </c>
      <c r="AI247" s="10">
        <v>3.7687591999999999</v>
      </c>
      <c r="AJ247" s="10">
        <v>3.7225334999999999</v>
      </c>
      <c r="AK247" s="10">
        <v>3.6797686000000001</v>
      </c>
      <c r="AL247" s="10">
        <v>3.6401895999999998</v>
      </c>
      <c r="AM247" s="10">
        <v>3.6035213000000001</v>
      </c>
      <c r="AN247" s="10">
        <v>3.5694886000000001</v>
      </c>
      <c r="AO247" s="10">
        <v>3.5378164000000001</v>
      </c>
      <c r="AP247" s="10">
        <v>3.5082295999999999</v>
      </c>
      <c r="AQ247" s="10">
        <v>3.4804531000000001</v>
      </c>
      <c r="AR247" s="10">
        <v>3.4542117000000001</v>
      </c>
      <c r="AS247" s="10">
        <v>3.4292303999999998</v>
      </c>
      <c r="AT247" s="10">
        <v>3.405265</v>
      </c>
      <c r="AU247" s="10">
        <v>3.3822079</v>
      </c>
      <c r="AV247" s="10">
        <v>3.3599891</v>
      </c>
      <c r="AW247" s="10">
        <v>3.3385387999999998</v>
      </c>
      <c r="AX247" s="10">
        <v>3.317787</v>
      </c>
      <c r="AY247" s="10">
        <v>3.2976637000000002</v>
      </c>
      <c r="AZ247" s="10">
        <v>3.2780992000000002</v>
      </c>
      <c r="BA247" s="10">
        <v>3.2590233</v>
      </c>
      <c r="BB247" s="10">
        <v>3.2403662999999998</v>
      </c>
      <c r="BC247" s="10">
        <v>3.2220582000000002</v>
      </c>
      <c r="BD247" s="10">
        <v>3.2040291000000001</v>
      </c>
      <c r="BE247" s="10">
        <v>3.1862089999999998</v>
      </c>
      <c r="BF247" s="10">
        <v>3.1685417999999999</v>
      </c>
      <c r="BG247" s="10">
        <v>3.1510322999999998</v>
      </c>
      <c r="BH247" s="10">
        <v>3.1337019000000002</v>
      </c>
      <c r="BI247" s="10">
        <v>3.1165721999999998</v>
      </c>
      <c r="BJ247" s="10">
        <v>3.0996648000000002</v>
      </c>
      <c r="BK247" s="10">
        <v>3.0830011000000002</v>
      </c>
      <c r="BL247" s="10">
        <v>3.0666026999999998</v>
      </c>
      <c r="BM247" s="10">
        <v>3.0504910999999999</v>
      </c>
      <c r="BN247" s="10">
        <v>3.0346877999999999</v>
      </c>
      <c r="BO247" s="10">
        <v>3.0192144000000001</v>
      </c>
      <c r="BP247" s="10">
        <v>3.0040924000000002</v>
      </c>
      <c r="BQ247" s="10">
        <v>2.9893432</v>
      </c>
      <c r="BR247" s="10">
        <v>2.9095135999999999</v>
      </c>
      <c r="BS247" s="10">
        <v>2.8462800000000001</v>
      </c>
      <c r="BU247" s="7">
        <v>3.31</v>
      </c>
      <c r="BV247" s="7">
        <v>3.15</v>
      </c>
      <c r="BW247" s="9">
        <v>79.756500000000003</v>
      </c>
    </row>
    <row r="248" spans="1:75" x14ac:dyDescent="0.25">
      <c r="A248" s="6">
        <f t="shared" si="23"/>
        <v>44900</v>
      </c>
      <c r="B248" s="13">
        <f t="shared" si="18"/>
        <v>12</v>
      </c>
      <c r="C248" s="13">
        <f t="shared" si="19"/>
        <v>2022</v>
      </c>
      <c r="D248">
        <f t="shared" si="20"/>
        <v>202212</v>
      </c>
      <c r="E248">
        <f t="shared" si="21"/>
        <v>4</v>
      </c>
      <c r="F248">
        <f t="shared" si="22"/>
        <v>202204</v>
      </c>
      <c r="G248" t="s">
        <v>435</v>
      </c>
      <c r="H248" s="9">
        <v>3</v>
      </c>
      <c r="I248" s="9">
        <v>2.9279000000000002</v>
      </c>
      <c r="J248" s="10">
        <v>3.4967532000000001</v>
      </c>
      <c r="K248" s="10">
        <v>3.7327336</v>
      </c>
      <c r="L248" s="10">
        <v>3.9941838000000001</v>
      </c>
      <c r="M248" s="10">
        <v>4.2217602000000003</v>
      </c>
      <c r="N248" s="10">
        <v>4.3940323000000001</v>
      </c>
      <c r="O248" s="10">
        <v>4.5113000999999997</v>
      </c>
      <c r="P248" s="10">
        <v>4.5845924</v>
      </c>
      <c r="Q248" s="10">
        <v>4.6265253</v>
      </c>
      <c r="R248" s="10">
        <v>4.6464362000000001</v>
      </c>
      <c r="S248" s="10">
        <v>4.6508459000000002</v>
      </c>
      <c r="T248" s="10">
        <v>4.6420915999999997</v>
      </c>
      <c r="U248" s="10">
        <v>4.6213756999999998</v>
      </c>
      <c r="V248" s="10">
        <v>4.5883963999999997</v>
      </c>
      <c r="W248" s="10">
        <v>4.5445342000000002</v>
      </c>
      <c r="X248" s="10">
        <v>4.4917452999999998</v>
      </c>
      <c r="Y248" s="10">
        <v>4.4319863000000002</v>
      </c>
      <c r="Z248" s="10">
        <v>4.3672133000000004</v>
      </c>
      <c r="AA248" s="10">
        <v>4.2993829000000003</v>
      </c>
      <c r="AB248" s="10">
        <v>4.2302705999999999</v>
      </c>
      <c r="AC248" s="10">
        <v>4.1608916000000002</v>
      </c>
      <c r="AD248" s="10">
        <v>4.0920619</v>
      </c>
      <c r="AE248" s="10">
        <v>4.0245971999999997</v>
      </c>
      <c r="AF248" s="10">
        <v>3.9593134000000001</v>
      </c>
      <c r="AG248" s="10">
        <v>3.8970261000000002</v>
      </c>
      <c r="AH248" s="10">
        <v>3.8383940999999999</v>
      </c>
      <c r="AI248" s="10">
        <v>3.7833825999999999</v>
      </c>
      <c r="AJ248" s="10">
        <v>3.7317651000000001</v>
      </c>
      <c r="AK248" s="10">
        <v>3.6833154000000001</v>
      </c>
      <c r="AL248" s="10">
        <v>3.6378072000000001</v>
      </c>
      <c r="AM248" s="10">
        <v>3.5950141000000002</v>
      </c>
      <c r="AN248" s="10">
        <v>3.55471</v>
      </c>
      <c r="AO248" s="10">
        <v>3.5166686</v>
      </c>
      <c r="AP248" s="10">
        <v>3.4806634000000001</v>
      </c>
      <c r="AQ248" s="10">
        <v>3.4464682999999998</v>
      </c>
      <c r="AR248" s="10">
        <v>3.4138568999999999</v>
      </c>
      <c r="AS248" s="10">
        <v>3.3826029000000002</v>
      </c>
      <c r="AT248" s="10">
        <v>3.3525049999999998</v>
      </c>
      <c r="AU248" s="10">
        <v>3.3234715000000001</v>
      </c>
      <c r="AV248" s="10">
        <v>3.2954409999999998</v>
      </c>
      <c r="AW248" s="10">
        <v>3.2683523000000001</v>
      </c>
      <c r="AX248" s="10">
        <v>3.2421440000000001</v>
      </c>
      <c r="AY248" s="10">
        <v>3.2167549000000002</v>
      </c>
      <c r="AZ248" s="10">
        <v>3.1921235000000001</v>
      </c>
      <c r="BA248" s="10">
        <v>3.1681886000000001</v>
      </c>
      <c r="BB248" s="10">
        <v>3.1448887999999999</v>
      </c>
      <c r="BC248" s="10">
        <v>3.1221627999999999</v>
      </c>
      <c r="BD248" s="10">
        <v>3.0999493</v>
      </c>
      <c r="BE248" s="10">
        <v>3.0781869999999998</v>
      </c>
      <c r="BF248" s="10">
        <v>3.0568244999999998</v>
      </c>
      <c r="BG248" s="10">
        <v>3.0358640000000001</v>
      </c>
      <c r="BH248" s="10">
        <v>3.0153254999999999</v>
      </c>
      <c r="BI248" s="10">
        <v>2.9952291999999998</v>
      </c>
      <c r="BJ248" s="10">
        <v>2.9755953000000002</v>
      </c>
      <c r="BK248" s="10">
        <v>2.9564439</v>
      </c>
      <c r="BL248" s="10">
        <v>2.9377952000000001</v>
      </c>
      <c r="BM248" s="10">
        <v>2.9196692</v>
      </c>
      <c r="BN248" s="10">
        <v>2.9020861</v>
      </c>
      <c r="BO248" s="10">
        <v>2.8850661</v>
      </c>
      <c r="BP248" s="10">
        <v>2.8686292</v>
      </c>
      <c r="BQ248" s="10">
        <v>2.8527957000000002</v>
      </c>
      <c r="BR248" s="10">
        <v>2.7708007000000001</v>
      </c>
      <c r="BS248" s="10">
        <v>2.7107478</v>
      </c>
      <c r="BU248" s="7">
        <v>3.31</v>
      </c>
      <c r="BV248" s="7">
        <v>3.1</v>
      </c>
      <c r="BW248" s="9">
        <v>79.483099999999993</v>
      </c>
    </row>
    <row r="249" spans="1:75" x14ac:dyDescent="0.25">
      <c r="A249" s="6">
        <f t="shared" si="23"/>
        <v>44901</v>
      </c>
      <c r="B249" s="13">
        <f t="shared" si="18"/>
        <v>12</v>
      </c>
      <c r="C249" s="13">
        <f t="shared" si="19"/>
        <v>2022</v>
      </c>
      <c r="D249">
        <f t="shared" si="20"/>
        <v>202212</v>
      </c>
      <c r="E249">
        <f t="shared" si="21"/>
        <v>4</v>
      </c>
      <c r="F249">
        <f t="shared" si="22"/>
        <v>202204</v>
      </c>
      <c r="G249" t="s">
        <v>436</v>
      </c>
      <c r="H249" s="9">
        <v>3</v>
      </c>
      <c r="I249" s="9">
        <v>2.9283999999999999</v>
      </c>
      <c r="J249" s="10">
        <v>3.5000429</v>
      </c>
      <c r="K249" s="10">
        <v>3.7392907000000002</v>
      </c>
      <c r="L249" s="10">
        <v>3.9973945999999998</v>
      </c>
      <c r="M249" s="10">
        <v>4.2204100999999996</v>
      </c>
      <c r="N249" s="10">
        <v>4.3888153000000001</v>
      </c>
      <c r="O249" s="10">
        <v>4.5041200000000003</v>
      </c>
      <c r="P249" s="10">
        <v>4.5756765000000001</v>
      </c>
      <c r="Q249" s="10">
        <v>4.6169739999999999</v>
      </c>
      <c r="R249" s="10">
        <v>4.6375709000000001</v>
      </c>
      <c r="S249" s="10">
        <v>4.6435846999999999</v>
      </c>
      <c r="T249" s="10">
        <v>4.6371547</v>
      </c>
      <c r="U249" s="10">
        <v>4.6191940000000002</v>
      </c>
      <c r="V249" s="10">
        <v>4.5894306</v>
      </c>
      <c r="W249" s="10">
        <v>4.5491276999999997</v>
      </c>
      <c r="X249" s="10">
        <v>4.5000435000000003</v>
      </c>
      <c r="Y249" s="10">
        <v>4.4439361999999996</v>
      </c>
      <c r="Z249" s="10">
        <v>4.3825640000000003</v>
      </c>
      <c r="AA249" s="10">
        <v>4.317685</v>
      </c>
      <c r="AB249" s="10">
        <v>4.2509047999999998</v>
      </c>
      <c r="AC249" s="10">
        <v>4.1831877000000004</v>
      </c>
      <c r="AD249" s="10">
        <v>4.1153297000000002</v>
      </c>
      <c r="AE249" s="10">
        <v>4.0481267000000001</v>
      </c>
      <c r="AF249" s="10">
        <v>3.9823746999999998</v>
      </c>
      <c r="AG249" s="10">
        <v>3.9188695</v>
      </c>
      <c r="AH249" s="10">
        <v>3.8582665999999999</v>
      </c>
      <c r="AI249" s="10">
        <v>3.8006012999999998</v>
      </c>
      <c r="AJ249" s="10">
        <v>3.7457378000000001</v>
      </c>
      <c r="AK249" s="10">
        <v>3.6935402000000002</v>
      </c>
      <c r="AL249" s="10">
        <v>3.6438727000000002</v>
      </c>
      <c r="AM249" s="10">
        <v>3.5965994999999999</v>
      </c>
      <c r="AN249" s="10">
        <v>3.5515848000000001</v>
      </c>
      <c r="AO249" s="10">
        <v>3.5086927000000001</v>
      </c>
      <c r="AP249" s="10">
        <v>3.4677872999999999</v>
      </c>
      <c r="AQ249" s="10">
        <v>3.4287329999999998</v>
      </c>
      <c r="AR249" s="10">
        <v>3.3913937999999999</v>
      </c>
      <c r="AS249" s="10">
        <v>3.3556338000000001</v>
      </c>
      <c r="AT249" s="10">
        <v>3.3213265000000001</v>
      </c>
      <c r="AU249" s="10">
        <v>3.2883939999999998</v>
      </c>
      <c r="AV249" s="10">
        <v>3.2567751</v>
      </c>
      <c r="AW249" s="10">
        <v>3.2264084999999998</v>
      </c>
      <c r="AX249" s="10">
        <v>3.1972328999999999</v>
      </c>
      <c r="AY249" s="10">
        <v>3.169187</v>
      </c>
      <c r="AZ249" s="10">
        <v>3.1422094999999999</v>
      </c>
      <c r="BA249" s="10">
        <v>3.1162391999999999</v>
      </c>
      <c r="BB249" s="10">
        <v>3.0912147999999999</v>
      </c>
      <c r="BC249" s="10">
        <v>3.067075</v>
      </c>
      <c r="BD249" s="10">
        <v>3.0437585</v>
      </c>
      <c r="BE249" s="10">
        <v>3.0212040999999998</v>
      </c>
      <c r="BF249" s="10">
        <v>2.9993584000000002</v>
      </c>
      <c r="BG249" s="10">
        <v>2.9782071000000001</v>
      </c>
      <c r="BH249" s="10">
        <v>2.957748</v>
      </c>
      <c r="BI249" s="10">
        <v>2.9379784</v>
      </c>
      <c r="BJ249" s="10">
        <v>2.9188960000000002</v>
      </c>
      <c r="BK249" s="10">
        <v>2.9004984</v>
      </c>
      <c r="BL249" s="10">
        <v>2.8827832</v>
      </c>
      <c r="BM249" s="10">
        <v>2.8657479000000001</v>
      </c>
      <c r="BN249" s="10">
        <v>2.8493900999999999</v>
      </c>
      <c r="BO249" s="10">
        <v>2.8337074000000002</v>
      </c>
      <c r="BP249" s="10">
        <v>2.8186974</v>
      </c>
      <c r="BQ249" s="10">
        <v>2.8043575999999999</v>
      </c>
      <c r="BR249" s="10">
        <v>2.7320424999999999</v>
      </c>
      <c r="BS249" s="10">
        <v>2.6819375999999999</v>
      </c>
      <c r="BU249" s="7">
        <v>3.26</v>
      </c>
      <c r="BV249" s="7">
        <v>3.08</v>
      </c>
      <c r="BW249" s="9">
        <v>79.750900000000001</v>
      </c>
    </row>
    <row r="250" spans="1:75" x14ac:dyDescent="0.25">
      <c r="A250" s="6">
        <f t="shared" si="23"/>
        <v>44902</v>
      </c>
      <c r="B250" s="13">
        <f t="shared" si="18"/>
        <v>12</v>
      </c>
      <c r="C250" s="13">
        <f t="shared" si="19"/>
        <v>2022</v>
      </c>
      <c r="D250">
        <f t="shared" si="20"/>
        <v>202212</v>
      </c>
      <c r="E250">
        <f t="shared" si="21"/>
        <v>4</v>
      </c>
      <c r="F250">
        <f t="shared" si="22"/>
        <v>202204</v>
      </c>
      <c r="G250" t="s">
        <v>437</v>
      </c>
      <c r="H250" s="9">
        <v>3</v>
      </c>
      <c r="I250" s="9">
        <v>2.9275000000000002</v>
      </c>
      <c r="J250" s="10">
        <v>3.4990108000000002</v>
      </c>
      <c r="K250" s="10">
        <v>3.7424906</v>
      </c>
      <c r="L250" s="10">
        <v>3.9983433000000002</v>
      </c>
      <c r="M250" s="10">
        <v>4.2169998</v>
      </c>
      <c r="N250" s="10">
        <v>4.3779858000000003</v>
      </c>
      <c r="O250" s="10">
        <v>4.4864344000000003</v>
      </c>
      <c r="P250" s="10">
        <v>4.5517364000000002</v>
      </c>
      <c r="Q250" s="10">
        <v>4.5874075999999997</v>
      </c>
      <c r="R250" s="10">
        <v>4.6032931000000001</v>
      </c>
      <c r="S250" s="10">
        <v>4.6051850999999999</v>
      </c>
      <c r="T250" s="10">
        <v>4.5954959000000004</v>
      </c>
      <c r="U250" s="10">
        <v>4.5747800999999999</v>
      </c>
      <c r="V250" s="10">
        <v>4.5427857999999999</v>
      </c>
      <c r="W250" s="10">
        <v>4.5007473999999998</v>
      </c>
      <c r="X250" s="10">
        <v>4.4503329999999997</v>
      </c>
      <c r="Y250" s="10">
        <v>4.3932104000000001</v>
      </c>
      <c r="Z250" s="10">
        <v>4.3310478000000003</v>
      </c>
      <c r="AA250" s="10">
        <v>4.2655133000000003</v>
      </c>
      <c r="AB250" s="10">
        <v>4.1981489999999999</v>
      </c>
      <c r="AC250" s="10">
        <v>4.1299694000000002</v>
      </c>
      <c r="AD250" s="10">
        <v>4.0618499999999997</v>
      </c>
      <c r="AE250" s="10">
        <v>3.9946663</v>
      </c>
      <c r="AF250" s="10">
        <v>3.9292940999999999</v>
      </c>
      <c r="AG250" s="10">
        <v>3.8666087</v>
      </c>
      <c r="AH250" s="10">
        <v>3.8073551999999999</v>
      </c>
      <c r="AI250" s="10">
        <v>3.7515736999999998</v>
      </c>
      <c r="AJ250" s="10">
        <v>3.6990687000000002</v>
      </c>
      <c r="AK250" s="10">
        <v>3.6496442</v>
      </c>
      <c r="AL250" s="10">
        <v>3.6031043</v>
      </c>
      <c r="AM250" s="10">
        <v>3.5592532000000001</v>
      </c>
      <c r="AN250" s="10">
        <v>3.5178948999999999</v>
      </c>
      <c r="AO250" s="10">
        <v>3.4788334999999999</v>
      </c>
      <c r="AP250" s="10">
        <v>3.4418731999999999</v>
      </c>
      <c r="AQ250" s="10">
        <v>3.4068181000000002</v>
      </c>
      <c r="AR250" s="10">
        <v>3.3734722000000001</v>
      </c>
      <c r="AS250" s="10">
        <v>3.3416397</v>
      </c>
      <c r="AT250" s="10">
        <v>3.3111408</v>
      </c>
      <c r="AU250" s="10">
        <v>3.2818738999999999</v>
      </c>
      <c r="AV250" s="10">
        <v>3.2537614000000001</v>
      </c>
      <c r="AW250" s="10">
        <v>3.2267256</v>
      </c>
      <c r="AX250" s="10">
        <v>3.2006888999999998</v>
      </c>
      <c r="AY250" s="10">
        <v>3.1755737000000002</v>
      </c>
      <c r="AZ250" s="10">
        <v>3.1513022999999998</v>
      </c>
      <c r="BA250" s="10">
        <v>3.1277971</v>
      </c>
      <c r="BB250" s="10">
        <v>3.1049802999999998</v>
      </c>
      <c r="BC250" s="10">
        <v>3.0827743999999999</v>
      </c>
      <c r="BD250" s="10">
        <v>3.0611017</v>
      </c>
      <c r="BE250" s="10">
        <v>3.0398846000000002</v>
      </c>
      <c r="BF250" s="10">
        <v>3.0190591000000002</v>
      </c>
      <c r="BG250" s="10">
        <v>2.9986220000000001</v>
      </c>
      <c r="BH250" s="10">
        <v>2.9785868999999998</v>
      </c>
      <c r="BI250" s="10">
        <v>2.9589672</v>
      </c>
      <c r="BJ250" s="10">
        <v>2.9397764999999998</v>
      </c>
      <c r="BK250" s="10">
        <v>2.9210281999999999</v>
      </c>
      <c r="BL250" s="10">
        <v>2.902736</v>
      </c>
      <c r="BM250" s="10">
        <v>2.8849132000000002</v>
      </c>
      <c r="BN250" s="10">
        <v>2.8675735000000002</v>
      </c>
      <c r="BO250" s="10">
        <v>2.8507302000000001</v>
      </c>
      <c r="BP250" s="10">
        <v>2.8343970999999999</v>
      </c>
      <c r="BQ250" s="10">
        <v>2.8185875</v>
      </c>
      <c r="BR250" s="10">
        <v>2.7351378999999998</v>
      </c>
      <c r="BS250" s="10">
        <v>2.6718587999999999</v>
      </c>
      <c r="BU250" s="7">
        <v>3.24</v>
      </c>
      <c r="BV250" s="7">
        <v>3.05</v>
      </c>
      <c r="BW250" s="9">
        <v>79.517600000000002</v>
      </c>
    </row>
    <row r="251" spans="1:75" x14ac:dyDescent="0.25">
      <c r="A251" s="6">
        <f t="shared" si="23"/>
        <v>44903</v>
      </c>
      <c r="B251" s="13">
        <f t="shared" si="18"/>
        <v>12</v>
      </c>
      <c r="C251" s="13">
        <f t="shared" si="19"/>
        <v>2022</v>
      </c>
      <c r="D251">
        <f t="shared" si="20"/>
        <v>202212</v>
      </c>
      <c r="E251">
        <f t="shared" si="21"/>
        <v>4</v>
      </c>
      <c r="F251">
        <f t="shared" si="22"/>
        <v>202204</v>
      </c>
      <c r="G251" t="s">
        <v>438</v>
      </c>
      <c r="H251" s="9">
        <v>3</v>
      </c>
      <c r="I251" s="9">
        <v>2.9281000000000001</v>
      </c>
      <c r="J251" s="10">
        <v>3.4981141</v>
      </c>
      <c r="K251" s="10">
        <v>3.7400199999999999</v>
      </c>
      <c r="L251" s="10">
        <v>3.9892113999999999</v>
      </c>
      <c r="M251" s="10">
        <v>4.2007953000000002</v>
      </c>
      <c r="N251" s="10">
        <v>4.3578716000000002</v>
      </c>
      <c r="O251" s="10">
        <v>4.4643902999999998</v>
      </c>
      <c r="P251" s="10">
        <v>4.5291218999999998</v>
      </c>
      <c r="Q251" s="10">
        <v>4.5635972999999996</v>
      </c>
      <c r="R251" s="10">
        <v>4.5770714000000003</v>
      </c>
      <c r="S251" s="10">
        <v>4.5753678000000004</v>
      </c>
      <c r="T251" s="10">
        <v>4.5611598999999998</v>
      </c>
      <c r="U251" s="10">
        <v>4.5358014000000004</v>
      </c>
      <c r="V251" s="10">
        <v>4.4999136999999996</v>
      </c>
      <c r="W251" s="10">
        <v>4.4550136</v>
      </c>
      <c r="X251" s="10">
        <v>4.4028999999999998</v>
      </c>
      <c r="Y251" s="10">
        <v>4.3453717999999997</v>
      </c>
      <c r="Z251" s="10">
        <v>4.2842278</v>
      </c>
      <c r="AA251" s="10">
        <v>4.2212668999999998</v>
      </c>
      <c r="AB251" s="10">
        <v>4.1581222000000002</v>
      </c>
      <c r="AC251" s="10">
        <v>4.0955784</v>
      </c>
      <c r="AD251" s="10">
        <v>4.0341490000000002</v>
      </c>
      <c r="AE251" s="10">
        <v>3.9743474000000001</v>
      </c>
      <c r="AF251" s="10">
        <v>3.9166870999999999</v>
      </c>
      <c r="AG251" s="10">
        <v>3.8616815</v>
      </c>
      <c r="AH251" s="10">
        <v>3.8097501</v>
      </c>
      <c r="AI251" s="10">
        <v>3.7608543999999999</v>
      </c>
      <c r="AJ251" s="10">
        <v>3.7148169000000002</v>
      </c>
      <c r="AK251" s="10">
        <v>3.6714597000000002</v>
      </c>
      <c r="AL251" s="10">
        <v>3.6306050999999999</v>
      </c>
      <c r="AM251" s="10">
        <v>3.5920754000000001</v>
      </c>
      <c r="AN251" s="10">
        <v>3.5556928999999999</v>
      </c>
      <c r="AO251" s="10">
        <v>3.5212797</v>
      </c>
      <c r="AP251" s="10">
        <v>3.4886583</v>
      </c>
      <c r="AQ251" s="10">
        <v>3.4576506999999999</v>
      </c>
      <c r="AR251" s="10">
        <v>3.4280794000000001</v>
      </c>
      <c r="AS251" s="10">
        <v>3.3997665000000001</v>
      </c>
      <c r="AT251" s="10">
        <v>3.3725521000000001</v>
      </c>
      <c r="AU251" s="10">
        <v>3.3463539999999998</v>
      </c>
      <c r="AV251" s="10">
        <v>3.3211118000000002</v>
      </c>
      <c r="AW251" s="10">
        <v>3.2967650000000002</v>
      </c>
      <c r="AX251" s="10">
        <v>3.2732530999999998</v>
      </c>
      <c r="AY251" s="10">
        <v>3.2505156999999998</v>
      </c>
      <c r="AZ251" s="10">
        <v>3.2284921999999998</v>
      </c>
      <c r="BA251" s="10">
        <v>3.2071220999999999</v>
      </c>
      <c r="BB251" s="10">
        <v>3.1863448999999999</v>
      </c>
      <c r="BC251" s="10">
        <v>3.1661003000000001</v>
      </c>
      <c r="BD251" s="10">
        <v>3.1463275999999998</v>
      </c>
      <c r="BE251" s="10">
        <v>3.1269662999999999</v>
      </c>
      <c r="BF251" s="10">
        <v>3.1079658999999999</v>
      </c>
      <c r="BG251" s="10">
        <v>3.0893185000000001</v>
      </c>
      <c r="BH251" s="10">
        <v>3.0710286</v>
      </c>
      <c r="BI251" s="10">
        <v>3.0531003000000001</v>
      </c>
      <c r="BJ251" s="10">
        <v>3.0355379999999998</v>
      </c>
      <c r="BK251" s="10">
        <v>3.0183458999999999</v>
      </c>
      <c r="BL251" s="10">
        <v>3.0015282000000001</v>
      </c>
      <c r="BM251" s="10">
        <v>2.9850892999999998</v>
      </c>
      <c r="BN251" s="10">
        <v>2.9690333999999998</v>
      </c>
      <c r="BO251" s="10">
        <v>2.9533648000000001</v>
      </c>
      <c r="BP251" s="10">
        <v>2.9380877999999999</v>
      </c>
      <c r="BQ251" s="10">
        <v>2.9232065999999999</v>
      </c>
      <c r="BR251" s="10">
        <v>2.8426925000000001</v>
      </c>
      <c r="BS251" s="10">
        <v>2.7788491</v>
      </c>
      <c r="BU251" s="7">
        <v>3.31</v>
      </c>
      <c r="BV251" s="7">
        <v>3.09</v>
      </c>
      <c r="BW251" s="9">
        <v>79.489400000000003</v>
      </c>
    </row>
    <row r="252" spans="1:75" x14ac:dyDescent="0.25">
      <c r="A252" s="6">
        <f t="shared" si="23"/>
        <v>44904</v>
      </c>
      <c r="B252" s="13">
        <f t="shared" si="18"/>
        <v>12</v>
      </c>
      <c r="C252" s="13">
        <f t="shared" si="19"/>
        <v>2022</v>
      </c>
      <c r="D252">
        <f t="shared" si="20"/>
        <v>202212</v>
      </c>
      <c r="E252">
        <f t="shared" si="21"/>
        <v>4</v>
      </c>
      <c r="F252">
        <f t="shared" si="22"/>
        <v>202204</v>
      </c>
      <c r="G252" t="s">
        <v>439</v>
      </c>
      <c r="H252" s="9">
        <v>3</v>
      </c>
      <c r="I252" s="9">
        <v>2.9283999999999999</v>
      </c>
      <c r="J252" s="10">
        <v>3.5132561999999998</v>
      </c>
      <c r="K252" s="10">
        <v>3.7548050000000002</v>
      </c>
      <c r="L252" s="10">
        <v>4.0000333000000001</v>
      </c>
      <c r="M252" s="10">
        <v>4.2070616999999997</v>
      </c>
      <c r="N252" s="10">
        <v>4.3618674999999998</v>
      </c>
      <c r="O252" s="10">
        <v>4.4676670999999999</v>
      </c>
      <c r="P252" s="10">
        <v>4.5332936000000004</v>
      </c>
      <c r="Q252" s="10">
        <v>4.5693263999999996</v>
      </c>
      <c r="R252" s="10">
        <v>4.5844632000000001</v>
      </c>
      <c r="S252" s="10">
        <v>4.5836423999999996</v>
      </c>
      <c r="T252" s="10">
        <v>4.5692927000000001</v>
      </c>
      <c r="U252" s="10">
        <v>4.5425722000000004</v>
      </c>
      <c r="V252" s="10">
        <v>4.5037281</v>
      </c>
      <c r="W252" s="10">
        <v>4.4544736</v>
      </c>
      <c r="X252" s="10">
        <v>4.3970593999999998</v>
      </c>
      <c r="Y252" s="10">
        <v>4.3337365999999999</v>
      </c>
      <c r="Z252" s="10">
        <v>4.266756</v>
      </c>
      <c r="AA252" s="10">
        <v>4.1983684999999999</v>
      </c>
      <c r="AB252" s="10">
        <v>4.1305864999999997</v>
      </c>
      <c r="AC252" s="10">
        <v>4.0643159000000004</v>
      </c>
      <c r="AD252" s="10">
        <v>4.0001417999999997</v>
      </c>
      <c r="AE252" s="10">
        <v>3.9386492999999998</v>
      </c>
      <c r="AF252" s="10">
        <v>3.8804237000000001</v>
      </c>
      <c r="AG252" s="10">
        <v>3.8260500999999998</v>
      </c>
      <c r="AH252" s="10">
        <v>3.7759779</v>
      </c>
      <c r="AI252" s="10">
        <v>3.7300572000000001</v>
      </c>
      <c r="AJ252" s="10">
        <v>3.6879726000000002</v>
      </c>
      <c r="AK252" s="10">
        <v>3.6494087999999998</v>
      </c>
      <c r="AL252" s="10">
        <v>3.6140506000000001</v>
      </c>
      <c r="AM252" s="10">
        <v>3.5815826999999998</v>
      </c>
      <c r="AN252" s="10">
        <v>3.5516896</v>
      </c>
      <c r="AO252" s="10">
        <v>3.5240562</v>
      </c>
      <c r="AP252" s="10">
        <v>3.4983672000000001</v>
      </c>
      <c r="AQ252" s="10">
        <v>3.4743070999999999</v>
      </c>
      <c r="AR252" s="10">
        <v>3.4515608000000002</v>
      </c>
      <c r="AS252" s="10">
        <v>3.4298128999999999</v>
      </c>
      <c r="AT252" s="10">
        <v>3.4087869999999998</v>
      </c>
      <c r="AU252" s="10">
        <v>3.3883784000000001</v>
      </c>
      <c r="AV252" s="10">
        <v>3.3685301000000001</v>
      </c>
      <c r="AW252" s="10">
        <v>3.3491848000000002</v>
      </c>
      <c r="AX252" s="10">
        <v>3.3302852000000001</v>
      </c>
      <c r="AY252" s="10">
        <v>3.3117741000000001</v>
      </c>
      <c r="AZ252" s="10">
        <v>3.2935943000000001</v>
      </c>
      <c r="BA252" s="10">
        <v>3.2756886000000001</v>
      </c>
      <c r="BB252" s="10">
        <v>3.2579997000000001</v>
      </c>
      <c r="BC252" s="10">
        <v>3.2404704999999998</v>
      </c>
      <c r="BD252" s="10">
        <v>3.2230436999999998</v>
      </c>
      <c r="BE252" s="10">
        <v>3.2056621000000001</v>
      </c>
      <c r="BF252" s="10">
        <v>3.1882828000000001</v>
      </c>
      <c r="BG252" s="10">
        <v>3.1709261999999998</v>
      </c>
      <c r="BH252" s="10">
        <v>3.1536301</v>
      </c>
      <c r="BI252" s="10">
        <v>3.1364323000000001</v>
      </c>
      <c r="BJ252" s="10">
        <v>3.1193705999999999</v>
      </c>
      <c r="BK252" s="10">
        <v>3.1024829</v>
      </c>
      <c r="BL252" s="10">
        <v>3.085807</v>
      </c>
      <c r="BM252" s="10">
        <v>3.0693806000000001</v>
      </c>
      <c r="BN252" s="10">
        <v>3.0532417000000001</v>
      </c>
      <c r="BO252" s="10">
        <v>3.0374281000000001</v>
      </c>
      <c r="BP252" s="10">
        <v>3.0219775000000002</v>
      </c>
      <c r="BQ252" s="10">
        <v>3.0069276999999999</v>
      </c>
      <c r="BR252" s="10">
        <v>2.9263043999999998</v>
      </c>
      <c r="BS252" s="10">
        <v>2.8644183999999999</v>
      </c>
      <c r="BU252" s="7">
        <v>3.4</v>
      </c>
      <c r="BV252" s="7">
        <v>3.18</v>
      </c>
      <c r="BW252" s="9">
        <v>79.934700000000007</v>
      </c>
    </row>
    <row r="253" spans="1:75" x14ac:dyDescent="0.25">
      <c r="A253" s="6">
        <f t="shared" si="23"/>
        <v>44907</v>
      </c>
      <c r="B253" s="13">
        <f t="shared" si="18"/>
        <v>12</v>
      </c>
      <c r="C253" s="13">
        <f t="shared" si="19"/>
        <v>2022</v>
      </c>
      <c r="D253">
        <f t="shared" si="20"/>
        <v>202212</v>
      </c>
      <c r="E253">
        <f t="shared" si="21"/>
        <v>4</v>
      </c>
      <c r="F253">
        <f t="shared" si="22"/>
        <v>202204</v>
      </c>
      <c r="G253" t="s">
        <v>440</v>
      </c>
      <c r="H253" s="9">
        <v>3</v>
      </c>
      <c r="I253" s="9">
        <v>2.9289000000000001</v>
      </c>
      <c r="J253" s="10">
        <v>3.5282922999999999</v>
      </c>
      <c r="K253" s="10">
        <v>3.7881197000000002</v>
      </c>
      <c r="L253" s="10">
        <v>4.0378186999999999</v>
      </c>
      <c r="M253" s="10">
        <v>4.2460968000000001</v>
      </c>
      <c r="N253" s="10">
        <v>4.4047295000000002</v>
      </c>
      <c r="O253" s="10">
        <v>4.5161575999999997</v>
      </c>
      <c r="P253" s="10">
        <v>4.5885338999999998</v>
      </c>
      <c r="Q253" s="10">
        <v>4.6315068000000004</v>
      </c>
      <c r="R253" s="10">
        <v>4.6522192999999996</v>
      </c>
      <c r="S253" s="10">
        <v>4.6561890999999997</v>
      </c>
      <c r="T253" s="10">
        <v>4.6454395999999996</v>
      </c>
      <c r="U253" s="10">
        <v>4.6213509000000004</v>
      </c>
      <c r="V253" s="10">
        <v>4.5842774000000004</v>
      </c>
      <c r="W253" s="10">
        <v>4.5360052</v>
      </c>
      <c r="X253" s="10">
        <v>4.4787983999999996</v>
      </c>
      <c r="Y253" s="10">
        <v>4.4149208</v>
      </c>
      <c r="Z253" s="10">
        <v>4.3466363000000001</v>
      </c>
      <c r="AA253" s="10">
        <v>4.2762089000000003</v>
      </c>
      <c r="AB253" s="10">
        <v>4.2056513999999998</v>
      </c>
      <c r="AC253" s="10">
        <v>4.1359225999999998</v>
      </c>
      <c r="AD253" s="10">
        <v>4.0677042999999999</v>
      </c>
      <c r="AE253" s="10">
        <v>4.0016784000000003</v>
      </c>
      <c r="AF253" s="10">
        <v>3.9385267000000002</v>
      </c>
      <c r="AG253" s="10">
        <v>3.8789310000000001</v>
      </c>
      <c r="AH253" s="10">
        <v>3.8234292999999999</v>
      </c>
      <c r="AI253" s="10">
        <v>3.7719249000000001</v>
      </c>
      <c r="AJ253" s="10">
        <v>3.7241461</v>
      </c>
      <c r="AK253" s="10">
        <v>3.6798207999999999</v>
      </c>
      <c r="AL253" s="10">
        <v>3.6386774000000002</v>
      </c>
      <c r="AM253" s="10">
        <v>3.6004437999999999</v>
      </c>
      <c r="AN253" s="10">
        <v>3.5648483999999998</v>
      </c>
      <c r="AO253" s="10">
        <v>3.5316190999999999</v>
      </c>
      <c r="AP253" s="10">
        <v>3.5004843000000001</v>
      </c>
      <c r="AQ253" s="10">
        <v>3.4711720000000001</v>
      </c>
      <c r="AR253" s="10">
        <v>3.4434103</v>
      </c>
      <c r="AS253" s="10">
        <v>3.4169274999999999</v>
      </c>
      <c r="AT253" s="10">
        <v>3.3914829000000002</v>
      </c>
      <c r="AU253" s="10">
        <v>3.3669731000000001</v>
      </c>
      <c r="AV253" s="10">
        <v>3.3433329999999999</v>
      </c>
      <c r="AW253" s="10">
        <v>3.3204972000000001</v>
      </c>
      <c r="AX253" s="10">
        <v>3.2984005999999999</v>
      </c>
      <c r="AY253" s="10">
        <v>3.2769777000000002</v>
      </c>
      <c r="AZ253" s="10">
        <v>3.2561634000000002</v>
      </c>
      <c r="BA253" s="10">
        <v>3.2358923000000002</v>
      </c>
      <c r="BB253" s="10">
        <v>3.2160991999999999</v>
      </c>
      <c r="BC253" s="10">
        <v>3.1967188000000002</v>
      </c>
      <c r="BD253" s="10">
        <v>3.1776857999999999</v>
      </c>
      <c r="BE253" s="10">
        <v>3.1589349000000002</v>
      </c>
      <c r="BF253" s="10">
        <v>3.1404117999999999</v>
      </c>
      <c r="BG253" s="10">
        <v>3.1221206000000001</v>
      </c>
      <c r="BH253" s="10">
        <v>3.104085</v>
      </c>
      <c r="BI253" s="10">
        <v>3.0863288</v>
      </c>
      <c r="BJ253" s="10">
        <v>3.0688757</v>
      </c>
      <c r="BK253" s="10">
        <v>3.0517495000000001</v>
      </c>
      <c r="BL253" s="10">
        <v>3.0349740000000001</v>
      </c>
      <c r="BM253" s="10">
        <v>3.0185729000000001</v>
      </c>
      <c r="BN253" s="10">
        <v>3.0025700999999998</v>
      </c>
      <c r="BO253" s="10">
        <v>2.9869892</v>
      </c>
      <c r="BP253" s="10">
        <v>2.971854</v>
      </c>
      <c r="BQ253" s="10">
        <v>2.9571884000000002</v>
      </c>
      <c r="BR253" s="10">
        <v>2.8798002999999999</v>
      </c>
      <c r="BS253" s="10">
        <v>2.8217173</v>
      </c>
      <c r="BU253" s="7">
        <v>3.47</v>
      </c>
      <c r="BV253" s="7">
        <v>3.2</v>
      </c>
      <c r="BW253" s="9">
        <v>79.819100000000006</v>
      </c>
    </row>
    <row r="254" spans="1:75" x14ac:dyDescent="0.25">
      <c r="A254" s="6">
        <f t="shared" si="23"/>
        <v>44908</v>
      </c>
      <c r="B254" s="13">
        <f t="shared" si="18"/>
        <v>12</v>
      </c>
      <c r="C254" s="13">
        <f t="shared" si="19"/>
        <v>2022</v>
      </c>
      <c r="D254">
        <f t="shared" si="20"/>
        <v>202212</v>
      </c>
      <c r="E254">
        <f t="shared" si="21"/>
        <v>4</v>
      </c>
      <c r="F254">
        <f t="shared" si="22"/>
        <v>202204</v>
      </c>
      <c r="G254" t="s">
        <v>441</v>
      </c>
      <c r="H254" s="9">
        <v>3</v>
      </c>
      <c r="I254" s="9">
        <v>2.9287000000000001</v>
      </c>
      <c r="J254" s="10">
        <v>3.5518046999999999</v>
      </c>
      <c r="K254" s="10">
        <v>3.8298619</v>
      </c>
      <c r="L254" s="10">
        <v>4.0898091000000001</v>
      </c>
      <c r="M254" s="10">
        <v>4.3042210000000001</v>
      </c>
      <c r="N254" s="10">
        <v>4.4654879999999997</v>
      </c>
      <c r="O254" s="10">
        <v>4.5780493</v>
      </c>
      <c r="P254" s="10">
        <v>4.6494555000000002</v>
      </c>
      <c r="Q254" s="10">
        <v>4.6903305</v>
      </c>
      <c r="R254" s="10">
        <v>4.7087782000000002</v>
      </c>
      <c r="S254" s="10">
        <v>4.7110345000000002</v>
      </c>
      <c r="T254" s="10">
        <v>4.6999645000000001</v>
      </c>
      <c r="U254" s="10">
        <v>4.6772843999999996</v>
      </c>
      <c r="V254" s="10">
        <v>4.6431538999999997</v>
      </c>
      <c r="W254" s="10">
        <v>4.5989816000000001</v>
      </c>
      <c r="X254" s="10">
        <v>4.5466224000000004</v>
      </c>
      <c r="Y254" s="10">
        <v>4.4879308</v>
      </c>
      <c r="Z254" s="10">
        <v>4.4247616000000001</v>
      </c>
      <c r="AA254" s="10">
        <v>4.3589694999999997</v>
      </c>
      <c r="AB254" s="10">
        <v>4.2922330999999998</v>
      </c>
      <c r="AC254" s="10">
        <v>4.2254908999999996</v>
      </c>
      <c r="AD254" s="10">
        <v>4.1594873000000003</v>
      </c>
      <c r="AE254" s="10">
        <v>4.0949663000000003</v>
      </c>
      <c r="AF254" s="10">
        <v>4.0326724</v>
      </c>
      <c r="AG254" s="10">
        <v>3.9733496000000001</v>
      </c>
      <c r="AH254" s="10">
        <v>3.9175987999999999</v>
      </c>
      <c r="AI254" s="10">
        <v>3.8653879999999998</v>
      </c>
      <c r="AJ254" s="10">
        <v>3.8165102000000002</v>
      </c>
      <c r="AK254" s="10">
        <v>3.7707586000000002</v>
      </c>
      <c r="AL254" s="10">
        <v>3.7279263999999999</v>
      </c>
      <c r="AM254" s="10">
        <v>3.6878068000000002</v>
      </c>
      <c r="AN254" s="10">
        <v>3.6501929</v>
      </c>
      <c r="AO254" s="10">
        <v>3.614878</v>
      </c>
      <c r="AP254" s="10">
        <v>3.5816552000000001</v>
      </c>
      <c r="AQ254" s="10">
        <v>3.5503176999999999</v>
      </c>
      <c r="AR254" s="10">
        <v>3.5206586999999998</v>
      </c>
      <c r="AS254" s="10">
        <v>3.4924713000000001</v>
      </c>
      <c r="AT254" s="10">
        <v>3.4655651000000001</v>
      </c>
      <c r="AU254" s="10">
        <v>3.439838</v>
      </c>
      <c r="AV254" s="10">
        <v>3.4152173000000001</v>
      </c>
      <c r="AW254" s="10">
        <v>3.3916305000000002</v>
      </c>
      <c r="AX254" s="10">
        <v>3.369005</v>
      </c>
      <c r="AY254" s="10">
        <v>3.3472683999999999</v>
      </c>
      <c r="AZ254" s="10">
        <v>3.3263479</v>
      </c>
      <c r="BA254" s="10">
        <v>3.306171</v>
      </c>
      <c r="BB254" s="10">
        <v>3.2866653000000001</v>
      </c>
      <c r="BC254" s="10">
        <v>3.2677581</v>
      </c>
      <c r="BD254" s="10">
        <v>3.2493769000000001</v>
      </c>
      <c r="BE254" s="10">
        <v>3.231449</v>
      </c>
      <c r="BF254" s="10">
        <v>3.2139131999999999</v>
      </c>
      <c r="BG254" s="10">
        <v>3.1967628000000001</v>
      </c>
      <c r="BH254" s="10">
        <v>3.1800074</v>
      </c>
      <c r="BI254" s="10">
        <v>3.1636571</v>
      </c>
      <c r="BJ254" s="10">
        <v>3.1477217</v>
      </c>
      <c r="BK254" s="10">
        <v>3.1322109999999999</v>
      </c>
      <c r="BL254" s="10">
        <v>3.1171350000000002</v>
      </c>
      <c r="BM254" s="10">
        <v>3.1025033999999998</v>
      </c>
      <c r="BN254" s="10">
        <v>3.0883262</v>
      </c>
      <c r="BO254" s="10">
        <v>3.0746131999999999</v>
      </c>
      <c r="BP254" s="10">
        <v>3.0613741999999999</v>
      </c>
      <c r="BQ254" s="10">
        <v>3.0486192999999999</v>
      </c>
      <c r="BR254" s="10">
        <v>2.9825336999999998</v>
      </c>
      <c r="BS254" s="10">
        <v>2.9347127999999998</v>
      </c>
      <c r="BU254" s="7">
        <v>3.51</v>
      </c>
      <c r="BV254" s="7">
        <v>3.3</v>
      </c>
      <c r="BW254" s="9">
        <v>80.199600000000004</v>
      </c>
    </row>
    <row r="255" spans="1:75" x14ac:dyDescent="0.25">
      <c r="A255" s="6">
        <f t="shared" si="23"/>
        <v>44909</v>
      </c>
      <c r="B255" s="13">
        <f t="shared" si="18"/>
        <v>12</v>
      </c>
      <c r="C255" s="13">
        <f t="shared" si="19"/>
        <v>2022</v>
      </c>
      <c r="D255">
        <f t="shared" si="20"/>
        <v>202212</v>
      </c>
      <c r="E255">
        <f t="shared" si="21"/>
        <v>4</v>
      </c>
      <c r="F255">
        <f t="shared" si="22"/>
        <v>202204</v>
      </c>
      <c r="G255" t="s">
        <v>442</v>
      </c>
      <c r="H255" s="9">
        <v>3</v>
      </c>
      <c r="I255" s="9">
        <v>2.9287999999999998</v>
      </c>
      <c r="J255" s="10">
        <v>3.5147447000000001</v>
      </c>
      <c r="K255" s="10">
        <v>3.7704582000000002</v>
      </c>
      <c r="L255" s="10">
        <v>4.0123948</v>
      </c>
      <c r="M255" s="10">
        <v>4.2121767999999999</v>
      </c>
      <c r="N255" s="10">
        <v>4.3621138000000004</v>
      </c>
      <c r="O255" s="10">
        <v>4.4653212</v>
      </c>
      <c r="P255" s="10">
        <v>4.5291123999999998</v>
      </c>
      <c r="Q255" s="10">
        <v>4.5630997999999998</v>
      </c>
      <c r="R255" s="10">
        <v>4.5752689999999996</v>
      </c>
      <c r="S255" s="10">
        <v>4.5714119000000002</v>
      </c>
      <c r="T255" s="10">
        <v>4.5548723999999998</v>
      </c>
      <c r="U255" s="10">
        <v>4.5274023999999997</v>
      </c>
      <c r="V255" s="10">
        <v>4.4902125000000002</v>
      </c>
      <c r="W255" s="10">
        <v>4.4448416000000002</v>
      </c>
      <c r="X255" s="10">
        <v>4.3929327999999996</v>
      </c>
      <c r="Y255" s="10">
        <v>4.3361289999999997</v>
      </c>
      <c r="Z255" s="10">
        <v>4.2760733999999996</v>
      </c>
      <c r="AA255" s="10">
        <v>4.2144089999999998</v>
      </c>
      <c r="AB255" s="10">
        <v>4.1526157000000001</v>
      </c>
      <c r="AC255" s="10">
        <v>4.0914878999999997</v>
      </c>
      <c r="AD255" s="10">
        <v>4.0316397000000004</v>
      </c>
      <c r="AE255" s="10">
        <v>3.9736853999999999</v>
      </c>
      <c r="AF255" s="10">
        <v>3.9182393000000002</v>
      </c>
      <c r="AG255" s="10">
        <v>3.8659156000000001</v>
      </c>
      <c r="AH255" s="10">
        <v>3.8172261000000001</v>
      </c>
      <c r="AI255" s="10">
        <v>3.7721306999999999</v>
      </c>
      <c r="AJ255" s="10">
        <v>3.7304046999999998</v>
      </c>
      <c r="AK255" s="10">
        <v>3.6918229</v>
      </c>
      <c r="AL255" s="10">
        <v>3.6561602999999998</v>
      </c>
      <c r="AM255" s="10">
        <v>3.6231917999999999</v>
      </c>
      <c r="AN255" s="10">
        <v>3.5926925000000001</v>
      </c>
      <c r="AO255" s="10">
        <v>3.5644371000000001</v>
      </c>
      <c r="AP255" s="10">
        <v>3.5382007999999998</v>
      </c>
      <c r="AQ255" s="10">
        <v>3.5137583999999999</v>
      </c>
      <c r="AR255" s="10">
        <v>3.4908847999999999</v>
      </c>
      <c r="AS255" s="10">
        <v>3.4693551</v>
      </c>
      <c r="AT255" s="10">
        <v>3.4489635999999999</v>
      </c>
      <c r="AU255" s="10">
        <v>3.4295990000000001</v>
      </c>
      <c r="AV255" s="10">
        <v>3.4111788000000001</v>
      </c>
      <c r="AW255" s="10">
        <v>3.3936207</v>
      </c>
      <c r="AX255" s="10">
        <v>3.3768419999999999</v>
      </c>
      <c r="AY255" s="10">
        <v>3.3607605</v>
      </c>
      <c r="AZ255" s="10">
        <v>3.3452934999999999</v>
      </c>
      <c r="BA255" s="10">
        <v>3.3303585999999998</v>
      </c>
      <c r="BB255" s="10">
        <v>3.3158734000000001</v>
      </c>
      <c r="BC255" s="10">
        <v>3.3017553999999998</v>
      </c>
      <c r="BD255" s="10">
        <v>3.2879220999999998</v>
      </c>
      <c r="BE255" s="10">
        <v>3.2742911000000001</v>
      </c>
      <c r="BF255" s="10">
        <v>3.2607949999999999</v>
      </c>
      <c r="BG255" s="10">
        <v>3.2474333999999998</v>
      </c>
      <c r="BH255" s="10">
        <v>3.2342241999999999</v>
      </c>
      <c r="BI255" s="10">
        <v>3.2211854999999998</v>
      </c>
      <c r="BJ255" s="10">
        <v>3.2083352999999999</v>
      </c>
      <c r="BK255" s="10">
        <v>3.1956916</v>
      </c>
      <c r="BL255" s="10">
        <v>3.1832723000000001</v>
      </c>
      <c r="BM255" s="10">
        <v>3.1710954</v>
      </c>
      <c r="BN255" s="10">
        <v>3.159179</v>
      </c>
      <c r="BO255" s="10">
        <v>3.1475411000000002</v>
      </c>
      <c r="BP255" s="10">
        <v>3.1361995999999999</v>
      </c>
      <c r="BQ255" s="10">
        <v>3.1251726</v>
      </c>
      <c r="BR255" s="10">
        <v>3.0663478</v>
      </c>
      <c r="BS255" s="10">
        <v>3.0217192000000002</v>
      </c>
      <c r="BU255" s="7">
        <v>3.44</v>
      </c>
      <c r="BV255" s="7">
        <v>3.31</v>
      </c>
      <c r="BW255" s="9">
        <v>80.154200000000003</v>
      </c>
    </row>
    <row r="256" spans="1:75" x14ac:dyDescent="0.25">
      <c r="A256" s="6">
        <f t="shared" si="23"/>
        <v>44910</v>
      </c>
      <c r="B256" s="13">
        <f t="shared" si="18"/>
        <v>12</v>
      </c>
      <c r="C256" s="13">
        <f t="shared" si="19"/>
        <v>2022</v>
      </c>
      <c r="D256">
        <f t="shared" si="20"/>
        <v>202212</v>
      </c>
      <c r="E256">
        <f t="shared" si="21"/>
        <v>4</v>
      </c>
      <c r="F256">
        <f t="shared" si="22"/>
        <v>202204</v>
      </c>
      <c r="G256" t="s">
        <v>443</v>
      </c>
      <c r="H256" s="9">
        <v>3.5</v>
      </c>
      <c r="I256" s="9">
        <v>3.4268999999999998</v>
      </c>
      <c r="J256" s="10">
        <v>3.4864394000000001</v>
      </c>
      <c r="K256" s="10">
        <v>3.7387839</v>
      </c>
      <c r="L256" s="10">
        <v>3.9743732000000001</v>
      </c>
      <c r="M256" s="10">
        <v>4.1703212000000001</v>
      </c>
      <c r="N256" s="10">
        <v>4.3189080000000004</v>
      </c>
      <c r="O256" s="10">
        <v>4.4227604999999999</v>
      </c>
      <c r="P256" s="10">
        <v>4.4881526999999997</v>
      </c>
      <c r="Q256" s="10">
        <v>4.5237641000000002</v>
      </c>
      <c r="R256" s="10">
        <v>4.5376989999999999</v>
      </c>
      <c r="S256" s="10">
        <v>4.5357867000000001</v>
      </c>
      <c r="T256" s="10">
        <v>4.5210879999999998</v>
      </c>
      <c r="U256" s="10">
        <v>4.4952819999999996</v>
      </c>
      <c r="V256" s="10">
        <v>4.4592986999999997</v>
      </c>
      <c r="W256" s="10">
        <v>4.4145623000000001</v>
      </c>
      <c r="X256" s="10">
        <v>4.3626693999999997</v>
      </c>
      <c r="Y256" s="10">
        <v>4.3052165000000002</v>
      </c>
      <c r="Z256" s="10">
        <v>4.2438000999999996</v>
      </c>
      <c r="AA256" s="10">
        <v>4.1800169</v>
      </c>
      <c r="AB256" s="10">
        <v>4.1153572</v>
      </c>
      <c r="AC256" s="10">
        <v>4.0507679999999997</v>
      </c>
      <c r="AD256" s="10">
        <v>3.9870223</v>
      </c>
      <c r="AE256" s="10">
        <v>3.9248935</v>
      </c>
      <c r="AF256" s="10">
        <v>3.8651544000000002</v>
      </c>
      <c r="AG256" s="10">
        <v>3.8085784999999999</v>
      </c>
      <c r="AH256" s="10">
        <v>3.7558026</v>
      </c>
      <c r="AI256" s="10">
        <v>3.7068007999999999</v>
      </c>
      <c r="AJ256" s="10">
        <v>3.6613454000000001</v>
      </c>
      <c r="AK256" s="10">
        <v>3.6192085999999999</v>
      </c>
      <c r="AL256" s="10">
        <v>3.5801626</v>
      </c>
      <c r="AM256" s="10">
        <v>3.5439796000000001</v>
      </c>
      <c r="AN256" s="10">
        <v>3.5104318000000001</v>
      </c>
      <c r="AO256" s="10">
        <v>3.4792914000000001</v>
      </c>
      <c r="AP256" s="10">
        <v>3.4503306</v>
      </c>
      <c r="AQ256" s="10">
        <v>3.4233216</v>
      </c>
      <c r="AR256" s="10">
        <v>3.3980366000000002</v>
      </c>
      <c r="AS256" s="10">
        <v>3.3742478999999999</v>
      </c>
      <c r="AT256" s="10">
        <v>3.3517488000000002</v>
      </c>
      <c r="AU256" s="10">
        <v>3.3304263000000001</v>
      </c>
      <c r="AV256" s="10">
        <v>3.3101931000000002</v>
      </c>
      <c r="AW256" s="10">
        <v>3.2909619000000001</v>
      </c>
      <c r="AX256" s="10">
        <v>3.2726456000000002</v>
      </c>
      <c r="AY256" s="10">
        <v>3.2551568</v>
      </c>
      <c r="AZ256" s="10">
        <v>3.2384083000000001</v>
      </c>
      <c r="BA256" s="10">
        <v>3.2223128999999999</v>
      </c>
      <c r="BB256" s="10">
        <v>3.2067833000000001</v>
      </c>
      <c r="BC256" s="10">
        <v>3.1917322000000001</v>
      </c>
      <c r="BD256" s="10">
        <v>3.1770724000000001</v>
      </c>
      <c r="BE256" s="10">
        <v>3.1627166999999998</v>
      </c>
      <c r="BF256" s="10">
        <v>3.1485930999999998</v>
      </c>
      <c r="BG256" s="10">
        <v>3.1346968999999998</v>
      </c>
      <c r="BH256" s="10">
        <v>3.1210423999999999</v>
      </c>
      <c r="BI256" s="10">
        <v>3.1076435</v>
      </c>
      <c r="BJ256" s="10">
        <v>3.0945141999999999</v>
      </c>
      <c r="BK256" s="10">
        <v>3.0816686999999998</v>
      </c>
      <c r="BL256" s="10">
        <v>3.069121</v>
      </c>
      <c r="BM256" s="10">
        <v>3.0568851000000001</v>
      </c>
      <c r="BN256" s="10">
        <v>3.0449750999999998</v>
      </c>
      <c r="BO256" s="10">
        <v>3.0334051</v>
      </c>
      <c r="BP256" s="10">
        <v>3.0221890999999999</v>
      </c>
      <c r="BQ256" s="10">
        <v>3.0113411000000001</v>
      </c>
      <c r="BR256" s="10">
        <v>2.9544834</v>
      </c>
      <c r="BS256" s="10">
        <v>2.9126812000000002</v>
      </c>
      <c r="BU256" s="7">
        <v>3.39</v>
      </c>
      <c r="BV256" s="7">
        <v>3.25</v>
      </c>
      <c r="BW256" s="9">
        <v>79.106399999999994</v>
      </c>
    </row>
    <row r="257" spans="1:75" x14ac:dyDescent="0.25">
      <c r="A257" s="6">
        <f t="shared" si="23"/>
        <v>44911</v>
      </c>
      <c r="B257" s="13">
        <f t="shared" si="18"/>
        <v>12</v>
      </c>
      <c r="C257" s="13">
        <f t="shared" si="19"/>
        <v>2022</v>
      </c>
      <c r="D257">
        <f t="shared" si="20"/>
        <v>202212</v>
      </c>
      <c r="E257">
        <f t="shared" si="21"/>
        <v>4</v>
      </c>
      <c r="F257">
        <f t="shared" si="22"/>
        <v>202204</v>
      </c>
      <c r="G257" t="s">
        <v>444</v>
      </c>
      <c r="H257" s="9">
        <v>3.5</v>
      </c>
      <c r="I257" s="9">
        <v>3.4272999999999998</v>
      </c>
      <c r="J257" s="10">
        <v>3.4948220999999999</v>
      </c>
      <c r="K257" s="10">
        <v>3.7575866000000002</v>
      </c>
      <c r="L257" s="10">
        <v>4.0050663000000002</v>
      </c>
      <c r="M257" s="10">
        <v>4.2132882</v>
      </c>
      <c r="N257" s="10">
        <v>4.3735102000000001</v>
      </c>
      <c r="O257" s="10">
        <v>4.4879018999999998</v>
      </c>
      <c r="P257" s="10">
        <v>4.5629711999999998</v>
      </c>
      <c r="Q257" s="10">
        <v>4.6067412000000001</v>
      </c>
      <c r="R257" s="10">
        <v>4.6267887999999999</v>
      </c>
      <c r="S257" s="10">
        <v>4.6283919999999998</v>
      </c>
      <c r="T257" s="10">
        <v>4.6151539000000001</v>
      </c>
      <c r="U257" s="10">
        <v>4.5894953999999997</v>
      </c>
      <c r="V257" s="10">
        <v>4.5529301999999996</v>
      </c>
      <c r="W257" s="10">
        <v>4.5072178000000003</v>
      </c>
      <c r="X257" s="10">
        <v>4.4542593999999998</v>
      </c>
      <c r="Y257" s="10">
        <v>4.3959561000000003</v>
      </c>
      <c r="Z257" s="10">
        <v>4.3342087999999999</v>
      </c>
      <c r="AA257" s="10">
        <v>4.2709187000000002</v>
      </c>
      <c r="AB257" s="10">
        <v>4.2077935000000002</v>
      </c>
      <c r="AC257" s="10">
        <v>4.1456444000000001</v>
      </c>
      <c r="AD257" s="10">
        <v>4.0850226999999997</v>
      </c>
      <c r="AE257" s="10">
        <v>4.0264794000000004</v>
      </c>
      <c r="AF257" s="10">
        <v>3.9705659999999998</v>
      </c>
      <c r="AG257" s="10">
        <v>3.9178335999999998</v>
      </c>
      <c r="AH257" s="10">
        <v>3.8687141</v>
      </c>
      <c r="AI257" s="10">
        <v>3.8231112</v>
      </c>
      <c r="AJ257" s="10">
        <v>3.7807835000000001</v>
      </c>
      <c r="AK257" s="10">
        <v>3.7414892000000002</v>
      </c>
      <c r="AL257" s="10">
        <v>3.7049867000000001</v>
      </c>
      <c r="AM257" s="10">
        <v>3.6710343999999999</v>
      </c>
      <c r="AN257" s="10">
        <v>3.6393906999999999</v>
      </c>
      <c r="AO257" s="10">
        <v>3.6098138999999998</v>
      </c>
      <c r="AP257" s="10">
        <v>3.5820623999999999</v>
      </c>
      <c r="AQ257" s="10">
        <v>3.5558945</v>
      </c>
      <c r="AR257" s="10">
        <v>3.5310685999999998</v>
      </c>
      <c r="AS257" s="10">
        <v>3.5073430000000001</v>
      </c>
      <c r="AT257" s="10">
        <v>3.4845041000000001</v>
      </c>
      <c r="AU257" s="10">
        <v>3.4624609999999998</v>
      </c>
      <c r="AV257" s="10">
        <v>3.441157</v>
      </c>
      <c r="AW257" s="10">
        <v>3.4205353000000001</v>
      </c>
      <c r="AX257" s="10">
        <v>3.4005390000000002</v>
      </c>
      <c r="AY257" s="10">
        <v>3.3811114999999998</v>
      </c>
      <c r="AZ257" s="10">
        <v>3.3621957999999998</v>
      </c>
      <c r="BA257" s="10">
        <v>3.3437353000000001</v>
      </c>
      <c r="BB257" s="10">
        <v>3.3256730999999999</v>
      </c>
      <c r="BC257" s="10">
        <v>3.3079524</v>
      </c>
      <c r="BD257" s="10">
        <v>3.2905164</v>
      </c>
      <c r="BE257" s="10">
        <v>3.2733083999999999</v>
      </c>
      <c r="BF257" s="10">
        <v>3.2562837</v>
      </c>
      <c r="BG257" s="10">
        <v>3.2394514999999999</v>
      </c>
      <c r="BH257" s="10">
        <v>3.2228357999999999</v>
      </c>
      <c r="BI257" s="10">
        <v>3.2064604999999999</v>
      </c>
      <c r="BJ257" s="10">
        <v>3.1903497000000001</v>
      </c>
      <c r="BK257" s="10">
        <v>3.1745272999999998</v>
      </c>
      <c r="BL257" s="10">
        <v>3.1590172999999999</v>
      </c>
      <c r="BM257" s="10">
        <v>3.1438437000000001</v>
      </c>
      <c r="BN257" s="10">
        <v>3.1290306000000001</v>
      </c>
      <c r="BO257" s="10">
        <v>3.1146018</v>
      </c>
      <c r="BP257" s="10">
        <v>3.1005813999999998</v>
      </c>
      <c r="BQ257" s="10">
        <v>3.0869933000000001</v>
      </c>
      <c r="BR257" s="10">
        <v>3.0152926</v>
      </c>
      <c r="BS257" s="10">
        <v>2.9615919000000002</v>
      </c>
      <c r="BU257" s="7">
        <v>3.47</v>
      </c>
      <c r="BV257" s="7">
        <v>3.33</v>
      </c>
      <c r="BW257" s="9">
        <v>78.816400000000002</v>
      </c>
    </row>
    <row r="258" spans="1:75" x14ac:dyDescent="0.25">
      <c r="A258" s="6">
        <f t="shared" si="23"/>
        <v>44914</v>
      </c>
      <c r="B258" s="13">
        <f t="shared" si="18"/>
        <v>12</v>
      </c>
      <c r="C258" s="13">
        <f t="shared" si="19"/>
        <v>2022</v>
      </c>
      <c r="D258">
        <f t="shared" si="20"/>
        <v>202212</v>
      </c>
      <c r="E258">
        <f t="shared" si="21"/>
        <v>4</v>
      </c>
      <c r="F258">
        <f t="shared" si="22"/>
        <v>202204</v>
      </c>
      <c r="G258" t="s">
        <v>445</v>
      </c>
      <c r="H258" s="9">
        <v>3.5</v>
      </c>
      <c r="I258" s="9">
        <v>3.4268999999999998</v>
      </c>
      <c r="J258" s="10">
        <v>3.5079031999999999</v>
      </c>
      <c r="K258" s="10">
        <v>3.7958232999999999</v>
      </c>
      <c r="L258" s="10">
        <v>4.0577265999999996</v>
      </c>
      <c r="M258" s="10">
        <v>4.2745182000000002</v>
      </c>
      <c r="N258" s="10">
        <v>4.4394146000000001</v>
      </c>
      <c r="O258" s="10">
        <v>4.5553901999999997</v>
      </c>
      <c r="P258" s="10">
        <v>4.6305664000000002</v>
      </c>
      <c r="Q258" s="10">
        <v>4.6745222000000002</v>
      </c>
      <c r="R258" s="10">
        <v>4.6953597</v>
      </c>
      <c r="S258" s="10">
        <v>4.7001704000000002</v>
      </c>
      <c r="T258" s="10">
        <v>4.6925540000000003</v>
      </c>
      <c r="U258" s="10">
        <v>4.6748260000000004</v>
      </c>
      <c r="V258" s="10">
        <v>4.6480297000000004</v>
      </c>
      <c r="W258" s="10">
        <v>4.6133924999999998</v>
      </c>
      <c r="X258" s="10">
        <v>4.5722887999999999</v>
      </c>
      <c r="Y258" s="10">
        <v>4.5260930999999998</v>
      </c>
      <c r="Z258" s="10">
        <v>4.4761796</v>
      </c>
      <c r="AA258" s="10">
        <v>4.4239227000000003</v>
      </c>
      <c r="AB258" s="10">
        <v>4.3705780000000001</v>
      </c>
      <c r="AC258" s="10">
        <v>4.3169010999999999</v>
      </c>
      <c r="AD258" s="10">
        <v>4.2635164000000003</v>
      </c>
      <c r="AE258" s="10">
        <v>4.2110485000000004</v>
      </c>
      <c r="AF258" s="10">
        <v>4.1601219</v>
      </c>
      <c r="AG258" s="10">
        <v>4.1113609000000002</v>
      </c>
      <c r="AH258" s="10">
        <v>4.0652704999999996</v>
      </c>
      <c r="AI258" s="10">
        <v>4.0218277999999996</v>
      </c>
      <c r="AJ258" s="10">
        <v>3.9808644000000002</v>
      </c>
      <c r="AK258" s="10">
        <v>3.9422115999999998</v>
      </c>
      <c r="AL258" s="10">
        <v>3.9057010999999999</v>
      </c>
      <c r="AM258" s="10">
        <v>3.8711641999999999</v>
      </c>
      <c r="AN258" s="10">
        <v>3.8384325000000001</v>
      </c>
      <c r="AO258" s="10">
        <v>3.8073375</v>
      </c>
      <c r="AP258" s="10">
        <v>3.7777105999999998</v>
      </c>
      <c r="AQ258" s="10">
        <v>3.7493834000000001</v>
      </c>
      <c r="AR258" s="10">
        <v>3.7221872999999999</v>
      </c>
      <c r="AS258" s="10">
        <v>3.6959539000000001</v>
      </c>
      <c r="AT258" s="10">
        <v>3.6705342000000001</v>
      </c>
      <c r="AU258" s="10">
        <v>3.6458661000000001</v>
      </c>
      <c r="AV258" s="10">
        <v>3.6219109999999999</v>
      </c>
      <c r="AW258" s="10">
        <v>3.5986307000000002</v>
      </c>
      <c r="AX258" s="10">
        <v>3.5759867000000001</v>
      </c>
      <c r="AY258" s="10">
        <v>3.5539407000000001</v>
      </c>
      <c r="AZ258" s="10">
        <v>3.5324544000000002</v>
      </c>
      <c r="BA258" s="10">
        <v>3.5114893999999999</v>
      </c>
      <c r="BB258" s="10">
        <v>3.4910071999999999</v>
      </c>
      <c r="BC258" s="10">
        <v>3.4709694999999998</v>
      </c>
      <c r="BD258" s="10">
        <v>3.4513379999999998</v>
      </c>
      <c r="BE258" s="10">
        <v>3.4320743</v>
      </c>
      <c r="BF258" s="10">
        <v>3.4131472999999999</v>
      </c>
      <c r="BG258" s="10">
        <v>3.3945647999999999</v>
      </c>
      <c r="BH258" s="10">
        <v>3.3763478999999998</v>
      </c>
      <c r="BI258" s="10">
        <v>3.3585177000000002</v>
      </c>
      <c r="BJ258" s="10">
        <v>3.3410950000000001</v>
      </c>
      <c r="BK258" s="10">
        <v>3.3241010000000002</v>
      </c>
      <c r="BL258" s="10">
        <v>3.3075567000000001</v>
      </c>
      <c r="BM258" s="10">
        <v>3.2914831000000002</v>
      </c>
      <c r="BN258" s="10">
        <v>3.2759011999999998</v>
      </c>
      <c r="BO258" s="10">
        <v>3.2608318999999999</v>
      </c>
      <c r="BP258" s="10">
        <v>3.2462965000000001</v>
      </c>
      <c r="BQ258" s="10">
        <v>3.2323157999999999</v>
      </c>
      <c r="BR258" s="10">
        <v>3.1604407999999999</v>
      </c>
      <c r="BS258" s="10">
        <v>3.1088187</v>
      </c>
      <c r="BU258" s="7">
        <v>3.66</v>
      </c>
      <c r="BV258" s="7">
        <v>3.5</v>
      </c>
      <c r="BW258" s="9">
        <v>78.813500000000005</v>
      </c>
    </row>
    <row r="259" spans="1:75" x14ac:dyDescent="0.25">
      <c r="A259" s="6">
        <f t="shared" si="23"/>
        <v>44915</v>
      </c>
      <c r="B259" s="13">
        <f t="shared" si="18"/>
        <v>12</v>
      </c>
      <c r="C259" s="13">
        <f t="shared" si="19"/>
        <v>2022</v>
      </c>
      <c r="D259">
        <f t="shared" si="20"/>
        <v>202212</v>
      </c>
      <c r="E259">
        <f t="shared" si="21"/>
        <v>4</v>
      </c>
      <c r="F259">
        <f t="shared" si="22"/>
        <v>202204</v>
      </c>
      <c r="G259" t="s">
        <v>446</v>
      </c>
      <c r="H259" s="9">
        <v>3.5</v>
      </c>
      <c r="I259" s="9">
        <v>3.4272999999999998</v>
      </c>
      <c r="J259" s="10">
        <v>3.5187287</v>
      </c>
      <c r="K259" s="10">
        <v>3.8054849000000002</v>
      </c>
      <c r="L259" s="10">
        <v>4.0618423000000003</v>
      </c>
      <c r="M259" s="10">
        <v>4.2695121</v>
      </c>
      <c r="N259" s="10">
        <v>4.4244583999999998</v>
      </c>
      <c r="O259" s="10">
        <v>4.5348934999999999</v>
      </c>
      <c r="P259" s="10">
        <v>4.6095350000000002</v>
      </c>
      <c r="Q259" s="10">
        <v>4.6576781</v>
      </c>
      <c r="R259" s="10">
        <v>4.6860777000000002</v>
      </c>
      <c r="S259" s="10">
        <v>4.6999938999999999</v>
      </c>
      <c r="T259" s="10">
        <v>4.7019130999999996</v>
      </c>
      <c r="U259" s="10">
        <v>4.6933767</v>
      </c>
      <c r="V259" s="10">
        <v>4.6747408999999998</v>
      </c>
      <c r="W259" s="10">
        <v>4.6471913000000002</v>
      </c>
      <c r="X259" s="10">
        <v>4.6122207</v>
      </c>
      <c r="Y259" s="10">
        <v>4.5713214000000004</v>
      </c>
      <c r="Z259" s="10">
        <v>4.5259860999999999</v>
      </c>
      <c r="AA259" s="10">
        <v>4.4777072999999996</v>
      </c>
      <c r="AB259" s="10">
        <v>4.4278475999999998</v>
      </c>
      <c r="AC259" s="10">
        <v>4.3772232999999998</v>
      </c>
      <c r="AD259" s="10">
        <v>4.3265072</v>
      </c>
      <c r="AE259" s="10">
        <v>4.2763723999999996</v>
      </c>
      <c r="AF259" s="10">
        <v>4.2274915999999996</v>
      </c>
      <c r="AG259" s="10">
        <v>4.1805377999999997</v>
      </c>
      <c r="AH259" s="10">
        <v>4.1360603999999999</v>
      </c>
      <c r="AI259" s="10">
        <v>4.0940649999999996</v>
      </c>
      <c r="AJ259" s="10">
        <v>4.0544066000000001</v>
      </c>
      <c r="AK259" s="10">
        <v>4.0169404999999996</v>
      </c>
      <c r="AL259" s="10">
        <v>3.9815217999999999</v>
      </c>
      <c r="AM259" s="10">
        <v>3.9480056000000001</v>
      </c>
      <c r="AN259" s="10">
        <v>3.9162473000000002</v>
      </c>
      <c r="AO259" s="10">
        <v>3.8861018999999999</v>
      </c>
      <c r="AP259" s="10">
        <v>3.8574247000000002</v>
      </c>
      <c r="AQ259" s="10">
        <v>3.8300708000000001</v>
      </c>
      <c r="AR259" s="10">
        <v>3.8038954</v>
      </c>
      <c r="AS259" s="10">
        <v>3.7787537000000002</v>
      </c>
      <c r="AT259" s="10">
        <v>3.7545126999999998</v>
      </c>
      <c r="AU259" s="10">
        <v>3.7311030999999999</v>
      </c>
      <c r="AV259" s="10">
        <v>3.7084768000000001</v>
      </c>
      <c r="AW259" s="10">
        <v>3.6865858999999999</v>
      </c>
      <c r="AX259" s="10">
        <v>3.6653825000000002</v>
      </c>
      <c r="AY259" s="10">
        <v>3.6448184000000001</v>
      </c>
      <c r="AZ259" s="10">
        <v>3.6248459</v>
      </c>
      <c r="BA259" s="10">
        <v>3.6054168999999998</v>
      </c>
      <c r="BB259" s="10">
        <v>3.5864834000000001</v>
      </c>
      <c r="BC259" s="10">
        <v>3.5679975000000002</v>
      </c>
      <c r="BD259" s="10">
        <v>3.5499111000000001</v>
      </c>
      <c r="BE259" s="10">
        <v>3.5321764</v>
      </c>
      <c r="BF259" s="10">
        <v>3.5147534999999999</v>
      </c>
      <c r="BG259" s="10">
        <v>3.4976429000000002</v>
      </c>
      <c r="BH259" s="10">
        <v>3.4808569999999999</v>
      </c>
      <c r="BI259" s="10">
        <v>3.4644084999999998</v>
      </c>
      <c r="BJ259" s="10">
        <v>3.4483098999999999</v>
      </c>
      <c r="BK259" s="10">
        <v>3.4325736999999998</v>
      </c>
      <c r="BL259" s="10">
        <v>3.4172126</v>
      </c>
      <c r="BM259" s="10">
        <v>3.4022389999999998</v>
      </c>
      <c r="BN259" s="10">
        <v>3.3876656000000001</v>
      </c>
      <c r="BO259" s="10">
        <v>3.3735048999999999</v>
      </c>
      <c r="BP259" s="10">
        <v>3.3597693999999998</v>
      </c>
      <c r="BQ259" s="10">
        <v>3.3464718000000002</v>
      </c>
      <c r="BR259" s="10">
        <v>3.2761879999999999</v>
      </c>
      <c r="BS259" s="10">
        <v>3.2224298</v>
      </c>
      <c r="BU259" s="7">
        <v>3.68</v>
      </c>
      <c r="BV259" s="7">
        <v>3.6</v>
      </c>
      <c r="BW259" s="9">
        <v>78.518900000000002</v>
      </c>
    </row>
    <row r="260" spans="1:75" x14ac:dyDescent="0.25">
      <c r="A260" s="6">
        <f t="shared" si="23"/>
        <v>44916</v>
      </c>
      <c r="B260" s="13">
        <f t="shared" si="18"/>
        <v>12</v>
      </c>
      <c r="C260" s="13">
        <f t="shared" si="19"/>
        <v>2022</v>
      </c>
      <c r="D260">
        <f t="shared" si="20"/>
        <v>202212</v>
      </c>
      <c r="E260">
        <f t="shared" si="21"/>
        <v>4</v>
      </c>
      <c r="F260">
        <f t="shared" si="22"/>
        <v>202204</v>
      </c>
      <c r="G260" t="s">
        <v>447</v>
      </c>
      <c r="H260" s="9">
        <v>3.5</v>
      </c>
      <c r="I260" s="9">
        <v>3.4275000000000002</v>
      </c>
      <c r="J260" s="10">
        <v>3.5204496999999999</v>
      </c>
      <c r="K260" s="10">
        <v>3.8118080000000001</v>
      </c>
      <c r="L260" s="10">
        <v>4.0621261000000004</v>
      </c>
      <c r="M260" s="10">
        <v>4.2581407000000002</v>
      </c>
      <c r="N260" s="10">
        <v>4.4005321000000004</v>
      </c>
      <c r="O260" s="10">
        <v>4.4990376000000003</v>
      </c>
      <c r="P260" s="10">
        <v>4.5639554999999996</v>
      </c>
      <c r="Q260" s="10">
        <v>4.6043915999999996</v>
      </c>
      <c r="R260" s="10">
        <v>4.6271167999999996</v>
      </c>
      <c r="S260" s="10">
        <v>4.6368128999999998</v>
      </c>
      <c r="T260" s="10">
        <v>4.6360083000000003</v>
      </c>
      <c r="U260" s="10">
        <v>4.6258964999999996</v>
      </c>
      <c r="V260" s="10">
        <v>4.6067361</v>
      </c>
      <c r="W260" s="10">
        <v>4.5795655000000002</v>
      </c>
      <c r="X260" s="10">
        <v>4.5456835</v>
      </c>
      <c r="Y260" s="10">
        <v>4.5063886000000002</v>
      </c>
      <c r="Z260" s="10">
        <v>4.4629792999999998</v>
      </c>
      <c r="AA260" s="10">
        <v>4.4167544999999997</v>
      </c>
      <c r="AB260" s="10">
        <v>4.3689103999999999</v>
      </c>
      <c r="AC260" s="10">
        <v>4.3202141000000003</v>
      </c>
      <c r="AD260" s="10">
        <v>4.2713197000000003</v>
      </c>
      <c r="AE260" s="10">
        <v>4.2228814999999997</v>
      </c>
      <c r="AF260" s="10">
        <v>4.1755537</v>
      </c>
      <c r="AG260" s="10">
        <v>4.1299904999999999</v>
      </c>
      <c r="AH260" s="10">
        <v>4.0867509000000002</v>
      </c>
      <c r="AI260" s="10">
        <v>4.0458809000000002</v>
      </c>
      <c r="AJ260" s="10">
        <v>4.0072546999999998</v>
      </c>
      <c r="AK260" s="10">
        <v>3.9707463000000001</v>
      </c>
      <c r="AL260" s="10">
        <v>3.9362297000000002</v>
      </c>
      <c r="AM260" s="10">
        <v>3.9035790000000001</v>
      </c>
      <c r="AN260" s="10">
        <v>3.8726682000000001</v>
      </c>
      <c r="AO260" s="10">
        <v>3.8433712</v>
      </c>
      <c r="AP260" s="10">
        <v>3.8155621000000002</v>
      </c>
      <c r="AQ260" s="10">
        <v>3.7891149999999998</v>
      </c>
      <c r="AR260" s="10">
        <v>3.7639038</v>
      </c>
      <c r="AS260" s="10">
        <v>3.7398026</v>
      </c>
      <c r="AT260" s="10">
        <v>3.7166950000000001</v>
      </c>
      <c r="AU260" s="10">
        <v>3.6945114999999999</v>
      </c>
      <c r="AV260" s="10">
        <v>3.6731969000000002</v>
      </c>
      <c r="AW260" s="10">
        <v>3.6526958999999999</v>
      </c>
      <c r="AX260" s="10">
        <v>3.6329533000000001</v>
      </c>
      <c r="AY260" s="10">
        <v>3.6139138000000002</v>
      </c>
      <c r="AZ260" s="10">
        <v>3.5955222999999998</v>
      </c>
      <c r="BA260" s="10">
        <v>3.5777234</v>
      </c>
      <c r="BB260" s="10">
        <v>3.5604619</v>
      </c>
      <c r="BC260" s="10">
        <v>3.5436827000000002</v>
      </c>
      <c r="BD260" s="10">
        <v>3.5273303999999999</v>
      </c>
      <c r="BE260" s="10">
        <v>3.5113498000000001</v>
      </c>
      <c r="BF260" s="10">
        <v>3.495695</v>
      </c>
      <c r="BG260" s="10">
        <v>3.4803609999999998</v>
      </c>
      <c r="BH260" s="10">
        <v>3.4653542000000002</v>
      </c>
      <c r="BI260" s="10">
        <v>3.4506808000000002</v>
      </c>
      <c r="BJ260" s="10">
        <v>3.4363473</v>
      </c>
      <c r="BK260" s="10">
        <v>3.4223599999999998</v>
      </c>
      <c r="BL260" s="10">
        <v>3.4087253</v>
      </c>
      <c r="BM260" s="10">
        <v>3.3954494</v>
      </c>
      <c r="BN260" s="10">
        <v>3.3825387</v>
      </c>
      <c r="BO260" s="10">
        <v>3.3699997000000002</v>
      </c>
      <c r="BP260" s="10">
        <v>3.3578385000000002</v>
      </c>
      <c r="BQ260" s="10">
        <v>3.3460616000000001</v>
      </c>
      <c r="BR260" s="10">
        <v>3.2836295</v>
      </c>
      <c r="BS260" s="10">
        <v>3.2354424000000002</v>
      </c>
      <c r="BU260" s="7">
        <v>3.66</v>
      </c>
      <c r="BV260" s="7">
        <v>3.57</v>
      </c>
      <c r="BW260" s="9">
        <v>78.405900000000003</v>
      </c>
    </row>
    <row r="261" spans="1:75" x14ac:dyDescent="0.25">
      <c r="A261" s="6">
        <f t="shared" si="23"/>
        <v>44917</v>
      </c>
      <c r="B261" s="13">
        <f t="shared" si="18"/>
        <v>12</v>
      </c>
      <c r="C261" s="13">
        <f t="shared" si="19"/>
        <v>2022</v>
      </c>
      <c r="D261">
        <f t="shared" si="20"/>
        <v>202212</v>
      </c>
      <c r="E261">
        <f t="shared" si="21"/>
        <v>4</v>
      </c>
      <c r="F261">
        <f t="shared" si="22"/>
        <v>202204</v>
      </c>
      <c r="G261" t="s">
        <v>448</v>
      </c>
      <c r="H261" s="9">
        <v>3.5</v>
      </c>
      <c r="I261" s="9">
        <v>3.4275000000000002</v>
      </c>
      <c r="J261" s="10">
        <v>3.5250963999999998</v>
      </c>
      <c r="K261" s="10">
        <v>3.8170904000000001</v>
      </c>
      <c r="L261" s="10">
        <v>4.0719037</v>
      </c>
      <c r="M261" s="10">
        <v>4.2779360999999998</v>
      </c>
      <c r="N261" s="10">
        <v>4.4314321000000003</v>
      </c>
      <c r="O261" s="10">
        <v>4.5404502000000004</v>
      </c>
      <c r="P261" s="10">
        <v>4.6137962999999997</v>
      </c>
      <c r="Q261" s="10">
        <v>4.6594448999999996</v>
      </c>
      <c r="R261" s="10">
        <v>4.684374</v>
      </c>
      <c r="S261" s="10">
        <v>4.6938098999999998</v>
      </c>
      <c r="T261" s="10">
        <v>4.6907743999999996</v>
      </c>
      <c r="U261" s="10">
        <v>4.6772540999999999</v>
      </c>
      <c r="V261" s="10">
        <v>4.6546593999999999</v>
      </c>
      <c r="W261" s="10">
        <v>4.6243347000000004</v>
      </c>
      <c r="X261" s="10">
        <v>4.5876384999999997</v>
      </c>
      <c r="Y261" s="10">
        <v>4.5459290000000001</v>
      </c>
      <c r="Z261" s="10">
        <v>4.5005645000000003</v>
      </c>
      <c r="AA261" s="10">
        <v>4.4529034999999997</v>
      </c>
      <c r="AB261" s="10">
        <v>4.4042025000000002</v>
      </c>
      <c r="AC261" s="10">
        <v>4.3551973999999998</v>
      </c>
      <c r="AD261" s="10">
        <v>4.3064578999999998</v>
      </c>
      <c r="AE261" s="10">
        <v>4.2585533</v>
      </c>
      <c r="AF261" s="10">
        <v>4.2120531000000003</v>
      </c>
      <c r="AG261" s="10">
        <v>4.1675268000000001</v>
      </c>
      <c r="AH261" s="10">
        <v>4.1254463000000001</v>
      </c>
      <c r="AI261" s="10">
        <v>4.0858074000000002</v>
      </c>
      <c r="AJ261" s="10">
        <v>4.0484609999999996</v>
      </c>
      <c r="AK261" s="10">
        <v>4.0132582000000001</v>
      </c>
      <c r="AL261" s="10">
        <v>3.9800499999999999</v>
      </c>
      <c r="AM261" s="10">
        <v>3.9486873999999998</v>
      </c>
      <c r="AN261" s="10">
        <v>3.9190212999999998</v>
      </c>
      <c r="AO261" s="10">
        <v>3.8909026999999998</v>
      </c>
      <c r="AP261" s="10">
        <v>3.8641825999999999</v>
      </c>
      <c r="AQ261" s="10">
        <v>3.8387121</v>
      </c>
      <c r="AR261" s="10">
        <v>3.8143419999999999</v>
      </c>
      <c r="AS261" s="10">
        <v>3.7909234999999999</v>
      </c>
      <c r="AT261" s="10">
        <v>3.7683228</v>
      </c>
      <c r="AU261" s="10">
        <v>3.7464746999999998</v>
      </c>
      <c r="AV261" s="10">
        <v>3.7253326000000002</v>
      </c>
      <c r="AW261" s="10">
        <v>3.70485</v>
      </c>
      <c r="AX261" s="10">
        <v>3.6849804000000002</v>
      </c>
      <c r="AY261" s="10">
        <v>3.6656772000000002</v>
      </c>
      <c r="AZ261" s="10">
        <v>3.6468938</v>
      </c>
      <c r="BA261" s="10">
        <v>3.6285837000000001</v>
      </c>
      <c r="BB261" s="10">
        <v>3.6107005000000001</v>
      </c>
      <c r="BC261" s="10">
        <v>3.5931975</v>
      </c>
      <c r="BD261" s="10">
        <v>3.5760282000000001</v>
      </c>
      <c r="BE261" s="10">
        <v>3.5591461</v>
      </c>
      <c r="BF261" s="10">
        <v>3.5425141</v>
      </c>
      <c r="BG261" s="10">
        <v>3.5261371000000001</v>
      </c>
      <c r="BH261" s="10">
        <v>3.5100315000000002</v>
      </c>
      <c r="BI261" s="10">
        <v>3.4942137999999998</v>
      </c>
      <c r="BJ261" s="10">
        <v>3.4787002</v>
      </c>
      <c r="BK261" s="10">
        <v>3.4635074000000001</v>
      </c>
      <c r="BL261" s="10">
        <v>3.4486515999999998</v>
      </c>
      <c r="BM261" s="10">
        <v>3.4341491999999998</v>
      </c>
      <c r="BN261" s="10">
        <v>3.4200168</v>
      </c>
      <c r="BO261" s="10">
        <v>3.4062706999999999</v>
      </c>
      <c r="BP261" s="10">
        <v>3.3929274</v>
      </c>
      <c r="BQ261" s="10">
        <v>3.3800032</v>
      </c>
      <c r="BR261" s="10">
        <v>3.3116829999999999</v>
      </c>
      <c r="BS261" s="10">
        <v>3.2595763999999998</v>
      </c>
      <c r="BU261" s="7">
        <v>3.62</v>
      </c>
      <c r="BV261" s="7">
        <v>3.6</v>
      </c>
      <c r="BW261" s="9">
        <v>77.971900000000005</v>
      </c>
    </row>
    <row r="262" spans="1:75" x14ac:dyDescent="0.25">
      <c r="A262" s="6">
        <f t="shared" si="23"/>
        <v>44918</v>
      </c>
      <c r="B262" s="13">
        <f t="shared" si="18"/>
        <v>12</v>
      </c>
      <c r="C262" s="13">
        <f t="shared" si="19"/>
        <v>2022</v>
      </c>
      <c r="D262">
        <f t="shared" si="20"/>
        <v>202212</v>
      </c>
      <c r="E262">
        <f t="shared" si="21"/>
        <v>4</v>
      </c>
      <c r="F262">
        <f t="shared" si="22"/>
        <v>202204</v>
      </c>
      <c r="G262" t="s">
        <v>449</v>
      </c>
      <c r="H262" s="9">
        <v>3.5</v>
      </c>
      <c r="I262" s="9">
        <v>3.4281000000000001</v>
      </c>
      <c r="J262" s="10">
        <v>3.5329633999999999</v>
      </c>
      <c r="K262" s="10">
        <v>3.8266075000000002</v>
      </c>
      <c r="L262" s="10">
        <v>4.0813594000000002</v>
      </c>
      <c r="M262" s="10">
        <v>4.2866200000000001</v>
      </c>
      <c r="N262" s="10">
        <v>4.4405146999999996</v>
      </c>
      <c r="O262" s="10">
        <v>4.5515036999999996</v>
      </c>
      <c r="P262" s="10">
        <v>4.6280372999999999</v>
      </c>
      <c r="Q262" s="10">
        <v>4.6771741000000002</v>
      </c>
      <c r="R262" s="10">
        <v>4.7055129000000004</v>
      </c>
      <c r="S262" s="10">
        <v>4.7175364999999996</v>
      </c>
      <c r="T262" s="10">
        <v>4.7161058999999996</v>
      </c>
      <c r="U262" s="10">
        <v>4.7029443000000004</v>
      </c>
      <c r="V262" s="10">
        <v>4.6786491000000003</v>
      </c>
      <c r="W262" s="10">
        <v>4.6447865999999998</v>
      </c>
      <c r="X262" s="10">
        <v>4.6033970000000002</v>
      </c>
      <c r="Y262" s="10">
        <v>4.5565211999999997</v>
      </c>
      <c r="Z262" s="10">
        <v>4.5061999999999998</v>
      </c>
      <c r="AA262" s="10">
        <v>4.4544743999999996</v>
      </c>
      <c r="AB262" s="10">
        <v>4.4031457999999999</v>
      </c>
      <c r="AC262" s="10">
        <v>4.3529045999999996</v>
      </c>
      <c r="AD262" s="10">
        <v>4.3041197999999996</v>
      </c>
      <c r="AE262" s="10">
        <v>4.2571599000000004</v>
      </c>
      <c r="AF262" s="10">
        <v>4.2123938000000001</v>
      </c>
      <c r="AG262" s="10">
        <v>4.1701901000000001</v>
      </c>
      <c r="AH262" s="10">
        <v>4.1308302000000001</v>
      </c>
      <c r="AI262" s="10">
        <v>4.0942091999999999</v>
      </c>
      <c r="AJ262" s="10">
        <v>4.0601159999999998</v>
      </c>
      <c r="AK262" s="10">
        <v>4.0283394000000001</v>
      </c>
      <c r="AL262" s="10">
        <v>3.9986681000000002</v>
      </c>
      <c r="AM262" s="10">
        <v>3.9708909999999999</v>
      </c>
      <c r="AN262" s="10">
        <v>3.9447968000000002</v>
      </c>
      <c r="AO262" s="10">
        <v>3.9201742999999998</v>
      </c>
      <c r="AP262" s="10">
        <v>3.8968123000000001</v>
      </c>
      <c r="AQ262" s="10">
        <v>3.8744995000000002</v>
      </c>
      <c r="AR262" s="10">
        <v>3.8530248999999999</v>
      </c>
      <c r="AS262" s="10">
        <v>3.8321770000000002</v>
      </c>
      <c r="AT262" s="10">
        <v>3.8117732000000002</v>
      </c>
      <c r="AU262" s="10">
        <v>3.7917562999999999</v>
      </c>
      <c r="AV262" s="10">
        <v>3.7721037000000002</v>
      </c>
      <c r="AW262" s="10">
        <v>3.7527929000000002</v>
      </c>
      <c r="AX262" s="10">
        <v>3.7338013000000001</v>
      </c>
      <c r="AY262" s="10">
        <v>3.7151063999999998</v>
      </c>
      <c r="AZ262" s="10">
        <v>3.6966855999999999</v>
      </c>
      <c r="BA262" s="10">
        <v>3.6785163999999999</v>
      </c>
      <c r="BB262" s="10">
        <v>3.6605761999999999</v>
      </c>
      <c r="BC262" s="10">
        <v>3.6428425</v>
      </c>
      <c r="BD262" s="10">
        <v>3.6252928</v>
      </c>
      <c r="BE262" s="10">
        <v>3.6079043999999998</v>
      </c>
      <c r="BF262" s="10">
        <v>3.5906619000000002</v>
      </c>
      <c r="BG262" s="10">
        <v>3.5735814000000001</v>
      </c>
      <c r="BH262" s="10">
        <v>3.5566873000000001</v>
      </c>
      <c r="BI262" s="10">
        <v>3.5400043000000001</v>
      </c>
      <c r="BJ262" s="10">
        <v>3.5235569999999998</v>
      </c>
      <c r="BK262" s="10">
        <v>3.5073699999999999</v>
      </c>
      <c r="BL262" s="10">
        <v>3.4914678000000001</v>
      </c>
      <c r="BM262" s="10">
        <v>3.4758751999999999</v>
      </c>
      <c r="BN262" s="10">
        <v>3.4606165999999998</v>
      </c>
      <c r="BO262" s="10">
        <v>3.4457168</v>
      </c>
      <c r="BP262" s="10">
        <v>3.4312002000000001</v>
      </c>
      <c r="BQ262" s="10">
        <v>3.4170915000000002</v>
      </c>
      <c r="BR262" s="10">
        <v>3.3418350000000001</v>
      </c>
      <c r="BS262" s="10">
        <v>3.2841396</v>
      </c>
      <c r="BU262" s="7">
        <v>3.64</v>
      </c>
      <c r="BV262" s="7">
        <v>3.63</v>
      </c>
      <c r="BW262" s="9">
        <v>78.191599999999994</v>
      </c>
    </row>
    <row r="263" spans="1:75" x14ac:dyDescent="0.25">
      <c r="A263" s="6">
        <f t="shared" si="23"/>
        <v>44921</v>
      </c>
      <c r="B263" s="13">
        <f t="shared" si="18"/>
        <v>12</v>
      </c>
      <c r="C263" s="13">
        <f t="shared" si="19"/>
        <v>2022</v>
      </c>
      <c r="D263">
        <f t="shared" si="20"/>
        <v>202212</v>
      </c>
      <c r="E263">
        <f t="shared" si="21"/>
        <v>4</v>
      </c>
      <c r="F263">
        <f t="shared" si="22"/>
        <v>202204</v>
      </c>
      <c r="G263" t="s">
        <v>450</v>
      </c>
      <c r="H263" s="9">
        <v>3.5</v>
      </c>
      <c r="I263" s="9" t="e">
        <v>#N/A</v>
      </c>
      <c r="J263" s="10" t="e">
        <v>#N/A</v>
      </c>
      <c r="K263" s="10" t="e">
        <v>#N/A</v>
      </c>
      <c r="L263" s="10" t="e">
        <v>#N/A</v>
      </c>
      <c r="M263" s="10" t="e">
        <v>#N/A</v>
      </c>
      <c r="N263" s="10" t="e">
        <v>#N/A</v>
      </c>
      <c r="O263" s="10" t="e">
        <v>#N/A</v>
      </c>
      <c r="P263" s="10" t="e">
        <v>#N/A</v>
      </c>
      <c r="Q263" s="10" t="e">
        <v>#N/A</v>
      </c>
      <c r="R263" s="10" t="e">
        <v>#N/A</v>
      </c>
      <c r="S263" s="10" t="e">
        <v>#N/A</v>
      </c>
      <c r="T263" s="10" t="e">
        <v>#N/A</v>
      </c>
      <c r="U263" s="10" t="e">
        <v>#N/A</v>
      </c>
      <c r="V263" s="10" t="e">
        <v>#N/A</v>
      </c>
      <c r="W263" s="10" t="e">
        <v>#N/A</v>
      </c>
      <c r="X263" s="10" t="e">
        <v>#N/A</v>
      </c>
      <c r="Y263" s="10" t="e">
        <v>#N/A</v>
      </c>
      <c r="Z263" s="10" t="e">
        <v>#N/A</v>
      </c>
      <c r="AA263" s="10" t="e">
        <v>#N/A</v>
      </c>
      <c r="AB263" s="10" t="e">
        <v>#N/A</v>
      </c>
      <c r="AC263" s="10" t="e">
        <v>#N/A</v>
      </c>
      <c r="AD263" s="10" t="e">
        <v>#N/A</v>
      </c>
      <c r="AE263" s="10" t="e">
        <v>#N/A</v>
      </c>
      <c r="AF263" s="10" t="e">
        <v>#N/A</v>
      </c>
      <c r="AG263" s="10" t="e">
        <v>#N/A</v>
      </c>
      <c r="AH263" s="10" t="e">
        <v>#N/A</v>
      </c>
      <c r="AI263" s="10" t="e">
        <v>#N/A</v>
      </c>
      <c r="AJ263" s="10" t="e">
        <v>#N/A</v>
      </c>
      <c r="AK263" s="10" t="e">
        <v>#N/A</v>
      </c>
      <c r="AL263" s="10" t="e">
        <v>#N/A</v>
      </c>
      <c r="AM263" s="10" t="e">
        <v>#N/A</v>
      </c>
      <c r="AN263" s="10" t="e">
        <v>#N/A</v>
      </c>
      <c r="AO263" s="10" t="e">
        <v>#N/A</v>
      </c>
      <c r="AP263" s="10" t="e">
        <v>#N/A</v>
      </c>
      <c r="AQ263" s="10" t="e">
        <v>#N/A</v>
      </c>
      <c r="AR263" s="10" t="e">
        <v>#N/A</v>
      </c>
      <c r="AS263" s="10" t="e">
        <v>#N/A</v>
      </c>
      <c r="AT263" s="10" t="e">
        <v>#N/A</v>
      </c>
      <c r="AU263" s="10" t="e">
        <v>#N/A</v>
      </c>
      <c r="AV263" s="10" t="e">
        <v>#N/A</v>
      </c>
      <c r="AW263" s="10" t="e">
        <v>#N/A</v>
      </c>
      <c r="AX263" s="10" t="e">
        <v>#N/A</v>
      </c>
      <c r="AY263" s="10" t="e">
        <v>#N/A</v>
      </c>
      <c r="AZ263" s="10" t="e">
        <v>#N/A</v>
      </c>
      <c r="BA263" s="10" t="e">
        <v>#N/A</v>
      </c>
      <c r="BB263" s="10" t="e">
        <v>#N/A</v>
      </c>
      <c r="BC263" s="10" t="e">
        <v>#N/A</v>
      </c>
      <c r="BD263" s="10" t="e">
        <v>#N/A</v>
      </c>
      <c r="BE263" s="10" t="e">
        <v>#N/A</v>
      </c>
      <c r="BF263" s="10" t="e">
        <v>#N/A</v>
      </c>
      <c r="BG263" s="10" t="e">
        <v>#N/A</v>
      </c>
      <c r="BH263" s="10" t="e">
        <v>#N/A</v>
      </c>
      <c r="BI263" s="10" t="e">
        <v>#N/A</v>
      </c>
      <c r="BJ263" s="10" t="e">
        <v>#N/A</v>
      </c>
      <c r="BK263" s="10" t="e">
        <v>#N/A</v>
      </c>
      <c r="BL263" s="10" t="e">
        <v>#N/A</v>
      </c>
      <c r="BM263" s="10" t="e">
        <v>#N/A</v>
      </c>
      <c r="BN263" s="10" t="e">
        <v>#N/A</v>
      </c>
      <c r="BO263" s="10" t="e">
        <v>#N/A</v>
      </c>
      <c r="BP263" s="10" t="e">
        <v>#N/A</v>
      </c>
      <c r="BQ263" s="10" t="e">
        <v>#N/A</v>
      </c>
      <c r="BR263" s="10" t="e">
        <v>#N/A</v>
      </c>
      <c r="BS263" s="10" t="e">
        <v>#N/A</v>
      </c>
      <c r="BU263" s="7">
        <v>3.65</v>
      </c>
      <c r="BV263" s="7">
        <v>3.64</v>
      </c>
      <c r="BW263" s="9" t="e">
        <v>#N/A</v>
      </c>
    </row>
    <row r="264" spans="1:75" x14ac:dyDescent="0.25">
      <c r="A264" s="6">
        <f t="shared" si="23"/>
        <v>44922</v>
      </c>
      <c r="B264" s="13">
        <f t="shared" si="18"/>
        <v>12</v>
      </c>
      <c r="C264" s="13">
        <f t="shared" si="19"/>
        <v>2022</v>
      </c>
      <c r="D264">
        <f t="shared" si="20"/>
        <v>202212</v>
      </c>
      <c r="E264">
        <f t="shared" si="21"/>
        <v>4</v>
      </c>
      <c r="F264">
        <f t="shared" si="22"/>
        <v>202204</v>
      </c>
      <c r="G264" t="s">
        <v>451</v>
      </c>
      <c r="H264" s="9">
        <v>3.5</v>
      </c>
      <c r="I264" s="9" t="e">
        <v>#N/A</v>
      </c>
      <c r="J264" s="10" t="e">
        <v>#N/A</v>
      </c>
      <c r="K264" s="10" t="e">
        <v>#N/A</v>
      </c>
      <c r="L264" s="10" t="e">
        <v>#N/A</v>
      </c>
      <c r="M264" s="10" t="e">
        <v>#N/A</v>
      </c>
      <c r="N264" s="10" t="e">
        <v>#N/A</v>
      </c>
      <c r="O264" s="10" t="e">
        <v>#N/A</v>
      </c>
      <c r="P264" s="10" t="e">
        <v>#N/A</v>
      </c>
      <c r="Q264" s="10" t="e">
        <v>#N/A</v>
      </c>
      <c r="R264" s="10" t="e">
        <v>#N/A</v>
      </c>
      <c r="S264" s="10" t="e">
        <v>#N/A</v>
      </c>
      <c r="T264" s="10" t="e">
        <v>#N/A</v>
      </c>
      <c r="U264" s="10" t="e">
        <v>#N/A</v>
      </c>
      <c r="V264" s="10" t="e">
        <v>#N/A</v>
      </c>
      <c r="W264" s="10" t="e">
        <v>#N/A</v>
      </c>
      <c r="X264" s="10" t="e">
        <v>#N/A</v>
      </c>
      <c r="Y264" s="10" t="e">
        <v>#N/A</v>
      </c>
      <c r="Z264" s="10" t="e">
        <v>#N/A</v>
      </c>
      <c r="AA264" s="10" t="e">
        <v>#N/A</v>
      </c>
      <c r="AB264" s="10" t="e">
        <v>#N/A</v>
      </c>
      <c r="AC264" s="10" t="e">
        <v>#N/A</v>
      </c>
      <c r="AD264" s="10" t="e">
        <v>#N/A</v>
      </c>
      <c r="AE264" s="10" t="e">
        <v>#N/A</v>
      </c>
      <c r="AF264" s="10" t="e">
        <v>#N/A</v>
      </c>
      <c r="AG264" s="10" t="e">
        <v>#N/A</v>
      </c>
      <c r="AH264" s="10" t="e">
        <v>#N/A</v>
      </c>
      <c r="AI264" s="10" t="e">
        <v>#N/A</v>
      </c>
      <c r="AJ264" s="10" t="e">
        <v>#N/A</v>
      </c>
      <c r="AK264" s="10" t="e">
        <v>#N/A</v>
      </c>
      <c r="AL264" s="10" t="e">
        <v>#N/A</v>
      </c>
      <c r="AM264" s="10" t="e">
        <v>#N/A</v>
      </c>
      <c r="AN264" s="10" t="e">
        <v>#N/A</v>
      </c>
      <c r="AO264" s="10" t="e">
        <v>#N/A</v>
      </c>
      <c r="AP264" s="10" t="e">
        <v>#N/A</v>
      </c>
      <c r="AQ264" s="10" t="e">
        <v>#N/A</v>
      </c>
      <c r="AR264" s="10" t="e">
        <v>#N/A</v>
      </c>
      <c r="AS264" s="10" t="e">
        <v>#N/A</v>
      </c>
      <c r="AT264" s="10" t="e">
        <v>#N/A</v>
      </c>
      <c r="AU264" s="10" t="e">
        <v>#N/A</v>
      </c>
      <c r="AV264" s="10" t="e">
        <v>#N/A</v>
      </c>
      <c r="AW264" s="10" t="e">
        <v>#N/A</v>
      </c>
      <c r="AX264" s="10" t="e">
        <v>#N/A</v>
      </c>
      <c r="AY264" s="10" t="e">
        <v>#N/A</v>
      </c>
      <c r="AZ264" s="10" t="e">
        <v>#N/A</v>
      </c>
      <c r="BA264" s="10" t="e">
        <v>#N/A</v>
      </c>
      <c r="BB264" s="10" t="e">
        <v>#N/A</v>
      </c>
      <c r="BC264" s="10" t="e">
        <v>#N/A</v>
      </c>
      <c r="BD264" s="10" t="e">
        <v>#N/A</v>
      </c>
      <c r="BE264" s="10" t="e">
        <v>#N/A</v>
      </c>
      <c r="BF264" s="10" t="e">
        <v>#N/A</v>
      </c>
      <c r="BG264" s="10" t="e">
        <v>#N/A</v>
      </c>
      <c r="BH264" s="10" t="e">
        <v>#N/A</v>
      </c>
      <c r="BI264" s="10" t="e">
        <v>#N/A</v>
      </c>
      <c r="BJ264" s="10" t="e">
        <v>#N/A</v>
      </c>
      <c r="BK264" s="10" t="e">
        <v>#N/A</v>
      </c>
      <c r="BL264" s="10" t="e">
        <v>#N/A</v>
      </c>
      <c r="BM264" s="10" t="e">
        <v>#N/A</v>
      </c>
      <c r="BN264" s="10" t="e">
        <v>#N/A</v>
      </c>
      <c r="BO264" s="10" t="e">
        <v>#N/A</v>
      </c>
      <c r="BP264" s="10" t="e">
        <v>#N/A</v>
      </c>
      <c r="BQ264" s="10" t="e">
        <v>#N/A</v>
      </c>
      <c r="BR264" s="10" t="e">
        <v>#N/A</v>
      </c>
      <c r="BS264" s="10" t="e">
        <v>#N/A</v>
      </c>
      <c r="BU264" s="7" t="e">
        <v>#N/A</v>
      </c>
      <c r="BV264" s="7">
        <v>3.64</v>
      </c>
      <c r="BW264" s="9" t="e">
        <v>#N/A</v>
      </c>
    </row>
    <row r="265" spans="1:75" x14ac:dyDescent="0.25">
      <c r="A265" s="6">
        <f t="shared" si="23"/>
        <v>44923</v>
      </c>
      <c r="B265" s="13">
        <f t="shared" ref="B265:B328" si="24">MONTH(A265)</f>
        <v>12</v>
      </c>
      <c r="C265" s="13">
        <f t="shared" ref="C265:C328" si="25">YEAR(A265)</f>
        <v>2022</v>
      </c>
      <c r="D265">
        <f t="shared" ref="D265:D328" si="26">C265*100+B265</f>
        <v>202212</v>
      </c>
      <c r="E265">
        <f t="shared" ref="E265:E328" si="27">IF(B265&lt;4,1,IF(B265&lt;7,2,IF(B265&lt;10,3,4)))</f>
        <v>4</v>
      </c>
      <c r="F265">
        <f t="shared" ref="F265:F328" si="28">C265*100+E265</f>
        <v>202204</v>
      </c>
      <c r="G265" t="s">
        <v>452</v>
      </c>
      <c r="H265" s="9">
        <v>3.5</v>
      </c>
      <c r="I265" s="9">
        <v>3.4281999999999999</v>
      </c>
      <c r="J265" s="10">
        <v>3.5618539</v>
      </c>
      <c r="K265" s="10">
        <v>3.8797720999999998</v>
      </c>
      <c r="L265" s="10">
        <v>4.1245721</v>
      </c>
      <c r="M265" s="10">
        <v>4.3081377999999999</v>
      </c>
      <c r="N265" s="10">
        <v>4.4449227999999996</v>
      </c>
      <c r="O265" s="10">
        <v>4.5456095999999997</v>
      </c>
      <c r="P265" s="10">
        <v>4.6155847999999997</v>
      </c>
      <c r="Q265" s="10">
        <v>4.6601892999999999</v>
      </c>
      <c r="R265" s="10">
        <v>4.6843520999999999</v>
      </c>
      <c r="S265" s="10">
        <v>4.6929936999999997</v>
      </c>
      <c r="T265" s="10">
        <v>4.6893279000000003</v>
      </c>
      <c r="U265" s="10">
        <v>4.6753843000000002</v>
      </c>
      <c r="V265" s="10">
        <v>4.6527577999999998</v>
      </c>
      <c r="W265" s="10">
        <v>4.6228398999999998</v>
      </c>
      <c r="X265" s="10">
        <v>4.5869838999999999</v>
      </c>
      <c r="Y265" s="10">
        <v>4.5465429000000004</v>
      </c>
      <c r="Z265" s="10">
        <v>4.5028699000000003</v>
      </c>
      <c r="AA265" s="10">
        <v>4.4573181000000002</v>
      </c>
      <c r="AB265" s="10">
        <v>4.4110908000000002</v>
      </c>
      <c r="AC265" s="10">
        <v>4.3647615000000002</v>
      </c>
      <c r="AD265" s="10">
        <v>4.3187382000000003</v>
      </c>
      <c r="AE265" s="10">
        <v>4.2734291999999998</v>
      </c>
      <c r="AF265" s="10">
        <v>4.2292424999999998</v>
      </c>
      <c r="AG265" s="10">
        <v>4.1865863000000001</v>
      </c>
      <c r="AH265" s="10">
        <v>4.1458069000000002</v>
      </c>
      <c r="AI265" s="10">
        <v>4.1069186000000002</v>
      </c>
      <c r="AJ265" s="10">
        <v>4.0698242999999996</v>
      </c>
      <c r="AK265" s="10">
        <v>4.0344267</v>
      </c>
      <c r="AL265" s="10">
        <v>4.0006288000000003</v>
      </c>
      <c r="AM265" s="10">
        <v>3.9683331000000002</v>
      </c>
      <c r="AN265" s="10">
        <v>3.9374427000000001</v>
      </c>
      <c r="AO265" s="10">
        <v>3.9078601000000002</v>
      </c>
      <c r="AP265" s="10">
        <v>3.8794882999999998</v>
      </c>
      <c r="AQ265" s="10">
        <v>3.85223</v>
      </c>
      <c r="AR265" s="10">
        <v>3.8259881</v>
      </c>
      <c r="AS265" s="10">
        <v>3.8006652000000001</v>
      </c>
      <c r="AT265" s="10">
        <v>3.7761732000000001</v>
      </c>
      <c r="AU265" s="10">
        <v>3.7524674999999998</v>
      </c>
      <c r="AV265" s="10">
        <v>3.7295167999999999</v>
      </c>
      <c r="AW265" s="10">
        <v>3.7072897999999999</v>
      </c>
      <c r="AX265" s="10">
        <v>3.6857552999999998</v>
      </c>
      <c r="AY265" s="10">
        <v>3.6648817999999999</v>
      </c>
      <c r="AZ265" s="10">
        <v>3.6446383</v>
      </c>
      <c r="BA265" s="10">
        <v>3.6249932999999999</v>
      </c>
      <c r="BB265" s="10">
        <v>3.6059155999999999</v>
      </c>
      <c r="BC265" s="10">
        <v>3.5873738999999998</v>
      </c>
      <c r="BD265" s="10">
        <v>3.569337</v>
      </c>
      <c r="BE265" s="10">
        <v>3.5517734000000001</v>
      </c>
      <c r="BF265" s="10">
        <v>3.5346571999999998</v>
      </c>
      <c r="BG265" s="10">
        <v>3.5179876000000001</v>
      </c>
      <c r="BH265" s="10">
        <v>3.5017714999999998</v>
      </c>
      <c r="BI265" s="10">
        <v>3.4860158000000001</v>
      </c>
      <c r="BJ265" s="10">
        <v>3.4707275000000002</v>
      </c>
      <c r="BK265" s="10">
        <v>3.4559134999999999</v>
      </c>
      <c r="BL265" s="10">
        <v>3.4415806</v>
      </c>
      <c r="BM265" s="10">
        <v>3.4277359999999999</v>
      </c>
      <c r="BN265" s="10">
        <v>3.4143864000000002</v>
      </c>
      <c r="BO265" s="10">
        <v>3.4015388</v>
      </c>
      <c r="BP265" s="10">
        <v>3.3892001999999999</v>
      </c>
      <c r="BQ265" s="10">
        <v>3.3773773999999999</v>
      </c>
      <c r="BR265" s="10">
        <v>3.3173178000000001</v>
      </c>
      <c r="BS265" s="10">
        <v>3.2754631999999999</v>
      </c>
      <c r="BU265" s="7">
        <v>3.58</v>
      </c>
      <c r="BV265" s="7">
        <v>3.65</v>
      </c>
      <c r="BW265" s="9">
        <v>77.964600000000004</v>
      </c>
    </row>
    <row r="266" spans="1:75" x14ac:dyDescent="0.25">
      <c r="A266" s="6">
        <f t="shared" si="23"/>
        <v>44924</v>
      </c>
      <c r="B266" s="13">
        <f t="shared" si="24"/>
        <v>12</v>
      </c>
      <c r="C266" s="13">
        <f t="shared" si="25"/>
        <v>2022</v>
      </c>
      <c r="D266">
        <f t="shared" si="26"/>
        <v>202212</v>
      </c>
      <c r="E266">
        <f t="shared" si="27"/>
        <v>4</v>
      </c>
      <c r="F266">
        <f t="shared" si="28"/>
        <v>202204</v>
      </c>
      <c r="G266" t="s">
        <v>453</v>
      </c>
      <c r="H266" s="9">
        <v>3.5</v>
      </c>
      <c r="I266" s="9">
        <v>3.4281000000000001</v>
      </c>
      <c r="J266" s="10">
        <v>3.5648100999999999</v>
      </c>
      <c r="K266" s="10">
        <v>3.8714132000000001</v>
      </c>
      <c r="L266" s="10">
        <v>4.1086679000000004</v>
      </c>
      <c r="M266" s="10">
        <v>4.2941127999999997</v>
      </c>
      <c r="N266" s="10">
        <v>4.4365513999999999</v>
      </c>
      <c r="O266" s="10">
        <v>4.5414006000000002</v>
      </c>
      <c r="P266" s="10">
        <v>4.6135618000000003</v>
      </c>
      <c r="Q266" s="10">
        <v>4.6589758999999997</v>
      </c>
      <c r="R266" s="10">
        <v>4.6835955</v>
      </c>
      <c r="S266" s="10">
        <v>4.6925575000000004</v>
      </c>
      <c r="T266" s="10">
        <v>4.6890421</v>
      </c>
      <c r="U266" s="10">
        <v>4.6750948000000001</v>
      </c>
      <c r="V266" s="10">
        <v>4.6520387999999997</v>
      </c>
      <c r="W266" s="10">
        <v>4.6212464000000004</v>
      </c>
      <c r="X266" s="10">
        <v>4.5841428999999998</v>
      </c>
      <c r="Y266" s="10">
        <v>4.542154</v>
      </c>
      <c r="Z266" s="10">
        <v>4.4967049000000001</v>
      </c>
      <c r="AA266" s="10">
        <v>4.4492212000000002</v>
      </c>
      <c r="AB266" s="10">
        <v>4.4010142999999999</v>
      </c>
      <c r="AC266" s="10">
        <v>4.3528105999999998</v>
      </c>
      <c r="AD266" s="10">
        <v>4.3051500999999996</v>
      </c>
      <c r="AE266" s="10">
        <v>4.2585724000000003</v>
      </c>
      <c r="AF266" s="10">
        <v>4.2136173000000001</v>
      </c>
      <c r="AG266" s="10">
        <v>4.1708246000000004</v>
      </c>
      <c r="AH266" s="10">
        <v>4.1306380000000003</v>
      </c>
      <c r="AI266" s="10">
        <v>4.0930337000000003</v>
      </c>
      <c r="AJ266" s="10">
        <v>4.0578459000000002</v>
      </c>
      <c r="AK266" s="10">
        <v>4.0249085999999998</v>
      </c>
      <c r="AL266" s="10">
        <v>3.9940555999999998</v>
      </c>
      <c r="AM266" s="10">
        <v>3.9651209000000001</v>
      </c>
      <c r="AN266" s="10">
        <v>3.9379387000000001</v>
      </c>
      <c r="AO266" s="10">
        <v>3.9123427999999998</v>
      </c>
      <c r="AP266" s="10">
        <v>3.8881671999999998</v>
      </c>
      <c r="AQ266" s="10">
        <v>3.8652459000000001</v>
      </c>
      <c r="AR266" s="10">
        <v>3.843413</v>
      </c>
      <c r="AS266" s="10">
        <v>3.8225023</v>
      </c>
      <c r="AT266" s="10">
        <v>3.8023655000000001</v>
      </c>
      <c r="AU266" s="10">
        <v>3.7829321999999999</v>
      </c>
      <c r="AV266" s="10">
        <v>3.7641532999999998</v>
      </c>
      <c r="AW266" s="10">
        <v>3.7459799</v>
      </c>
      <c r="AX266" s="10">
        <v>3.7283629999999999</v>
      </c>
      <c r="AY266" s="10">
        <v>3.7112536</v>
      </c>
      <c r="AZ266" s="10">
        <v>3.6946026999999999</v>
      </c>
      <c r="BA266" s="10">
        <v>3.6783614</v>
      </c>
      <c r="BB266" s="10">
        <v>3.6624807000000001</v>
      </c>
      <c r="BC266" s="10">
        <v>3.6469116000000001</v>
      </c>
      <c r="BD266" s="10">
        <v>3.6316050999999998</v>
      </c>
      <c r="BE266" s="10">
        <v>3.6165123000000001</v>
      </c>
      <c r="BF266" s="10">
        <v>3.601594</v>
      </c>
      <c r="BG266" s="10">
        <v>3.5868552999999999</v>
      </c>
      <c r="BH266" s="10">
        <v>3.5723132</v>
      </c>
      <c r="BI266" s="10">
        <v>3.5579847</v>
      </c>
      <c r="BJ266" s="10">
        <v>3.5438868000000001</v>
      </c>
      <c r="BK266" s="10">
        <v>3.5300367000000001</v>
      </c>
      <c r="BL266" s="10">
        <v>3.5164512999999999</v>
      </c>
      <c r="BM266" s="10">
        <v>3.5031476000000001</v>
      </c>
      <c r="BN266" s="10">
        <v>3.4901428000000001</v>
      </c>
      <c r="BO266" s="10">
        <v>3.4774539</v>
      </c>
      <c r="BP266" s="10">
        <v>3.4650979</v>
      </c>
      <c r="BQ266" s="10">
        <v>3.4530918000000002</v>
      </c>
      <c r="BR266" s="10">
        <v>3.3890196000000001</v>
      </c>
      <c r="BS266" s="10">
        <v>3.3397823</v>
      </c>
      <c r="BU266" s="7">
        <v>3.62</v>
      </c>
      <c r="BV266" s="7">
        <v>3.66</v>
      </c>
      <c r="BW266" s="9">
        <v>77.865399999999994</v>
      </c>
    </row>
    <row r="267" spans="1:75" x14ac:dyDescent="0.25">
      <c r="A267" s="6">
        <f t="shared" si="23"/>
        <v>44925</v>
      </c>
      <c r="B267" s="13">
        <f t="shared" si="24"/>
        <v>12</v>
      </c>
      <c r="C267" s="13">
        <f t="shared" si="25"/>
        <v>2022</v>
      </c>
      <c r="D267">
        <f t="shared" si="26"/>
        <v>202212</v>
      </c>
      <c r="E267">
        <f t="shared" si="27"/>
        <v>4</v>
      </c>
      <c r="F267">
        <f t="shared" si="28"/>
        <v>202204</v>
      </c>
      <c r="G267" t="s">
        <v>454</v>
      </c>
      <c r="H267" s="9">
        <v>3.5</v>
      </c>
      <c r="I267" s="9">
        <v>3.4281999999999999</v>
      </c>
      <c r="J267" s="10">
        <v>3.5709396</v>
      </c>
      <c r="K267" s="10">
        <v>3.8827834999999999</v>
      </c>
      <c r="L267" s="10">
        <v>4.1223061000000003</v>
      </c>
      <c r="M267" s="10">
        <v>4.3071463000000003</v>
      </c>
      <c r="N267" s="10">
        <v>4.448836</v>
      </c>
      <c r="O267" s="10">
        <v>4.5529419000000004</v>
      </c>
      <c r="P267" s="10">
        <v>4.6252915000000003</v>
      </c>
      <c r="Q267" s="10">
        <v>4.6715308999999996</v>
      </c>
      <c r="R267" s="10">
        <v>4.6974675000000001</v>
      </c>
      <c r="S267" s="10">
        <v>4.7073206000000001</v>
      </c>
      <c r="T267" s="10">
        <v>4.7041162999999999</v>
      </c>
      <c r="U267" s="10">
        <v>4.6900463999999999</v>
      </c>
      <c r="V267" s="10">
        <v>4.6659392000000004</v>
      </c>
      <c r="W267" s="10">
        <v>4.6332725999999997</v>
      </c>
      <c r="X267" s="10">
        <v>4.5938730999999997</v>
      </c>
      <c r="Y267" s="10">
        <v>4.5495676999999999</v>
      </c>
      <c r="Z267" s="10">
        <v>4.5021830999999999</v>
      </c>
      <c r="AA267" s="10">
        <v>4.4535461999999999</v>
      </c>
      <c r="AB267" s="10">
        <v>4.4052707</v>
      </c>
      <c r="AC267" s="10">
        <v>4.3579825999999997</v>
      </c>
      <c r="AD267" s="10">
        <v>4.3120218000000001</v>
      </c>
      <c r="AE267" s="10">
        <v>4.2677278000000003</v>
      </c>
      <c r="AF267" s="10">
        <v>4.2254404000000001</v>
      </c>
      <c r="AG267" s="10">
        <v>4.1854991999999998</v>
      </c>
      <c r="AH267" s="10">
        <v>4.1481636000000002</v>
      </c>
      <c r="AI267" s="10">
        <v>4.1133378</v>
      </c>
      <c r="AJ267" s="10">
        <v>4.0808280000000003</v>
      </c>
      <c r="AK267" s="10">
        <v>4.0504405999999999</v>
      </c>
      <c r="AL267" s="10">
        <v>4.0219817999999998</v>
      </c>
      <c r="AM267" s="10">
        <v>3.9952578999999999</v>
      </c>
      <c r="AN267" s="10">
        <v>3.9700752000000001</v>
      </c>
      <c r="AO267" s="10">
        <v>3.9462397999999999</v>
      </c>
      <c r="AP267" s="10">
        <v>3.9235582999999998</v>
      </c>
      <c r="AQ267" s="10">
        <v>3.9018367</v>
      </c>
      <c r="AR267" s="10">
        <v>3.8808813999999998</v>
      </c>
      <c r="AS267" s="10">
        <v>3.8604986000000001</v>
      </c>
      <c r="AT267" s="10">
        <v>3.8405211000000001</v>
      </c>
      <c r="AU267" s="10">
        <v>3.8208977000000002</v>
      </c>
      <c r="AV267" s="10">
        <v>3.8016095000000001</v>
      </c>
      <c r="AW267" s="10">
        <v>3.7826377999999998</v>
      </c>
      <c r="AX267" s="10">
        <v>3.7639634000000002</v>
      </c>
      <c r="AY267" s="10">
        <v>3.7455676000000002</v>
      </c>
      <c r="AZ267" s="10">
        <v>3.7274314999999998</v>
      </c>
      <c r="BA267" s="10">
        <v>3.7095359999999999</v>
      </c>
      <c r="BB267" s="10">
        <v>3.6918624000000002</v>
      </c>
      <c r="BC267" s="10">
        <v>3.6743915999999999</v>
      </c>
      <c r="BD267" s="10">
        <v>3.6571047999999999</v>
      </c>
      <c r="BE267" s="10">
        <v>3.6399830999999998</v>
      </c>
      <c r="BF267" s="10">
        <v>3.6230140999999998</v>
      </c>
      <c r="BG267" s="10">
        <v>3.606214</v>
      </c>
      <c r="BH267" s="10">
        <v>3.5896070999999998</v>
      </c>
      <c r="BI267" s="10">
        <v>3.5732173999999999</v>
      </c>
      <c r="BJ267" s="10">
        <v>3.5570691999999999</v>
      </c>
      <c r="BK267" s="10">
        <v>3.5411866999999999</v>
      </c>
      <c r="BL267" s="10">
        <v>3.5255939999999999</v>
      </c>
      <c r="BM267" s="10">
        <v>3.5103154000000001</v>
      </c>
      <c r="BN267" s="10">
        <v>3.4953750000000001</v>
      </c>
      <c r="BO267" s="10">
        <v>3.4807969999999999</v>
      </c>
      <c r="BP267" s="10">
        <v>3.4666055999999998</v>
      </c>
      <c r="BQ267" s="10">
        <v>3.4528249999999998</v>
      </c>
      <c r="BR267" s="10">
        <v>3.3795798000000001</v>
      </c>
      <c r="BS267" s="10">
        <v>3.3239291</v>
      </c>
      <c r="BU267" s="7">
        <v>3.71</v>
      </c>
      <c r="BV267" s="7">
        <v>3.67</v>
      </c>
      <c r="BW267" s="9">
        <v>77.647499999999994</v>
      </c>
    </row>
    <row r="268" spans="1:75" x14ac:dyDescent="0.25">
      <c r="A268" s="6">
        <f t="shared" si="23"/>
        <v>44928</v>
      </c>
      <c r="B268" s="13">
        <f t="shared" si="24"/>
        <v>1</v>
      </c>
      <c r="C268" s="13">
        <f t="shared" si="25"/>
        <v>2023</v>
      </c>
      <c r="D268">
        <f t="shared" si="26"/>
        <v>202301</v>
      </c>
      <c r="E268">
        <f t="shared" si="27"/>
        <v>1</v>
      </c>
      <c r="F268">
        <f t="shared" si="28"/>
        <v>202301</v>
      </c>
      <c r="G268" t="s">
        <v>455</v>
      </c>
      <c r="H268" s="9">
        <v>3.5</v>
      </c>
      <c r="I268" s="9" t="e">
        <v>#N/A</v>
      </c>
      <c r="J268" s="10" t="e">
        <v>#N/A</v>
      </c>
      <c r="K268" s="10" t="e">
        <v>#N/A</v>
      </c>
      <c r="L268" s="10" t="e">
        <v>#N/A</v>
      </c>
      <c r="M268" s="10" t="e">
        <v>#N/A</v>
      </c>
      <c r="N268" s="10" t="e">
        <v>#N/A</v>
      </c>
      <c r="O268" s="10" t="e">
        <v>#N/A</v>
      </c>
      <c r="P268" s="10" t="e">
        <v>#N/A</v>
      </c>
      <c r="Q268" s="10" t="e">
        <v>#N/A</v>
      </c>
      <c r="R268" s="10" t="e">
        <v>#N/A</v>
      </c>
      <c r="S268" s="10" t="e">
        <v>#N/A</v>
      </c>
      <c r="T268" s="10" t="e">
        <v>#N/A</v>
      </c>
      <c r="U268" s="10" t="e">
        <v>#N/A</v>
      </c>
      <c r="V268" s="10" t="e">
        <v>#N/A</v>
      </c>
      <c r="W268" s="10" t="e">
        <v>#N/A</v>
      </c>
      <c r="X268" s="10" t="e">
        <v>#N/A</v>
      </c>
      <c r="Y268" s="10" t="e">
        <v>#N/A</v>
      </c>
      <c r="Z268" s="10" t="e">
        <v>#N/A</v>
      </c>
      <c r="AA268" s="10" t="e">
        <v>#N/A</v>
      </c>
      <c r="AB268" s="10" t="e">
        <v>#N/A</v>
      </c>
      <c r="AC268" s="10" t="e">
        <v>#N/A</v>
      </c>
      <c r="AD268" s="10" t="e">
        <v>#N/A</v>
      </c>
      <c r="AE268" s="10" t="e">
        <v>#N/A</v>
      </c>
      <c r="AF268" s="10" t="e">
        <v>#N/A</v>
      </c>
      <c r="AG268" s="10" t="e">
        <v>#N/A</v>
      </c>
      <c r="AH268" s="10" t="e">
        <v>#N/A</v>
      </c>
      <c r="AI268" s="10" t="e">
        <v>#N/A</v>
      </c>
      <c r="AJ268" s="10" t="e">
        <v>#N/A</v>
      </c>
      <c r="AK268" s="10" t="e">
        <v>#N/A</v>
      </c>
      <c r="AL268" s="10" t="e">
        <v>#N/A</v>
      </c>
      <c r="AM268" s="10" t="e">
        <v>#N/A</v>
      </c>
      <c r="AN268" s="10" t="e">
        <v>#N/A</v>
      </c>
      <c r="AO268" s="10" t="e">
        <v>#N/A</v>
      </c>
      <c r="AP268" s="10" t="e">
        <v>#N/A</v>
      </c>
      <c r="AQ268" s="10" t="e">
        <v>#N/A</v>
      </c>
      <c r="AR268" s="10" t="e">
        <v>#N/A</v>
      </c>
      <c r="AS268" s="10" t="e">
        <v>#N/A</v>
      </c>
      <c r="AT268" s="10" t="e">
        <v>#N/A</v>
      </c>
      <c r="AU268" s="10" t="e">
        <v>#N/A</v>
      </c>
      <c r="AV268" s="10" t="e">
        <v>#N/A</v>
      </c>
      <c r="AW268" s="10" t="e">
        <v>#N/A</v>
      </c>
      <c r="AX268" s="10" t="e">
        <v>#N/A</v>
      </c>
      <c r="AY268" s="10" t="e">
        <v>#N/A</v>
      </c>
      <c r="AZ268" s="10" t="e">
        <v>#N/A</v>
      </c>
      <c r="BA268" s="10" t="e">
        <v>#N/A</v>
      </c>
      <c r="BB268" s="10" t="e">
        <v>#N/A</v>
      </c>
      <c r="BC268" s="10" t="e">
        <v>#N/A</v>
      </c>
      <c r="BD268" s="10" t="e">
        <v>#N/A</v>
      </c>
      <c r="BE268" s="10" t="e">
        <v>#N/A</v>
      </c>
      <c r="BF268" s="10" t="e">
        <v>#N/A</v>
      </c>
      <c r="BG268" s="10" t="e">
        <v>#N/A</v>
      </c>
      <c r="BH268" s="10" t="e">
        <v>#N/A</v>
      </c>
      <c r="BI268" s="10" t="e">
        <v>#N/A</v>
      </c>
      <c r="BJ268" s="10" t="e">
        <v>#N/A</v>
      </c>
      <c r="BK268" s="10" t="e">
        <v>#N/A</v>
      </c>
      <c r="BL268" s="10" t="e">
        <v>#N/A</v>
      </c>
      <c r="BM268" s="10" t="e">
        <v>#N/A</v>
      </c>
      <c r="BN268" s="10" t="e">
        <v>#N/A</v>
      </c>
      <c r="BO268" s="10" t="e">
        <v>#N/A</v>
      </c>
      <c r="BP268" s="10" t="e">
        <v>#N/A</v>
      </c>
      <c r="BQ268" s="10" t="e">
        <v>#N/A</v>
      </c>
      <c r="BR268" s="10" t="e">
        <v>#N/A</v>
      </c>
      <c r="BS268" s="10" t="e">
        <v>#N/A</v>
      </c>
      <c r="BU268" s="7" t="e">
        <v>#N/A</v>
      </c>
      <c r="BV268" s="7">
        <v>3.67</v>
      </c>
      <c r="BW268" s="9" t="e">
        <v>#N/A</v>
      </c>
    </row>
    <row r="269" spans="1:75" x14ac:dyDescent="0.25">
      <c r="A269" s="6">
        <f t="shared" si="23"/>
        <v>44929</v>
      </c>
      <c r="B269" s="13">
        <f t="shared" si="24"/>
        <v>1</v>
      </c>
      <c r="C269" s="13">
        <f t="shared" si="25"/>
        <v>2023</v>
      </c>
      <c r="D269">
        <f t="shared" si="26"/>
        <v>202301</v>
      </c>
      <c r="E269">
        <f t="shared" si="27"/>
        <v>1</v>
      </c>
      <c r="F269">
        <f t="shared" si="28"/>
        <v>202301</v>
      </c>
      <c r="G269" t="s">
        <v>456</v>
      </c>
      <c r="H269" s="9">
        <v>3.5</v>
      </c>
      <c r="I269" s="9">
        <v>3.4268999999999998</v>
      </c>
      <c r="J269" s="10">
        <v>3.6168282</v>
      </c>
      <c r="K269" s="10">
        <v>3.9229500000000002</v>
      </c>
      <c r="L269" s="10">
        <v>4.1394662999999996</v>
      </c>
      <c r="M269" s="10">
        <v>4.2950515999999999</v>
      </c>
      <c r="N269" s="10">
        <v>4.4110022999999998</v>
      </c>
      <c r="O269" s="10">
        <v>4.4978045</v>
      </c>
      <c r="P269" s="10">
        <v>4.5596759999999996</v>
      </c>
      <c r="Q269" s="10">
        <v>4.6002707999999997</v>
      </c>
      <c r="R269" s="10">
        <v>4.6225158000000004</v>
      </c>
      <c r="S269" s="10">
        <v>4.6295726000000004</v>
      </c>
      <c r="T269" s="10">
        <v>4.6235093000000003</v>
      </c>
      <c r="U269" s="10">
        <v>4.6062333000000004</v>
      </c>
      <c r="V269" s="10">
        <v>4.5793863000000004</v>
      </c>
      <c r="W269" s="10">
        <v>4.5446369999999998</v>
      </c>
      <c r="X269" s="10">
        <v>4.5036841000000001</v>
      </c>
      <c r="Y269" s="10">
        <v>4.4582259999999998</v>
      </c>
      <c r="Z269" s="10">
        <v>4.4099614000000003</v>
      </c>
      <c r="AA269" s="10">
        <v>4.3605888999999998</v>
      </c>
      <c r="AB269" s="10">
        <v>4.3115654000000001</v>
      </c>
      <c r="AC269" s="10">
        <v>4.2634274000000003</v>
      </c>
      <c r="AD269" s="10">
        <v>4.2164925000000002</v>
      </c>
      <c r="AE269" s="10">
        <v>4.1710782000000002</v>
      </c>
      <c r="AF269" s="10">
        <v>4.1275021000000001</v>
      </c>
      <c r="AG269" s="10">
        <v>4.0860817000000003</v>
      </c>
      <c r="AH269" s="10">
        <v>4.0470636999999998</v>
      </c>
      <c r="AI269" s="10">
        <v>4.0103814</v>
      </c>
      <c r="AJ269" s="10">
        <v>3.9758817999999998</v>
      </c>
      <c r="AK269" s="10">
        <v>3.9434121000000002</v>
      </c>
      <c r="AL269" s="10">
        <v>3.9128189999999998</v>
      </c>
      <c r="AM269" s="10">
        <v>3.8839497000000001</v>
      </c>
      <c r="AN269" s="10">
        <v>3.8566511000000001</v>
      </c>
      <c r="AO269" s="10">
        <v>3.8307703000000002</v>
      </c>
      <c r="AP269" s="10">
        <v>3.8061541999999999</v>
      </c>
      <c r="AQ269" s="10">
        <v>3.7826499</v>
      </c>
      <c r="AR269" s="10">
        <v>3.7601043000000001</v>
      </c>
      <c r="AS269" s="10">
        <v>3.7383644</v>
      </c>
      <c r="AT269" s="10">
        <v>3.7172926999999998</v>
      </c>
      <c r="AU269" s="10">
        <v>3.6968350000000001</v>
      </c>
      <c r="AV269" s="10">
        <v>3.676965</v>
      </c>
      <c r="AW269" s="10">
        <v>3.6576563000000002</v>
      </c>
      <c r="AX269" s="10">
        <v>3.6388826999999999</v>
      </c>
      <c r="AY269" s="10">
        <v>3.6206179000000001</v>
      </c>
      <c r="AZ269" s="10">
        <v>3.6028357</v>
      </c>
      <c r="BA269" s="10">
        <v>3.5855096</v>
      </c>
      <c r="BB269" s="10">
        <v>3.5686135000000001</v>
      </c>
      <c r="BC269" s="10">
        <v>3.5521210000000001</v>
      </c>
      <c r="BD269" s="10">
        <v>3.5360057999999999</v>
      </c>
      <c r="BE269" s="10">
        <v>3.5202418</v>
      </c>
      <c r="BF269" s="10">
        <v>3.5048080000000001</v>
      </c>
      <c r="BG269" s="10">
        <v>3.4897106</v>
      </c>
      <c r="BH269" s="10">
        <v>3.4749639000000001</v>
      </c>
      <c r="BI269" s="10">
        <v>3.4605820999999999</v>
      </c>
      <c r="BJ269" s="10">
        <v>3.4465794999999999</v>
      </c>
      <c r="BK269" s="10">
        <v>3.4329703</v>
      </c>
      <c r="BL269" s="10">
        <v>3.4197687999999999</v>
      </c>
      <c r="BM269" s="10">
        <v>3.4069894000000001</v>
      </c>
      <c r="BN269" s="10">
        <v>3.3946461999999999</v>
      </c>
      <c r="BO269" s="10">
        <v>3.3827535000000002</v>
      </c>
      <c r="BP269" s="10">
        <v>3.3713256</v>
      </c>
      <c r="BQ269" s="10">
        <v>3.3603768000000001</v>
      </c>
      <c r="BR269" s="10">
        <v>3.3049914999999999</v>
      </c>
      <c r="BS269" s="10">
        <v>3.2670637</v>
      </c>
      <c r="BU269" s="7">
        <v>3.57</v>
      </c>
      <c r="BV269" s="7">
        <v>3.65</v>
      </c>
      <c r="BW269" s="9">
        <v>77.888199999999998</v>
      </c>
    </row>
    <row r="270" spans="1:75" x14ac:dyDescent="0.25">
      <c r="A270" s="6">
        <f t="shared" ref="A270:A333" si="29">+A265+7</f>
        <v>44930</v>
      </c>
      <c r="B270" s="13">
        <f t="shared" si="24"/>
        <v>1</v>
      </c>
      <c r="C270" s="13">
        <f t="shared" si="25"/>
        <v>2023</v>
      </c>
      <c r="D270">
        <f t="shared" si="26"/>
        <v>202301</v>
      </c>
      <c r="E270">
        <f t="shared" si="27"/>
        <v>1</v>
      </c>
      <c r="F270">
        <f t="shared" si="28"/>
        <v>202301</v>
      </c>
      <c r="G270" t="s">
        <v>457</v>
      </c>
      <c r="H270" s="9">
        <v>3.5</v>
      </c>
      <c r="I270" s="9">
        <v>3.4266999999999999</v>
      </c>
      <c r="J270" s="10">
        <v>3.6282033</v>
      </c>
      <c r="K270" s="10">
        <v>3.9034064000000002</v>
      </c>
      <c r="L270" s="10">
        <v>4.1027031999999997</v>
      </c>
      <c r="M270" s="10">
        <v>4.2461710999999998</v>
      </c>
      <c r="N270" s="10">
        <v>4.3509669000000004</v>
      </c>
      <c r="O270" s="10">
        <v>4.4263193000000003</v>
      </c>
      <c r="P270" s="10">
        <v>4.4776911000000004</v>
      </c>
      <c r="Q270" s="10">
        <v>4.5092049000000003</v>
      </c>
      <c r="R270" s="10">
        <v>4.5239986999999999</v>
      </c>
      <c r="S270" s="10">
        <v>4.5245332999999999</v>
      </c>
      <c r="T270" s="10">
        <v>4.5127445000000002</v>
      </c>
      <c r="U270" s="10">
        <v>4.4897159000000002</v>
      </c>
      <c r="V270" s="10">
        <v>4.4567896999999999</v>
      </c>
      <c r="W270" s="10">
        <v>4.4156671999999997</v>
      </c>
      <c r="X270" s="10">
        <v>4.3681117</v>
      </c>
      <c r="Y270" s="10">
        <v>4.3158862999999998</v>
      </c>
      <c r="Z270" s="10">
        <v>4.2607543999999997</v>
      </c>
      <c r="AA270" s="10">
        <v>4.2044791000000004</v>
      </c>
      <c r="AB270" s="10">
        <v>4.1485972999999996</v>
      </c>
      <c r="AC270" s="10">
        <v>4.0937843999999997</v>
      </c>
      <c r="AD270" s="10">
        <v>4.0405104999999999</v>
      </c>
      <c r="AE270" s="10">
        <v>3.9892458999999998</v>
      </c>
      <c r="AF270" s="10">
        <v>3.9404607999999999</v>
      </c>
      <c r="AG270" s="10">
        <v>3.8946255000000001</v>
      </c>
      <c r="AH270" s="10">
        <v>3.8521245</v>
      </c>
      <c r="AI270" s="10">
        <v>3.8128804999999999</v>
      </c>
      <c r="AJ270" s="10">
        <v>3.7766614999999999</v>
      </c>
      <c r="AK270" s="10">
        <v>3.7432352999999998</v>
      </c>
      <c r="AL270" s="10">
        <v>3.7123697</v>
      </c>
      <c r="AM270" s="10">
        <v>3.6838327</v>
      </c>
      <c r="AN270" s="10">
        <v>3.6573921</v>
      </c>
      <c r="AO270" s="10">
        <v>3.6328157000000001</v>
      </c>
      <c r="AP270" s="10">
        <v>3.6098713999999998</v>
      </c>
      <c r="AQ270" s="10">
        <v>3.588327</v>
      </c>
      <c r="AR270" s="10">
        <v>3.5679504</v>
      </c>
      <c r="AS270" s="10">
        <v>3.5485093999999999</v>
      </c>
      <c r="AT270" s="10">
        <v>3.529798</v>
      </c>
      <c r="AU270" s="10">
        <v>3.5117373999999999</v>
      </c>
      <c r="AV270" s="10">
        <v>3.4942877999999999</v>
      </c>
      <c r="AW270" s="10">
        <v>3.4774090000000002</v>
      </c>
      <c r="AX270" s="10">
        <v>3.4610612000000001</v>
      </c>
      <c r="AY270" s="10">
        <v>3.4452042999999999</v>
      </c>
      <c r="AZ270" s="10">
        <v>3.4297984000000001</v>
      </c>
      <c r="BA270" s="10">
        <v>3.4148035000000001</v>
      </c>
      <c r="BB270" s="10">
        <v>3.4001796999999998</v>
      </c>
      <c r="BC270" s="10">
        <v>3.3858869</v>
      </c>
      <c r="BD270" s="10">
        <v>3.3718851000000001</v>
      </c>
      <c r="BE270" s="10">
        <v>3.3581344999999998</v>
      </c>
      <c r="BF270" s="10">
        <v>3.3446042</v>
      </c>
      <c r="BG270" s="10">
        <v>3.3313047</v>
      </c>
      <c r="BH270" s="10">
        <v>3.3182575999999999</v>
      </c>
      <c r="BI270" s="10">
        <v>3.3054844999999999</v>
      </c>
      <c r="BJ270" s="10">
        <v>3.2930071000000001</v>
      </c>
      <c r="BK270" s="10">
        <v>3.2808470999999999</v>
      </c>
      <c r="BL270" s="10">
        <v>3.2690260000000002</v>
      </c>
      <c r="BM270" s="10">
        <v>3.2575656</v>
      </c>
      <c r="BN270" s="10">
        <v>3.2464873999999999</v>
      </c>
      <c r="BO270" s="10">
        <v>3.2358131999999999</v>
      </c>
      <c r="BP270" s="10">
        <v>3.2255644999999999</v>
      </c>
      <c r="BQ270" s="10">
        <v>3.2157631000000002</v>
      </c>
      <c r="BR270" s="10">
        <v>3.1667545000000001</v>
      </c>
      <c r="BS270" s="10">
        <v>3.1344240999999999</v>
      </c>
      <c r="BU270" s="7">
        <v>3.44</v>
      </c>
      <c r="BV270" s="7">
        <v>3.5</v>
      </c>
      <c r="BW270" s="9">
        <v>77.8947</v>
      </c>
    </row>
    <row r="271" spans="1:75" x14ac:dyDescent="0.25">
      <c r="A271" s="6">
        <f t="shared" si="29"/>
        <v>44931</v>
      </c>
      <c r="B271" s="13">
        <f t="shared" si="24"/>
        <v>1</v>
      </c>
      <c r="C271" s="13">
        <f t="shared" si="25"/>
        <v>2023</v>
      </c>
      <c r="D271">
        <f t="shared" si="26"/>
        <v>202301</v>
      </c>
      <c r="E271">
        <f t="shared" si="27"/>
        <v>1</v>
      </c>
      <c r="F271">
        <f t="shared" si="28"/>
        <v>202301</v>
      </c>
      <c r="G271" t="s">
        <v>458</v>
      </c>
      <c r="H271" s="9">
        <v>3.5</v>
      </c>
      <c r="I271" s="9">
        <v>3.4270999999999998</v>
      </c>
      <c r="J271" s="10">
        <v>3.6553631000000002</v>
      </c>
      <c r="K271" s="10">
        <v>3.9488002999999998</v>
      </c>
      <c r="L271" s="10">
        <v>4.1630092999999997</v>
      </c>
      <c r="M271" s="10">
        <v>4.3218091000000003</v>
      </c>
      <c r="N271" s="10">
        <v>4.4413935000000002</v>
      </c>
      <c r="O271" s="10">
        <v>4.5281985999999996</v>
      </c>
      <c r="P271" s="10">
        <v>4.5869397000000003</v>
      </c>
      <c r="Q271" s="10">
        <v>4.6221614000000004</v>
      </c>
      <c r="R271" s="10">
        <v>4.6386437000000003</v>
      </c>
      <c r="S271" s="10">
        <v>4.6403138999999998</v>
      </c>
      <c r="T271" s="10">
        <v>4.6299600999999999</v>
      </c>
      <c r="U271" s="10">
        <v>4.6093365999999998</v>
      </c>
      <c r="V271" s="10">
        <v>4.5795763999999997</v>
      </c>
      <c r="W271" s="10">
        <v>4.5420346</v>
      </c>
      <c r="X271" s="10">
        <v>4.4981524000000004</v>
      </c>
      <c r="Y271" s="10">
        <v>4.4493706</v>
      </c>
      <c r="Z271" s="10">
        <v>4.3971302000000003</v>
      </c>
      <c r="AA271" s="10">
        <v>4.3428722000000004</v>
      </c>
      <c r="AB271" s="10">
        <v>4.2878902999999999</v>
      </c>
      <c r="AC271" s="10">
        <v>4.2329178000000001</v>
      </c>
      <c r="AD271" s="10">
        <v>4.1785547000000003</v>
      </c>
      <c r="AE271" s="10">
        <v>4.1254008000000004</v>
      </c>
      <c r="AF271" s="10">
        <v>4.0740559000000003</v>
      </c>
      <c r="AG271" s="10">
        <v>4.0251200999999996</v>
      </c>
      <c r="AH271" s="10">
        <v>3.9790884000000002</v>
      </c>
      <c r="AI271" s="10">
        <v>3.9359454</v>
      </c>
      <c r="AJ271" s="10">
        <v>3.8955206000000002</v>
      </c>
      <c r="AK271" s="10">
        <v>3.8576431000000002</v>
      </c>
      <c r="AL271" s="10">
        <v>3.8221422</v>
      </c>
      <c r="AM271" s="10">
        <v>3.7888472000000002</v>
      </c>
      <c r="AN271" s="10">
        <v>3.7575873999999998</v>
      </c>
      <c r="AO271" s="10">
        <v>3.728192</v>
      </c>
      <c r="AP271" s="10">
        <v>3.7004904000000001</v>
      </c>
      <c r="AQ271" s="10">
        <v>3.6743117000000001</v>
      </c>
      <c r="AR271" s="10">
        <v>3.6494852</v>
      </c>
      <c r="AS271" s="10">
        <v>3.6258403000000001</v>
      </c>
      <c r="AT271" s="10">
        <v>3.6032232</v>
      </c>
      <c r="AU271" s="10">
        <v>3.5815554999999999</v>
      </c>
      <c r="AV271" s="10">
        <v>3.5607795000000002</v>
      </c>
      <c r="AW271" s="10">
        <v>3.5408376000000001</v>
      </c>
      <c r="AX271" s="10">
        <v>3.5216720000000001</v>
      </c>
      <c r="AY271" s="10">
        <v>3.5032250999999999</v>
      </c>
      <c r="AZ271" s="10">
        <v>3.4854392000000001</v>
      </c>
      <c r="BA271" s="10">
        <v>3.4682567</v>
      </c>
      <c r="BB271" s="10">
        <v>3.4516197000000002</v>
      </c>
      <c r="BC271" s="10">
        <v>3.4354708</v>
      </c>
      <c r="BD271" s="10">
        <v>3.4197521000000002</v>
      </c>
      <c r="BE271" s="10">
        <v>3.4044061000000001</v>
      </c>
      <c r="BF271" s="10">
        <v>3.3893856000000002</v>
      </c>
      <c r="BG271" s="10">
        <v>3.3746911000000002</v>
      </c>
      <c r="BH271" s="10">
        <v>3.3603358000000001</v>
      </c>
      <c r="BI271" s="10">
        <v>3.346333</v>
      </c>
      <c r="BJ271" s="10">
        <v>3.3326961000000002</v>
      </c>
      <c r="BK271" s="10">
        <v>3.3194382</v>
      </c>
      <c r="BL271" s="10">
        <v>3.3065728000000001</v>
      </c>
      <c r="BM271" s="10">
        <v>3.2941132</v>
      </c>
      <c r="BN271" s="10">
        <v>3.2820724999999999</v>
      </c>
      <c r="BO271" s="10">
        <v>3.2704642000000002</v>
      </c>
      <c r="BP271" s="10">
        <v>3.2593016000000001</v>
      </c>
      <c r="BQ271" s="10">
        <v>3.2485979999999999</v>
      </c>
      <c r="BR271" s="10">
        <v>3.1944015000000001</v>
      </c>
      <c r="BS271" s="10">
        <v>3.1579104</v>
      </c>
      <c r="BU271" s="7">
        <v>3.5</v>
      </c>
      <c r="BV271" s="7">
        <v>3.55</v>
      </c>
      <c r="BW271" s="9">
        <v>77.2256</v>
      </c>
    </row>
    <row r="272" spans="1:75" x14ac:dyDescent="0.25">
      <c r="A272" s="6">
        <f t="shared" si="29"/>
        <v>44932</v>
      </c>
      <c r="B272" s="13">
        <f t="shared" si="24"/>
        <v>1</v>
      </c>
      <c r="C272" s="13">
        <f t="shared" si="25"/>
        <v>2023</v>
      </c>
      <c r="D272">
        <f t="shared" si="26"/>
        <v>202301</v>
      </c>
      <c r="E272">
        <f t="shared" si="27"/>
        <v>1</v>
      </c>
      <c r="F272">
        <f t="shared" si="28"/>
        <v>202301</v>
      </c>
      <c r="G272" t="s">
        <v>459</v>
      </c>
      <c r="H272" s="9">
        <v>3.5</v>
      </c>
      <c r="I272" s="9">
        <v>3.4272</v>
      </c>
      <c r="J272" s="10">
        <v>3.6587691000000002</v>
      </c>
      <c r="K272" s="10">
        <v>3.9402484000000002</v>
      </c>
      <c r="L272" s="10">
        <v>4.1435332000000002</v>
      </c>
      <c r="M272" s="10">
        <v>4.2909404000000002</v>
      </c>
      <c r="N272" s="10">
        <v>4.3973908000000002</v>
      </c>
      <c r="O272" s="10">
        <v>4.4711645999999998</v>
      </c>
      <c r="P272" s="10">
        <v>4.5183413999999997</v>
      </c>
      <c r="Q272" s="10">
        <v>4.5444357000000002</v>
      </c>
      <c r="R272" s="10">
        <v>4.5542255999999997</v>
      </c>
      <c r="S272" s="10">
        <v>4.5512033000000001</v>
      </c>
      <c r="T272" s="10">
        <v>4.5372773000000004</v>
      </c>
      <c r="U272" s="10">
        <v>4.5135822000000001</v>
      </c>
      <c r="V272" s="10">
        <v>4.4799574</v>
      </c>
      <c r="W272" s="10">
        <v>4.4377272999999997</v>
      </c>
      <c r="X272" s="10">
        <v>4.3887890000000001</v>
      </c>
      <c r="Y272" s="10">
        <v>4.3350396</v>
      </c>
      <c r="Z272" s="10">
        <v>4.2783761</v>
      </c>
      <c r="AA272" s="10">
        <v>4.2206956</v>
      </c>
      <c r="AB272" s="10">
        <v>4.1636801999999999</v>
      </c>
      <c r="AC272" s="10">
        <v>4.1080142999999998</v>
      </c>
      <c r="AD272" s="10">
        <v>4.0540931000000002</v>
      </c>
      <c r="AE272" s="10">
        <v>4.0023118999999996</v>
      </c>
      <c r="AF272" s="10">
        <v>3.9530661</v>
      </c>
      <c r="AG272" s="10">
        <v>3.9067508000000002</v>
      </c>
      <c r="AH272" s="10">
        <v>3.8636693000000002</v>
      </c>
      <c r="AI272" s="10">
        <v>3.8237182000000001</v>
      </c>
      <c r="AJ272" s="10">
        <v>3.7866821000000002</v>
      </c>
      <c r="AK272" s="10">
        <v>3.7523455000000001</v>
      </c>
      <c r="AL272" s="10">
        <v>3.7204929999999998</v>
      </c>
      <c r="AM272" s="10">
        <v>3.6909089000000002</v>
      </c>
      <c r="AN272" s="10">
        <v>3.6633778000000001</v>
      </c>
      <c r="AO272" s="10">
        <v>3.6376843999999999</v>
      </c>
      <c r="AP272" s="10">
        <v>3.613613</v>
      </c>
      <c r="AQ272" s="10">
        <v>3.5909480999999999</v>
      </c>
      <c r="AR272" s="10">
        <v>3.5694743999999998</v>
      </c>
      <c r="AS272" s="10">
        <v>3.5489763000000001</v>
      </c>
      <c r="AT272" s="10">
        <v>3.5292653</v>
      </c>
      <c r="AU272" s="10">
        <v>3.5102720999999999</v>
      </c>
      <c r="AV272" s="10">
        <v>3.4919598999999999</v>
      </c>
      <c r="AW272" s="10">
        <v>3.4742923999999999</v>
      </c>
      <c r="AX272" s="10">
        <v>3.457233</v>
      </c>
      <c r="AY272" s="10">
        <v>3.4407450000000002</v>
      </c>
      <c r="AZ272" s="10">
        <v>3.4247920999999999</v>
      </c>
      <c r="BA272" s="10">
        <v>3.4093374999999999</v>
      </c>
      <c r="BB272" s="10">
        <v>3.3943447999999998</v>
      </c>
      <c r="BC272" s="10">
        <v>3.3797774999999999</v>
      </c>
      <c r="BD272" s="10">
        <v>3.3655989000000002</v>
      </c>
      <c r="BE272" s="10">
        <v>3.3517725</v>
      </c>
      <c r="BF272" s="10">
        <v>3.3382689999999999</v>
      </c>
      <c r="BG272" s="10">
        <v>3.3250905999999998</v>
      </c>
      <c r="BH272" s="10">
        <v>3.3122484000000001</v>
      </c>
      <c r="BI272" s="10">
        <v>3.2997532000000001</v>
      </c>
      <c r="BJ272" s="10">
        <v>3.2876162</v>
      </c>
      <c r="BK272" s="10">
        <v>3.2758484000000001</v>
      </c>
      <c r="BL272" s="10">
        <v>3.2644606999999999</v>
      </c>
      <c r="BM272" s="10">
        <v>3.2534641</v>
      </c>
      <c r="BN272" s="10">
        <v>3.2428697</v>
      </c>
      <c r="BO272" s="10">
        <v>3.2326885000000001</v>
      </c>
      <c r="BP272" s="10">
        <v>3.2229315000000001</v>
      </c>
      <c r="BQ272" s="10">
        <v>3.2136095999999998</v>
      </c>
      <c r="BR272" s="10">
        <v>3.1670351999999999</v>
      </c>
      <c r="BS272" s="10">
        <v>3.1364836</v>
      </c>
      <c r="BU272" s="7">
        <v>3.41</v>
      </c>
      <c r="BV272" s="7">
        <v>3.47</v>
      </c>
      <c r="BW272" s="9">
        <v>77.905600000000007</v>
      </c>
    </row>
    <row r="273" spans="1:75" x14ac:dyDescent="0.25">
      <c r="A273" s="6">
        <f t="shared" si="29"/>
        <v>44935</v>
      </c>
      <c r="B273" s="13">
        <f t="shared" si="24"/>
        <v>1</v>
      </c>
      <c r="C273" s="13">
        <f t="shared" si="25"/>
        <v>2023</v>
      </c>
      <c r="D273">
        <f t="shared" si="26"/>
        <v>202301</v>
      </c>
      <c r="E273">
        <f t="shared" si="27"/>
        <v>1</v>
      </c>
      <c r="F273">
        <f t="shared" si="28"/>
        <v>202301</v>
      </c>
      <c r="G273" t="s">
        <v>460</v>
      </c>
      <c r="H273" s="9">
        <v>3.5</v>
      </c>
      <c r="I273" s="9">
        <v>3.4272999999999998</v>
      </c>
      <c r="J273" s="10">
        <v>3.7162381</v>
      </c>
      <c r="K273" s="10">
        <v>3.9735887999999999</v>
      </c>
      <c r="L273" s="10">
        <v>4.1585134000000004</v>
      </c>
      <c r="M273" s="10">
        <v>4.2894544000000003</v>
      </c>
      <c r="N273" s="10">
        <v>4.3814377999999996</v>
      </c>
      <c r="O273" s="10">
        <v>4.4407211000000002</v>
      </c>
      <c r="P273" s="10">
        <v>4.4733298000000001</v>
      </c>
      <c r="Q273" s="10">
        <v>4.4851020999999998</v>
      </c>
      <c r="R273" s="10">
        <v>4.4808906999999998</v>
      </c>
      <c r="S273" s="10">
        <v>4.4650208999999998</v>
      </c>
      <c r="T273" s="10">
        <v>4.4399421999999999</v>
      </c>
      <c r="U273" s="10">
        <v>4.4073146000000003</v>
      </c>
      <c r="V273" s="10">
        <v>4.3678933000000004</v>
      </c>
      <c r="W273" s="10">
        <v>4.3228201000000004</v>
      </c>
      <c r="X273" s="10">
        <v>4.2734091999999997</v>
      </c>
      <c r="Y273" s="10">
        <v>4.2209745999999999</v>
      </c>
      <c r="Z273" s="10">
        <v>4.1668301000000003</v>
      </c>
      <c r="AA273" s="10">
        <v>4.1122899000000004</v>
      </c>
      <c r="AB273" s="10">
        <v>4.0585068</v>
      </c>
      <c r="AC273" s="10">
        <v>4.0060194999999998</v>
      </c>
      <c r="AD273" s="10">
        <v>3.9552209</v>
      </c>
      <c r="AE273" s="10">
        <v>3.9065037999999999</v>
      </c>
      <c r="AF273" s="10">
        <v>3.8602609999999999</v>
      </c>
      <c r="AG273" s="10">
        <v>3.8168853</v>
      </c>
      <c r="AH273" s="10">
        <v>3.7766804</v>
      </c>
      <c r="AI273" s="10">
        <v>3.7395573</v>
      </c>
      <c r="AJ273" s="10">
        <v>3.7053181999999998</v>
      </c>
      <c r="AK273" s="10">
        <v>3.6737657000000001</v>
      </c>
      <c r="AL273" s="10">
        <v>3.6447020000000001</v>
      </c>
      <c r="AM273" s="10">
        <v>3.6179296000000001</v>
      </c>
      <c r="AN273" s="10">
        <v>3.5932509000000001</v>
      </c>
      <c r="AO273" s="10">
        <v>3.5704684000000002</v>
      </c>
      <c r="AP273" s="10">
        <v>3.5493842999999998</v>
      </c>
      <c r="AQ273" s="10">
        <v>3.5298010999999998</v>
      </c>
      <c r="AR273" s="10">
        <v>3.5115211999999998</v>
      </c>
      <c r="AS273" s="10">
        <v>3.4943471000000002</v>
      </c>
      <c r="AT273" s="10">
        <v>3.4781034000000002</v>
      </c>
      <c r="AU273" s="10">
        <v>3.4627138</v>
      </c>
      <c r="AV273" s="10">
        <v>3.4481291999999999</v>
      </c>
      <c r="AW273" s="10">
        <v>3.4343005</v>
      </c>
      <c r="AX273" s="10">
        <v>3.4211784999999999</v>
      </c>
      <c r="AY273" s="10">
        <v>3.4087141999999999</v>
      </c>
      <c r="AZ273" s="10">
        <v>3.3968585</v>
      </c>
      <c r="BA273" s="10">
        <v>3.3855621999999999</v>
      </c>
      <c r="BB273" s="10">
        <v>3.3747761999999999</v>
      </c>
      <c r="BC273" s="10">
        <v>3.3644514000000001</v>
      </c>
      <c r="BD273" s="10">
        <v>3.3545387</v>
      </c>
      <c r="BE273" s="10">
        <v>3.344989</v>
      </c>
      <c r="BF273" s="10">
        <v>3.3357600999999999</v>
      </c>
      <c r="BG273" s="10">
        <v>3.3268472</v>
      </c>
      <c r="BH273" s="10">
        <v>3.3182578</v>
      </c>
      <c r="BI273" s="10">
        <v>3.3099997000000001</v>
      </c>
      <c r="BJ273" s="10">
        <v>3.3020806</v>
      </c>
      <c r="BK273" s="10">
        <v>3.294508</v>
      </c>
      <c r="BL273" s="10">
        <v>3.2872897000000001</v>
      </c>
      <c r="BM273" s="10">
        <v>3.2804332999999999</v>
      </c>
      <c r="BN273" s="10">
        <v>3.2739463999999998</v>
      </c>
      <c r="BO273" s="10">
        <v>3.2678368</v>
      </c>
      <c r="BP273" s="10">
        <v>3.2621121</v>
      </c>
      <c r="BQ273" s="10">
        <v>3.2567799000000002</v>
      </c>
      <c r="BR273" s="10">
        <v>3.2330334999999999</v>
      </c>
      <c r="BS273" s="10">
        <v>3.2227345000000001</v>
      </c>
      <c r="BU273" s="7">
        <v>3.44</v>
      </c>
      <c r="BV273" s="7">
        <v>3.53</v>
      </c>
      <c r="BW273" s="9">
        <v>78.117199999999997</v>
      </c>
    </row>
    <row r="274" spans="1:75" x14ac:dyDescent="0.25">
      <c r="A274" s="6">
        <f t="shared" si="29"/>
        <v>44936</v>
      </c>
      <c r="B274" s="13">
        <f t="shared" si="24"/>
        <v>1</v>
      </c>
      <c r="C274" s="13">
        <f t="shared" si="25"/>
        <v>2023</v>
      </c>
      <c r="D274">
        <f t="shared" si="26"/>
        <v>202301</v>
      </c>
      <c r="E274">
        <f t="shared" si="27"/>
        <v>1</v>
      </c>
      <c r="F274">
        <f t="shared" si="28"/>
        <v>202301</v>
      </c>
      <c r="G274" t="s">
        <v>461</v>
      </c>
      <c r="H274" s="9">
        <v>3.5</v>
      </c>
      <c r="I274" s="9">
        <v>3.4272</v>
      </c>
      <c r="J274" s="10">
        <v>3.7242380000000002</v>
      </c>
      <c r="K274" s="10">
        <v>3.9765088999999998</v>
      </c>
      <c r="L274" s="10">
        <v>4.1631035000000001</v>
      </c>
      <c r="M274" s="10">
        <v>4.2994667</v>
      </c>
      <c r="N274" s="10">
        <v>4.3973155999999998</v>
      </c>
      <c r="O274" s="10">
        <v>4.4627907999999996</v>
      </c>
      <c r="P274" s="10">
        <v>4.5008036000000002</v>
      </c>
      <c r="Q274" s="10">
        <v>4.5175932000000003</v>
      </c>
      <c r="R274" s="10">
        <v>4.5180008000000003</v>
      </c>
      <c r="S274" s="10">
        <v>4.5060225999999997</v>
      </c>
      <c r="T274" s="10">
        <v>4.4839320000000003</v>
      </c>
      <c r="U274" s="10">
        <v>4.4532427999999999</v>
      </c>
      <c r="V274" s="10">
        <v>4.4144600000000001</v>
      </c>
      <c r="W274" s="10">
        <v>4.3688738999999996</v>
      </c>
      <c r="X274" s="10">
        <v>4.3180547000000002</v>
      </c>
      <c r="Y274" s="10">
        <v>4.2635721999999996</v>
      </c>
      <c r="Z274" s="10">
        <v>4.2069964000000004</v>
      </c>
      <c r="AA274" s="10">
        <v>4.1498971999999998</v>
      </c>
      <c r="AB274" s="10">
        <v>4.0936415999999998</v>
      </c>
      <c r="AC274" s="10">
        <v>4.0388238999999997</v>
      </c>
      <c r="AD274" s="10">
        <v>3.9858544999999999</v>
      </c>
      <c r="AE274" s="10">
        <v>3.9351438999999999</v>
      </c>
      <c r="AF274" s="10">
        <v>3.8871023</v>
      </c>
      <c r="AG274" s="10">
        <v>3.8421403000000001</v>
      </c>
      <c r="AH274" s="10">
        <v>3.8005741</v>
      </c>
      <c r="AI274" s="10">
        <v>3.7623044999999999</v>
      </c>
      <c r="AJ274" s="10">
        <v>3.7271179000000001</v>
      </c>
      <c r="AK274" s="10">
        <v>3.6948004000000001</v>
      </c>
      <c r="AL274" s="10">
        <v>3.6651383000000002</v>
      </c>
      <c r="AM274" s="10">
        <v>3.6379179000000001</v>
      </c>
      <c r="AN274" s="10">
        <v>3.6129253000000001</v>
      </c>
      <c r="AO274" s="10">
        <v>3.5899467</v>
      </c>
      <c r="AP274" s="10">
        <v>3.5687685</v>
      </c>
      <c r="AQ274" s="10">
        <v>3.5491769</v>
      </c>
      <c r="AR274" s="10">
        <v>3.530958</v>
      </c>
      <c r="AS274" s="10">
        <v>3.5138981999999999</v>
      </c>
      <c r="AT274" s="10">
        <v>3.4978031999999999</v>
      </c>
      <c r="AU274" s="10">
        <v>3.4825838</v>
      </c>
      <c r="AV274" s="10">
        <v>3.4681860000000002</v>
      </c>
      <c r="AW274" s="10">
        <v>3.4545558999999999</v>
      </c>
      <c r="AX274" s="10">
        <v>3.4416395</v>
      </c>
      <c r="AY274" s="10">
        <v>3.4293830999999999</v>
      </c>
      <c r="AZ274" s="10">
        <v>3.4177325000000001</v>
      </c>
      <c r="BA274" s="10">
        <v>3.4066339000000001</v>
      </c>
      <c r="BB274" s="10">
        <v>3.3960333</v>
      </c>
      <c r="BC274" s="10">
        <v>3.3858769</v>
      </c>
      <c r="BD274" s="10">
        <v>3.3761106000000001</v>
      </c>
      <c r="BE274" s="10">
        <v>3.3666806</v>
      </c>
      <c r="BF274" s="10">
        <v>3.3575412999999998</v>
      </c>
      <c r="BG274" s="10">
        <v>3.3486885000000002</v>
      </c>
      <c r="BH274" s="10">
        <v>3.3401304999999999</v>
      </c>
      <c r="BI274" s="10">
        <v>3.3318753999999999</v>
      </c>
      <c r="BJ274" s="10">
        <v>3.3239315999999999</v>
      </c>
      <c r="BK274" s="10">
        <v>3.3163071999999998</v>
      </c>
      <c r="BL274" s="10">
        <v>3.3090106000000001</v>
      </c>
      <c r="BM274" s="10">
        <v>3.3020499999999999</v>
      </c>
      <c r="BN274" s="10">
        <v>3.2954336</v>
      </c>
      <c r="BO274" s="10">
        <v>3.2891697999999998</v>
      </c>
      <c r="BP274" s="10">
        <v>3.2832667</v>
      </c>
      <c r="BQ274" s="10">
        <v>3.2777326000000002</v>
      </c>
      <c r="BR274" s="10">
        <v>3.2523623000000002</v>
      </c>
      <c r="BS274" s="10">
        <v>3.2400696</v>
      </c>
      <c r="BU274" s="7">
        <v>3.46</v>
      </c>
      <c r="BV274" s="7">
        <v>3.56</v>
      </c>
      <c r="BW274" s="9">
        <v>77.913899999999998</v>
      </c>
    </row>
    <row r="275" spans="1:75" x14ac:dyDescent="0.25">
      <c r="A275" s="6">
        <f t="shared" si="29"/>
        <v>44937</v>
      </c>
      <c r="B275" s="13">
        <f t="shared" si="24"/>
        <v>1</v>
      </c>
      <c r="C275" s="13">
        <f t="shared" si="25"/>
        <v>2023</v>
      </c>
      <c r="D275">
        <f t="shared" si="26"/>
        <v>202301</v>
      </c>
      <c r="E275">
        <f t="shared" si="27"/>
        <v>1</v>
      </c>
      <c r="F275">
        <f t="shared" si="28"/>
        <v>202301</v>
      </c>
      <c r="G275" t="s">
        <v>462</v>
      </c>
      <c r="H275" s="9">
        <v>3.5</v>
      </c>
      <c r="I275" s="9">
        <v>3.4274</v>
      </c>
      <c r="J275" s="10">
        <v>3.7366557</v>
      </c>
      <c r="K275" s="10">
        <v>3.9677327</v>
      </c>
      <c r="L275" s="10">
        <v>4.1395925</v>
      </c>
      <c r="M275" s="10">
        <v>4.2638756999999998</v>
      </c>
      <c r="N275" s="10">
        <v>4.3494655</v>
      </c>
      <c r="O275" s="10">
        <v>4.4017662</v>
      </c>
      <c r="P275" s="10">
        <v>4.4269290000000003</v>
      </c>
      <c r="Q275" s="10">
        <v>4.4314057</v>
      </c>
      <c r="R275" s="10">
        <v>4.4202139999999996</v>
      </c>
      <c r="S275" s="10">
        <v>4.3969572000000001</v>
      </c>
      <c r="T275" s="10">
        <v>4.3641629999999996</v>
      </c>
      <c r="U275" s="10">
        <v>4.3232654000000004</v>
      </c>
      <c r="V275" s="10">
        <v>4.2752238</v>
      </c>
      <c r="W275" s="10">
        <v>4.2214486000000004</v>
      </c>
      <c r="X275" s="10">
        <v>4.1634843000000004</v>
      </c>
      <c r="Y275" s="10">
        <v>4.1028754000000003</v>
      </c>
      <c r="Z275" s="10">
        <v>4.0411662000000002</v>
      </c>
      <c r="AA275" s="10">
        <v>3.9799011000000002</v>
      </c>
      <c r="AB275" s="10">
        <v>3.9203915999999999</v>
      </c>
      <c r="AC275" s="10">
        <v>3.8630618000000001</v>
      </c>
      <c r="AD275" s="10">
        <v>3.8081247999999999</v>
      </c>
      <c r="AE275" s="10">
        <v>3.7557938000000002</v>
      </c>
      <c r="AF275" s="10">
        <v>3.7062818000000002</v>
      </c>
      <c r="AG275" s="10">
        <v>3.6598017999999999</v>
      </c>
      <c r="AH275" s="10">
        <v>3.6165162</v>
      </c>
      <c r="AI275" s="10">
        <v>3.5763136000000002</v>
      </c>
      <c r="AJ275" s="10">
        <v>3.5389906999999998</v>
      </c>
      <c r="AK275" s="10">
        <v>3.5043445000000002</v>
      </c>
      <c r="AL275" s="10">
        <v>3.4721715999999998</v>
      </c>
      <c r="AM275" s="10">
        <v>3.442269</v>
      </c>
      <c r="AN275" s="10">
        <v>3.4144334000000001</v>
      </c>
      <c r="AO275" s="10">
        <v>3.3884615999999999</v>
      </c>
      <c r="AP275" s="10">
        <v>3.3641504000000002</v>
      </c>
      <c r="AQ275" s="10">
        <v>3.3412966000000002</v>
      </c>
      <c r="AR275" s="10">
        <v>3.3196970000000001</v>
      </c>
      <c r="AS275" s="10">
        <v>3.2991484</v>
      </c>
      <c r="AT275" s="10">
        <v>3.2794705999999998</v>
      </c>
      <c r="AU275" s="10">
        <v>3.2605955</v>
      </c>
      <c r="AV275" s="10">
        <v>3.2424890999999998</v>
      </c>
      <c r="AW275" s="10">
        <v>3.2251173999999998</v>
      </c>
      <c r="AX275" s="10">
        <v>3.2084465</v>
      </c>
      <c r="AY275" s="10">
        <v>3.1924424</v>
      </c>
      <c r="AZ275" s="10">
        <v>3.1770711</v>
      </c>
      <c r="BA275" s="10">
        <v>3.1622986000000002</v>
      </c>
      <c r="BB275" s="10">
        <v>3.1480909000000001</v>
      </c>
      <c r="BC275" s="10">
        <v>3.1344140999999999</v>
      </c>
      <c r="BD275" s="10">
        <v>3.1212342</v>
      </c>
      <c r="BE275" s="10">
        <v>3.1085172000000001</v>
      </c>
      <c r="BF275" s="10">
        <v>3.0962348</v>
      </c>
      <c r="BG275" s="10">
        <v>3.0843840999999999</v>
      </c>
      <c r="BH275" s="10">
        <v>3.0729688999999998</v>
      </c>
      <c r="BI275" s="10">
        <v>3.0619931</v>
      </c>
      <c r="BJ275" s="10">
        <v>3.0514608000000001</v>
      </c>
      <c r="BK275" s="10">
        <v>3.0413757000000001</v>
      </c>
      <c r="BL275" s="10">
        <v>3.0317419999999999</v>
      </c>
      <c r="BM275" s="10">
        <v>3.0225634000000001</v>
      </c>
      <c r="BN275" s="10">
        <v>3.0138440000000002</v>
      </c>
      <c r="BO275" s="10">
        <v>3.0055874999999999</v>
      </c>
      <c r="BP275" s="10">
        <v>2.9977980999999998</v>
      </c>
      <c r="BQ275" s="10">
        <v>2.9904796</v>
      </c>
      <c r="BR275" s="10">
        <v>2.9563480000000002</v>
      </c>
      <c r="BS275" s="10">
        <v>2.9381602</v>
      </c>
      <c r="BU275" s="7">
        <v>3.52</v>
      </c>
      <c r="BV275" s="7">
        <v>3.41</v>
      </c>
      <c r="BW275" s="9">
        <v>77.720699999999994</v>
      </c>
    </row>
    <row r="276" spans="1:75" x14ac:dyDescent="0.25">
      <c r="A276" s="6">
        <f t="shared" si="29"/>
        <v>44938</v>
      </c>
      <c r="B276" s="13">
        <f t="shared" si="24"/>
        <v>1</v>
      </c>
      <c r="C276" s="13">
        <f t="shared" si="25"/>
        <v>2023</v>
      </c>
      <c r="D276">
        <f t="shared" si="26"/>
        <v>202301</v>
      </c>
      <c r="E276">
        <f t="shared" si="27"/>
        <v>1</v>
      </c>
      <c r="F276">
        <f t="shared" si="28"/>
        <v>202301</v>
      </c>
      <c r="G276" t="s">
        <v>463</v>
      </c>
      <c r="H276" s="9">
        <v>3.5</v>
      </c>
      <c r="I276" s="9">
        <v>3.4274</v>
      </c>
      <c r="J276" s="10">
        <v>3.7462122999999998</v>
      </c>
      <c r="K276" s="10">
        <v>3.9761188999999999</v>
      </c>
      <c r="L276" s="10">
        <v>4.1451114999999996</v>
      </c>
      <c r="M276" s="10">
        <v>4.2614134999999997</v>
      </c>
      <c r="N276" s="10">
        <v>4.3346527000000004</v>
      </c>
      <c r="O276" s="10">
        <v>4.3724049999999997</v>
      </c>
      <c r="P276" s="10">
        <v>4.3835392999999998</v>
      </c>
      <c r="Q276" s="10">
        <v>4.3753142</v>
      </c>
      <c r="R276" s="10">
        <v>4.3530376000000004</v>
      </c>
      <c r="S276" s="10">
        <v>4.3201423999999999</v>
      </c>
      <c r="T276" s="10">
        <v>4.2788066000000002</v>
      </c>
      <c r="U276" s="10">
        <v>4.2304326999999997</v>
      </c>
      <c r="V276" s="10">
        <v>4.1757948999999996</v>
      </c>
      <c r="W276" s="10">
        <v>4.1162634000000002</v>
      </c>
      <c r="X276" s="10">
        <v>4.0533992000000003</v>
      </c>
      <c r="Y276" s="10">
        <v>3.9887632000000002</v>
      </c>
      <c r="Z276" s="10">
        <v>3.9239168000000002</v>
      </c>
      <c r="AA276" s="10">
        <v>3.8604208</v>
      </c>
      <c r="AB276" s="10">
        <v>3.7995909000000001</v>
      </c>
      <c r="AC276" s="10">
        <v>3.7418081999999999</v>
      </c>
      <c r="AD276" s="10">
        <v>3.6872310000000001</v>
      </c>
      <c r="AE276" s="10">
        <v>3.636018</v>
      </c>
      <c r="AF276" s="10">
        <v>3.5883276999999998</v>
      </c>
      <c r="AG276" s="10">
        <v>3.5443186</v>
      </c>
      <c r="AH276" s="10">
        <v>3.5040928</v>
      </c>
      <c r="AI276" s="10">
        <v>3.4674771999999998</v>
      </c>
      <c r="AJ276" s="10">
        <v>3.4342153</v>
      </c>
      <c r="AK276" s="10">
        <v>3.4040501000000001</v>
      </c>
      <c r="AL276" s="10">
        <v>3.3767249000000001</v>
      </c>
      <c r="AM276" s="10">
        <v>3.3519830000000002</v>
      </c>
      <c r="AN276" s="10">
        <v>3.3295677000000001</v>
      </c>
      <c r="AO276" s="10">
        <v>3.3092220999999999</v>
      </c>
      <c r="AP276" s="10">
        <v>3.2906895</v>
      </c>
      <c r="AQ276" s="10">
        <v>3.2737132</v>
      </c>
      <c r="AR276" s="10">
        <v>3.2580363999999999</v>
      </c>
      <c r="AS276" s="10">
        <v>3.2434023000000001</v>
      </c>
      <c r="AT276" s="10">
        <v>3.2295851999999998</v>
      </c>
      <c r="AU276" s="10">
        <v>3.2164964</v>
      </c>
      <c r="AV276" s="10">
        <v>3.2040850000000001</v>
      </c>
      <c r="AW276" s="10">
        <v>3.1922999000000001</v>
      </c>
      <c r="AX276" s="10">
        <v>3.1810901999999999</v>
      </c>
      <c r="AY276" s="10">
        <v>3.1704051</v>
      </c>
      <c r="AZ276" s="10">
        <v>3.1601935000000001</v>
      </c>
      <c r="BA276" s="10">
        <v>3.1504044000000002</v>
      </c>
      <c r="BB276" s="10">
        <v>3.1409870999999998</v>
      </c>
      <c r="BC276" s="10">
        <v>3.1318904000000001</v>
      </c>
      <c r="BD276" s="10">
        <v>3.1230635000000002</v>
      </c>
      <c r="BE276" s="10">
        <v>3.1144552999999999</v>
      </c>
      <c r="BF276" s="10">
        <v>3.1060248000000001</v>
      </c>
      <c r="BG276" s="10">
        <v>3.0977739</v>
      </c>
      <c r="BH276" s="10">
        <v>3.0897163000000001</v>
      </c>
      <c r="BI276" s="10">
        <v>3.0818658000000001</v>
      </c>
      <c r="BJ276" s="10">
        <v>3.0742364000000002</v>
      </c>
      <c r="BK276" s="10">
        <v>3.0668416999999999</v>
      </c>
      <c r="BL276" s="10">
        <v>3.0596956</v>
      </c>
      <c r="BM276" s="10">
        <v>3.0528119</v>
      </c>
      <c r="BN276" s="10">
        <v>3.0462044000000001</v>
      </c>
      <c r="BO276" s="10">
        <v>3.0398868999999999</v>
      </c>
      <c r="BP276" s="10">
        <v>3.0338733000000002</v>
      </c>
      <c r="BQ276" s="10">
        <v>3.0281772999999998</v>
      </c>
      <c r="BR276" s="10">
        <v>3.0010905999999999</v>
      </c>
      <c r="BS276" s="10">
        <v>2.9867674000000002</v>
      </c>
      <c r="BU276" s="7">
        <v>3.41</v>
      </c>
      <c r="BV276" s="7">
        <v>3.32</v>
      </c>
      <c r="BW276" s="9">
        <v>77.668899999999994</v>
      </c>
    </row>
    <row r="277" spans="1:75" x14ac:dyDescent="0.25">
      <c r="A277" s="6">
        <f t="shared" si="29"/>
        <v>44939</v>
      </c>
      <c r="B277" s="13">
        <f t="shared" si="24"/>
        <v>1</v>
      </c>
      <c r="C277" s="13">
        <f t="shared" si="25"/>
        <v>2023</v>
      </c>
      <c r="D277">
        <f t="shared" si="26"/>
        <v>202301</v>
      </c>
      <c r="E277">
        <f t="shared" si="27"/>
        <v>1</v>
      </c>
      <c r="F277">
        <f t="shared" si="28"/>
        <v>202301</v>
      </c>
      <c r="G277" t="s">
        <v>464</v>
      </c>
      <c r="H277" s="9">
        <v>3.5</v>
      </c>
      <c r="I277" s="9">
        <v>3.4274</v>
      </c>
      <c r="J277" s="10">
        <v>3.7676493</v>
      </c>
      <c r="K277" s="10">
        <v>3.9912741999999999</v>
      </c>
      <c r="L277" s="10">
        <v>4.1621231999999999</v>
      </c>
      <c r="M277" s="10">
        <v>4.2817422000000001</v>
      </c>
      <c r="N277" s="10">
        <v>4.3586020000000003</v>
      </c>
      <c r="O277" s="10">
        <v>4.4017735</v>
      </c>
      <c r="P277" s="10">
        <v>4.4199188999999999</v>
      </c>
      <c r="Q277" s="10">
        <v>4.4193689000000003</v>
      </c>
      <c r="R277" s="10">
        <v>4.4039883</v>
      </c>
      <c r="S277" s="10">
        <v>4.3760630999999997</v>
      </c>
      <c r="T277" s="10">
        <v>4.3369825000000004</v>
      </c>
      <c r="U277" s="10">
        <v>4.2881922000000001</v>
      </c>
      <c r="V277" s="10">
        <v>4.2306692999999997</v>
      </c>
      <c r="W277" s="10">
        <v>4.1662423999999998</v>
      </c>
      <c r="X277" s="10">
        <v>4.0970557000000003</v>
      </c>
      <c r="Y277" s="10">
        <v>4.0252537000000004</v>
      </c>
      <c r="Z277" s="10">
        <v>3.9529809999999999</v>
      </c>
      <c r="AA277" s="10">
        <v>3.8823820000000002</v>
      </c>
      <c r="AB277" s="10">
        <v>3.8153139999999999</v>
      </c>
      <c r="AC277" s="10">
        <v>3.7523015000000002</v>
      </c>
      <c r="AD277" s="10">
        <v>3.6934833</v>
      </c>
      <c r="AE277" s="10">
        <v>3.6389979000000001</v>
      </c>
      <c r="AF277" s="10">
        <v>3.5889837999999998</v>
      </c>
      <c r="AG277" s="10">
        <v>3.5435797</v>
      </c>
      <c r="AH277" s="10">
        <v>3.5028511</v>
      </c>
      <c r="AI277" s="10">
        <v>3.4665420999999998</v>
      </c>
      <c r="AJ277" s="10">
        <v>3.4343078</v>
      </c>
      <c r="AK277" s="10">
        <v>3.4058033000000001</v>
      </c>
      <c r="AL277" s="10">
        <v>3.3806839000000002</v>
      </c>
      <c r="AM277" s="10">
        <v>3.3586046999999999</v>
      </c>
      <c r="AN277" s="10">
        <v>3.3392208000000001</v>
      </c>
      <c r="AO277" s="10">
        <v>3.3221875000000001</v>
      </c>
      <c r="AP277" s="10">
        <v>3.3071600000000001</v>
      </c>
      <c r="AQ277" s="10">
        <v>3.2937932000000001</v>
      </c>
      <c r="AR277" s="10">
        <v>3.2817425999999998</v>
      </c>
      <c r="AS277" s="10">
        <v>3.2706631000000002</v>
      </c>
      <c r="AT277" s="10">
        <v>3.2602538000000001</v>
      </c>
      <c r="AU277" s="10">
        <v>3.2504065</v>
      </c>
      <c r="AV277" s="10">
        <v>3.2410667000000002</v>
      </c>
      <c r="AW277" s="10">
        <v>3.2321795</v>
      </c>
      <c r="AX277" s="10">
        <v>3.2236902999999999</v>
      </c>
      <c r="AY277" s="10">
        <v>3.2155442999999999</v>
      </c>
      <c r="AZ277" s="10">
        <v>3.2076869000000001</v>
      </c>
      <c r="BA277" s="10">
        <v>3.2000630999999999</v>
      </c>
      <c r="BB277" s="10">
        <v>3.1926185</v>
      </c>
      <c r="BC277" s="10">
        <v>3.1852982000000001</v>
      </c>
      <c r="BD277" s="10">
        <v>3.1780474999999999</v>
      </c>
      <c r="BE277" s="10">
        <v>3.1708116999999998</v>
      </c>
      <c r="BF277" s="10">
        <v>3.1635477999999999</v>
      </c>
      <c r="BG277" s="10">
        <v>3.1562649</v>
      </c>
      <c r="BH277" s="10">
        <v>3.1489862999999998</v>
      </c>
      <c r="BI277" s="10">
        <v>3.1417354</v>
      </c>
      <c r="BJ277" s="10">
        <v>3.1345356</v>
      </c>
      <c r="BK277" s="10">
        <v>3.1274101999999999</v>
      </c>
      <c r="BL277" s="10">
        <v>3.1203826000000001</v>
      </c>
      <c r="BM277" s="10">
        <v>3.1134762</v>
      </c>
      <c r="BN277" s="10">
        <v>3.1067143000000002</v>
      </c>
      <c r="BO277" s="10">
        <v>3.1001202000000001</v>
      </c>
      <c r="BP277" s="10">
        <v>3.0937174999999999</v>
      </c>
      <c r="BQ277" s="10">
        <v>3.0875292999999999</v>
      </c>
      <c r="BR277" s="10">
        <v>3.0558263999999999</v>
      </c>
      <c r="BS277" s="10">
        <v>3.0353737999999999</v>
      </c>
      <c r="BU277" s="7">
        <v>3.48</v>
      </c>
      <c r="BV277" s="7">
        <v>3.37</v>
      </c>
      <c r="BW277" s="9">
        <v>77.810199999999995</v>
      </c>
    </row>
    <row r="278" spans="1:75" x14ac:dyDescent="0.25">
      <c r="A278" s="6">
        <f t="shared" si="29"/>
        <v>44942</v>
      </c>
      <c r="B278" s="13">
        <f t="shared" si="24"/>
        <v>1</v>
      </c>
      <c r="C278" s="13">
        <f t="shared" si="25"/>
        <v>2023</v>
      </c>
      <c r="D278">
        <f t="shared" si="26"/>
        <v>202301</v>
      </c>
      <c r="E278">
        <f t="shared" si="27"/>
        <v>1</v>
      </c>
      <c r="F278">
        <f t="shared" si="28"/>
        <v>202301</v>
      </c>
      <c r="G278" t="s">
        <v>465</v>
      </c>
      <c r="H278" s="9">
        <v>3.5</v>
      </c>
      <c r="I278" s="9">
        <v>3.4279000000000002</v>
      </c>
      <c r="J278" s="10">
        <v>3.8142673</v>
      </c>
      <c r="K278" s="10">
        <v>3.9867873</v>
      </c>
      <c r="L278" s="10">
        <v>4.1424560000000001</v>
      </c>
      <c r="M278" s="10">
        <v>4.2632773999999998</v>
      </c>
      <c r="N278" s="10">
        <v>4.3468692999999998</v>
      </c>
      <c r="O278" s="10">
        <v>4.3961418999999999</v>
      </c>
      <c r="P278" s="10">
        <v>4.4178322999999997</v>
      </c>
      <c r="Q278" s="10">
        <v>4.4181431</v>
      </c>
      <c r="R278" s="10">
        <v>4.4010783</v>
      </c>
      <c r="S278" s="10">
        <v>4.3700476000000004</v>
      </c>
      <c r="T278" s="10">
        <v>4.3271842999999999</v>
      </c>
      <c r="U278" s="10">
        <v>4.2747052999999999</v>
      </c>
      <c r="V278" s="10">
        <v>4.2146375999999997</v>
      </c>
      <c r="W278" s="10">
        <v>4.1489238000000004</v>
      </c>
      <c r="X278" s="10">
        <v>4.0795076000000003</v>
      </c>
      <c r="Y278" s="10">
        <v>4.0083330999999998</v>
      </c>
      <c r="Z278" s="10">
        <v>3.9373440999999998</v>
      </c>
      <c r="AA278" s="10">
        <v>3.8684847000000002</v>
      </c>
      <c r="AB278" s="10">
        <v>3.8033763</v>
      </c>
      <c r="AC278" s="10">
        <v>3.7424138999999998</v>
      </c>
      <c r="AD278" s="10">
        <v>3.6857001</v>
      </c>
      <c r="AE278" s="10">
        <v>3.6333376999999998</v>
      </c>
      <c r="AF278" s="10">
        <v>3.5854294000000002</v>
      </c>
      <c r="AG278" s="10">
        <v>3.5420780000000001</v>
      </c>
      <c r="AH278" s="10">
        <v>3.5033183000000001</v>
      </c>
      <c r="AI278" s="10">
        <v>3.4688851999999999</v>
      </c>
      <c r="AJ278" s="10">
        <v>3.4384310999999999</v>
      </c>
      <c r="AK278" s="10">
        <v>3.4116081999999999</v>
      </c>
      <c r="AL278" s="10">
        <v>3.3880686999999998</v>
      </c>
      <c r="AM278" s="10">
        <v>3.3674648999999999</v>
      </c>
      <c r="AN278" s="10">
        <v>3.3494489999999999</v>
      </c>
      <c r="AO278" s="10">
        <v>3.3336733000000001</v>
      </c>
      <c r="AP278" s="10">
        <v>3.3197899999999998</v>
      </c>
      <c r="AQ278" s="10">
        <v>3.3074515</v>
      </c>
      <c r="AR278" s="10">
        <v>3.2963098999999998</v>
      </c>
      <c r="AS278" s="10">
        <v>3.2860174999999998</v>
      </c>
      <c r="AT278" s="10">
        <v>3.2762723999999999</v>
      </c>
      <c r="AU278" s="10">
        <v>3.2669752000000001</v>
      </c>
      <c r="AV278" s="10">
        <v>3.2580825</v>
      </c>
      <c r="AW278" s="10">
        <v>3.2495508000000002</v>
      </c>
      <c r="AX278" s="10">
        <v>3.2413365000000001</v>
      </c>
      <c r="AY278" s="10">
        <v>3.2333961000000002</v>
      </c>
      <c r="AZ278" s="10">
        <v>3.2256860999999999</v>
      </c>
      <c r="BA278" s="10">
        <v>3.2181630999999999</v>
      </c>
      <c r="BB278" s="10">
        <v>3.2107836000000001</v>
      </c>
      <c r="BC278" s="10">
        <v>3.2035038999999998</v>
      </c>
      <c r="BD278" s="10">
        <v>3.1962807</v>
      </c>
      <c r="BE278" s="10">
        <v>3.1890703999999999</v>
      </c>
      <c r="BF278" s="10">
        <v>3.1818380999999998</v>
      </c>
      <c r="BG278" s="10">
        <v>3.1745945999999998</v>
      </c>
      <c r="BH278" s="10">
        <v>3.1673662</v>
      </c>
      <c r="BI278" s="10">
        <v>3.1601792</v>
      </c>
      <c r="BJ278" s="10">
        <v>3.1530599000000001</v>
      </c>
      <c r="BK278" s="10">
        <v>3.1460344999999998</v>
      </c>
      <c r="BL278" s="10">
        <v>3.1391293</v>
      </c>
      <c r="BM278" s="10">
        <v>3.1323707000000001</v>
      </c>
      <c r="BN278" s="10">
        <v>3.1257847999999999</v>
      </c>
      <c r="BO278" s="10">
        <v>3.1193979999999999</v>
      </c>
      <c r="BP278" s="10">
        <v>3.1132366</v>
      </c>
      <c r="BQ278" s="10">
        <v>3.1073268000000001</v>
      </c>
      <c r="BR278" s="10">
        <v>3.0779019999999999</v>
      </c>
      <c r="BS278" s="10">
        <v>3.0597314999999998</v>
      </c>
      <c r="BU278" s="7">
        <v>3.5</v>
      </c>
      <c r="BV278" s="7">
        <v>3.39</v>
      </c>
      <c r="BW278" s="9">
        <v>77.819999999999993</v>
      </c>
    </row>
    <row r="279" spans="1:75" x14ac:dyDescent="0.25">
      <c r="A279" s="6">
        <f t="shared" si="29"/>
        <v>44943</v>
      </c>
      <c r="B279" s="13">
        <f t="shared" si="24"/>
        <v>1</v>
      </c>
      <c r="C279" s="13">
        <f t="shared" si="25"/>
        <v>2023</v>
      </c>
      <c r="D279">
        <f t="shared" si="26"/>
        <v>202301</v>
      </c>
      <c r="E279">
        <f t="shared" si="27"/>
        <v>1</v>
      </c>
      <c r="F279">
        <f t="shared" si="28"/>
        <v>202301</v>
      </c>
      <c r="G279" t="s">
        <v>466</v>
      </c>
      <c r="H279" s="9">
        <v>3.5</v>
      </c>
      <c r="I279" s="9">
        <v>3.4279000000000002</v>
      </c>
      <c r="J279" s="10">
        <v>3.8490877000000001</v>
      </c>
      <c r="K279" s="10">
        <v>4.0123186000000004</v>
      </c>
      <c r="L279" s="10">
        <v>4.1664535000000003</v>
      </c>
      <c r="M279" s="10">
        <v>4.2842928000000002</v>
      </c>
      <c r="N279" s="10">
        <v>4.3605112999999998</v>
      </c>
      <c r="O279" s="10">
        <v>4.4007909999999999</v>
      </c>
      <c r="P279" s="10">
        <v>4.4133386999999997</v>
      </c>
      <c r="Q279" s="10">
        <v>4.4064173000000002</v>
      </c>
      <c r="R279" s="10">
        <v>4.3848789999999997</v>
      </c>
      <c r="S279" s="10">
        <v>4.3519158999999998</v>
      </c>
      <c r="T279" s="10">
        <v>4.3091965999999999</v>
      </c>
      <c r="U279" s="10">
        <v>4.2581274999999996</v>
      </c>
      <c r="V279" s="10">
        <v>4.1998015999999998</v>
      </c>
      <c r="W279" s="10">
        <v>4.1358642999999997</v>
      </c>
      <c r="X279" s="10">
        <v>4.0681338</v>
      </c>
      <c r="Y279" s="10">
        <v>3.9984283999999999</v>
      </c>
      <c r="Z279" s="10">
        <v>3.928566</v>
      </c>
      <c r="AA279" s="10">
        <v>3.8603651000000001</v>
      </c>
      <c r="AB279" s="10">
        <v>3.7953516</v>
      </c>
      <c r="AC279" s="10">
        <v>3.7339391000000002</v>
      </c>
      <c r="AD279" s="10">
        <v>3.6762766</v>
      </c>
      <c r="AE279" s="10">
        <v>3.6225128999999998</v>
      </c>
      <c r="AF279" s="10">
        <v>3.5727970999999998</v>
      </c>
      <c r="AG279" s="10">
        <v>3.5272779999999999</v>
      </c>
      <c r="AH279" s="10">
        <v>3.4860361000000002</v>
      </c>
      <c r="AI279" s="10">
        <v>3.4488498999999999</v>
      </c>
      <c r="AJ279" s="10">
        <v>3.4154144</v>
      </c>
      <c r="AK279" s="10">
        <v>3.3854248</v>
      </c>
      <c r="AL279" s="10">
        <v>3.3585759999999998</v>
      </c>
      <c r="AM279" s="10">
        <v>3.3345633000000001</v>
      </c>
      <c r="AN279" s="10">
        <v>3.3130815999999998</v>
      </c>
      <c r="AO279" s="10">
        <v>3.2938261</v>
      </c>
      <c r="AP279" s="10">
        <v>3.2764918999999999</v>
      </c>
      <c r="AQ279" s="10">
        <v>3.2607740000000001</v>
      </c>
      <c r="AR279" s="10">
        <v>3.2463674999999999</v>
      </c>
      <c r="AS279" s="10">
        <v>3.2329675999999998</v>
      </c>
      <c r="AT279" s="10">
        <v>3.2203002000000001</v>
      </c>
      <c r="AU279" s="10">
        <v>3.2082584000000001</v>
      </c>
      <c r="AV279" s="10">
        <v>3.1967910000000002</v>
      </c>
      <c r="AW279" s="10">
        <v>3.1858471000000002</v>
      </c>
      <c r="AX279" s="10">
        <v>3.1753754999999999</v>
      </c>
      <c r="AY279" s="10">
        <v>3.1653251</v>
      </c>
      <c r="AZ279" s="10">
        <v>3.1556449999999998</v>
      </c>
      <c r="BA279" s="10">
        <v>3.1462840999999999</v>
      </c>
      <c r="BB279" s="10">
        <v>3.1371912000000002</v>
      </c>
      <c r="BC279" s="10">
        <v>3.1283154</v>
      </c>
      <c r="BD279" s="10">
        <v>3.1196057000000001</v>
      </c>
      <c r="BE279" s="10">
        <v>3.1110107999999999</v>
      </c>
      <c r="BF279" s="10">
        <v>3.1024897</v>
      </c>
      <c r="BG279" s="10">
        <v>3.0940487000000001</v>
      </c>
      <c r="BH279" s="10">
        <v>3.0857087999999999</v>
      </c>
      <c r="BI279" s="10">
        <v>3.0774911</v>
      </c>
      <c r="BJ279" s="10">
        <v>3.0694165999999998</v>
      </c>
      <c r="BK279" s="10">
        <v>3.0615062000000002</v>
      </c>
      <c r="BL279" s="10">
        <v>3.0537809999999999</v>
      </c>
      <c r="BM279" s="10">
        <v>3.0462619000000002</v>
      </c>
      <c r="BN279" s="10">
        <v>3.0389700999999998</v>
      </c>
      <c r="BO279" s="10">
        <v>3.0319264000000001</v>
      </c>
      <c r="BP279" s="10">
        <v>3.0251519</v>
      </c>
      <c r="BQ279" s="10">
        <v>3.0186674999999998</v>
      </c>
      <c r="BR279" s="10">
        <v>2.986504</v>
      </c>
      <c r="BS279" s="10">
        <v>2.9668798999999999</v>
      </c>
      <c r="BU279" s="7">
        <v>3.46</v>
      </c>
      <c r="BV279" s="7">
        <v>3.33</v>
      </c>
      <c r="BW279" s="9">
        <v>78.381500000000003</v>
      </c>
    </row>
    <row r="280" spans="1:75" x14ac:dyDescent="0.25">
      <c r="A280" s="6">
        <f t="shared" si="29"/>
        <v>44944</v>
      </c>
      <c r="B280" s="13">
        <f t="shared" si="24"/>
        <v>1</v>
      </c>
      <c r="C280" s="13">
        <f t="shared" si="25"/>
        <v>2023</v>
      </c>
      <c r="D280">
        <f t="shared" si="26"/>
        <v>202301</v>
      </c>
      <c r="E280">
        <f t="shared" si="27"/>
        <v>1</v>
      </c>
      <c r="F280">
        <f t="shared" si="28"/>
        <v>202301</v>
      </c>
      <c r="G280" t="s">
        <v>467</v>
      </c>
      <c r="H280" s="9">
        <v>3.5</v>
      </c>
      <c r="I280" s="9">
        <v>3.4281000000000001</v>
      </c>
      <c r="J280" s="10">
        <v>3.8786132000000002</v>
      </c>
      <c r="K280" s="10">
        <v>4.0372078</v>
      </c>
      <c r="L280" s="10">
        <v>4.2012470999999998</v>
      </c>
      <c r="M280" s="10">
        <v>4.3320543999999996</v>
      </c>
      <c r="N280" s="10">
        <v>4.4189106999999996</v>
      </c>
      <c r="O280" s="10">
        <v>4.4649200000000002</v>
      </c>
      <c r="P280" s="10">
        <v>4.4783799999999996</v>
      </c>
      <c r="Q280" s="10">
        <v>4.4681297999999998</v>
      </c>
      <c r="R280" s="10">
        <v>4.4405136000000001</v>
      </c>
      <c r="S280" s="10">
        <v>4.3997707000000004</v>
      </c>
      <c r="T280" s="10">
        <v>4.3489269999999998</v>
      </c>
      <c r="U280" s="10">
        <v>4.2900137000000003</v>
      </c>
      <c r="V280" s="10">
        <v>4.2251969000000003</v>
      </c>
      <c r="W280" s="10">
        <v>4.1562311999999997</v>
      </c>
      <c r="X280" s="10">
        <v>4.0847348999999999</v>
      </c>
      <c r="Y280" s="10">
        <v>4.0123262000000004</v>
      </c>
      <c r="Z280" s="10">
        <v>3.9406232000000001</v>
      </c>
      <c r="AA280" s="10">
        <v>3.8712442999999999</v>
      </c>
      <c r="AB280" s="10">
        <v>3.8055317</v>
      </c>
      <c r="AC280" s="10">
        <v>3.7437768999999999</v>
      </c>
      <c r="AD280" s="10">
        <v>3.6860214</v>
      </c>
      <c r="AE280" s="10">
        <v>3.6323066000000002</v>
      </c>
      <c r="AF280" s="10">
        <v>3.5826742</v>
      </c>
      <c r="AG280" s="10">
        <v>3.5371655</v>
      </c>
      <c r="AH280" s="10">
        <v>3.4957809000000002</v>
      </c>
      <c r="AI280" s="10">
        <v>3.4582988000000001</v>
      </c>
      <c r="AJ280" s="10">
        <v>3.4244235000000001</v>
      </c>
      <c r="AK280" s="10">
        <v>3.393859</v>
      </c>
      <c r="AL280" s="10">
        <v>3.3663093000000002</v>
      </c>
      <c r="AM280" s="10">
        <v>3.3414785999999999</v>
      </c>
      <c r="AN280" s="10">
        <v>3.3190710000000001</v>
      </c>
      <c r="AO280" s="10">
        <v>3.2987905</v>
      </c>
      <c r="AP280" s="10">
        <v>3.2803412000000001</v>
      </c>
      <c r="AQ280" s="10">
        <v>3.2634273</v>
      </c>
      <c r="AR280" s="10">
        <v>3.2477526999999999</v>
      </c>
      <c r="AS280" s="10">
        <v>3.2330215999999998</v>
      </c>
      <c r="AT280" s="10">
        <v>3.2189722999999999</v>
      </c>
      <c r="AU280" s="10">
        <v>3.2055093000000001</v>
      </c>
      <c r="AV280" s="10">
        <v>3.1925881</v>
      </c>
      <c r="AW280" s="10">
        <v>3.180164</v>
      </c>
      <c r="AX280" s="10">
        <v>3.1681922</v>
      </c>
      <c r="AY280" s="10">
        <v>3.1566282000000001</v>
      </c>
      <c r="AZ280" s="10">
        <v>3.1454273000000001</v>
      </c>
      <c r="BA280" s="10">
        <v>3.1345448</v>
      </c>
      <c r="BB280" s="10">
        <v>3.123936</v>
      </c>
      <c r="BC280" s="10">
        <v>3.1135563999999998</v>
      </c>
      <c r="BD280" s="10">
        <v>3.1033612000000002</v>
      </c>
      <c r="BE280" s="10">
        <v>3.0933058</v>
      </c>
      <c r="BF280" s="10">
        <v>3.0833553</v>
      </c>
      <c r="BG280" s="10">
        <v>3.0735185999999999</v>
      </c>
      <c r="BH280" s="10">
        <v>3.0638160999999999</v>
      </c>
      <c r="BI280" s="10">
        <v>3.0542687000000002</v>
      </c>
      <c r="BJ280" s="10">
        <v>3.0448968999999999</v>
      </c>
      <c r="BK280" s="10">
        <v>3.0357216</v>
      </c>
      <c r="BL280" s="10">
        <v>3.0267632999999998</v>
      </c>
      <c r="BM280" s="10">
        <v>3.0180427999999999</v>
      </c>
      <c r="BN280" s="10">
        <v>3.0095806999999999</v>
      </c>
      <c r="BO280" s="10">
        <v>3.0013977999999999</v>
      </c>
      <c r="BP280" s="10">
        <v>2.9935146000000001</v>
      </c>
      <c r="BQ280" s="10">
        <v>2.9859518999999999</v>
      </c>
      <c r="BR280" s="10">
        <v>2.9479283000000001</v>
      </c>
      <c r="BS280" s="10">
        <v>2.9234030999999998</v>
      </c>
      <c r="BU280" s="7">
        <v>3.48</v>
      </c>
      <c r="BV280" s="7">
        <v>3.31</v>
      </c>
      <c r="BW280" s="9">
        <v>78.948800000000006</v>
      </c>
    </row>
    <row r="281" spans="1:75" x14ac:dyDescent="0.25">
      <c r="A281" s="6">
        <f t="shared" si="29"/>
        <v>44945</v>
      </c>
      <c r="B281" s="13">
        <f t="shared" si="24"/>
        <v>1</v>
      </c>
      <c r="C281" s="13">
        <f t="shared" si="25"/>
        <v>2023</v>
      </c>
      <c r="D281">
        <f t="shared" si="26"/>
        <v>202301</v>
      </c>
      <c r="E281">
        <f t="shared" si="27"/>
        <v>1</v>
      </c>
      <c r="F281">
        <f t="shared" si="28"/>
        <v>202301</v>
      </c>
      <c r="G281" t="s">
        <v>468</v>
      </c>
      <c r="H281" s="9">
        <v>3.5</v>
      </c>
      <c r="I281" s="9">
        <v>3.4277000000000002</v>
      </c>
      <c r="J281" s="10">
        <v>3.8970929999999999</v>
      </c>
      <c r="K281" s="10">
        <v>4.0384165999999997</v>
      </c>
      <c r="L281" s="10">
        <v>4.1971897</v>
      </c>
      <c r="M281" s="10">
        <v>4.3282518000000003</v>
      </c>
      <c r="N281" s="10">
        <v>4.4169422999999997</v>
      </c>
      <c r="O281" s="10">
        <v>4.4637218000000001</v>
      </c>
      <c r="P281" s="10">
        <v>4.4766769999999996</v>
      </c>
      <c r="Q281" s="10">
        <v>4.4645308000000004</v>
      </c>
      <c r="R281" s="10">
        <v>4.4345029</v>
      </c>
      <c r="S281" s="10">
        <v>4.3916168999999998</v>
      </c>
      <c r="T281" s="10">
        <v>4.3392312999999998</v>
      </c>
      <c r="U281" s="10">
        <v>4.2796181000000004</v>
      </c>
      <c r="V281" s="10">
        <v>4.2144724</v>
      </c>
      <c r="W281" s="10">
        <v>4.1453984000000004</v>
      </c>
      <c r="X281" s="10">
        <v>4.0739992000000003</v>
      </c>
      <c r="Y281" s="10">
        <v>4.0018780999999999</v>
      </c>
      <c r="Z281" s="10">
        <v>3.9306383999999999</v>
      </c>
      <c r="AA281" s="10">
        <v>3.8618831999999998</v>
      </c>
      <c r="AB281" s="10">
        <v>3.7969379999999999</v>
      </c>
      <c r="AC281" s="10">
        <v>3.7360698000000001</v>
      </c>
      <c r="AD281" s="10">
        <v>3.6792937000000001</v>
      </c>
      <c r="AE281" s="10">
        <v>3.6266250000000002</v>
      </c>
      <c r="AF281" s="10">
        <v>3.5780788000000001</v>
      </c>
      <c r="AG281" s="10">
        <v>3.5336702999999998</v>
      </c>
      <c r="AH281" s="10">
        <v>3.4933730999999999</v>
      </c>
      <c r="AI281" s="10">
        <v>3.4569576</v>
      </c>
      <c r="AJ281" s="10">
        <v>3.4241324999999998</v>
      </c>
      <c r="AK281" s="10">
        <v>3.3946065000000001</v>
      </c>
      <c r="AL281" s="10">
        <v>3.3680883000000001</v>
      </c>
      <c r="AM281" s="10">
        <v>3.3442866000000002</v>
      </c>
      <c r="AN281" s="10">
        <v>3.3229099999999998</v>
      </c>
      <c r="AO281" s="10">
        <v>3.3036672</v>
      </c>
      <c r="AP281" s="10">
        <v>3.2862669000000002</v>
      </c>
      <c r="AQ281" s="10">
        <v>3.2704178000000002</v>
      </c>
      <c r="AR281" s="10">
        <v>3.2558284999999998</v>
      </c>
      <c r="AS281" s="10">
        <v>3.2422078000000001</v>
      </c>
      <c r="AT281" s="10">
        <v>3.229301</v>
      </c>
      <c r="AU281" s="10">
        <v>3.2170155999999999</v>
      </c>
      <c r="AV281" s="10">
        <v>3.2053037</v>
      </c>
      <c r="AW281" s="10">
        <v>3.1941174000000001</v>
      </c>
      <c r="AX281" s="10">
        <v>3.1834090000000002</v>
      </c>
      <c r="AY281" s="10">
        <v>3.1731305000000001</v>
      </c>
      <c r="AZ281" s="10">
        <v>3.1632342000000002</v>
      </c>
      <c r="BA281" s="10">
        <v>3.1536721000000001</v>
      </c>
      <c r="BB281" s="10">
        <v>3.1443964000000002</v>
      </c>
      <c r="BC281" s="10">
        <v>3.1353593000000002</v>
      </c>
      <c r="BD281" s="10">
        <v>3.1265128999999998</v>
      </c>
      <c r="BE281" s="10">
        <v>3.1178094000000001</v>
      </c>
      <c r="BF281" s="10">
        <v>3.1092107000000002</v>
      </c>
      <c r="BG281" s="10">
        <v>3.1007221999999999</v>
      </c>
      <c r="BH281" s="10">
        <v>3.0923612999999999</v>
      </c>
      <c r="BI281" s="10">
        <v>3.0841454000000001</v>
      </c>
      <c r="BJ281" s="10">
        <v>3.0760917000000001</v>
      </c>
      <c r="BK281" s="10">
        <v>3.0682176999999999</v>
      </c>
      <c r="BL281" s="10">
        <v>3.0605405999999999</v>
      </c>
      <c r="BM281" s="10">
        <v>3.0530780000000002</v>
      </c>
      <c r="BN281" s="10">
        <v>3.0458470000000002</v>
      </c>
      <c r="BO281" s="10">
        <v>3.0388649999999999</v>
      </c>
      <c r="BP281" s="10">
        <v>3.0321495000000001</v>
      </c>
      <c r="BQ281" s="10">
        <v>3.0257177</v>
      </c>
      <c r="BR281" s="10">
        <v>2.9935996999999999</v>
      </c>
      <c r="BS281" s="10">
        <v>2.9732905999999999</v>
      </c>
      <c r="BU281" s="7">
        <v>3.49</v>
      </c>
      <c r="BV281" s="7">
        <v>3.32</v>
      </c>
      <c r="BW281" s="9">
        <v>78.963499999999996</v>
      </c>
    </row>
    <row r="282" spans="1:75" x14ac:dyDescent="0.25">
      <c r="A282" s="6">
        <f t="shared" si="29"/>
        <v>44946</v>
      </c>
      <c r="B282" s="13">
        <f t="shared" si="24"/>
        <v>1</v>
      </c>
      <c r="C282" s="13">
        <f t="shared" si="25"/>
        <v>2023</v>
      </c>
      <c r="D282">
        <f t="shared" si="26"/>
        <v>202301</v>
      </c>
      <c r="E282">
        <f t="shared" si="27"/>
        <v>1</v>
      </c>
      <c r="F282">
        <f t="shared" si="28"/>
        <v>202301</v>
      </c>
      <c r="G282" t="s">
        <v>469</v>
      </c>
      <c r="H282" s="9">
        <v>3.5</v>
      </c>
      <c r="I282" s="9">
        <v>3.4277000000000002</v>
      </c>
      <c r="J282" s="10">
        <v>3.8964981000000001</v>
      </c>
      <c r="K282" s="10">
        <v>4.0457063</v>
      </c>
      <c r="L282" s="10">
        <v>4.2053596999999998</v>
      </c>
      <c r="M282" s="10">
        <v>4.3312311000000001</v>
      </c>
      <c r="N282" s="10">
        <v>4.4118348000000003</v>
      </c>
      <c r="O282" s="10">
        <v>4.4515798999999996</v>
      </c>
      <c r="P282" s="10">
        <v>4.4596993999999999</v>
      </c>
      <c r="Q282" s="10">
        <v>4.4446911</v>
      </c>
      <c r="R282" s="10">
        <v>4.4128731999999999</v>
      </c>
      <c r="S282" s="10">
        <v>4.3686235</v>
      </c>
      <c r="T282" s="10">
        <v>4.3147915000000001</v>
      </c>
      <c r="U282" s="10">
        <v>4.2535461999999997</v>
      </c>
      <c r="V282" s="10">
        <v>4.1861987000000003</v>
      </c>
      <c r="W282" s="10">
        <v>4.1144686999999998</v>
      </c>
      <c r="X282" s="10">
        <v>4.0402686000000001</v>
      </c>
      <c r="Y282" s="10">
        <v>3.9655108000000001</v>
      </c>
      <c r="Z282" s="10">
        <v>3.8921076000000001</v>
      </c>
      <c r="AA282" s="10">
        <v>3.8219713999999998</v>
      </c>
      <c r="AB282" s="10">
        <v>3.7567287</v>
      </c>
      <c r="AC282" s="10">
        <v>3.6966796</v>
      </c>
      <c r="AD282" s="10">
        <v>3.64174</v>
      </c>
      <c r="AE282" s="10">
        <v>3.5918256</v>
      </c>
      <c r="AF282" s="10">
        <v>3.5468522999999998</v>
      </c>
      <c r="AG282" s="10">
        <v>3.5067360000000001</v>
      </c>
      <c r="AH282" s="10">
        <v>3.4713484000000001</v>
      </c>
      <c r="AI282" s="10">
        <v>3.4403668999999999</v>
      </c>
      <c r="AJ282" s="10">
        <v>3.4134156</v>
      </c>
      <c r="AK282" s="10">
        <v>3.3901184</v>
      </c>
      <c r="AL282" s="10">
        <v>3.3700991</v>
      </c>
      <c r="AM282" s="10">
        <v>3.3529816000000001</v>
      </c>
      <c r="AN282" s="10">
        <v>3.3383897999999999</v>
      </c>
      <c r="AO282" s="10">
        <v>3.3259477</v>
      </c>
      <c r="AP282" s="10">
        <v>3.3152791000000001</v>
      </c>
      <c r="AQ282" s="10">
        <v>3.3060079999999998</v>
      </c>
      <c r="AR282" s="10">
        <v>3.2977582000000001</v>
      </c>
      <c r="AS282" s="10">
        <v>3.2901536999999998</v>
      </c>
      <c r="AT282" s="10">
        <v>3.2828694999999999</v>
      </c>
      <c r="AU282" s="10">
        <v>3.2758067</v>
      </c>
      <c r="AV282" s="10">
        <v>3.2689284999999999</v>
      </c>
      <c r="AW282" s="10">
        <v>3.2621981999999998</v>
      </c>
      <c r="AX282" s="10">
        <v>3.2555792000000001</v>
      </c>
      <c r="AY282" s="10">
        <v>3.2490348999999998</v>
      </c>
      <c r="AZ282" s="10">
        <v>3.2425285000000001</v>
      </c>
      <c r="BA282" s="10">
        <v>3.2360232999999998</v>
      </c>
      <c r="BB282" s="10">
        <v>3.2294827000000002</v>
      </c>
      <c r="BC282" s="10">
        <v>3.2228699999999999</v>
      </c>
      <c r="BD282" s="10">
        <v>3.2161485000000001</v>
      </c>
      <c r="BE282" s="10">
        <v>3.2092816000000002</v>
      </c>
      <c r="BF282" s="10">
        <v>3.2022431</v>
      </c>
      <c r="BG282" s="10">
        <v>3.1950538000000002</v>
      </c>
      <c r="BH282" s="10">
        <v>3.1877469999999999</v>
      </c>
      <c r="BI282" s="10">
        <v>3.1803564999999998</v>
      </c>
      <c r="BJ282" s="10">
        <v>3.1729156000000001</v>
      </c>
      <c r="BK282" s="10">
        <v>3.1654580000000001</v>
      </c>
      <c r="BL282" s="10">
        <v>3.1580173</v>
      </c>
      <c r="BM282" s="10">
        <v>3.1506267999999999</v>
      </c>
      <c r="BN282" s="10">
        <v>3.1433201999999998</v>
      </c>
      <c r="BO282" s="10">
        <v>3.1361311000000001</v>
      </c>
      <c r="BP282" s="10">
        <v>3.1290928999999998</v>
      </c>
      <c r="BQ282" s="10">
        <v>3.1222392000000001</v>
      </c>
      <c r="BR282" s="10">
        <v>3.0861379000000002</v>
      </c>
      <c r="BS282" s="10">
        <v>3.0606909</v>
      </c>
      <c r="BU282" s="7">
        <v>3.48</v>
      </c>
      <c r="BV282" s="7">
        <v>3.37</v>
      </c>
      <c r="BW282" s="9">
        <v>78.881600000000006</v>
      </c>
    </row>
    <row r="283" spans="1:75" x14ac:dyDescent="0.25">
      <c r="A283" s="6">
        <f t="shared" si="29"/>
        <v>44949</v>
      </c>
      <c r="B283" s="13">
        <f t="shared" si="24"/>
        <v>1</v>
      </c>
      <c r="C283" s="13">
        <f t="shared" si="25"/>
        <v>2023</v>
      </c>
      <c r="D283">
        <f t="shared" si="26"/>
        <v>202301</v>
      </c>
      <c r="E283">
        <f t="shared" si="27"/>
        <v>1</v>
      </c>
      <c r="F283">
        <f t="shared" si="28"/>
        <v>202301</v>
      </c>
      <c r="G283" t="s">
        <v>470</v>
      </c>
      <c r="H283" s="9">
        <v>3.5</v>
      </c>
      <c r="I283" s="9">
        <v>3.4277000000000002</v>
      </c>
      <c r="J283" s="10">
        <v>3.8913340999999999</v>
      </c>
      <c r="K283" s="10">
        <v>4.0537701000000004</v>
      </c>
      <c r="L283" s="10">
        <v>4.2203315999999997</v>
      </c>
      <c r="M283" s="10">
        <v>4.3477959000000004</v>
      </c>
      <c r="N283" s="10">
        <v>4.4292562000000002</v>
      </c>
      <c r="O283" s="10">
        <v>4.4685734999999998</v>
      </c>
      <c r="P283" s="10">
        <v>4.4739298999999999</v>
      </c>
      <c r="Q283" s="10">
        <v>4.4534995000000004</v>
      </c>
      <c r="R283" s="10">
        <v>4.4136664000000003</v>
      </c>
      <c r="S283" s="10">
        <v>4.3602454000000002</v>
      </c>
      <c r="T283" s="10">
        <v>4.2972891000000004</v>
      </c>
      <c r="U283" s="10">
        <v>4.2283518000000004</v>
      </c>
      <c r="V283" s="10">
        <v>4.1567670999999997</v>
      </c>
      <c r="W283" s="10">
        <v>4.0842343000000003</v>
      </c>
      <c r="X283" s="10">
        <v>4.0120237000000003</v>
      </c>
      <c r="Y283" s="10">
        <v>3.9414052000000002</v>
      </c>
      <c r="Z283" s="10">
        <v>3.8736492</v>
      </c>
      <c r="AA283" s="10">
        <v>3.8100258</v>
      </c>
      <c r="AB283" s="10">
        <v>3.7515318</v>
      </c>
      <c r="AC283" s="10">
        <v>3.6981237</v>
      </c>
      <c r="AD283" s="10">
        <v>3.6495101999999999</v>
      </c>
      <c r="AE283" s="10">
        <v>3.6053999999999999</v>
      </c>
      <c r="AF283" s="10">
        <v>3.5655020999999998</v>
      </c>
      <c r="AG283" s="10">
        <v>3.5295250999999999</v>
      </c>
      <c r="AH283" s="10">
        <v>3.4971796999999998</v>
      </c>
      <c r="AI283" s="10">
        <v>3.4681839999999999</v>
      </c>
      <c r="AJ283" s="10">
        <v>3.4422584999999999</v>
      </c>
      <c r="AK283" s="10">
        <v>3.4191237999999999</v>
      </c>
      <c r="AL283" s="10">
        <v>3.3985002999999998</v>
      </c>
      <c r="AM283" s="10">
        <v>3.3801082999999998</v>
      </c>
      <c r="AN283" s="10">
        <v>3.3636683999999999</v>
      </c>
      <c r="AO283" s="10">
        <v>3.3489011</v>
      </c>
      <c r="AP283" s="10">
        <v>3.3355267</v>
      </c>
      <c r="AQ283" s="10">
        <v>3.3232656999999999</v>
      </c>
      <c r="AR283" s="10">
        <v>3.3118386000000002</v>
      </c>
      <c r="AS283" s="10">
        <v>3.3009659</v>
      </c>
      <c r="AT283" s="10">
        <v>3.2904068999999998</v>
      </c>
      <c r="AU283" s="10">
        <v>3.2800935999999998</v>
      </c>
      <c r="AV283" s="10">
        <v>3.2700052999999998</v>
      </c>
      <c r="AW283" s="10">
        <v>3.2601214000000001</v>
      </c>
      <c r="AX283" s="10">
        <v>3.2504213000000002</v>
      </c>
      <c r="AY283" s="10">
        <v>3.2408842999999998</v>
      </c>
      <c r="AZ283" s="10">
        <v>3.2314897999999999</v>
      </c>
      <c r="BA283" s="10">
        <v>3.2222170999999999</v>
      </c>
      <c r="BB283" s="10">
        <v>3.2130458000000002</v>
      </c>
      <c r="BC283" s="10">
        <v>3.2039550000000001</v>
      </c>
      <c r="BD283" s="10">
        <v>3.1949242999999998</v>
      </c>
      <c r="BE283" s="10">
        <v>3.1859329000000001</v>
      </c>
      <c r="BF283" s="10">
        <v>3.1769661999999999</v>
      </c>
      <c r="BG283" s="10">
        <v>3.1680413000000001</v>
      </c>
      <c r="BH283" s="10">
        <v>3.1591860999999999</v>
      </c>
      <c r="BI283" s="10">
        <v>3.1504283000000002</v>
      </c>
      <c r="BJ283" s="10">
        <v>3.1417959999999998</v>
      </c>
      <c r="BK283" s="10">
        <v>3.1333167999999998</v>
      </c>
      <c r="BL283" s="10">
        <v>3.1250187999999999</v>
      </c>
      <c r="BM283" s="10">
        <v>3.1169296000000002</v>
      </c>
      <c r="BN283" s="10">
        <v>3.1090772000000002</v>
      </c>
      <c r="BO283" s="10">
        <v>3.1014894000000002</v>
      </c>
      <c r="BP283" s="10">
        <v>3.0941941000000002</v>
      </c>
      <c r="BQ283" s="10">
        <v>3.0872190000000002</v>
      </c>
      <c r="BR283" s="10">
        <v>3.0529185000000001</v>
      </c>
      <c r="BS283" s="10">
        <v>3.0326498000000002</v>
      </c>
      <c r="BU283" s="7">
        <v>3.45</v>
      </c>
      <c r="BV283" s="7">
        <v>3.36</v>
      </c>
      <c r="BW283" s="9">
        <v>78.776799999999994</v>
      </c>
    </row>
    <row r="284" spans="1:75" x14ac:dyDescent="0.25">
      <c r="A284" s="6">
        <f t="shared" si="29"/>
        <v>44950</v>
      </c>
      <c r="B284" s="13">
        <f t="shared" si="24"/>
        <v>1</v>
      </c>
      <c r="C284" s="13">
        <f t="shared" si="25"/>
        <v>2023</v>
      </c>
      <c r="D284">
        <f t="shared" si="26"/>
        <v>202301</v>
      </c>
      <c r="E284">
        <f t="shared" si="27"/>
        <v>1</v>
      </c>
      <c r="F284">
        <f t="shared" si="28"/>
        <v>202301</v>
      </c>
      <c r="G284" t="s">
        <v>471</v>
      </c>
      <c r="H284" s="9">
        <v>3.5</v>
      </c>
      <c r="I284" s="9">
        <v>3.4281000000000001</v>
      </c>
      <c r="J284" s="10">
        <v>3.8832217</v>
      </c>
      <c r="K284" s="10">
        <v>4.0379773999999999</v>
      </c>
      <c r="L284" s="10">
        <v>4.1937648000000003</v>
      </c>
      <c r="M284" s="10">
        <v>4.3133792</v>
      </c>
      <c r="N284" s="10">
        <v>4.3901056000000001</v>
      </c>
      <c r="O284" s="10">
        <v>4.4281531999999997</v>
      </c>
      <c r="P284" s="10">
        <v>4.4331031000000003</v>
      </c>
      <c r="Q284" s="10">
        <v>4.4123741000000001</v>
      </c>
      <c r="R284" s="10">
        <v>4.3719371999999996</v>
      </c>
      <c r="S284" s="10">
        <v>4.3172626000000003</v>
      </c>
      <c r="T284" s="10">
        <v>4.2522758999999999</v>
      </c>
      <c r="U284" s="10">
        <v>4.1803933999999998</v>
      </c>
      <c r="V284" s="10">
        <v>4.1049331000000002</v>
      </c>
      <c r="W284" s="10">
        <v>4.0278181000000002</v>
      </c>
      <c r="X284" s="10">
        <v>3.9505968999999999</v>
      </c>
      <c r="Y284" s="10">
        <v>3.8748181000000002</v>
      </c>
      <c r="Z284" s="10">
        <v>3.8020301999999999</v>
      </c>
      <c r="AA284" s="10">
        <v>3.7337817000000002</v>
      </c>
      <c r="AB284" s="10">
        <v>3.6712900999999998</v>
      </c>
      <c r="AC284" s="10">
        <v>3.6145127000000001</v>
      </c>
      <c r="AD284" s="10">
        <v>3.563107</v>
      </c>
      <c r="AE284" s="10">
        <v>3.5167302</v>
      </c>
      <c r="AF284" s="10">
        <v>3.4750397999999998</v>
      </c>
      <c r="AG284" s="10">
        <v>3.4376931000000002</v>
      </c>
      <c r="AH284" s="10">
        <v>3.4043534000000002</v>
      </c>
      <c r="AI284" s="10">
        <v>3.3747093000000001</v>
      </c>
      <c r="AJ284" s="10">
        <v>3.3484566</v>
      </c>
      <c r="AK284" s="10">
        <v>3.3252912000000001</v>
      </c>
      <c r="AL284" s="10">
        <v>3.3049088000000002</v>
      </c>
      <c r="AM284" s="10">
        <v>3.2870051</v>
      </c>
      <c r="AN284" s="10">
        <v>3.2712759999999999</v>
      </c>
      <c r="AO284" s="10">
        <v>3.2574173000000002</v>
      </c>
      <c r="AP284" s="10">
        <v>3.2451246999999999</v>
      </c>
      <c r="AQ284" s="10">
        <v>3.2340939999999998</v>
      </c>
      <c r="AR284" s="10">
        <v>3.2240209000000002</v>
      </c>
      <c r="AS284" s="10">
        <v>3.2146013999999998</v>
      </c>
      <c r="AT284" s="10">
        <v>3.2055649000000002</v>
      </c>
      <c r="AU284" s="10">
        <v>3.1968228999999999</v>
      </c>
      <c r="AV284" s="10">
        <v>3.188348</v>
      </c>
      <c r="AW284" s="10">
        <v>3.1801127999999999</v>
      </c>
      <c r="AX284" s="10">
        <v>3.1720898000000002</v>
      </c>
      <c r="AY284" s="10">
        <v>3.1642515000000002</v>
      </c>
      <c r="AZ284" s="10">
        <v>3.1565705999999998</v>
      </c>
      <c r="BA284" s="10">
        <v>3.1490195999999999</v>
      </c>
      <c r="BB284" s="10">
        <v>3.1415709999999999</v>
      </c>
      <c r="BC284" s="10">
        <v>3.1341975</v>
      </c>
      <c r="BD284" s="10">
        <v>3.1268715</v>
      </c>
      <c r="BE284" s="10">
        <v>3.1195656999999999</v>
      </c>
      <c r="BF284" s="10">
        <v>3.1122594000000001</v>
      </c>
      <c r="BG284" s="10">
        <v>3.1049652000000001</v>
      </c>
      <c r="BH284" s="10">
        <v>3.0977058999999998</v>
      </c>
      <c r="BI284" s="10">
        <v>3.0905041</v>
      </c>
      <c r="BJ284" s="10">
        <v>3.0833826000000002</v>
      </c>
      <c r="BK284" s="10">
        <v>3.0763639999999999</v>
      </c>
      <c r="BL284" s="10">
        <v>3.0694712000000002</v>
      </c>
      <c r="BM284" s="10">
        <v>3.0627266999999998</v>
      </c>
      <c r="BN284" s="10">
        <v>3.0561533999999999</v>
      </c>
      <c r="BO284" s="10">
        <v>3.0497738999999999</v>
      </c>
      <c r="BP284" s="10">
        <v>3.0436109999999998</v>
      </c>
      <c r="BQ284" s="10">
        <v>3.0376873</v>
      </c>
      <c r="BR284" s="10">
        <v>3.0079170999999998</v>
      </c>
      <c r="BS284" s="10">
        <v>2.9893017</v>
      </c>
      <c r="BU284" s="7">
        <v>3.36</v>
      </c>
      <c r="BV284" s="7">
        <v>3.28</v>
      </c>
      <c r="BW284" s="9">
        <v>78.386799999999994</v>
      </c>
    </row>
    <row r="285" spans="1:75" x14ac:dyDescent="0.25">
      <c r="A285" s="6">
        <f t="shared" si="29"/>
        <v>44951</v>
      </c>
      <c r="B285" s="13">
        <f t="shared" si="24"/>
        <v>1</v>
      </c>
      <c r="C285" s="13">
        <f t="shared" si="25"/>
        <v>2023</v>
      </c>
      <c r="D285">
        <f t="shared" si="26"/>
        <v>202301</v>
      </c>
      <c r="E285">
        <f t="shared" si="27"/>
        <v>1</v>
      </c>
      <c r="F285">
        <f t="shared" si="28"/>
        <v>202301</v>
      </c>
      <c r="G285" t="s">
        <v>472</v>
      </c>
      <c r="H285" s="9">
        <v>3.5</v>
      </c>
      <c r="I285" s="9">
        <v>3.4279000000000002</v>
      </c>
      <c r="J285" s="10">
        <v>3.8884623</v>
      </c>
      <c r="K285" s="10">
        <v>4.0375541999999998</v>
      </c>
      <c r="L285" s="10">
        <v>4.1824234999999996</v>
      </c>
      <c r="M285" s="10">
        <v>4.2901924999999999</v>
      </c>
      <c r="N285" s="10">
        <v>4.3539618000000004</v>
      </c>
      <c r="O285" s="10">
        <v>4.3778585999999997</v>
      </c>
      <c r="P285" s="10">
        <v>4.3695439</v>
      </c>
      <c r="Q285" s="10">
        <v>4.3374569999999997</v>
      </c>
      <c r="R285" s="10">
        <v>4.2883797000000001</v>
      </c>
      <c r="S285" s="10">
        <v>4.2274485000000004</v>
      </c>
      <c r="T285" s="10">
        <v>4.1585003</v>
      </c>
      <c r="U285" s="10">
        <v>4.0842596000000002</v>
      </c>
      <c r="V285" s="10">
        <v>4.0075130000000003</v>
      </c>
      <c r="W285" s="10">
        <v>3.9299734000000002</v>
      </c>
      <c r="X285" s="10">
        <v>3.8530351</v>
      </c>
      <c r="Y285" s="10">
        <v>3.7780920999999998</v>
      </c>
      <c r="Z285" s="10">
        <v>3.7065386999999999</v>
      </c>
      <c r="AA285" s="10">
        <v>3.6397688000000001</v>
      </c>
      <c r="AB285" s="10">
        <v>3.5788722000000002</v>
      </c>
      <c r="AC285" s="10">
        <v>3.5237786</v>
      </c>
      <c r="AD285" s="10">
        <v>3.4741420000000001</v>
      </c>
      <c r="AE285" s="10">
        <v>3.4296161999999999</v>
      </c>
      <c r="AF285" s="10">
        <v>3.3898551000000001</v>
      </c>
      <c r="AG285" s="10">
        <v>3.3545126000000001</v>
      </c>
      <c r="AH285" s="10">
        <v>3.3232458999999999</v>
      </c>
      <c r="AI285" s="10">
        <v>3.2957299999999998</v>
      </c>
      <c r="AJ285" s="10">
        <v>3.2716455</v>
      </c>
      <c r="AK285" s="10">
        <v>3.2506735</v>
      </c>
      <c r="AL285" s="10">
        <v>3.2324947000000002</v>
      </c>
      <c r="AM285" s="10">
        <v>3.21679</v>
      </c>
      <c r="AN285" s="10">
        <v>3.2032400999999999</v>
      </c>
      <c r="AO285" s="10">
        <v>3.1915260999999999</v>
      </c>
      <c r="AP285" s="10">
        <v>3.1813286999999999</v>
      </c>
      <c r="AQ285" s="10">
        <v>3.1723287</v>
      </c>
      <c r="AR285" s="10">
        <v>3.1642070000000002</v>
      </c>
      <c r="AS285" s="10">
        <v>3.1566445000000001</v>
      </c>
      <c r="AT285" s="10">
        <v>3.1493623999999998</v>
      </c>
      <c r="AU285" s="10">
        <v>3.1422783000000001</v>
      </c>
      <c r="AV285" s="10">
        <v>3.13537</v>
      </c>
      <c r="AW285" s="10">
        <v>3.1286151000000002</v>
      </c>
      <c r="AX285" s="10">
        <v>3.1219912000000001</v>
      </c>
      <c r="AY285" s="10">
        <v>3.1154760000000001</v>
      </c>
      <c r="AZ285" s="10">
        <v>3.1090471000000002</v>
      </c>
      <c r="BA285" s="10">
        <v>3.1026821</v>
      </c>
      <c r="BB285" s="10">
        <v>3.0963587000000001</v>
      </c>
      <c r="BC285" s="10">
        <v>3.0900544999999999</v>
      </c>
      <c r="BD285" s="10">
        <v>3.0837471999999999</v>
      </c>
      <c r="BE285" s="10">
        <v>3.0774143</v>
      </c>
      <c r="BF285" s="10">
        <v>3.0710405999999999</v>
      </c>
      <c r="BG285" s="10">
        <v>3.0646414000000002</v>
      </c>
      <c r="BH285" s="10">
        <v>3.0582410000000002</v>
      </c>
      <c r="BI285" s="10">
        <v>3.0518633999999998</v>
      </c>
      <c r="BJ285" s="10">
        <v>3.0455325000000002</v>
      </c>
      <c r="BK285" s="10">
        <v>3.0392725</v>
      </c>
      <c r="BL285" s="10">
        <v>3.0331074</v>
      </c>
      <c r="BM285" s="10">
        <v>3.0270613000000002</v>
      </c>
      <c r="BN285" s="10">
        <v>3.0211581999999999</v>
      </c>
      <c r="BO285" s="10">
        <v>3.0154222000000002</v>
      </c>
      <c r="BP285" s="10">
        <v>3.0098774000000001</v>
      </c>
      <c r="BQ285" s="10">
        <v>3.0045476999999998</v>
      </c>
      <c r="BR285" s="10">
        <v>2.977827</v>
      </c>
      <c r="BS285" s="10">
        <v>2.9612232000000001</v>
      </c>
      <c r="BU285" s="7">
        <v>3.41</v>
      </c>
      <c r="BV285" s="7">
        <v>3.24</v>
      </c>
      <c r="BW285" s="9">
        <v>78.568200000000004</v>
      </c>
    </row>
    <row r="286" spans="1:75" x14ac:dyDescent="0.25">
      <c r="A286" s="6">
        <f t="shared" si="29"/>
        <v>44952</v>
      </c>
      <c r="B286" s="13">
        <f t="shared" si="24"/>
        <v>1</v>
      </c>
      <c r="C286" s="13">
        <f t="shared" si="25"/>
        <v>2023</v>
      </c>
      <c r="D286">
        <f t="shared" si="26"/>
        <v>202301</v>
      </c>
      <c r="E286">
        <f t="shared" si="27"/>
        <v>1</v>
      </c>
      <c r="F286">
        <f t="shared" si="28"/>
        <v>202301</v>
      </c>
      <c r="G286" t="s">
        <v>473</v>
      </c>
      <c r="H286" s="9">
        <v>3.5</v>
      </c>
      <c r="I286" s="9">
        <v>3.4278</v>
      </c>
      <c r="J286" s="10">
        <v>3.8951970999999999</v>
      </c>
      <c r="K286" s="10">
        <v>4.0462787999999996</v>
      </c>
      <c r="L286" s="10">
        <v>4.1894362000000003</v>
      </c>
      <c r="M286" s="10">
        <v>4.293666</v>
      </c>
      <c r="N286" s="10">
        <v>4.3550082000000003</v>
      </c>
      <c r="O286" s="10">
        <v>4.3788878999999996</v>
      </c>
      <c r="P286" s="10">
        <v>4.3738025</v>
      </c>
      <c r="Q286" s="10">
        <v>4.3471617</v>
      </c>
      <c r="R286" s="10">
        <v>4.3048200000000003</v>
      </c>
      <c r="S286" s="10">
        <v>4.2511619999999999</v>
      </c>
      <c r="T286" s="10">
        <v>4.1894353000000004</v>
      </c>
      <c r="U286" s="10">
        <v>4.1220695999999997</v>
      </c>
      <c r="V286" s="10">
        <v>4.0512471999999997</v>
      </c>
      <c r="W286" s="10">
        <v>3.9785770999999999</v>
      </c>
      <c r="X286" s="10">
        <v>3.9055195</v>
      </c>
      <c r="Y286" s="10">
        <v>3.8335347999999998</v>
      </c>
      <c r="Z286" s="10">
        <v>3.7640832999999998</v>
      </c>
      <c r="AA286" s="10">
        <v>3.6986251999999999</v>
      </c>
      <c r="AB286" s="10">
        <v>3.6383326</v>
      </c>
      <c r="AC286" s="10">
        <v>3.5832803000000002</v>
      </c>
      <c r="AD286" s="10">
        <v>3.5332818000000001</v>
      </c>
      <c r="AE286" s="10">
        <v>3.4881506999999998</v>
      </c>
      <c r="AF286" s="10">
        <v>3.4477004999999998</v>
      </c>
      <c r="AG286" s="10">
        <v>3.4117448000000001</v>
      </c>
      <c r="AH286" s="10">
        <v>3.3800762</v>
      </c>
      <c r="AI286" s="10">
        <v>3.3523852000000001</v>
      </c>
      <c r="AJ286" s="10">
        <v>3.3283311000000002</v>
      </c>
      <c r="AK286" s="10">
        <v>3.3075732000000002</v>
      </c>
      <c r="AL286" s="10">
        <v>3.2897709000000002</v>
      </c>
      <c r="AM286" s="10">
        <v>3.2745836000000001</v>
      </c>
      <c r="AN286" s="10">
        <v>3.2616706</v>
      </c>
      <c r="AO286" s="10">
        <v>3.2506911999999999</v>
      </c>
      <c r="AP286" s="10">
        <v>3.2413048999999998</v>
      </c>
      <c r="AQ286" s="10">
        <v>3.2331709000000002</v>
      </c>
      <c r="AR286" s="10">
        <v>3.2259484999999999</v>
      </c>
      <c r="AS286" s="10">
        <v>3.2192973</v>
      </c>
      <c r="AT286" s="10">
        <v>3.2129234000000002</v>
      </c>
      <c r="AU286" s="10">
        <v>3.2067404000000002</v>
      </c>
      <c r="AV286" s="10">
        <v>3.2007192</v>
      </c>
      <c r="AW286" s="10">
        <v>3.1948306</v>
      </c>
      <c r="AX286" s="10">
        <v>3.1890453999999999</v>
      </c>
      <c r="AY286" s="10">
        <v>3.1833344000000001</v>
      </c>
      <c r="AZ286" s="10">
        <v>3.1776683999999999</v>
      </c>
      <c r="BA286" s="10">
        <v>3.1720180999999998</v>
      </c>
      <c r="BB286" s="10">
        <v>3.1663545000000002</v>
      </c>
      <c r="BC286" s="10">
        <v>3.1606483000000001</v>
      </c>
      <c r="BD286" s="10">
        <v>3.1548702999999998</v>
      </c>
      <c r="BE286" s="10">
        <v>3.1489913999999999</v>
      </c>
      <c r="BF286" s="10">
        <v>3.1429903000000001</v>
      </c>
      <c r="BG286" s="10">
        <v>3.1368809999999998</v>
      </c>
      <c r="BH286" s="10">
        <v>3.1306873</v>
      </c>
      <c r="BI286" s="10">
        <v>3.1244329999999998</v>
      </c>
      <c r="BJ286" s="10">
        <v>3.1181416999999998</v>
      </c>
      <c r="BK286" s="10">
        <v>3.1118372000000001</v>
      </c>
      <c r="BL286" s="10">
        <v>3.1055432999999999</v>
      </c>
      <c r="BM286" s="10">
        <v>3.0992837999999998</v>
      </c>
      <c r="BN286" s="10">
        <v>3.0930822</v>
      </c>
      <c r="BO286" s="10">
        <v>3.0869624999999998</v>
      </c>
      <c r="BP286" s="10">
        <v>3.0809484</v>
      </c>
      <c r="BQ286" s="10">
        <v>3.0750635000000002</v>
      </c>
      <c r="BR286" s="10">
        <v>3.0433802000000001</v>
      </c>
      <c r="BS286" s="10">
        <v>3.0197927</v>
      </c>
      <c r="BU286" s="7">
        <v>3.43</v>
      </c>
      <c r="BV286" s="7">
        <v>3.3</v>
      </c>
      <c r="BW286" s="9">
        <v>78.717100000000002</v>
      </c>
    </row>
    <row r="287" spans="1:75" x14ac:dyDescent="0.25">
      <c r="A287" s="6">
        <f t="shared" si="29"/>
        <v>44953</v>
      </c>
      <c r="B287" s="13">
        <f t="shared" si="24"/>
        <v>1</v>
      </c>
      <c r="C287" s="13">
        <f t="shared" si="25"/>
        <v>2023</v>
      </c>
      <c r="D287">
        <f t="shared" si="26"/>
        <v>202301</v>
      </c>
      <c r="E287">
        <f t="shared" si="27"/>
        <v>1</v>
      </c>
      <c r="F287">
        <f t="shared" si="28"/>
        <v>202301</v>
      </c>
      <c r="G287" t="s">
        <v>474</v>
      </c>
      <c r="H287" s="9">
        <v>3.5</v>
      </c>
      <c r="I287" s="9">
        <v>3.4278</v>
      </c>
      <c r="J287" s="10">
        <v>3.8979032999999998</v>
      </c>
      <c r="K287" s="10">
        <v>4.0545366999999999</v>
      </c>
      <c r="L287" s="10">
        <v>4.2025024999999996</v>
      </c>
      <c r="M287" s="10">
        <v>4.3108712999999996</v>
      </c>
      <c r="N287" s="10">
        <v>4.3743869000000002</v>
      </c>
      <c r="O287" s="10">
        <v>4.3996712999999996</v>
      </c>
      <c r="P287" s="10">
        <v>4.3952033000000004</v>
      </c>
      <c r="Q287" s="10">
        <v>4.3688219000000004</v>
      </c>
      <c r="R287" s="10">
        <v>4.3268534000000001</v>
      </c>
      <c r="S287" s="10">
        <v>4.2740327999999996</v>
      </c>
      <c r="T287" s="10">
        <v>4.2136718999999996</v>
      </c>
      <c r="U287" s="10">
        <v>4.1482315999999999</v>
      </c>
      <c r="V287" s="10">
        <v>4.0795101000000003</v>
      </c>
      <c r="W287" s="10">
        <v>4.0089937000000004</v>
      </c>
      <c r="X287" s="10">
        <v>3.9381099000000002</v>
      </c>
      <c r="Y287" s="10">
        <v>3.8682864000000001</v>
      </c>
      <c r="Z287" s="10">
        <v>3.8009507</v>
      </c>
      <c r="AA287" s="10">
        <v>3.7375305000000001</v>
      </c>
      <c r="AB287" s="10">
        <v>3.6792113</v>
      </c>
      <c r="AC287" s="10">
        <v>3.6260560000000002</v>
      </c>
      <c r="AD287" s="10">
        <v>3.5778021</v>
      </c>
      <c r="AE287" s="10">
        <v>3.5341871</v>
      </c>
      <c r="AF287" s="10">
        <v>3.4949484000000002</v>
      </c>
      <c r="AG287" s="10">
        <v>3.4598236</v>
      </c>
      <c r="AH287" s="10">
        <v>3.4285450000000002</v>
      </c>
      <c r="AI287" s="10">
        <v>3.4008231000000002</v>
      </c>
      <c r="AJ287" s="10">
        <v>3.3763618000000002</v>
      </c>
      <c r="AK287" s="10">
        <v>3.3548656000000001</v>
      </c>
      <c r="AL287" s="10">
        <v>3.3360384999999999</v>
      </c>
      <c r="AM287" s="10">
        <v>3.3195847000000001</v>
      </c>
      <c r="AN287" s="10">
        <v>3.3052084000000002</v>
      </c>
      <c r="AO287" s="10">
        <v>3.2926137999999998</v>
      </c>
      <c r="AP287" s="10">
        <v>3.2815051</v>
      </c>
      <c r="AQ287" s="10">
        <v>3.2715863999999999</v>
      </c>
      <c r="AR287" s="10">
        <v>3.2625620999999998</v>
      </c>
      <c r="AS287" s="10">
        <v>3.2541361000000002</v>
      </c>
      <c r="AT287" s="10">
        <v>3.2460534000000001</v>
      </c>
      <c r="AU287" s="10">
        <v>3.2382374999999999</v>
      </c>
      <c r="AV287" s="10">
        <v>3.2306617000000002</v>
      </c>
      <c r="AW287" s="10">
        <v>3.2232991000000002</v>
      </c>
      <c r="AX287" s="10">
        <v>3.2161228999999998</v>
      </c>
      <c r="AY287" s="10">
        <v>3.2091059999999998</v>
      </c>
      <c r="AZ287" s="10">
        <v>3.2022217999999998</v>
      </c>
      <c r="BA287" s="10">
        <v>3.1954433</v>
      </c>
      <c r="BB287" s="10">
        <v>3.1887436999999998</v>
      </c>
      <c r="BC287" s="10">
        <v>3.1820960999999999</v>
      </c>
      <c r="BD287" s="10">
        <v>3.1754736000000001</v>
      </c>
      <c r="BE287" s="10">
        <v>3.1688494</v>
      </c>
      <c r="BF287" s="10">
        <v>3.1622037000000001</v>
      </c>
      <c r="BG287" s="10">
        <v>3.1555485000000001</v>
      </c>
      <c r="BH287" s="10">
        <v>3.1489042</v>
      </c>
      <c r="BI287" s="10">
        <v>3.1422914</v>
      </c>
      <c r="BJ287" s="10">
        <v>3.1357308000000002</v>
      </c>
      <c r="BK287" s="10">
        <v>3.1292428000000001</v>
      </c>
      <c r="BL287" s="10">
        <v>3.1228479999999998</v>
      </c>
      <c r="BM287" s="10">
        <v>3.1165669999999999</v>
      </c>
      <c r="BN287" s="10">
        <v>3.1104204000000002</v>
      </c>
      <c r="BO287" s="10">
        <v>3.1044287000000002</v>
      </c>
      <c r="BP287" s="10">
        <v>3.0986123999999999</v>
      </c>
      <c r="BQ287" s="10">
        <v>3.0929921</v>
      </c>
      <c r="BR287" s="10">
        <v>3.0641357</v>
      </c>
      <c r="BS287" s="10">
        <v>3.0450726000000001</v>
      </c>
      <c r="BU287" s="7">
        <v>3.48</v>
      </c>
      <c r="BV287" s="7">
        <v>3.33</v>
      </c>
      <c r="BW287" s="9">
        <v>78.767499999999998</v>
      </c>
    </row>
    <row r="288" spans="1:75" x14ac:dyDescent="0.25">
      <c r="A288" s="6">
        <f t="shared" si="29"/>
        <v>44956</v>
      </c>
      <c r="B288" s="13">
        <f t="shared" si="24"/>
        <v>1</v>
      </c>
      <c r="C288" s="13">
        <f t="shared" si="25"/>
        <v>2023</v>
      </c>
      <c r="D288">
        <f t="shared" si="26"/>
        <v>202301</v>
      </c>
      <c r="E288">
        <f t="shared" si="27"/>
        <v>1</v>
      </c>
      <c r="F288">
        <f t="shared" si="28"/>
        <v>202301</v>
      </c>
      <c r="G288" t="s">
        <v>475</v>
      </c>
      <c r="H288" s="9">
        <v>3.5</v>
      </c>
      <c r="I288" s="9">
        <v>3.4281000000000001</v>
      </c>
      <c r="J288" s="10">
        <v>3.9072355999999999</v>
      </c>
      <c r="K288" s="10">
        <v>4.0719209999999997</v>
      </c>
      <c r="L288" s="10">
        <v>4.2227877999999999</v>
      </c>
      <c r="M288" s="10">
        <v>4.3311773999999996</v>
      </c>
      <c r="N288" s="10">
        <v>4.3931956999999997</v>
      </c>
      <c r="O288" s="10">
        <v>4.4156943000000002</v>
      </c>
      <c r="P288" s="10">
        <v>4.4088799999999999</v>
      </c>
      <c r="Q288" s="10">
        <v>4.3812812000000001</v>
      </c>
      <c r="R288" s="10">
        <v>4.3387203000000003</v>
      </c>
      <c r="S288" s="10">
        <v>4.2860196999999998</v>
      </c>
      <c r="T288" s="10">
        <v>4.2264857999999998</v>
      </c>
      <c r="U288" s="10">
        <v>4.1627422999999997</v>
      </c>
      <c r="V288" s="10">
        <v>4.0971279999999997</v>
      </c>
      <c r="W288" s="10">
        <v>4.0309460000000001</v>
      </c>
      <c r="X288" s="10">
        <v>3.9652352999999998</v>
      </c>
      <c r="Y288" s="10">
        <v>3.9010343999999999</v>
      </c>
      <c r="Z288" s="10">
        <v>3.8393823</v>
      </c>
      <c r="AA288" s="10">
        <v>3.7813176999999998</v>
      </c>
      <c r="AB288" s="10">
        <v>3.7276563</v>
      </c>
      <c r="AC288" s="10">
        <v>3.6783641999999999</v>
      </c>
      <c r="AD288" s="10">
        <v>3.6332053000000002</v>
      </c>
      <c r="AE288" s="10">
        <v>3.5919436999999999</v>
      </c>
      <c r="AF288" s="10">
        <v>3.5543431999999999</v>
      </c>
      <c r="AG288" s="10">
        <v>3.5201679000000001</v>
      </c>
      <c r="AH288" s="10">
        <v>3.4891812</v>
      </c>
      <c r="AI288" s="10">
        <v>3.4611445000000001</v>
      </c>
      <c r="AJ288" s="10">
        <v>3.4358186000000002</v>
      </c>
      <c r="AK288" s="10">
        <v>3.4129643000000001</v>
      </c>
      <c r="AL288" s="10">
        <v>3.3923423000000001</v>
      </c>
      <c r="AM288" s="10">
        <v>3.3737134000000002</v>
      </c>
      <c r="AN288" s="10">
        <v>3.3568384999999998</v>
      </c>
      <c r="AO288" s="10">
        <v>3.3414782000000001</v>
      </c>
      <c r="AP288" s="10">
        <v>3.3273934999999999</v>
      </c>
      <c r="AQ288" s="10">
        <v>3.3143449999999999</v>
      </c>
      <c r="AR288" s="10">
        <v>3.3020934999999998</v>
      </c>
      <c r="AS288" s="10">
        <v>3.2903999000000002</v>
      </c>
      <c r="AT288" s="10">
        <v>3.2790591999999998</v>
      </c>
      <c r="AU288" s="10">
        <v>3.2680172000000001</v>
      </c>
      <c r="AV288" s="10">
        <v>3.2572616999999999</v>
      </c>
      <c r="AW288" s="10">
        <v>3.2467803000000002</v>
      </c>
      <c r="AX288" s="10">
        <v>3.2365605999999998</v>
      </c>
      <c r="AY288" s="10">
        <v>3.2265902999999998</v>
      </c>
      <c r="AZ288" s="10">
        <v>3.2168570000000001</v>
      </c>
      <c r="BA288" s="10">
        <v>3.2073483</v>
      </c>
      <c r="BB288" s="10">
        <v>3.1980520000000001</v>
      </c>
      <c r="BC288" s="10">
        <v>3.1889555999999999</v>
      </c>
      <c r="BD288" s="10">
        <v>3.1800467000000001</v>
      </c>
      <c r="BE288" s="10">
        <v>3.1713130999999999</v>
      </c>
      <c r="BF288" s="10">
        <v>3.1627459</v>
      </c>
      <c r="BG288" s="10">
        <v>3.1543554</v>
      </c>
      <c r="BH288" s="10">
        <v>3.1461584</v>
      </c>
      <c r="BI288" s="10">
        <v>3.1381714999999999</v>
      </c>
      <c r="BJ288" s="10">
        <v>3.1304116</v>
      </c>
      <c r="BK288" s="10">
        <v>3.1228953000000002</v>
      </c>
      <c r="BL288" s="10">
        <v>3.1156392999999998</v>
      </c>
      <c r="BM288" s="10">
        <v>3.1086605</v>
      </c>
      <c r="BN288" s="10">
        <v>3.1019755</v>
      </c>
      <c r="BO288" s="10">
        <v>3.0956009999999998</v>
      </c>
      <c r="BP288" s="10">
        <v>3.0895538</v>
      </c>
      <c r="BQ288" s="10">
        <v>3.0838505999999999</v>
      </c>
      <c r="BR288" s="10">
        <v>3.0571750999999998</v>
      </c>
      <c r="BS288" s="10">
        <v>3.0433115000000002</v>
      </c>
      <c r="BU288" s="7">
        <v>3.47</v>
      </c>
      <c r="BV288" s="7">
        <v>3.35</v>
      </c>
      <c r="BW288" s="9">
        <v>78.787400000000005</v>
      </c>
    </row>
    <row r="289" spans="1:75" x14ac:dyDescent="0.25">
      <c r="A289" s="6">
        <f t="shared" si="29"/>
        <v>44957</v>
      </c>
      <c r="B289" s="13">
        <f t="shared" si="24"/>
        <v>1</v>
      </c>
      <c r="C289" s="13">
        <f t="shared" si="25"/>
        <v>2023</v>
      </c>
      <c r="D289">
        <f t="shared" si="26"/>
        <v>202301</v>
      </c>
      <c r="E289">
        <f t="shared" si="27"/>
        <v>1</v>
      </c>
      <c r="F289">
        <f t="shared" si="28"/>
        <v>202301</v>
      </c>
      <c r="G289" t="s">
        <v>476</v>
      </c>
      <c r="H289" s="9">
        <v>3.5</v>
      </c>
      <c r="I289" s="9">
        <v>3.4268999999999998</v>
      </c>
      <c r="J289" s="10">
        <v>3.9042490999999999</v>
      </c>
      <c r="K289" s="10">
        <v>4.0639038000000003</v>
      </c>
      <c r="L289" s="10">
        <v>4.2097613000000003</v>
      </c>
      <c r="M289" s="10">
        <v>4.3142776999999999</v>
      </c>
      <c r="N289" s="10">
        <v>4.3739404000000004</v>
      </c>
      <c r="O289" s="10">
        <v>4.3950443999999997</v>
      </c>
      <c r="P289" s="10">
        <v>4.3874057000000004</v>
      </c>
      <c r="Q289" s="10">
        <v>4.3590277000000004</v>
      </c>
      <c r="R289" s="10">
        <v>4.3157537000000001</v>
      </c>
      <c r="S289" s="10">
        <v>4.2622574999999996</v>
      </c>
      <c r="T289" s="10">
        <v>4.2016517000000002</v>
      </c>
      <c r="U289" s="10">
        <v>4.1364599999999996</v>
      </c>
      <c r="V289" s="10">
        <v>4.0690416999999997</v>
      </c>
      <c r="W289" s="10">
        <v>4.0008409</v>
      </c>
      <c r="X289" s="10">
        <v>3.9330628999999999</v>
      </c>
      <c r="Y289" s="10">
        <v>3.8669126999999999</v>
      </c>
      <c r="Z289" s="10">
        <v>3.8035956</v>
      </c>
      <c r="AA289" s="10">
        <v>3.7443165999999999</v>
      </c>
      <c r="AB289" s="10">
        <v>3.6900115000000002</v>
      </c>
      <c r="AC289" s="10">
        <v>3.6405899000000002</v>
      </c>
      <c r="AD289" s="10">
        <v>3.5957170999999999</v>
      </c>
      <c r="AE289" s="10">
        <v>3.5550587</v>
      </c>
      <c r="AF289" s="10">
        <v>3.5182799999999999</v>
      </c>
      <c r="AG289" s="10">
        <v>3.4850465000000002</v>
      </c>
      <c r="AH289" s="10">
        <v>3.4550380000000001</v>
      </c>
      <c r="AI289" s="10">
        <v>3.4279975</v>
      </c>
      <c r="AJ289" s="10">
        <v>3.4036856000000002</v>
      </c>
      <c r="AK289" s="10">
        <v>3.3818630000000001</v>
      </c>
      <c r="AL289" s="10">
        <v>3.3622901999999999</v>
      </c>
      <c r="AM289" s="10">
        <v>3.3447277999999998</v>
      </c>
      <c r="AN289" s="10">
        <v>3.3289363000000001</v>
      </c>
      <c r="AO289" s="10">
        <v>3.3146764000000002</v>
      </c>
      <c r="AP289" s="10">
        <v>3.3017086</v>
      </c>
      <c r="AQ289" s="10">
        <v>3.2897935</v>
      </c>
      <c r="AR289" s="10">
        <v>3.2786916000000002</v>
      </c>
      <c r="AS289" s="10">
        <v>3.2681635999999998</v>
      </c>
      <c r="AT289" s="10">
        <v>3.2579977000000002</v>
      </c>
      <c r="AU289" s="10">
        <v>3.2481303000000001</v>
      </c>
      <c r="AV289" s="10">
        <v>3.2385480000000002</v>
      </c>
      <c r="AW289" s="10">
        <v>3.2292372</v>
      </c>
      <c r="AX289" s="10">
        <v>3.2201843000000001</v>
      </c>
      <c r="AY289" s="10">
        <v>3.2113757999999999</v>
      </c>
      <c r="AZ289" s="10">
        <v>3.2027980999999999</v>
      </c>
      <c r="BA289" s="10">
        <v>3.1944376999999999</v>
      </c>
      <c r="BB289" s="10">
        <v>3.1862810000000001</v>
      </c>
      <c r="BC289" s="10">
        <v>3.1783144999999999</v>
      </c>
      <c r="BD289" s="10">
        <v>3.1705245999999998</v>
      </c>
      <c r="BE289" s="10">
        <v>3.1628976999999998</v>
      </c>
      <c r="BF289" s="10">
        <v>3.1554240999999998</v>
      </c>
      <c r="BG289" s="10">
        <v>3.1481118000000001</v>
      </c>
      <c r="BH289" s="10">
        <v>3.1409745</v>
      </c>
      <c r="BI289" s="10">
        <v>3.1340257999999999</v>
      </c>
      <c r="BJ289" s="10">
        <v>3.1272793000000001</v>
      </c>
      <c r="BK289" s="10">
        <v>3.1207487</v>
      </c>
      <c r="BL289" s="10">
        <v>3.1144476999999999</v>
      </c>
      <c r="BM289" s="10">
        <v>3.1083897999999999</v>
      </c>
      <c r="BN289" s="10">
        <v>3.1025885999999998</v>
      </c>
      <c r="BO289" s="10">
        <v>3.0970578999999998</v>
      </c>
      <c r="BP289" s="10">
        <v>3.0918112</v>
      </c>
      <c r="BQ289" s="10">
        <v>3.0868622000000001</v>
      </c>
      <c r="BR289" s="10">
        <v>3.0637395999999999</v>
      </c>
      <c r="BS289" s="10">
        <v>3.0520801999999998</v>
      </c>
      <c r="BU289" s="7">
        <v>3.46</v>
      </c>
      <c r="BV289" s="7">
        <v>3.34</v>
      </c>
      <c r="BW289" s="9">
        <v>78.392600000000002</v>
      </c>
    </row>
    <row r="290" spans="1:75" x14ac:dyDescent="0.25">
      <c r="A290" s="6">
        <f t="shared" si="29"/>
        <v>44958</v>
      </c>
      <c r="B290" s="13">
        <f t="shared" si="24"/>
        <v>2</v>
      </c>
      <c r="C290" s="13">
        <f t="shared" si="25"/>
        <v>2023</v>
      </c>
      <c r="D290">
        <f t="shared" si="26"/>
        <v>202302</v>
      </c>
      <c r="E290">
        <f t="shared" si="27"/>
        <v>1</v>
      </c>
      <c r="F290">
        <f t="shared" si="28"/>
        <v>202301</v>
      </c>
      <c r="G290" t="s">
        <v>477</v>
      </c>
      <c r="H290" s="9">
        <v>3.5</v>
      </c>
      <c r="I290" s="9">
        <v>3.4268000000000001</v>
      </c>
      <c r="J290" s="10">
        <v>3.9131532999999998</v>
      </c>
      <c r="K290" s="10">
        <v>4.0661383999999998</v>
      </c>
      <c r="L290" s="10">
        <v>4.1995038999999998</v>
      </c>
      <c r="M290" s="10">
        <v>4.2928670999999996</v>
      </c>
      <c r="N290" s="10">
        <v>4.3447053999999996</v>
      </c>
      <c r="O290" s="10">
        <v>4.3617751</v>
      </c>
      <c r="P290" s="10">
        <v>4.3521096999999997</v>
      </c>
      <c r="Q290" s="10">
        <v>4.3230662999999998</v>
      </c>
      <c r="R290" s="10">
        <v>4.2801809000000004</v>
      </c>
      <c r="S290" s="10">
        <v>4.2275901999999999</v>
      </c>
      <c r="T290" s="10">
        <v>4.1679722999999997</v>
      </c>
      <c r="U290" s="10">
        <v>4.1033394000000003</v>
      </c>
      <c r="V290" s="10">
        <v>4.0353604000000001</v>
      </c>
      <c r="W290" s="10">
        <v>3.9655166999999998</v>
      </c>
      <c r="X290" s="10">
        <v>3.8952585000000002</v>
      </c>
      <c r="Y290" s="10">
        <v>3.8260361999999999</v>
      </c>
      <c r="Z290" s="10">
        <v>3.7593000000000001</v>
      </c>
      <c r="AA290" s="10">
        <v>3.6964999999999999</v>
      </c>
      <c r="AB290" s="10">
        <v>3.6387939</v>
      </c>
      <c r="AC290" s="10">
        <v>3.5862250000000002</v>
      </c>
      <c r="AD290" s="10">
        <v>3.5385715000000002</v>
      </c>
      <c r="AE290" s="10">
        <v>3.4956113000000002</v>
      </c>
      <c r="AF290" s="10">
        <v>3.4571228000000001</v>
      </c>
      <c r="AG290" s="10">
        <v>3.4228839</v>
      </c>
      <c r="AH290" s="10">
        <v>3.3926601000000001</v>
      </c>
      <c r="AI290" s="10">
        <v>3.3661481000000002</v>
      </c>
      <c r="AJ290" s="10">
        <v>3.3430217</v>
      </c>
      <c r="AK290" s="10">
        <v>3.3229544</v>
      </c>
      <c r="AL290" s="10">
        <v>3.3056199999999998</v>
      </c>
      <c r="AM290" s="10">
        <v>3.2906922000000001</v>
      </c>
      <c r="AN290" s="10">
        <v>3.2778445999999999</v>
      </c>
      <c r="AO290" s="10">
        <v>3.2667510000000002</v>
      </c>
      <c r="AP290" s="10">
        <v>3.257085</v>
      </c>
      <c r="AQ290" s="10">
        <v>3.2485203</v>
      </c>
      <c r="AR290" s="10">
        <v>3.2407306</v>
      </c>
      <c r="AS290" s="10">
        <v>3.2333896000000002</v>
      </c>
      <c r="AT290" s="10">
        <v>3.2262133</v>
      </c>
      <c r="AU290" s="10">
        <v>3.2191242999999998</v>
      </c>
      <c r="AV290" s="10">
        <v>3.2121078000000001</v>
      </c>
      <c r="AW290" s="10">
        <v>3.2051490999999999</v>
      </c>
      <c r="AX290" s="10">
        <v>3.1982335000000002</v>
      </c>
      <c r="AY290" s="10">
        <v>3.1913464</v>
      </c>
      <c r="AZ290" s="10">
        <v>3.1844730000000001</v>
      </c>
      <c r="BA290" s="10">
        <v>3.1775988000000002</v>
      </c>
      <c r="BB290" s="10">
        <v>3.1707089000000002</v>
      </c>
      <c r="BC290" s="10">
        <v>3.1637887</v>
      </c>
      <c r="BD290" s="10">
        <v>3.1568234999999998</v>
      </c>
      <c r="BE290" s="10">
        <v>3.1497986</v>
      </c>
      <c r="BF290" s="10">
        <v>3.142706</v>
      </c>
      <c r="BG290" s="10">
        <v>3.135567</v>
      </c>
      <c r="BH290" s="10">
        <v>3.1284109999999998</v>
      </c>
      <c r="BI290" s="10">
        <v>3.1212675000000001</v>
      </c>
      <c r="BJ290" s="10">
        <v>3.1141657</v>
      </c>
      <c r="BK290" s="10">
        <v>3.1071352000000001</v>
      </c>
      <c r="BL290" s="10">
        <v>3.1002054000000001</v>
      </c>
      <c r="BM290" s="10">
        <v>3.0934056999999999</v>
      </c>
      <c r="BN290" s="10">
        <v>3.0867654</v>
      </c>
      <c r="BO290" s="10">
        <v>3.080314</v>
      </c>
      <c r="BP290" s="10">
        <v>3.0740810000000001</v>
      </c>
      <c r="BQ290" s="10">
        <v>3.0680955999999999</v>
      </c>
      <c r="BR290" s="10">
        <v>3.0382007</v>
      </c>
      <c r="BS290" s="10">
        <v>3.019587</v>
      </c>
      <c r="BU290" s="7">
        <v>3.41</v>
      </c>
      <c r="BV290" s="7">
        <v>3.3</v>
      </c>
      <c r="BW290" s="9">
        <v>78.241</v>
      </c>
    </row>
    <row r="291" spans="1:75" x14ac:dyDescent="0.25">
      <c r="A291" s="6">
        <f t="shared" si="29"/>
        <v>44959</v>
      </c>
      <c r="B291" s="13">
        <f t="shared" si="24"/>
        <v>2</v>
      </c>
      <c r="C291" s="13">
        <f t="shared" si="25"/>
        <v>2023</v>
      </c>
      <c r="D291">
        <f t="shared" si="26"/>
        <v>202302</v>
      </c>
      <c r="E291">
        <f t="shared" si="27"/>
        <v>1</v>
      </c>
      <c r="F291">
        <f t="shared" si="28"/>
        <v>202301</v>
      </c>
      <c r="G291" t="s">
        <v>478</v>
      </c>
      <c r="H291" s="9">
        <v>4</v>
      </c>
      <c r="I291" s="9">
        <v>3.9264999999999999</v>
      </c>
      <c r="J291" s="10">
        <v>3.9549221000000001</v>
      </c>
      <c r="K291" s="10">
        <v>4.0711189000000001</v>
      </c>
      <c r="L291" s="10">
        <v>4.1721249</v>
      </c>
      <c r="M291" s="10">
        <v>4.2397562000000004</v>
      </c>
      <c r="N291" s="10">
        <v>4.2684334000000002</v>
      </c>
      <c r="O291" s="10">
        <v>4.2604796</v>
      </c>
      <c r="P291" s="10">
        <v>4.2230464999999997</v>
      </c>
      <c r="Q291" s="10">
        <v>4.1641947999999998</v>
      </c>
      <c r="R291" s="10">
        <v>4.0915970000000002</v>
      </c>
      <c r="S291" s="10">
        <v>4.0108477999999996</v>
      </c>
      <c r="T291" s="10">
        <v>3.9260378999999999</v>
      </c>
      <c r="U291" s="10">
        <v>3.8397945</v>
      </c>
      <c r="V291" s="10">
        <v>3.7539844000000002</v>
      </c>
      <c r="W291" s="10">
        <v>3.6697822000000002</v>
      </c>
      <c r="X291" s="10">
        <v>3.5882057999999999</v>
      </c>
      <c r="Y291" s="10">
        <v>3.5102730000000002</v>
      </c>
      <c r="Z291" s="10">
        <v>3.4370018999999998</v>
      </c>
      <c r="AA291" s="10">
        <v>3.3694101999999999</v>
      </c>
      <c r="AB291" s="10">
        <v>3.3082493999999998</v>
      </c>
      <c r="AC291" s="10">
        <v>3.2532562</v>
      </c>
      <c r="AD291" s="10">
        <v>3.2039259000000002</v>
      </c>
      <c r="AE291" s="10">
        <v>3.1597537</v>
      </c>
      <c r="AF291" s="10">
        <v>3.1202350000000001</v>
      </c>
      <c r="AG291" s="10">
        <v>3.0848648999999999</v>
      </c>
      <c r="AH291" s="10">
        <v>3.0531706999999999</v>
      </c>
      <c r="AI291" s="10">
        <v>3.0248358</v>
      </c>
      <c r="AJ291" s="10">
        <v>2.9995908999999998</v>
      </c>
      <c r="AK291" s="10">
        <v>2.9771668</v>
      </c>
      <c r="AL291" s="10">
        <v>2.9572942000000002</v>
      </c>
      <c r="AM291" s="10">
        <v>2.9397039999999999</v>
      </c>
      <c r="AN291" s="10">
        <v>2.9241269000000001</v>
      </c>
      <c r="AO291" s="10">
        <v>2.9102937</v>
      </c>
      <c r="AP291" s="10">
        <v>2.8979352</v>
      </c>
      <c r="AQ291" s="10">
        <v>2.8867821</v>
      </c>
      <c r="AR291" s="10">
        <v>2.8765653000000002</v>
      </c>
      <c r="AS291" s="10">
        <v>2.8670154999999999</v>
      </c>
      <c r="AT291" s="10">
        <v>2.8579020000000002</v>
      </c>
      <c r="AU291" s="10">
        <v>2.8491632999999998</v>
      </c>
      <c r="AV291" s="10">
        <v>2.8407849000000001</v>
      </c>
      <c r="AW291" s="10">
        <v>2.8327523999999999</v>
      </c>
      <c r="AX291" s="10">
        <v>2.8250511999999999</v>
      </c>
      <c r="AY291" s="10">
        <v>2.8176668</v>
      </c>
      <c r="AZ291" s="10">
        <v>2.8105845999999999</v>
      </c>
      <c r="BA291" s="10">
        <v>2.8037899999999998</v>
      </c>
      <c r="BB291" s="10">
        <v>2.7972687000000001</v>
      </c>
      <c r="BC291" s="10">
        <v>2.7910059999999999</v>
      </c>
      <c r="BD291" s="10">
        <v>2.7849873999999999</v>
      </c>
      <c r="BE291" s="10">
        <v>2.7791983999999998</v>
      </c>
      <c r="BF291" s="10">
        <v>2.7736284000000002</v>
      </c>
      <c r="BG291" s="10">
        <v>2.7682847000000002</v>
      </c>
      <c r="BH291" s="10">
        <v>2.7631790999999999</v>
      </c>
      <c r="BI291" s="10">
        <v>2.7583237999999999</v>
      </c>
      <c r="BJ291" s="10">
        <v>2.7537308</v>
      </c>
      <c r="BK291" s="10">
        <v>2.749412</v>
      </c>
      <c r="BL291" s="10">
        <v>2.7453796000000001</v>
      </c>
      <c r="BM291" s="10">
        <v>2.7416455000000002</v>
      </c>
      <c r="BN291" s="10">
        <v>2.7382219000000001</v>
      </c>
      <c r="BO291" s="10">
        <v>2.7351206000000001</v>
      </c>
      <c r="BP291" s="10">
        <v>2.7323537</v>
      </c>
      <c r="BQ291" s="10">
        <v>2.7299332999999999</v>
      </c>
      <c r="BR291" s="10">
        <v>2.7230108999999998</v>
      </c>
      <c r="BS291" s="10">
        <v>2.7294752999999998</v>
      </c>
      <c r="BU291" s="7">
        <v>3.15</v>
      </c>
      <c r="BV291" s="7">
        <v>2.99</v>
      </c>
      <c r="BW291" s="9">
        <v>77.876800000000003</v>
      </c>
    </row>
    <row r="292" spans="1:75" x14ac:dyDescent="0.25">
      <c r="A292" s="6">
        <f t="shared" si="29"/>
        <v>44960</v>
      </c>
      <c r="B292" s="13">
        <f t="shared" si="24"/>
        <v>2</v>
      </c>
      <c r="C292" s="13">
        <f t="shared" si="25"/>
        <v>2023</v>
      </c>
      <c r="D292">
        <f t="shared" si="26"/>
        <v>202302</v>
      </c>
      <c r="E292">
        <f t="shared" si="27"/>
        <v>1</v>
      </c>
      <c r="F292">
        <f t="shared" si="28"/>
        <v>202301</v>
      </c>
      <c r="G292" t="s">
        <v>479</v>
      </c>
      <c r="H292" s="9">
        <v>4</v>
      </c>
      <c r="I292" s="9">
        <v>3.9272</v>
      </c>
      <c r="J292" s="10">
        <v>3.9585696000000001</v>
      </c>
      <c r="K292" s="10">
        <v>4.0702796000000001</v>
      </c>
      <c r="L292" s="10">
        <v>4.1675263999999999</v>
      </c>
      <c r="M292" s="10">
        <v>4.2320684000000002</v>
      </c>
      <c r="N292" s="10">
        <v>4.2599184000000001</v>
      </c>
      <c r="O292" s="10">
        <v>4.2549923999999999</v>
      </c>
      <c r="P292" s="10">
        <v>4.2234942000000002</v>
      </c>
      <c r="Q292" s="10">
        <v>4.1710355999999997</v>
      </c>
      <c r="R292" s="10">
        <v>4.1035265000000001</v>
      </c>
      <c r="S292" s="10">
        <v>4.0260197</v>
      </c>
      <c r="T292" s="10">
        <v>3.9427908</v>
      </c>
      <c r="U292" s="10">
        <v>3.8570690000000001</v>
      </c>
      <c r="V292" s="10">
        <v>3.7717032000000001</v>
      </c>
      <c r="W292" s="10">
        <v>3.6881911000000001</v>
      </c>
      <c r="X292" s="10">
        <v>3.6076085999999998</v>
      </c>
      <c r="Y292" s="10">
        <v>3.531031</v>
      </c>
      <c r="Z292" s="10">
        <v>3.4595340999999999</v>
      </c>
      <c r="AA292" s="10">
        <v>3.3941933999999998</v>
      </c>
      <c r="AB292" s="10">
        <v>3.3358390999999998</v>
      </c>
      <c r="AC292" s="10">
        <v>3.2841634000000002</v>
      </c>
      <c r="AD292" s="10">
        <v>3.2385285000000001</v>
      </c>
      <c r="AE292" s="10">
        <v>3.1982967000000002</v>
      </c>
      <c r="AF292" s="10">
        <v>3.1628305000000001</v>
      </c>
      <c r="AG292" s="10">
        <v>3.1314918999999999</v>
      </c>
      <c r="AH292" s="10">
        <v>3.1036988999999999</v>
      </c>
      <c r="AI292" s="10">
        <v>3.0791137000000002</v>
      </c>
      <c r="AJ292" s="10">
        <v>3.0574661000000001</v>
      </c>
      <c r="AK292" s="10">
        <v>3.0384861999999999</v>
      </c>
      <c r="AL292" s="10">
        <v>3.0219035999999999</v>
      </c>
      <c r="AM292" s="10">
        <v>3.0074483999999999</v>
      </c>
      <c r="AN292" s="10">
        <v>2.9948503</v>
      </c>
      <c r="AO292" s="10">
        <v>2.9838393000000001</v>
      </c>
      <c r="AP292" s="10">
        <v>2.9741450999999999</v>
      </c>
      <c r="AQ292" s="10">
        <v>2.9654976999999998</v>
      </c>
      <c r="AR292" s="10">
        <v>2.9576269000000002</v>
      </c>
      <c r="AS292" s="10">
        <v>2.9502625</v>
      </c>
      <c r="AT292" s="10">
        <v>2.9431742000000001</v>
      </c>
      <c r="AU292" s="10">
        <v>2.9363062000000002</v>
      </c>
      <c r="AV292" s="10">
        <v>2.9296513000000002</v>
      </c>
      <c r="AW292" s="10">
        <v>2.9232022</v>
      </c>
      <c r="AX292" s="10">
        <v>2.9169513999999999</v>
      </c>
      <c r="AY292" s="10">
        <v>2.9108917999999999</v>
      </c>
      <c r="AZ292" s="10">
        <v>2.9050159</v>
      </c>
      <c r="BA292" s="10">
        <v>2.8993164999999999</v>
      </c>
      <c r="BB292" s="10">
        <v>2.8937860999999998</v>
      </c>
      <c r="BC292" s="10">
        <v>2.8884175999999999</v>
      </c>
      <c r="BD292" s="10">
        <v>2.8832035999999999</v>
      </c>
      <c r="BE292" s="10">
        <v>2.8781367000000002</v>
      </c>
      <c r="BF292" s="10">
        <v>2.8732125000000002</v>
      </c>
      <c r="BG292" s="10">
        <v>2.8684392999999999</v>
      </c>
      <c r="BH292" s="10">
        <v>2.8638289000000001</v>
      </c>
      <c r="BI292" s="10">
        <v>2.8593932</v>
      </c>
      <c r="BJ292" s="10">
        <v>2.8551440000000001</v>
      </c>
      <c r="BK292" s="10">
        <v>2.8510930000000001</v>
      </c>
      <c r="BL292" s="10">
        <v>2.8472520000000001</v>
      </c>
      <c r="BM292" s="10">
        <v>2.8436330000000001</v>
      </c>
      <c r="BN292" s="10">
        <v>2.8402476999999999</v>
      </c>
      <c r="BO292" s="10">
        <v>2.8371080000000002</v>
      </c>
      <c r="BP292" s="10">
        <v>2.8342255000000001</v>
      </c>
      <c r="BQ292" s="10">
        <v>2.8316121999999999</v>
      </c>
      <c r="BR292" s="10">
        <v>2.8219199000000001</v>
      </c>
      <c r="BS292" s="10">
        <v>2.8229133000000002</v>
      </c>
      <c r="BU292" s="7">
        <v>3.22</v>
      </c>
      <c r="BV292" s="7">
        <v>3.05</v>
      </c>
      <c r="BW292" s="9">
        <v>77.154399999999995</v>
      </c>
    </row>
    <row r="293" spans="1:75" x14ac:dyDescent="0.25">
      <c r="A293" s="6">
        <f t="shared" si="29"/>
        <v>44963</v>
      </c>
      <c r="B293" s="13">
        <f t="shared" si="24"/>
        <v>2</v>
      </c>
      <c r="C293" s="13">
        <f t="shared" si="25"/>
        <v>2023</v>
      </c>
      <c r="D293">
        <f t="shared" si="26"/>
        <v>202302</v>
      </c>
      <c r="E293">
        <f t="shared" si="27"/>
        <v>1</v>
      </c>
      <c r="F293">
        <f t="shared" si="28"/>
        <v>202301</v>
      </c>
      <c r="G293" t="s">
        <v>480</v>
      </c>
      <c r="H293" s="9">
        <v>4</v>
      </c>
      <c r="I293" s="9">
        <v>3.9270999999999998</v>
      </c>
      <c r="J293" s="10">
        <v>3.9626527999999999</v>
      </c>
      <c r="K293" s="10">
        <v>4.0791963999999998</v>
      </c>
      <c r="L293" s="10">
        <v>4.1821301000000002</v>
      </c>
      <c r="M293" s="10">
        <v>4.2579510999999997</v>
      </c>
      <c r="N293" s="10">
        <v>4.3019957</v>
      </c>
      <c r="O293" s="10">
        <v>4.3147228999999996</v>
      </c>
      <c r="P293" s="10">
        <v>4.3005966000000004</v>
      </c>
      <c r="Q293" s="10">
        <v>4.2641926000000003</v>
      </c>
      <c r="R293" s="10">
        <v>4.2108074999999996</v>
      </c>
      <c r="S293" s="10">
        <v>4.1452888999999997</v>
      </c>
      <c r="T293" s="10">
        <v>4.0719754999999997</v>
      </c>
      <c r="U293" s="10">
        <v>3.9946628999999998</v>
      </c>
      <c r="V293" s="10">
        <v>3.9170612</v>
      </c>
      <c r="W293" s="10">
        <v>3.8409678999999999</v>
      </c>
      <c r="X293" s="10">
        <v>3.7676611000000002</v>
      </c>
      <c r="Y293" s="10">
        <v>3.6984187999999998</v>
      </c>
      <c r="Z293" s="10">
        <v>3.6345192000000002</v>
      </c>
      <c r="AA293" s="10">
        <v>3.5772403000000002</v>
      </c>
      <c r="AB293" s="10">
        <v>3.5274816000000002</v>
      </c>
      <c r="AC293" s="10">
        <v>3.4847017</v>
      </c>
      <c r="AD293" s="10">
        <v>3.4480159000000001</v>
      </c>
      <c r="AE293" s="10">
        <v>3.4165397</v>
      </c>
      <c r="AF293" s="10">
        <v>3.3893884000000001</v>
      </c>
      <c r="AG293" s="10">
        <v>3.3656776000000002</v>
      </c>
      <c r="AH293" s="10">
        <v>3.3446216</v>
      </c>
      <c r="AI293" s="10">
        <v>3.3258713000000002</v>
      </c>
      <c r="AJ293" s="10">
        <v>3.3091979999999999</v>
      </c>
      <c r="AK293" s="10">
        <v>3.2943731000000001</v>
      </c>
      <c r="AL293" s="10">
        <v>3.2811680999999999</v>
      </c>
      <c r="AM293" s="10">
        <v>3.2693542</v>
      </c>
      <c r="AN293" s="10">
        <v>3.2587028999999998</v>
      </c>
      <c r="AO293" s="10">
        <v>3.2489856000000001</v>
      </c>
      <c r="AP293" s="10">
        <v>3.2399735000000001</v>
      </c>
      <c r="AQ293" s="10">
        <v>3.2314381999999999</v>
      </c>
      <c r="AR293" s="10">
        <v>3.2231508999999998</v>
      </c>
      <c r="AS293" s="10">
        <v>3.2148829999999999</v>
      </c>
      <c r="AT293" s="10">
        <v>3.2064458</v>
      </c>
      <c r="AU293" s="10">
        <v>3.1978270000000002</v>
      </c>
      <c r="AV293" s="10">
        <v>3.1890624999999999</v>
      </c>
      <c r="AW293" s="10">
        <v>3.1801887999999998</v>
      </c>
      <c r="AX293" s="10">
        <v>3.1712418000000002</v>
      </c>
      <c r="AY293" s="10">
        <v>3.1622577000000001</v>
      </c>
      <c r="AZ293" s="10">
        <v>3.1532727999999999</v>
      </c>
      <c r="BA293" s="10">
        <v>3.1443232000000001</v>
      </c>
      <c r="BB293" s="10">
        <v>3.1354451999999999</v>
      </c>
      <c r="BC293" s="10">
        <v>3.1266747000000001</v>
      </c>
      <c r="BD293" s="10">
        <v>3.1180481000000002</v>
      </c>
      <c r="BE293" s="10">
        <v>3.1096015000000001</v>
      </c>
      <c r="BF293" s="10">
        <v>3.1013685</v>
      </c>
      <c r="BG293" s="10">
        <v>3.0933684000000001</v>
      </c>
      <c r="BH293" s="10">
        <v>3.0856159000000001</v>
      </c>
      <c r="BI293" s="10">
        <v>3.0781255999999999</v>
      </c>
      <c r="BJ293" s="10">
        <v>3.0709122</v>
      </c>
      <c r="BK293" s="10">
        <v>3.0639902999999999</v>
      </c>
      <c r="BL293" s="10">
        <v>3.0573744999999999</v>
      </c>
      <c r="BM293" s="10">
        <v>3.0510795000000002</v>
      </c>
      <c r="BN293" s="10">
        <v>3.0451199999999998</v>
      </c>
      <c r="BO293" s="10">
        <v>3.0395105999999998</v>
      </c>
      <c r="BP293" s="10">
        <v>3.0342658999999998</v>
      </c>
      <c r="BQ293" s="10">
        <v>3.0294004999999999</v>
      </c>
      <c r="BR293" s="10">
        <v>3.0084190999999998</v>
      </c>
      <c r="BS293" s="10">
        <v>3.0012514000000001</v>
      </c>
      <c r="BU293" s="7">
        <v>3.45</v>
      </c>
      <c r="BV293" s="7">
        <v>3.26</v>
      </c>
      <c r="BW293" s="9">
        <v>77.177099999999996</v>
      </c>
    </row>
    <row r="294" spans="1:75" x14ac:dyDescent="0.25">
      <c r="A294" s="6">
        <f t="shared" si="29"/>
        <v>44964</v>
      </c>
      <c r="B294" s="13">
        <f t="shared" si="24"/>
        <v>2</v>
      </c>
      <c r="C294" s="13">
        <f t="shared" si="25"/>
        <v>2023</v>
      </c>
      <c r="D294">
        <f t="shared" si="26"/>
        <v>202302</v>
      </c>
      <c r="E294">
        <f t="shared" si="27"/>
        <v>1</v>
      </c>
      <c r="F294">
        <f t="shared" si="28"/>
        <v>202301</v>
      </c>
      <c r="G294" t="s">
        <v>481</v>
      </c>
      <c r="H294" s="9">
        <v>4</v>
      </c>
      <c r="I294" s="9">
        <v>3.927</v>
      </c>
      <c r="J294" s="10">
        <v>3.9647125999999999</v>
      </c>
      <c r="K294" s="10">
        <v>4.0783088999999997</v>
      </c>
      <c r="L294" s="10">
        <v>4.1777579999999999</v>
      </c>
      <c r="M294" s="10">
        <v>4.2507549999999998</v>
      </c>
      <c r="N294" s="10">
        <v>4.2927299000000003</v>
      </c>
      <c r="O294" s="10">
        <v>4.3048546999999999</v>
      </c>
      <c r="P294" s="10">
        <v>4.2919527999999998</v>
      </c>
      <c r="Q294" s="10">
        <v>4.2591295000000002</v>
      </c>
      <c r="R294" s="10">
        <v>4.2113193999999998</v>
      </c>
      <c r="S294" s="10">
        <v>4.1534293</v>
      </c>
      <c r="T294" s="10">
        <v>4.0891149000000002</v>
      </c>
      <c r="U294" s="10">
        <v>4.0212912000000003</v>
      </c>
      <c r="V294" s="10">
        <v>3.9524756000000001</v>
      </c>
      <c r="W294" s="10">
        <v>3.8840545</v>
      </c>
      <c r="X294" s="10">
        <v>3.8171327000000002</v>
      </c>
      <c r="Y294" s="10">
        <v>3.7528145999999998</v>
      </c>
      <c r="Z294" s="10">
        <v>3.692205</v>
      </c>
      <c r="AA294" s="10">
        <v>3.6364084999999999</v>
      </c>
      <c r="AB294" s="10">
        <v>3.5862707999999999</v>
      </c>
      <c r="AC294" s="10">
        <v>3.5416517999999999</v>
      </c>
      <c r="AD294" s="10">
        <v>3.5021767000000001</v>
      </c>
      <c r="AE294" s="10">
        <v>3.4674708999999999</v>
      </c>
      <c r="AF294" s="10">
        <v>3.4371597</v>
      </c>
      <c r="AG294" s="10">
        <v>3.4108681999999999</v>
      </c>
      <c r="AH294" s="10">
        <v>3.3882287999999998</v>
      </c>
      <c r="AI294" s="10">
        <v>3.3689041999999998</v>
      </c>
      <c r="AJ294" s="10">
        <v>3.3525656000000001</v>
      </c>
      <c r="AK294" s="10">
        <v>3.3388841999999999</v>
      </c>
      <c r="AL294" s="10">
        <v>3.327531</v>
      </c>
      <c r="AM294" s="10">
        <v>3.3181774000000002</v>
      </c>
      <c r="AN294" s="10">
        <v>3.3104946000000002</v>
      </c>
      <c r="AO294" s="10">
        <v>3.3041535999999998</v>
      </c>
      <c r="AP294" s="10">
        <v>3.2988257000000001</v>
      </c>
      <c r="AQ294" s="10">
        <v>3.2941820000000002</v>
      </c>
      <c r="AR294" s="10">
        <v>3.2898939</v>
      </c>
      <c r="AS294" s="10">
        <v>3.2856323000000001</v>
      </c>
      <c r="AT294" s="10">
        <v>3.2811078</v>
      </c>
      <c r="AU294" s="10">
        <v>3.2762424999999999</v>
      </c>
      <c r="AV294" s="10">
        <v>3.2710290999999998</v>
      </c>
      <c r="AW294" s="10">
        <v>3.2654605999999999</v>
      </c>
      <c r="AX294" s="10">
        <v>3.2595299</v>
      </c>
      <c r="AY294" s="10">
        <v>3.2532301000000001</v>
      </c>
      <c r="AZ294" s="10">
        <v>3.2465538999999999</v>
      </c>
      <c r="BA294" s="10">
        <v>3.2394945000000002</v>
      </c>
      <c r="BB294" s="10">
        <v>3.2320446999999999</v>
      </c>
      <c r="BC294" s="10">
        <v>3.2241974999999998</v>
      </c>
      <c r="BD294" s="10">
        <v>3.2159456999999998</v>
      </c>
      <c r="BE294" s="10">
        <v>3.2072824</v>
      </c>
      <c r="BF294" s="10">
        <v>3.1982100999999998</v>
      </c>
      <c r="BG294" s="10">
        <v>3.1887778</v>
      </c>
      <c r="BH294" s="10">
        <v>3.179049</v>
      </c>
      <c r="BI294" s="10">
        <v>3.1690868999999999</v>
      </c>
      <c r="BJ294" s="10">
        <v>3.1589548999999999</v>
      </c>
      <c r="BK294" s="10">
        <v>3.1487164000000001</v>
      </c>
      <c r="BL294" s="10">
        <v>3.1384344999999998</v>
      </c>
      <c r="BM294" s="10">
        <v>3.1281726999999999</v>
      </c>
      <c r="BN294" s="10">
        <v>3.1179942999999999</v>
      </c>
      <c r="BO294" s="10">
        <v>3.1079626</v>
      </c>
      <c r="BP294" s="10">
        <v>3.098141</v>
      </c>
      <c r="BQ294" s="10">
        <v>3.0885927999999998</v>
      </c>
      <c r="BR294" s="10">
        <v>3.0390533</v>
      </c>
      <c r="BS294" s="10">
        <v>3.0059884000000001</v>
      </c>
      <c r="BU294" s="7">
        <v>3.48</v>
      </c>
      <c r="BV294" s="7">
        <v>3.29</v>
      </c>
      <c r="BW294" s="9">
        <v>77.245500000000007</v>
      </c>
    </row>
    <row r="295" spans="1:75" x14ac:dyDescent="0.25">
      <c r="A295" s="6">
        <f t="shared" si="29"/>
        <v>44965</v>
      </c>
      <c r="B295" s="13">
        <f t="shared" si="24"/>
        <v>2</v>
      </c>
      <c r="C295" s="13">
        <f t="shared" si="25"/>
        <v>2023</v>
      </c>
      <c r="D295">
        <f t="shared" si="26"/>
        <v>202302</v>
      </c>
      <c r="E295">
        <f t="shared" si="27"/>
        <v>1</v>
      </c>
      <c r="F295">
        <f t="shared" si="28"/>
        <v>202301</v>
      </c>
      <c r="G295" t="s">
        <v>482</v>
      </c>
      <c r="H295" s="9">
        <v>4</v>
      </c>
      <c r="I295" s="9">
        <v>3.9268999999999998</v>
      </c>
      <c r="J295" s="10">
        <v>3.9717804999999999</v>
      </c>
      <c r="K295" s="10">
        <v>4.0958142000000004</v>
      </c>
      <c r="L295" s="10">
        <v>4.2021674000000004</v>
      </c>
      <c r="M295" s="10">
        <v>4.2806164000000004</v>
      </c>
      <c r="N295" s="10">
        <v>4.3268319000000002</v>
      </c>
      <c r="O295" s="10">
        <v>4.3424256999999997</v>
      </c>
      <c r="P295" s="10">
        <v>4.3313481999999999</v>
      </c>
      <c r="Q295" s="10">
        <v>4.2990073999999998</v>
      </c>
      <c r="R295" s="10">
        <v>4.2508433999999999</v>
      </c>
      <c r="S295" s="10">
        <v>4.1919557000000003</v>
      </c>
      <c r="T295" s="10">
        <v>4.1263500999999998</v>
      </c>
      <c r="U295" s="10">
        <v>4.0571777000000004</v>
      </c>
      <c r="V295" s="10">
        <v>3.9872127000000002</v>
      </c>
      <c r="W295" s="10">
        <v>3.9178112999999999</v>
      </c>
      <c r="X295" s="10">
        <v>3.8499671000000002</v>
      </c>
      <c r="Y295" s="10">
        <v>3.7846739</v>
      </c>
      <c r="Z295" s="10">
        <v>3.7229253</v>
      </c>
      <c r="AA295" s="10">
        <v>3.6657149000000002</v>
      </c>
      <c r="AB295" s="10">
        <v>3.6137972999999999</v>
      </c>
      <c r="AC295" s="10">
        <v>3.5670161</v>
      </c>
      <c r="AD295" s="10">
        <v>3.5249985000000001</v>
      </c>
      <c r="AE295" s="10">
        <v>3.4873713</v>
      </c>
      <c r="AF295" s="10">
        <v>3.4537615000000002</v>
      </c>
      <c r="AG295" s="10">
        <v>3.4237962999999998</v>
      </c>
      <c r="AH295" s="10">
        <v>3.3971162000000001</v>
      </c>
      <c r="AI295" s="10">
        <v>3.3734351</v>
      </c>
      <c r="AJ295" s="10">
        <v>3.3524916</v>
      </c>
      <c r="AK295" s="10">
        <v>3.3340241000000002</v>
      </c>
      <c r="AL295" s="10">
        <v>3.3177713999999998</v>
      </c>
      <c r="AM295" s="10">
        <v>3.3034718000000001</v>
      </c>
      <c r="AN295" s="10">
        <v>3.2908639000000002</v>
      </c>
      <c r="AO295" s="10">
        <v>3.2796862</v>
      </c>
      <c r="AP295" s="10">
        <v>3.2696774</v>
      </c>
      <c r="AQ295" s="10">
        <v>3.2605759000000001</v>
      </c>
      <c r="AR295" s="10">
        <v>3.2521201999999998</v>
      </c>
      <c r="AS295" s="10">
        <v>3.244049</v>
      </c>
      <c r="AT295" s="10">
        <v>3.2361352000000001</v>
      </c>
      <c r="AU295" s="10">
        <v>3.2283203</v>
      </c>
      <c r="AV295" s="10">
        <v>3.2205967000000002</v>
      </c>
      <c r="AW295" s="10">
        <v>3.2129569999999998</v>
      </c>
      <c r="AX295" s="10">
        <v>3.2053938999999998</v>
      </c>
      <c r="AY295" s="10">
        <v>3.1978998000000001</v>
      </c>
      <c r="AZ295" s="10">
        <v>3.1904672999999999</v>
      </c>
      <c r="BA295" s="10">
        <v>3.1830889999999998</v>
      </c>
      <c r="BB295" s="10">
        <v>3.1757575</v>
      </c>
      <c r="BC295" s="10">
        <v>3.1684652</v>
      </c>
      <c r="BD295" s="10">
        <v>3.1612049</v>
      </c>
      <c r="BE295" s="10">
        <v>3.153969</v>
      </c>
      <c r="BF295" s="10">
        <v>3.1467546</v>
      </c>
      <c r="BG295" s="10">
        <v>3.1395786999999999</v>
      </c>
      <c r="BH295" s="10">
        <v>3.1324638999999999</v>
      </c>
      <c r="BI295" s="10">
        <v>3.1254325000000001</v>
      </c>
      <c r="BJ295" s="10">
        <v>3.1185071</v>
      </c>
      <c r="BK295" s="10">
        <v>3.1117102000000001</v>
      </c>
      <c r="BL295" s="10">
        <v>3.1050642000000002</v>
      </c>
      <c r="BM295" s="10">
        <v>3.0985917000000001</v>
      </c>
      <c r="BN295" s="10">
        <v>3.0923151999999998</v>
      </c>
      <c r="BO295" s="10">
        <v>3.0862569999999998</v>
      </c>
      <c r="BP295" s="10">
        <v>3.0804398000000002</v>
      </c>
      <c r="BQ295" s="10">
        <v>3.0748858999999999</v>
      </c>
      <c r="BR295" s="10">
        <v>3.0476785</v>
      </c>
      <c r="BS295" s="10">
        <v>3.0315243999999999</v>
      </c>
      <c r="BU295" s="7">
        <v>3.44</v>
      </c>
      <c r="BV295" s="7">
        <v>3.29</v>
      </c>
      <c r="BW295" s="9">
        <v>77.5535</v>
      </c>
    </row>
    <row r="296" spans="1:75" x14ac:dyDescent="0.25">
      <c r="A296" s="6">
        <f t="shared" si="29"/>
        <v>44966</v>
      </c>
      <c r="B296" s="13">
        <f t="shared" si="24"/>
        <v>2</v>
      </c>
      <c r="C296" s="13">
        <f t="shared" si="25"/>
        <v>2023</v>
      </c>
      <c r="D296">
        <f t="shared" si="26"/>
        <v>202302</v>
      </c>
      <c r="E296">
        <f t="shared" si="27"/>
        <v>1</v>
      </c>
      <c r="F296">
        <f t="shared" si="28"/>
        <v>202301</v>
      </c>
      <c r="G296" t="s">
        <v>483</v>
      </c>
      <c r="H296" s="9">
        <v>4</v>
      </c>
      <c r="I296" s="9">
        <v>3.9266999999999999</v>
      </c>
      <c r="J296" s="10">
        <v>3.9747766000000002</v>
      </c>
      <c r="K296" s="10">
        <v>4.1008927000000002</v>
      </c>
      <c r="L296" s="10">
        <v>4.2067354000000003</v>
      </c>
      <c r="M296" s="10">
        <v>4.2834786999999999</v>
      </c>
      <c r="N296" s="10">
        <v>4.3281986000000003</v>
      </c>
      <c r="O296" s="10">
        <v>4.3437456000000001</v>
      </c>
      <c r="P296" s="10">
        <v>4.3351096</v>
      </c>
      <c r="Q296" s="10">
        <v>4.3071666000000004</v>
      </c>
      <c r="R296" s="10">
        <v>4.2651661000000001</v>
      </c>
      <c r="S296" s="10">
        <v>4.2134138999999999</v>
      </c>
      <c r="T296" s="10">
        <v>4.1555197000000001</v>
      </c>
      <c r="U296" s="10">
        <v>4.0939996000000001</v>
      </c>
      <c r="V296" s="10">
        <v>4.0307858999999997</v>
      </c>
      <c r="W296" s="10">
        <v>3.9670755999999998</v>
      </c>
      <c r="X296" s="10">
        <v>3.9038903</v>
      </c>
      <c r="Y296" s="10">
        <v>3.8422513999999999</v>
      </c>
      <c r="Z296" s="10">
        <v>3.7831803000000002</v>
      </c>
      <c r="AA296" s="10">
        <v>3.7276986000000001</v>
      </c>
      <c r="AB296" s="10">
        <v>3.6765956000000002</v>
      </c>
      <c r="AC296" s="10">
        <v>3.6297774</v>
      </c>
      <c r="AD296" s="10">
        <v>3.5869399999999998</v>
      </c>
      <c r="AE296" s="10">
        <v>3.5477791000000001</v>
      </c>
      <c r="AF296" s="10">
        <v>3.5119908</v>
      </c>
      <c r="AG296" s="10">
        <v>3.4792706999999998</v>
      </c>
      <c r="AH296" s="10">
        <v>3.4493298999999999</v>
      </c>
      <c r="AI296" s="10">
        <v>3.4219526999999998</v>
      </c>
      <c r="AJ296" s="10">
        <v>3.3969455000000002</v>
      </c>
      <c r="AK296" s="10">
        <v>3.3741150000000002</v>
      </c>
      <c r="AL296" s="10">
        <v>3.3532677999999998</v>
      </c>
      <c r="AM296" s="10">
        <v>3.3342103000000001</v>
      </c>
      <c r="AN296" s="10">
        <v>3.3167493000000001</v>
      </c>
      <c r="AO296" s="10">
        <v>3.3006912000000002</v>
      </c>
      <c r="AP296" s="10">
        <v>3.2858426999999999</v>
      </c>
      <c r="AQ296" s="10">
        <v>3.2720102999999998</v>
      </c>
      <c r="AR296" s="10">
        <v>3.2590007000000001</v>
      </c>
      <c r="AS296" s="10">
        <v>3.2466203</v>
      </c>
      <c r="AT296" s="10">
        <v>3.234702</v>
      </c>
      <c r="AU296" s="10">
        <v>3.2231945999999998</v>
      </c>
      <c r="AV296" s="10">
        <v>3.2120788</v>
      </c>
      <c r="AW296" s="10">
        <v>3.2013353000000002</v>
      </c>
      <c r="AX296" s="10">
        <v>3.1909448</v>
      </c>
      <c r="AY296" s="10">
        <v>3.1808881000000002</v>
      </c>
      <c r="AZ296" s="10">
        <v>3.1711458000000001</v>
      </c>
      <c r="BA296" s="10">
        <v>3.1616987999999999</v>
      </c>
      <c r="BB296" s="10">
        <v>3.1525276</v>
      </c>
      <c r="BC296" s="10">
        <v>3.1436131</v>
      </c>
      <c r="BD296" s="10">
        <v>3.1349358999999999</v>
      </c>
      <c r="BE296" s="10">
        <v>3.1264767999999998</v>
      </c>
      <c r="BF296" s="10">
        <v>3.1182205000000001</v>
      </c>
      <c r="BG296" s="10">
        <v>3.1101687</v>
      </c>
      <c r="BH296" s="10">
        <v>3.1023282000000001</v>
      </c>
      <c r="BI296" s="10">
        <v>3.0947057</v>
      </c>
      <c r="BJ296" s="10">
        <v>3.0873078</v>
      </c>
      <c r="BK296" s="10">
        <v>3.0801411000000001</v>
      </c>
      <c r="BL296" s="10">
        <v>3.0732124000000001</v>
      </c>
      <c r="BM296" s="10">
        <v>3.0665284000000002</v>
      </c>
      <c r="BN296" s="10">
        <v>3.0600955999999999</v>
      </c>
      <c r="BO296" s="10">
        <v>3.0539206999999999</v>
      </c>
      <c r="BP296" s="10">
        <v>3.0480105000000002</v>
      </c>
      <c r="BQ296" s="10">
        <v>3.0423714999999998</v>
      </c>
      <c r="BR296" s="10">
        <v>3.0145439000000001</v>
      </c>
      <c r="BS296" s="10">
        <v>2.9977743000000001</v>
      </c>
      <c r="BU296" s="7">
        <v>3.5</v>
      </c>
      <c r="BV296" s="7">
        <v>3.29</v>
      </c>
      <c r="BW296" s="9">
        <v>77.941000000000003</v>
      </c>
    </row>
    <row r="297" spans="1:75" x14ac:dyDescent="0.25">
      <c r="A297" s="6">
        <f t="shared" si="29"/>
        <v>44967</v>
      </c>
      <c r="B297" s="13">
        <f t="shared" si="24"/>
        <v>2</v>
      </c>
      <c r="C297" s="13">
        <f t="shared" si="25"/>
        <v>2023</v>
      </c>
      <c r="D297">
        <f t="shared" si="26"/>
        <v>202302</v>
      </c>
      <c r="E297">
        <f t="shared" si="27"/>
        <v>1</v>
      </c>
      <c r="F297">
        <f t="shared" si="28"/>
        <v>202301</v>
      </c>
      <c r="G297" t="s">
        <v>484</v>
      </c>
      <c r="H297" s="9">
        <v>4</v>
      </c>
      <c r="I297" s="9">
        <v>3.927</v>
      </c>
      <c r="J297" s="10">
        <v>3.9833294000000001</v>
      </c>
      <c r="K297" s="10">
        <v>4.1244462999999998</v>
      </c>
      <c r="L297" s="10">
        <v>4.2446707000000004</v>
      </c>
      <c r="M297" s="10">
        <v>4.3375703000000003</v>
      </c>
      <c r="N297" s="10">
        <v>4.3994626999999999</v>
      </c>
      <c r="O297" s="10">
        <v>4.4320190000000004</v>
      </c>
      <c r="P297" s="10">
        <v>4.4395766999999999</v>
      </c>
      <c r="Q297" s="10">
        <v>4.4266540000000001</v>
      </c>
      <c r="R297" s="10">
        <v>4.3982390999999996</v>
      </c>
      <c r="S297" s="10">
        <v>4.3582650999999997</v>
      </c>
      <c r="T297" s="10">
        <v>4.3098020000000004</v>
      </c>
      <c r="U297" s="10">
        <v>4.2551585000000003</v>
      </c>
      <c r="V297" s="10">
        <v>4.1961456000000004</v>
      </c>
      <c r="W297" s="10">
        <v>4.1342840000000001</v>
      </c>
      <c r="X297" s="10">
        <v>4.0710290999999996</v>
      </c>
      <c r="Y297" s="10">
        <v>4.0078360000000002</v>
      </c>
      <c r="Z297" s="10">
        <v>3.9461598000000002</v>
      </c>
      <c r="AA297" s="10">
        <v>3.8874559</v>
      </c>
      <c r="AB297" s="10">
        <v>3.8329423</v>
      </c>
      <c r="AC297" s="10">
        <v>3.7827381999999998</v>
      </c>
      <c r="AD297" s="10">
        <v>3.7366440000000001</v>
      </c>
      <c r="AE297" s="10">
        <v>3.6944602999999998</v>
      </c>
      <c r="AF297" s="10">
        <v>3.6559875000000002</v>
      </c>
      <c r="AG297" s="10">
        <v>3.6210263</v>
      </c>
      <c r="AH297" s="10">
        <v>3.5893684000000001</v>
      </c>
      <c r="AI297" s="10">
        <v>3.5607677999999998</v>
      </c>
      <c r="AJ297" s="10">
        <v>3.5349678999999998</v>
      </c>
      <c r="AK297" s="10">
        <v>3.5117121</v>
      </c>
      <c r="AL297" s="10">
        <v>3.4907436999999999</v>
      </c>
      <c r="AM297" s="10">
        <v>3.4718062999999999</v>
      </c>
      <c r="AN297" s="10">
        <v>3.4546431000000002</v>
      </c>
      <c r="AO297" s="10">
        <v>3.4389976</v>
      </c>
      <c r="AP297" s="10">
        <v>3.4246132</v>
      </c>
      <c r="AQ297" s="10">
        <v>3.4112334</v>
      </c>
      <c r="AR297" s="10">
        <v>3.3986014</v>
      </c>
      <c r="AS297" s="10">
        <v>3.3864607000000002</v>
      </c>
      <c r="AT297" s="10">
        <v>3.3745911</v>
      </c>
      <c r="AU297" s="10">
        <v>3.3629327</v>
      </c>
      <c r="AV297" s="10">
        <v>3.3514700999999998</v>
      </c>
      <c r="AW297" s="10">
        <v>3.3401877</v>
      </c>
      <c r="AX297" s="10">
        <v>3.3290698999999999</v>
      </c>
      <c r="AY297" s="10">
        <v>3.3181012999999999</v>
      </c>
      <c r="AZ297" s="10">
        <v>3.3072664000000001</v>
      </c>
      <c r="BA297" s="10">
        <v>3.2965496000000001</v>
      </c>
      <c r="BB297" s="10">
        <v>3.2859352999999998</v>
      </c>
      <c r="BC297" s="10">
        <v>3.2754082000000002</v>
      </c>
      <c r="BD297" s="10">
        <v>3.2649525000000001</v>
      </c>
      <c r="BE297" s="10">
        <v>3.2545529000000002</v>
      </c>
      <c r="BF297" s="10">
        <v>3.2441993999999998</v>
      </c>
      <c r="BG297" s="10">
        <v>3.2339072</v>
      </c>
      <c r="BH297" s="10">
        <v>3.2236980000000002</v>
      </c>
      <c r="BI297" s="10">
        <v>3.2135938999999998</v>
      </c>
      <c r="BJ297" s="10">
        <v>3.2036167999999998</v>
      </c>
      <c r="BK297" s="10">
        <v>3.1937886</v>
      </c>
      <c r="BL297" s="10">
        <v>3.1841313000000002</v>
      </c>
      <c r="BM297" s="10">
        <v>3.1746667999999998</v>
      </c>
      <c r="BN297" s="10">
        <v>3.1654170000000001</v>
      </c>
      <c r="BO297" s="10">
        <v>3.1564038000000001</v>
      </c>
      <c r="BP297" s="10">
        <v>3.1476492</v>
      </c>
      <c r="BQ297" s="10">
        <v>3.1391751999999999</v>
      </c>
      <c r="BR297" s="10">
        <v>3.095081</v>
      </c>
      <c r="BS297" s="10">
        <v>3.0643753999999999</v>
      </c>
      <c r="BU297" s="7">
        <v>3.61</v>
      </c>
      <c r="BV297" s="7">
        <v>3.39</v>
      </c>
      <c r="BW297" s="9">
        <v>77.707599999999999</v>
      </c>
    </row>
    <row r="298" spans="1:75" x14ac:dyDescent="0.25">
      <c r="A298" s="6">
        <f t="shared" si="29"/>
        <v>44970</v>
      </c>
      <c r="B298" s="13">
        <f t="shared" si="24"/>
        <v>2</v>
      </c>
      <c r="C298" s="13">
        <f t="shared" si="25"/>
        <v>2023</v>
      </c>
      <c r="D298">
        <f t="shared" si="26"/>
        <v>202302</v>
      </c>
      <c r="E298">
        <f t="shared" si="27"/>
        <v>1</v>
      </c>
      <c r="F298">
        <f t="shared" si="28"/>
        <v>202301</v>
      </c>
      <c r="G298" t="s">
        <v>485</v>
      </c>
      <c r="H298" s="9">
        <v>4</v>
      </c>
      <c r="I298" s="9">
        <v>3.9270999999999998</v>
      </c>
      <c r="J298" s="10">
        <v>3.9919095000000002</v>
      </c>
      <c r="K298" s="10">
        <v>4.1382285000000003</v>
      </c>
      <c r="L298" s="10">
        <v>4.2604385999999996</v>
      </c>
      <c r="M298" s="10">
        <v>4.3552283999999997</v>
      </c>
      <c r="N298" s="10">
        <v>4.4207764999999997</v>
      </c>
      <c r="O298" s="10">
        <v>4.4571646999999999</v>
      </c>
      <c r="P298" s="10">
        <v>4.4674342999999999</v>
      </c>
      <c r="Q298" s="10">
        <v>4.4551141000000003</v>
      </c>
      <c r="R298" s="10">
        <v>4.4250182000000002</v>
      </c>
      <c r="S298" s="10">
        <v>4.3816877999999999</v>
      </c>
      <c r="T298" s="10">
        <v>4.3291358999999998</v>
      </c>
      <c r="U298" s="10">
        <v>4.2708177000000003</v>
      </c>
      <c r="V298" s="10">
        <v>4.2100051000000001</v>
      </c>
      <c r="W298" s="10">
        <v>4.1482150000000004</v>
      </c>
      <c r="X298" s="10">
        <v>4.0864953000000002</v>
      </c>
      <c r="Y298" s="10">
        <v>4.0258943</v>
      </c>
      <c r="Z298" s="10">
        <v>3.9674597999999999</v>
      </c>
      <c r="AA298" s="10">
        <v>3.9122400000000002</v>
      </c>
      <c r="AB298" s="10">
        <v>3.8610503999999999</v>
      </c>
      <c r="AC298" s="10">
        <v>3.8138207</v>
      </c>
      <c r="AD298" s="10">
        <v>3.7702703</v>
      </c>
      <c r="AE298" s="10">
        <v>3.7301180999999999</v>
      </c>
      <c r="AF298" s="10">
        <v>3.6930833000000001</v>
      </c>
      <c r="AG298" s="10">
        <v>3.6588851</v>
      </c>
      <c r="AH298" s="10">
        <v>3.6272574</v>
      </c>
      <c r="AI298" s="10">
        <v>3.5980002999999998</v>
      </c>
      <c r="AJ298" s="10">
        <v>3.570932</v>
      </c>
      <c r="AK298" s="10">
        <v>3.5458706000000002</v>
      </c>
      <c r="AL298" s="10">
        <v>3.5226342000000002</v>
      </c>
      <c r="AM298" s="10">
        <v>3.5010412</v>
      </c>
      <c r="AN298" s="10">
        <v>3.4809095000000001</v>
      </c>
      <c r="AO298" s="10">
        <v>3.4620574999999998</v>
      </c>
      <c r="AP298" s="10">
        <v>3.4443031999999998</v>
      </c>
      <c r="AQ298" s="10">
        <v>3.4274648000000001</v>
      </c>
      <c r="AR298" s="10">
        <v>3.4113606000000001</v>
      </c>
      <c r="AS298" s="10">
        <v>3.3958086999999999</v>
      </c>
      <c r="AT298" s="10">
        <v>3.3806539999999998</v>
      </c>
      <c r="AU298" s="10">
        <v>3.3658602000000002</v>
      </c>
      <c r="AV298" s="10">
        <v>3.3514233</v>
      </c>
      <c r="AW298" s="10">
        <v>3.3373396999999998</v>
      </c>
      <c r="AX298" s="10">
        <v>3.3236056</v>
      </c>
      <c r="AY298" s="10">
        <v>3.3102170000000002</v>
      </c>
      <c r="AZ298" s="10">
        <v>3.2971702999999999</v>
      </c>
      <c r="BA298" s="10">
        <v>3.2844616000000002</v>
      </c>
      <c r="BB298" s="10">
        <v>3.2720872000000001</v>
      </c>
      <c r="BC298" s="10">
        <v>3.2600433</v>
      </c>
      <c r="BD298" s="10">
        <v>3.248326</v>
      </c>
      <c r="BE298" s="10">
        <v>3.2369316000000001</v>
      </c>
      <c r="BF298" s="10">
        <v>3.2258575</v>
      </c>
      <c r="BG298" s="10">
        <v>3.2151079</v>
      </c>
      <c r="BH298" s="10">
        <v>3.2046893999999999</v>
      </c>
      <c r="BI298" s="10">
        <v>3.1946081999999998</v>
      </c>
      <c r="BJ298" s="10">
        <v>3.1848708999999999</v>
      </c>
      <c r="BK298" s="10">
        <v>3.1754839000000001</v>
      </c>
      <c r="BL298" s="10">
        <v>3.1664538000000002</v>
      </c>
      <c r="BM298" s="10">
        <v>3.1577867999999998</v>
      </c>
      <c r="BN298" s="10">
        <v>3.1494895999999999</v>
      </c>
      <c r="BO298" s="10">
        <v>3.1415684000000001</v>
      </c>
      <c r="BP298" s="10">
        <v>3.1340298999999998</v>
      </c>
      <c r="BQ298" s="10">
        <v>3.1268804000000001</v>
      </c>
      <c r="BR298" s="10">
        <v>3.0922062000000001</v>
      </c>
      <c r="BS298" s="10">
        <v>3.0712714999999999</v>
      </c>
      <c r="BU298" s="7">
        <v>3.63</v>
      </c>
      <c r="BV298" s="7">
        <v>3.4</v>
      </c>
      <c r="BW298" s="9">
        <v>78.013499999999993</v>
      </c>
    </row>
    <row r="299" spans="1:75" x14ac:dyDescent="0.25">
      <c r="A299" s="6">
        <f t="shared" si="29"/>
        <v>44971</v>
      </c>
      <c r="B299" s="13">
        <f t="shared" si="24"/>
        <v>2</v>
      </c>
      <c r="C299" s="13">
        <f t="shared" si="25"/>
        <v>2023</v>
      </c>
      <c r="D299">
        <f t="shared" si="26"/>
        <v>202302</v>
      </c>
      <c r="E299">
        <f t="shared" si="27"/>
        <v>1</v>
      </c>
      <c r="F299">
        <f t="shared" si="28"/>
        <v>202301</v>
      </c>
      <c r="G299" t="s">
        <v>486</v>
      </c>
      <c r="H299" s="9">
        <v>4</v>
      </c>
      <c r="I299" s="9">
        <v>3.9272</v>
      </c>
      <c r="J299" s="10">
        <v>4.0092952000000004</v>
      </c>
      <c r="K299" s="10">
        <v>4.1826163000000003</v>
      </c>
      <c r="L299" s="10">
        <v>4.3252411999999998</v>
      </c>
      <c r="M299" s="10">
        <v>4.4373534000000001</v>
      </c>
      <c r="N299" s="10">
        <v>4.5182983999999999</v>
      </c>
      <c r="O299" s="10">
        <v>4.5685449</v>
      </c>
      <c r="P299" s="10">
        <v>4.5916454</v>
      </c>
      <c r="Q299" s="10">
        <v>4.5924046000000001</v>
      </c>
      <c r="R299" s="10">
        <v>4.5760041999999999</v>
      </c>
      <c r="S299" s="10">
        <v>4.5474845999999998</v>
      </c>
      <c r="T299" s="10">
        <v>4.5101472999999999</v>
      </c>
      <c r="U299" s="10">
        <v>4.4664415000000002</v>
      </c>
      <c r="V299" s="10">
        <v>4.4181530000000002</v>
      </c>
      <c r="W299" s="10">
        <v>4.3665219000000004</v>
      </c>
      <c r="X299" s="10">
        <v>4.3126832999999998</v>
      </c>
      <c r="Y299" s="10">
        <v>4.2577723000000001</v>
      </c>
      <c r="Z299" s="10">
        <v>4.2029239</v>
      </c>
      <c r="AA299" s="10">
        <v>4.1492732999999999</v>
      </c>
      <c r="AB299" s="10">
        <v>4.0977525999999997</v>
      </c>
      <c r="AC299" s="10">
        <v>4.048521</v>
      </c>
      <c r="AD299" s="10">
        <v>4.0015539000000002</v>
      </c>
      <c r="AE299" s="10">
        <v>3.9568265999999999</v>
      </c>
      <c r="AF299" s="10">
        <v>3.9143143999999999</v>
      </c>
      <c r="AG299" s="10">
        <v>3.8739927999999999</v>
      </c>
      <c r="AH299" s="10">
        <v>3.8358237000000002</v>
      </c>
      <c r="AI299" s="10">
        <v>3.7997097000000002</v>
      </c>
      <c r="AJ299" s="10">
        <v>3.7655373999999999</v>
      </c>
      <c r="AK299" s="10">
        <v>3.7331932000000001</v>
      </c>
      <c r="AL299" s="10">
        <v>3.7025636</v>
      </c>
      <c r="AM299" s="10">
        <v>3.6735348999999999</v>
      </c>
      <c r="AN299" s="10">
        <v>3.6459936000000002</v>
      </c>
      <c r="AO299" s="10">
        <v>3.6198261999999999</v>
      </c>
      <c r="AP299" s="10">
        <v>3.594919</v>
      </c>
      <c r="AQ299" s="10">
        <v>3.5711586</v>
      </c>
      <c r="AR299" s="10">
        <v>3.5484312999999998</v>
      </c>
      <c r="AS299" s="10">
        <v>3.5266236000000002</v>
      </c>
      <c r="AT299" s="10">
        <v>3.5056333999999998</v>
      </c>
      <c r="AU299" s="10">
        <v>3.4854202000000001</v>
      </c>
      <c r="AV299" s="10">
        <v>3.4659642000000002</v>
      </c>
      <c r="AW299" s="10">
        <v>3.4472455000000002</v>
      </c>
      <c r="AX299" s="10">
        <v>3.4292444999999998</v>
      </c>
      <c r="AY299" s="10">
        <v>3.4119411999999998</v>
      </c>
      <c r="AZ299" s="10">
        <v>3.3953158000000001</v>
      </c>
      <c r="BA299" s="10">
        <v>3.3793486000000001</v>
      </c>
      <c r="BB299" s="10">
        <v>3.3640197999999999</v>
      </c>
      <c r="BC299" s="10">
        <v>3.3493096000000002</v>
      </c>
      <c r="BD299" s="10">
        <v>3.3351980999999999</v>
      </c>
      <c r="BE299" s="10">
        <v>3.3216654999999999</v>
      </c>
      <c r="BF299" s="10">
        <v>3.3086935999999998</v>
      </c>
      <c r="BG299" s="10">
        <v>3.2962715999999999</v>
      </c>
      <c r="BH299" s="10">
        <v>3.2843906999999999</v>
      </c>
      <c r="BI299" s="10">
        <v>3.2730424999999999</v>
      </c>
      <c r="BJ299" s="10">
        <v>3.2622182</v>
      </c>
      <c r="BK299" s="10">
        <v>3.2519094000000002</v>
      </c>
      <c r="BL299" s="10">
        <v>3.2421074000000001</v>
      </c>
      <c r="BM299" s="10">
        <v>3.2328036</v>
      </c>
      <c r="BN299" s="10">
        <v>3.2239893999999998</v>
      </c>
      <c r="BO299" s="10">
        <v>3.2156562000000002</v>
      </c>
      <c r="BP299" s="10">
        <v>3.2077954000000002</v>
      </c>
      <c r="BQ299" s="10">
        <v>3.2003984999999999</v>
      </c>
      <c r="BR299" s="10">
        <v>3.1652879</v>
      </c>
      <c r="BS299" s="10">
        <v>3.1447853000000001</v>
      </c>
      <c r="BU299" s="7">
        <v>3.81</v>
      </c>
      <c r="BV299" s="7">
        <v>3.53</v>
      </c>
      <c r="BW299" s="9">
        <v>78.143299999999996</v>
      </c>
    </row>
    <row r="300" spans="1:75" x14ac:dyDescent="0.25">
      <c r="A300" s="6">
        <f t="shared" si="29"/>
        <v>44972</v>
      </c>
      <c r="B300" s="13">
        <f t="shared" si="24"/>
        <v>2</v>
      </c>
      <c r="C300" s="13">
        <f t="shared" si="25"/>
        <v>2023</v>
      </c>
      <c r="D300">
        <f t="shared" si="26"/>
        <v>202302</v>
      </c>
      <c r="E300">
        <f t="shared" si="27"/>
        <v>1</v>
      </c>
      <c r="F300">
        <f t="shared" si="28"/>
        <v>202301</v>
      </c>
      <c r="G300" t="s">
        <v>487</v>
      </c>
      <c r="H300" s="9">
        <v>4</v>
      </c>
      <c r="I300" s="9">
        <v>3.9272999999999998</v>
      </c>
      <c r="J300" s="10">
        <v>3.9916738</v>
      </c>
      <c r="K300" s="10">
        <v>4.1195415000000004</v>
      </c>
      <c r="L300" s="10">
        <v>4.2192550999999998</v>
      </c>
      <c r="M300" s="10">
        <v>4.2945780999999998</v>
      </c>
      <c r="N300" s="10">
        <v>4.3476819000000004</v>
      </c>
      <c r="O300" s="10">
        <v>4.3805110000000003</v>
      </c>
      <c r="P300" s="10">
        <v>4.3948875000000003</v>
      </c>
      <c r="Q300" s="10">
        <v>4.3937707000000001</v>
      </c>
      <c r="R300" s="10">
        <v>4.3805385000000001</v>
      </c>
      <c r="S300" s="10">
        <v>4.3582498999999997</v>
      </c>
      <c r="T300" s="10">
        <v>4.3289282</v>
      </c>
      <c r="U300" s="10">
        <v>4.2940383000000004</v>
      </c>
      <c r="V300" s="10">
        <v>4.2544092999999998</v>
      </c>
      <c r="W300" s="10">
        <v>4.2109727000000001</v>
      </c>
      <c r="X300" s="10">
        <v>4.1647255999999997</v>
      </c>
      <c r="Y300" s="10">
        <v>4.1166644999999997</v>
      </c>
      <c r="Z300" s="10">
        <v>4.0677864000000001</v>
      </c>
      <c r="AA300" s="10">
        <v>4.0190878999999997</v>
      </c>
      <c r="AB300" s="10">
        <v>3.9714282000000001</v>
      </c>
      <c r="AC300" s="10">
        <v>3.9251421999999998</v>
      </c>
      <c r="AD300" s="10">
        <v>3.8804401999999998</v>
      </c>
      <c r="AE300" s="10">
        <v>3.8375324000000002</v>
      </c>
      <c r="AF300" s="10">
        <v>3.7966288000000001</v>
      </c>
      <c r="AG300" s="10">
        <v>3.7579399000000002</v>
      </c>
      <c r="AH300" s="10">
        <v>3.7216342</v>
      </c>
      <c r="AI300" s="10">
        <v>3.6876574</v>
      </c>
      <c r="AJ300" s="10">
        <v>3.6558801000000001</v>
      </c>
      <c r="AK300" s="10">
        <v>3.6261728999999998</v>
      </c>
      <c r="AL300" s="10">
        <v>3.5984064999999998</v>
      </c>
      <c r="AM300" s="10">
        <v>3.5724513999999998</v>
      </c>
      <c r="AN300" s="10">
        <v>3.5481782000000002</v>
      </c>
      <c r="AO300" s="10">
        <v>3.5254577</v>
      </c>
      <c r="AP300" s="10">
        <v>3.5041604</v>
      </c>
      <c r="AQ300" s="10">
        <v>3.4841570000000002</v>
      </c>
      <c r="AR300" s="10">
        <v>3.4653179000000001</v>
      </c>
      <c r="AS300" s="10">
        <v>3.447514</v>
      </c>
      <c r="AT300" s="10">
        <v>3.4306272</v>
      </c>
      <c r="AU300" s="10">
        <v>3.4145948000000002</v>
      </c>
      <c r="AV300" s="10">
        <v>3.3993711000000002</v>
      </c>
      <c r="AW300" s="10">
        <v>3.3849105000000002</v>
      </c>
      <c r="AX300" s="10">
        <v>3.3711671000000001</v>
      </c>
      <c r="AY300" s="10">
        <v>3.3580953</v>
      </c>
      <c r="AZ300" s="10">
        <v>3.3456492999999998</v>
      </c>
      <c r="BA300" s="10">
        <v>3.3337832999999999</v>
      </c>
      <c r="BB300" s="10">
        <v>3.3224518000000001</v>
      </c>
      <c r="BC300" s="10">
        <v>3.3116088000000001</v>
      </c>
      <c r="BD300" s="10">
        <v>3.3012087999999999</v>
      </c>
      <c r="BE300" s="10">
        <v>3.2912059</v>
      </c>
      <c r="BF300" s="10">
        <v>3.2815612999999999</v>
      </c>
      <c r="BG300" s="10">
        <v>3.2722658</v>
      </c>
      <c r="BH300" s="10">
        <v>3.2633188999999998</v>
      </c>
      <c r="BI300" s="10">
        <v>3.2547196999999999</v>
      </c>
      <c r="BJ300" s="10">
        <v>3.2464673999999998</v>
      </c>
      <c r="BK300" s="10">
        <v>3.2385614999999999</v>
      </c>
      <c r="BL300" s="10">
        <v>3.2310010999999998</v>
      </c>
      <c r="BM300" s="10">
        <v>3.2237855</v>
      </c>
      <c r="BN300" s="10">
        <v>3.2169139000000002</v>
      </c>
      <c r="BO300" s="10">
        <v>3.2103856</v>
      </c>
      <c r="BP300" s="10">
        <v>3.2041998999999999</v>
      </c>
      <c r="BQ300" s="10">
        <v>3.1983560999999998</v>
      </c>
      <c r="BR300" s="10">
        <v>3.1703847999999999</v>
      </c>
      <c r="BS300" s="10">
        <v>3.1542579000000002</v>
      </c>
      <c r="BU300" s="7">
        <v>3.77</v>
      </c>
      <c r="BV300" s="7">
        <v>3.48</v>
      </c>
      <c r="BW300" s="9">
        <v>77.391400000000004</v>
      </c>
    </row>
    <row r="301" spans="1:75" x14ac:dyDescent="0.25">
      <c r="A301" s="6">
        <f t="shared" si="29"/>
        <v>44973</v>
      </c>
      <c r="B301" s="13">
        <f t="shared" si="24"/>
        <v>2</v>
      </c>
      <c r="C301" s="13">
        <f t="shared" si="25"/>
        <v>2023</v>
      </c>
      <c r="D301">
        <f t="shared" si="26"/>
        <v>202302</v>
      </c>
      <c r="E301">
        <f t="shared" si="27"/>
        <v>1</v>
      </c>
      <c r="F301">
        <f t="shared" si="28"/>
        <v>202301</v>
      </c>
      <c r="G301" t="s">
        <v>488</v>
      </c>
      <c r="H301" s="9">
        <v>4</v>
      </c>
      <c r="I301" s="9">
        <v>3.9272999999999998</v>
      </c>
      <c r="J301" s="10">
        <v>3.9902221999999998</v>
      </c>
      <c r="K301" s="10">
        <v>4.1142696000000001</v>
      </c>
      <c r="L301" s="10">
        <v>4.2122324999999998</v>
      </c>
      <c r="M301" s="10">
        <v>4.2866375000000003</v>
      </c>
      <c r="N301" s="10">
        <v>4.3375374999999998</v>
      </c>
      <c r="O301" s="10">
        <v>4.3656325999999996</v>
      </c>
      <c r="P301" s="10">
        <v>4.3737522000000002</v>
      </c>
      <c r="Q301" s="10">
        <v>4.3659990999999998</v>
      </c>
      <c r="R301" s="10">
        <v>4.3470741000000004</v>
      </c>
      <c r="S301" s="10">
        <v>4.3203123000000003</v>
      </c>
      <c r="T301" s="10">
        <v>4.2879075000000002</v>
      </c>
      <c r="U301" s="10">
        <v>4.2509537999999996</v>
      </c>
      <c r="V301" s="10">
        <v>4.2096970999999996</v>
      </c>
      <c r="W301" s="10">
        <v>4.1650005999999999</v>
      </c>
      <c r="X301" s="10">
        <v>4.1179328999999996</v>
      </c>
      <c r="Y301" s="10">
        <v>4.0695623000000003</v>
      </c>
      <c r="Z301" s="10">
        <v>4.0209574999999997</v>
      </c>
      <c r="AA301" s="10">
        <v>3.9731869</v>
      </c>
      <c r="AB301" s="10">
        <v>3.9271541000000001</v>
      </c>
      <c r="AC301" s="10">
        <v>3.8831348000000001</v>
      </c>
      <c r="AD301" s="10">
        <v>3.8412552</v>
      </c>
      <c r="AE301" s="10">
        <v>3.8016416999999998</v>
      </c>
      <c r="AF301" s="10">
        <v>3.7644204000000001</v>
      </c>
      <c r="AG301" s="10">
        <v>3.7297177000000001</v>
      </c>
      <c r="AH301" s="10">
        <v>3.6976178000000002</v>
      </c>
      <c r="AI301" s="10">
        <v>3.6679998999999999</v>
      </c>
      <c r="AJ301" s="10">
        <v>3.6406808000000002</v>
      </c>
      <c r="AK301" s="10">
        <v>3.6154772999999998</v>
      </c>
      <c r="AL301" s="10">
        <v>3.5922063</v>
      </c>
      <c r="AM301" s="10">
        <v>3.5706845999999999</v>
      </c>
      <c r="AN301" s="10">
        <v>3.550729</v>
      </c>
      <c r="AO301" s="10">
        <v>3.5321563</v>
      </c>
      <c r="AP301" s="10">
        <v>3.5147833999999998</v>
      </c>
      <c r="AQ301" s="10">
        <v>3.4984270999999998</v>
      </c>
      <c r="AR301" s="10">
        <v>3.4829042000000001</v>
      </c>
      <c r="AS301" s="10">
        <v>3.4680314999999999</v>
      </c>
      <c r="AT301" s="10">
        <v>3.4536511999999999</v>
      </c>
      <c r="AU301" s="10">
        <v>3.4397175999999998</v>
      </c>
      <c r="AV301" s="10">
        <v>3.4262157000000002</v>
      </c>
      <c r="AW301" s="10">
        <v>3.4131307</v>
      </c>
      <c r="AX301" s="10">
        <v>3.4004477</v>
      </c>
      <c r="AY301" s="10">
        <v>3.3881519</v>
      </c>
      <c r="AZ301" s="10">
        <v>3.3762281999999999</v>
      </c>
      <c r="BA301" s="10">
        <v>3.364662</v>
      </c>
      <c r="BB301" s="10">
        <v>3.3534381999999998</v>
      </c>
      <c r="BC301" s="10">
        <v>3.3425419999999999</v>
      </c>
      <c r="BD301" s="10">
        <v>3.3319586000000001</v>
      </c>
      <c r="BE301" s="10">
        <v>3.3216730000000001</v>
      </c>
      <c r="BF301" s="10">
        <v>3.3116736000000002</v>
      </c>
      <c r="BG301" s="10">
        <v>3.3019628999999999</v>
      </c>
      <c r="BH301" s="10">
        <v>3.2925472999999998</v>
      </c>
      <c r="BI301" s="10">
        <v>3.2834333</v>
      </c>
      <c r="BJ301" s="10">
        <v>3.2746273000000001</v>
      </c>
      <c r="BK301" s="10">
        <v>3.2661356000000001</v>
      </c>
      <c r="BL301" s="10">
        <v>3.2579647999999999</v>
      </c>
      <c r="BM301" s="10">
        <v>3.2501213</v>
      </c>
      <c r="BN301" s="10">
        <v>3.2426113999999999</v>
      </c>
      <c r="BO301" s="10">
        <v>3.2354416000000001</v>
      </c>
      <c r="BP301" s="10">
        <v>3.2286184000000002</v>
      </c>
      <c r="BQ301" s="10">
        <v>3.2221481999999999</v>
      </c>
      <c r="BR301" s="10">
        <v>3.1908238999999998</v>
      </c>
      <c r="BS301" s="10">
        <v>3.1721575</v>
      </c>
      <c r="BU301" s="7">
        <v>3.79</v>
      </c>
      <c r="BV301" s="7">
        <v>3.5</v>
      </c>
      <c r="BW301" s="9">
        <v>77.477500000000006</v>
      </c>
    </row>
    <row r="302" spans="1:75" x14ac:dyDescent="0.25">
      <c r="A302" s="6">
        <f t="shared" si="29"/>
        <v>44974</v>
      </c>
      <c r="B302" s="13">
        <f t="shared" si="24"/>
        <v>2</v>
      </c>
      <c r="C302" s="13">
        <f t="shared" si="25"/>
        <v>2023</v>
      </c>
      <c r="D302">
        <f t="shared" si="26"/>
        <v>202302</v>
      </c>
      <c r="E302">
        <f t="shared" si="27"/>
        <v>1</v>
      </c>
      <c r="F302">
        <f t="shared" si="28"/>
        <v>202301</v>
      </c>
      <c r="G302" t="s">
        <v>489</v>
      </c>
      <c r="H302" s="9">
        <v>4</v>
      </c>
      <c r="I302" s="9">
        <v>3.9270999999999998</v>
      </c>
      <c r="J302" s="10">
        <v>3.9972854999999998</v>
      </c>
      <c r="K302" s="10">
        <v>4.1331109000000001</v>
      </c>
      <c r="L302" s="10">
        <v>4.2403177999999997</v>
      </c>
      <c r="M302" s="10">
        <v>4.3224115999999997</v>
      </c>
      <c r="N302" s="10">
        <v>4.3787903000000004</v>
      </c>
      <c r="O302" s="10">
        <v>4.4096302999999999</v>
      </c>
      <c r="P302" s="10">
        <v>4.4180200000000003</v>
      </c>
      <c r="Q302" s="10">
        <v>4.4084627999999997</v>
      </c>
      <c r="R302" s="10">
        <v>4.3861831999999996</v>
      </c>
      <c r="S302" s="10">
        <v>4.3550354000000002</v>
      </c>
      <c r="T302" s="10">
        <v>4.317609</v>
      </c>
      <c r="U302" s="10">
        <v>4.2754490000000001</v>
      </c>
      <c r="V302" s="10">
        <v>4.2290858</v>
      </c>
      <c r="W302" s="10">
        <v>4.1794874000000002</v>
      </c>
      <c r="X302" s="10">
        <v>4.1278275000000004</v>
      </c>
      <c r="Y302" s="10">
        <v>4.0752797999999997</v>
      </c>
      <c r="Z302" s="10">
        <v>4.0230179000000001</v>
      </c>
      <c r="AA302" s="10">
        <v>3.9722156000000002</v>
      </c>
      <c r="AB302" s="10">
        <v>3.9238784999999998</v>
      </c>
      <c r="AC302" s="10">
        <v>3.8782331999999999</v>
      </c>
      <c r="AD302" s="10">
        <v>3.83528</v>
      </c>
      <c r="AE302" s="10">
        <v>3.7950197999999999</v>
      </c>
      <c r="AF302" s="10">
        <v>3.7574529999999999</v>
      </c>
      <c r="AG302" s="10">
        <v>3.7225801999999999</v>
      </c>
      <c r="AH302" s="10">
        <v>3.6903741000000001</v>
      </c>
      <c r="AI302" s="10">
        <v>3.6606844999999999</v>
      </c>
      <c r="AJ302" s="10">
        <v>3.6333272000000001</v>
      </c>
      <c r="AK302" s="10">
        <v>3.6081178</v>
      </c>
      <c r="AL302" s="10">
        <v>3.5848722</v>
      </c>
      <c r="AM302" s="10">
        <v>3.5634060999999999</v>
      </c>
      <c r="AN302" s="10">
        <v>3.5435354000000001</v>
      </c>
      <c r="AO302" s="10">
        <v>3.5250756999999999</v>
      </c>
      <c r="AP302" s="10">
        <v>3.5078428000000001</v>
      </c>
      <c r="AQ302" s="10">
        <v>3.4916526000000001</v>
      </c>
      <c r="AR302" s="10">
        <v>3.4763207</v>
      </c>
      <c r="AS302" s="10">
        <v>3.4616631</v>
      </c>
      <c r="AT302" s="10">
        <v>3.4475202</v>
      </c>
      <c r="AU302" s="10">
        <v>3.4338430999999998</v>
      </c>
      <c r="AV302" s="10">
        <v>3.4206127999999998</v>
      </c>
      <c r="AW302" s="10">
        <v>3.4078105999999999</v>
      </c>
      <c r="AX302" s="10">
        <v>3.3954175000000002</v>
      </c>
      <c r="AY302" s="10">
        <v>3.3834149999999998</v>
      </c>
      <c r="AZ302" s="10">
        <v>3.3717839999999999</v>
      </c>
      <c r="BA302" s="10">
        <v>3.3605057999999999</v>
      </c>
      <c r="BB302" s="10">
        <v>3.3495615999999999</v>
      </c>
      <c r="BC302" s="10">
        <v>3.3389324999999999</v>
      </c>
      <c r="BD302" s="10">
        <v>3.3285998000000001</v>
      </c>
      <c r="BE302" s="10">
        <v>3.3185446000000001</v>
      </c>
      <c r="BF302" s="10">
        <v>3.3087523000000001</v>
      </c>
      <c r="BG302" s="10">
        <v>3.2992263999999998</v>
      </c>
      <c r="BH302" s="10">
        <v>3.2899756</v>
      </c>
      <c r="BI302" s="10">
        <v>3.2810082999999999</v>
      </c>
      <c r="BJ302" s="10">
        <v>3.2723333999999999</v>
      </c>
      <c r="BK302" s="10">
        <v>3.2639591999999999</v>
      </c>
      <c r="BL302" s="10">
        <v>3.2558946</v>
      </c>
      <c r="BM302" s="10">
        <v>3.2481479000000002</v>
      </c>
      <c r="BN302" s="10">
        <v>3.2407279999999998</v>
      </c>
      <c r="BO302" s="10">
        <v>3.2336433000000002</v>
      </c>
      <c r="BP302" s="10">
        <v>3.2269025999999998</v>
      </c>
      <c r="BQ302" s="10">
        <v>3.2205143000000001</v>
      </c>
      <c r="BR302" s="10">
        <v>3.1897522999999999</v>
      </c>
      <c r="BS302" s="10">
        <v>3.1719300000000001</v>
      </c>
      <c r="BU302" s="7">
        <v>3.79</v>
      </c>
      <c r="BV302" s="7">
        <v>3.51</v>
      </c>
      <c r="BW302" s="9">
        <v>77.488100000000003</v>
      </c>
    </row>
    <row r="303" spans="1:75" x14ac:dyDescent="0.25">
      <c r="A303" s="6">
        <f t="shared" si="29"/>
        <v>44977</v>
      </c>
      <c r="B303" s="13">
        <f t="shared" si="24"/>
        <v>2</v>
      </c>
      <c r="C303" s="13">
        <f t="shared" si="25"/>
        <v>2023</v>
      </c>
      <c r="D303">
        <f t="shared" si="26"/>
        <v>202302</v>
      </c>
      <c r="E303">
        <f t="shared" si="27"/>
        <v>1</v>
      </c>
      <c r="F303">
        <f t="shared" si="28"/>
        <v>202301</v>
      </c>
      <c r="G303" t="s">
        <v>490</v>
      </c>
      <c r="H303" s="9">
        <v>4</v>
      </c>
      <c r="I303" s="9">
        <v>3.9275000000000002</v>
      </c>
      <c r="J303" s="10">
        <v>4.0103157999999999</v>
      </c>
      <c r="K303" s="10">
        <v>4.1493658</v>
      </c>
      <c r="L303" s="10">
        <v>4.2506405000000003</v>
      </c>
      <c r="M303" s="10">
        <v>4.3236488</v>
      </c>
      <c r="N303" s="10">
        <v>4.3726832</v>
      </c>
      <c r="O303" s="10">
        <v>4.3976227999999997</v>
      </c>
      <c r="P303" s="10">
        <v>4.4002596</v>
      </c>
      <c r="Q303" s="10">
        <v>4.3838616000000004</v>
      </c>
      <c r="R303" s="10">
        <v>4.3531317999999999</v>
      </c>
      <c r="S303" s="10">
        <v>4.3122943999999999</v>
      </c>
      <c r="T303" s="10">
        <v>4.2648564999999996</v>
      </c>
      <c r="U303" s="10">
        <v>4.2136309000000001</v>
      </c>
      <c r="V303" s="10">
        <v>4.1612375999999998</v>
      </c>
      <c r="W303" s="10">
        <v>4.1087255000000003</v>
      </c>
      <c r="X303" s="10">
        <v>4.0567235999999998</v>
      </c>
      <c r="Y303" s="10">
        <v>4.0058606000000001</v>
      </c>
      <c r="Z303" s="10">
        <v>3.9567654999999999</v>
      </c>
      <c r="AA303" s="10">
        <v>3.9100671999999999</v>
      </c>
      <c r="AB303" s="10">
        <v>3.8662531000000002</v>
      </c>
      <c r="AC303" s="10">
        <v>3.8252725999999999</v>
      </c>
      <c r="AD303" s="10">
        <v>3.7869472000000002</v>
      </c>
      <c r="AE303" s="10">
        <v>3.7510981000000001</v>
      </c>
      <c r="AF303" s="10">
        <v>3.7175465999999999</v>
      </c>
      <c r="AG303" s="10">
        <v>3.6861139999999999</v>
      </c>
      <c r="AH303" s="10">
        <v>3.6566291</v>
      </c>
      <c r="AI303" s="10">
        <v>3.6289528999999998</v>
      </c>
      <c r="AJ303" s="10">
        <v>3.6029553999999999</v>
      </c>
      <c r="AK303" s="10">
        <v>3.5785067000000002</v>
      </c>
      <c r="AL303" s="10">
        <v>3.5554766999999998</v>
      </c>
      <c r="AM303" s="10">
        <v>3.5337356</v>
      </c>
      <c r="AN303" s="10">
        <v>3.5131532999999999</v>
      </c>
      <c r="AO303" s="10">
        <v>3.4935999</v>
      </c>
      <c r="AP303" s="10">
        <v>3.4749454000000002</v>
      </c>
      <c r="AQ303" s="10">
        <v>3.4570598000000001</v>
      </c>
      <c r="AR303" s="10">
        <v>3.4398130999999998</v>
      </c>
      <c r="AS303" s="10">
        <v>3.4230754999999999</v>
      </c>
      <c r="AT303" s="10">
        <v>3.4067368</v>
      </c>
      <c r="AU303" s="10">
        <v>3.3907756999999998</v>
      </c>
      <c r="AV303" s="10">
        <v>3.3751948999999999</v>
      </c>
      <c r="AW303" s="10">
        <v>3.3599972999999999</v>
      </c>
      <c r="AX303" s="10">
        <v>3.3451857999999999</v>
      </c>
      <c r="AY303" s="10">
        <v>3.3307631999999998</v>
      </c>
      <c r="AZ303" s="10">
        <v>3.3167323999999998</v>
      </c>
      <c r="BA303" s="10">
        <v>3.3030963</v>
      </c>
      <c r="BB303" s="10">
        <v>3.2898575999999999</v>
      </c>
      <c r="BC303" s="10">
        <v>3.2770193999999999</v>
      </c>
      <c r="BD303" s="10">
        <v>3.2645843000000001</v>
      </c>
      <c r="BE303" s="10">
        <v>3.2525553999999999</v>
      </c>
      <c r="BF303" s="10">
        <v>3.2409362000000002</v>
      </c>
      <c r="BG303" s="10">
        <v>3.2297351999999999</v>
      </c>
      <c r="BH303" s="10">
        <v>3.2189622999999998</v>
      </c>
      <c r="BI303" s="10">
        <v>3.2086272</v>
      </c>
      <c r="BJ303" s="10">
        <v>3.1987399999999999</v>
      </c>
      <c r="BK303" s="10">
        <v>3.1893104000000001</v>
      </c>
      <c r="BL303" s="10">
        <v>3.1803485</v>
      </c>
      <c r="BM303" s="10">
        <v>3.1718639999999998</v>
      </c>
      <c r="BN303" s="10">
        <v>3.1638668999999999</v>
      </c>
      <c r="BO303" s="10">
        <v>3.1563671000000002</v>
      </c>
      <c r="BP303" s="10">
        <v>3.1493744000000001</v>
      </c>
      <c r="BQ303" s="10">
        <v>3.1428988000000002</v>
      </c>
      <c r="BR303" s="10">
        <v>3.1148075</v>
      </c>
      <c r="BS303" s="10">
        <v>3.1038408999999998</v>
      </c>
      <c r="BU303" s="7">
        <v>3.75</v>
      </c>
      <c r="BV303" s="7">
        <v>3.48</v>
      </c>
      <c r="BW303" s="9">
        <v>77.521199999999993</v>
      </c>
    </row>
    <row r="304" spans="1:75" x14ac:dyDescent="0.25">
      <c r="A304" s="6">
        <f t="shared" si="29"/>
        <v>44978</v>
      </c>
      <c r="B304" s="13">
        <f t="shared" si="24"/>
        <v>2</v>
      </c>
      <c r="C304" s="13">
        <f t="shared" si="25"/>
        <v>2023</v>
      </c>
      <c r="D304">
        <f t="shared" si="26"/>
        <v>202302</v>
      </c>
      <c r="E304">
        <f t="shared" si="27"/>
        <v>1</v>
      </c>
      <c r="F304">
        <f t="shared" si="28"/>
        <v>202301</v>
      </c>
      <c r="G304" t="s">
        <v>491</v>
      </c>
      <c r="H304" s="9">
        <v>4</v>
      </c>
      <c r="I304" s="9">
        <v>3.9272</v>
      </c>
      <c r="J304" s="10">
        <v>4.0238743000000001</v>
      </c>
      <c r="K304" s="10">
        <v>4.1958232000000004</v>
      </c>
      <c r="L304" s="10">
        <v>4.3287275999999997</v>
      </c>
      <c r="M304" s="10">
        <v>4.4305966000000003</v>
      </c>
      <c r="N304" s="10">
        <v>4.5029684000000003</v>
      </c>
      <c r="O304" s="10">
        <v>4.5455746000000001</v>
      </c>
      <c r="P304" s="10">
        <v>4.5622748</v>
      </c>
      <c r="Q304" s="10">
        <v>4.5585401000000001</v>
      </c>
      <c r="R304" s="10">
        <v>4.5398817999999999</v>
      </c>
      <c r="S304" s="10">
        <v>4.5112291000000004</v>
      </c>
      <c r="T304" s="10">
        <v>4.4756736000000004</v>
      </c>
      <c r="U304" s="10">
        <v>4.4353154999999997</v>
      </c>
      <c r="V304" s="10">
        <v>4.3914333000000001</v>
      </c>
      <c r="W304" s="10">
        <v>4.3449729000000001</v>
      </c>
      <c r="X304" s="10">
        <v>4.2968419999999998</v>
      </c>
      <c r="Y304" s="10">
        <v>4.2479481999999997</v>
      </c>
      <c r="Z304" s="10">
        <v>4.1991987999999996</v>
      </c>
      <c r="AA304" s="10">
        <v>4.1515015999999996</v>
      </c>
      <c r="AB304" s="10">
        <v>4.1056014999999997</v>
      </c>
      <c r="AC304" s="10">
        <v>4.0616238999999998</v>
      </c>
      <c r="AD304" s="10">
        <v>4.0195471999999999</v>
      </c>
      <c r="AE304" s="10">
        <v>3.9793493</v>
      </c>
      <c r="AF304" s="10">
        <v>3.9410086</v>
      </c>
      <c r="AG304" s="10">
        <v>3.9045033</v>
      </c>
      <c r="AH304" s="10">
        <v>3.8698014000000001</v>
      </c>
      <c r="AI304" s="10">
        <v>3.836827</v>
      </c>
      <c r="AJ304" s="10">
        <v>3.8054918999999998</v>
      </c>
      <c r="AK304" s="10">
        <v>3.7757079999999998</v>
      </c>
      <c r="AL304" s="10">
        <v>3.7473869999999998</v>
      </c>
      <c r="AM304" s="10">
        <v>3.7204408</v>
      </c>
      <c r="AN304" s="10">
        <v>3.6947812999999998</v>
      </c>
      <c r="AO304" s="10">
        <v>3.6703201000000001</v>
      </c>
      <c r="AP304" s="10">
        <v>3.6469692</v>
      </c>
      <c r="AQ304" s="10">
        <v>3.6246402999999998</v>
      </c>
      <c r="AR304" s="10">
        <v>3.6032453000000002</v>
      </c>
      <c r="AS304" s="10">
        <v>3.5826961000000002</v>
      </c>
      <c r="AT304" s="10">
        <v>3.5629138999999999</v>
      </c>
      <c r="AU304" s="10">
        <v>3.5438711000000001</v>
      </c>
      <c r="AV304" s="10">
        <v>3.5255575000000001</v>
      </c>
      <c r="AW304" s="10">
        <v>3.5079627000000002</v>
      </c>
      <c r="AX304" s="10">
        <v>3.4910763999999999</v>
      </c>
      <c r="AY304" s="10">
        <v>3.4748880999999998</v>
      </c>
      <c r="AZ304" s="10">
        <v>3.4593875000000001</v>
      </c>
      <c r="BA304" s="10">
        <v>3.4445643000000001</v>
      </c>
      <c r="BB304" s="10">
        <v>3.4304082</v>
      </c>
      <c r="BC304" s="10">
        <v>3.4169086000000002</v>
      </c>
      <c r="BD304" s="10">
        <v>3.4040553999999998</v>
      </c>
      <c r="BE304" s="10">
        <v>3.3918382</v>
      </c>
      <c r="BF304" s="10">
        <v>3.3802466999999998</v>
      </c>
      <c r="BG304" s="10">
        <v>3.3692717999999999</v>
      </c>
      <c r="BH304" s="10">
        <v>3.3589045999999998</v>
      </c>
      <c r="BI304" s="10">
        <v>3.3491360999999999</v>
      </c>
      <c r="BJ304" s="10">
        <v>3.3399576</v>
      </c>
      <c r="BK304" s="10">
        <v>3.3313600000000001</v>
      </c>
      <c r="BL304" s="10">
        <v>3.3233343999999998</v>
      </c>
      <c r="BM304" s="10">
        <v>3.3158720000000002</v>
      </c>
      <c r="BN304" s="10">
        <v>3.3089639000000002</v>
      </c>
      <c r="BO304" s="10">
        <v>3.3026010000000001</v>
      </c>
      <c r="BP304" s="10">
        <v>3.2967746</v>
      </c>
      <c r="BQ304" s="10">
        <v>3.2914756999999999</v>
      </c>
      <c r="BR304" s="10">
        <v>3.2700266</v>
      </c>
      <c r="BS304" s="10">
        <v>3.2638992</v>
      </c>
      <c r="BU304" s="7">
        <v>3.93</v>
      </c>
      <c r="BV304" s="7">
        <v>3.63</v>
      </c>
      <c r="BW304" s="9">
        <v>78.294300000000007</v>
      </c>
    </row>
    <row r="305" spans="1:75" x14ac:dyDescent="0.25">
      <c r="A305" s="6">
        <f t="shared" si="29"/>
        <v>44979</v>
      </c>
      <c r="B305" s="13">
        <f t="shared" si="24"/>
        <v>2</v>
      </c>
      <c r="C305" s="13">
        <f t="shared" si="25"/>
        <v>2023</v>
      </c>
      <c r="D305">
        <f t="shared" si="26"/>
        <v>202302</v>
      </c>
      <c r="E305">
        <f t="shared" si="27"/>
        <v>1</v>
      </c>
      <c r="F305">
        <f t="shared" si="28"/>
        <v>202301</v>
      </c>
      <c r="G305" t="s">
        <v>492</v>
      </c>
      <c r="H305" s="9">
        <v>4</v>
      </c>
      <c r="I305" s="9">
        <v>3.927</v>
      </c>
      <c r="J305" s="10">
        <v>4.0275848999999999</v>
      </c>
      <c r="K305" s="10">
        <v>4.2035345</v>
      </c>
      <c r="L305" s="10">
        <v>4.3358859000000001</v>
      </c>
      <c r="M305" s="10">
        <v>4.4363450000000002</v>
      </c>
      <c r="N305" s="10">
        <v>4.5077105</v>
      </c>
      <c r="O305" s="10">
        <v>4.5500534000000004</v>
      </c>
      <c r="P305" s="10">
        <v>4.5657551999999999</v>
      </c>
      <c r="Q305" s="10">
        <v>4.5600921000000003</v>
      </c>
      <c r="R305" s="10">
        <v>4.5386566000000004</v>
      </c>
      <c r="S305" s="10">
        <v>4.5062398999999997</v>
      </c>
      <c r="T305" s="10">
        <v>4.4661654999999998</v>
      </c>
      <c r="U305" s="10">
        <v>4.4209446999999997</v>
      </c>
      <c r="V305" s="10">
        <v>4.3725208999999996</v>
      </c>
      <c r="W305" s="10">
        <v>4.3220045999999996</v>
      </c>
      <c r="X305" s="10">
        <v>4.2703141000000002</v>
      </c>
      <c r="Y305" s="10">
        <v>4.2183675999999997</v>
      </c>
      <c r="Z305" s="10">
        <v>4.1670834000000001</v>
      </c>
      <c r="AA305" s="10">
        <v>4.1173799999999998</v>
      </c>
      <c r="AB305" s="10">
        <v>4.0700133999999997</v>
      </c>
      <c r="AC305" s="10">
        <v>4.0251219000000003</v>
      </c>
      <c r="AD305" s="10">
        <v>3.9826969000000001</v>
      </c>
      <c r="AE305" s="10">
        <v>3.9427298</v>
      </c>
      <c r="AF305" s="10">
        <v>3.9052120000000001</v>
      </c>
      <c r="AG305" s="10">
        <v>3.8701346999999999</v>
      </c>
      <c r="AH305" s="10">
        <v>3.8374709</v>
      </c>
      <c r="AI305" s="10">
        <v>3.8070940000000002</v>
      </c>
      <c r="AJ305" s="10">
        <v>3.7788439</v>
      </c>
      <c r="AK305" s="10">
        <v>3.7525607000000001</v>
      </c>
      <c r="AL305" s="10">
        <v>3.7280844000000002</v>
      </c>
      <c r="AM305" s="10">
        <v>3.7052548000000001</v>
      </c>
      <c r="AN305" s="10">
        <v>3.6839121000000001</v>
      </c>
      <c r="AO305" s="10">
        <v>3.6638961000000001</v>
      </c>
      <c r="AP305" s="10">
        <v>3.6450469999999999</v>
      </c>
      <c r="AQ305" s="10">
        <v>3.6272045999999998</v>
      </c>
      <c r="AR305" s="10">
        <v>3.6102088999999999</v>
      </c>
      <c r="AS305" s="10">
        <v>3.5939000000000001</v>
      </c>
      <c r="AT305" s="10">
        <v>3.5781369999999999</v>
      </c>
      <c r="AU305" s="10">
        <v>3.5628730000000002</v>
      </c>
      <c r="AV305" s="10">
        <v>3.5480893</v>
      </c>
      <c r="AW305" s="10">
        <v>3.5337673999999999</v>
      </c>
      <c r="AX305" s="10">
        <v>3.5198887999999999</v>
      </c>
      <c r="AY305" s="10">
        <v>3.5064350000000002</v>
      </c>
      <c r="AZ305" s="10">
        <v>3.4933874</v>
      </c>
      <c r="BA305" s="10">
        <v>3.4807275</v>
      </c>
      <c r="BB305" s="10">
        <v>3.4684366999999998</v>
      </c>
      <c r="BC305" s="10">
        <v>3.4564965999999999</v>
      </c>
      <c r="BD305" s="10">
        <v>3.4448884999999998</v>
      </c>
      <c r="BE305" s="10">
        <v>3.4335939999999998</v>
      </c>
      <c r="BF305" s="10">
        <v>3.4225989999999999</v>
      </c>
      <c r="BG305" s="10">
        <v>3.4119082999999999</v>
      </c>
      <c r="BH305" s="10">
        <v>3.4015325000000001</v>
      </c>
      <c r="BI305" s="10">
        <v>3.3914818000000002</v>
      </c>
      <c r="BJ305" s="10">
        <v>3.3817667999999999</v>
      </c>
      <c r="BK305" s="10">
        <v>3.3723976000000002</v>
      </c>
      <c r="BL305" s="10">
        <v>3.3633848</v>
      </c>
      <c r="BM305" s="10">
        <v>3.3547386000000001</v>
      </c>
      <c r="BN305" s="10">
        <v>3.3464695</v>
      </c>
      <c r="BO305" s="10">
        <v>3.3385878</v>
      </c>
      <c r="BP305" s="10">
        <v>3.3311039</v>
      </c>
      <c r="BQ305" s="10">
        <v>3.3240281</v>
      </c>
      <c r="BR305" s="10">
        <v>3.2902431000000001</v>
      </c>
      <c r="BS305" s="10">
        <v>3.2708381000000002</v>
      </c>
      <c r="BU305" s="7">
        <v>3.92</v>
      </c>
      <c r="BV305" s="7">
        <v>3.61</v>
      </c>
      <c r="BW305" s="9">
        <v>78.087400000000002</v>
      </c>
    </row>
    <row r="306" spans="1:75" x14ac:dyDescent="0.25">
      <c r="A306" s="6">
        <f t="shared" si="29"/>
        <v>44980</v>
      </c>
      <c r="B306" s="13">
        <f t="shared" si="24"/>
        <v>2</v>
      </c>
      <c r="C306" s="13">
        <f t="shared" si="25"/>
        <v>2023</v>
      </c>
      <c r="D306">
        <f t="shared" si="26"/>
        <v>202302</v>
      </c>
      <c r="E306">
        <f t="shared" si="27"/>
        <v>1</v>
      </c>
      <c r="F306">
        <f t="shared" si="28"/>
        <v>202301</v>
      </c>
      <c r="G306" t="s">
        <v>493</v>
      </c>
      <c r="H306" s="9">
        <v>4</v>
      </c>
      <c r="I306" s="9">
        <v>3.927</v>
      </c>
      <c r="J306" s="10">
        <v>4.0310461999999996</v>
      </c>
      <c r="K306" s="10">
        <v>4.2085036000000002</v>
      </c>
      <c r="L306" s="10">
        <v>4.3429589999999996</v>
      </c>
      <c r="M306" s="10">
        <v>4.4486661999999999</v>
      </c>
      <c r="N306" s="10">
        <v>4.5284095000000004</v>
      </c>
      <c r="O306" s="10">
        <v>4.5800561000000002</v>
      </c>
      <c r="P306" s="10">
        <v>4.6041343000000001</v>
      </c>
      <c r="Q306" s="10">
        <v>4.6039108000000004</v>
      </c>
      <c r="R306" s="10">
        <v>4.5848126999999996</v>
      </c>
      <c r="S306" s="10">
        <v>4.5517158000000002</v>
      </c>
      <c r="T306" s="10">
        <v>4.5092939000000003</v>
      </c>
      <c r="U306" s="10">
        <v>4.4606338000000001</v>
      </c>
      <c r="V306" s="10">
        <v>4.4088272999999996</v>
      </c>
      <c r="W306" s="10">
        <v>4.3552749000000004</v>
      </c>
      <c r="X306" s="10">
        <v>4.3008863000000002</v>
      </c>
      <c r="Y306" s="10">
        <v>4.2465713000000003</v>
      </c>
      <c r="Z306" s="10">
        <v>4.1932394999999998</v>
      </c>
      <c r="AA306" s="10">
        <v>4.1418007000000001</v>
      </c>
      <c r="AB306" s="10">
        <v>4.0929884999999997</v>
      </c>
      <c r="AC306" s="10">
        <v>4.0468662999999996</v>
      </c>
      <c r="AD306" s="10">
        <v>4.0033379</v>
      </c>
      <c r="AE306" s="10">
        <v>3.9623069000000002</v>
      </c>
      <c r="AF306" s="10">
        <v>3.9236773</v>
      </c>
      <c r="AG306" s="10">
        <v>3.8873525999999998</v>
      </c>
      <c r="AH306" s="10">
        <v>3.8532321999999999</v>
      </c>
      <c r="AI306" s="10">
        <v>3.8211922</v>
      </c>
      <c r="AJ306" s="10">
        <v>3.7911019000000001</v>
      </c>
      <c r="AK306" s="10">
        <v>3.7628306999999999</v>
      </c>
      <c r="AL306" s="10">
        <v>3.7362479</v>
      </c>
      <c r="AM306" s="10">
        <v>3.7112227</v>
      </c>
      <c r="AN306" s="10">
        <v>3.6876245999999999</v>
      </c>
      <c r="AO306" s="10">
        <v>3.6653229000000001</v>
      </c>
      <c r="AP306" s="10">
        <v>3.6441867999999999</v>
      </c>
      <c r="AQ306" s="10">
        <v>3.6240857000000002</v>
      </c>
      <c r="AR306" s="10">
        <v>3.604889</v>
      </c>
      <c r="AS306" s="10">
        <v>3.5864658</v>
      </c>
      <c r="AT306" s="10">
        <v>3.5687023</v>
      </c>
      <c r="AU306" s="10">
        <v>3.5515577999999999</v>
      </c>
      <c r="AV306" s="10">
        <v>3.5350120999999999</v>
      </c>
      <c r="AW306" s="10">
        <v>3.5190448999999999</v>
      </c>
      <c r="AX306" s="10">
        <v>3.5036360000000002</v>
      </c>
      <c r="AY306" s="10">
        <v>3.4887651000000002</v>
      </c>
      <c r="AZ306" s="10">
        <v>3.4744120000000001</v>
      </c>
      <c r="BA306" s="10">
        <v>3.4605562999999999</v>
      </c>
      <c r="BB306" s="10">
        <v>3.4471778999999998</v>
      </c>
      <c r="BC306" s="10">
        <v>3.4342564000000002</v>
      </c>
      <c r="BD306" s="10">
        <v>3.4217715000000002</v>
      </c>
      <c r="BE306" s="10">
        <v>3.4097032</v>
      </c>
      <c r="BF306" s="10">
        <v>3.3980343</v>
      </c>
      <c r="BG306" s="10">
        <v>3.3867626</v>
      </c>
      <c r="BH306" s="10">
        <v>3.3758900999999999</v>
      </c>
      <c r="BI306" s="10">
        <v>3.3654185999999999</v>
      </c>
      <c r="BJ306" s="10">
        <v>3.3553499000000002</v>
      </c>
      <c r="BK306" s="10">
        <v>3.3456858</v>
      </c>
      <c r="BL306" s="10">
        <v>3.3364281999999998</v>
      </c>
      <c r="BM306" s="10">
        <v>3.3275788999999998</v>
      </c>
      <c r="BN306" s="10">
        <v>3.3191397</v>
      </c>
      <c r="BO306" s="10">
        <v>3.3111126</v>
      </c>
      <c r="BP306" s="10">
        <v>3.3034992999999999</v>
      </c>
      <c r="BQ306" s="10">
        <v>3.2963018000000002</v>
      </c>
      <c r="BR306" s="10">
        <v>3.2617604</v>
      </c>
      <c r="BS306" s="10">
        <v>3.2415053999999999</v>
      </c>
      <c r="BU306" s="7">
        <v>3.9</v>
      </c>
      <c r="BV306" s="7">
        <v>3.58</v>
      </c>
      <c r="BW306" s="9">
        <v>77.914599999999993</v>
      </c>
    </row>
    <row r="307" spans="1:75" x14ac:dyDescent="0.25">
      <c r="A307" s="6">
        <f t="shared" si="29"/>
        <v>44981</v>
      </c>
      <c r="B307" s="13">
        <f t="shared" si="24"/>
        <v>2</v>
      </c>
      <c r="C307" s="13">
        <f t="shared" si="25"/>
        <v>2023</v>
      </c>
      <c r="D307">
        <f t="shared" si="26"/>
        <v>202302</v>
      </c>
      <c r="E307">
        <f t="shared" si="27"/>
        <v>1</v>
      </c>
      <c r="F307">
        <f t="shared" si="28"/>
        <v>202301</v>
      </c>
      <c r="G307" t="s">
        <v>494</v>
      </c>
      <c r="H307" s="9">
        <v>4</v>
      </c>
      <c r="I307" s="9">
        <v>3.9274</v>
      </c>
      <c r="J307" s="10">
        <v>4.0638088999999997</v>
      </c>
      <c r="K307" s="10">
        <v>4.2625498000000004</v>
      </c>
      <c r="L307" s="10">
        <v>4.4142999999999999</v>
      </c>
      <c r="M307" s="10">
        <v>4.5368414000000001</v>
      </c>
      <c r="N307" s="10">
        <v>4.6332873000000001</v>
      </c>
      <c r="O307" s="10">
        <v>4.7011314999999998</v>
      </c>
      <c r="P307" s="10">
        <v>4.7413470999999996</v>
      </c>
      <c r="Q307" s="10">
        <v>4.7574145999999997</v>
      </c>
      <c r="R307" s="10">
        <v>4.7545029999999997</v>
      </c>
      <c r="S307" s="10">
        <v>4.7367495999999996</v>
      </c>
      <c r="T307" s="10">
        <v>4.7077150000000003</v>
      </c>
      <c r="U307" s="10">
        <v>4.6697154999999997</v>
      </c>
      <c r="V307" s="10">
        <v>4.6249067999999998</v>
      </c>
      <c r="W307" s="10">
        <v>4.5748844999999996</v>
      </c>
      <c r="X307" s="10">
        <v>4.5210467000000003</v>
      </c>
      <c r="Y307" s="10">
        <v>4.4647914999999996</v>
      </c>
      <c r="Z307" s="10">
        <v>4.4075170000000004</v>
      </c>
      <c r="AA307" s="10">
        <v>4.3506213000000002</v>
      </c>
      <c r="AB307" s="10">
        <v>4.2953323000000001</v>
      </c>
      <c r="AC307" s="10">
        <v>4.2420061000000002</v>
      </c>
      <c r="AD307" s="10">
        <v>4.1907205000000003</v>
      </c>
      <c r="AE307" s="10">
        <v>4.1415531000000003</v>
      </c>
      <c r="AF307" s="10">
        <v>4.0945815000000003</v>
      </c>
      <c r="AG307" s="10">
        <v>4.0498830999999997</v>
      </c>
      <c r="AH307" s="10">
        <v>4.0075070999999998</v>
      </c>
      <c r="AI307" s="10">
        <v>3.9673756999999998</v>
      </c>
      <c r="AJ307" s="10">
        <v>3.9293767000000002</v>
      </c>
      <c r="AK307" s="10">
        <v>3.8933974999999998</v>
      </c>
      <c r="AL307" s="10">
        <v>3.8593256999999999</v>
      </c>
      <c r="AM307" s="10">
        <v>3.8270488</v>
      </c>
      <c r="AN307" s="10">
        <v>3.7964544999999998</v>
      </c>
      <c r="AO307" s="10">
        <v>3.7674303</v>
      </c>
      <c r="AP307" s="10">
        <v>3.7398636999999999</v>
      </c>
      <c r="AQ307" s="10">
        <v>3.7136421999999998</v>
      </c>
      <c r="AR307" s="10">
        <v>3.6886535999999999</v>
      </c>
      <c r="AS307" s="10">
        <v>3.6647851999999999</v>
      </c>
      <c r="AT307" s="10">
        <v>3.6419364000000001</v>
      </c>
      <c r="AU307" s="10">
        <v>3.6200572000000002</v>
      </c>
      <c r="AV307" s="10">
        <v>3.5991119999999999</v>
      </c>
      <c r="AW307" s="10">
        <v>3.5790652999999999</v>
      </c>
      <c r="AX307" s="10">
        <v>3.5598814000000001</v>
      </c>
      <c r="AY307" s="10">
        <v>3.5415245999999998</v>
      </c>
      <c r="AZ307" s="10">
        <v>3.5239593</v>
      </c>
      <c r="BA307" s="10">
        <v>3.5071498000000001</v>
      </c>
      <c r="BB307" s="10">
        <v>3.4910606</v>
      </c>
      <c r="BC307" s="10">
        <v>3.4756559</v>
      </c>
      <c r="BD307" s="10">
        <v>3.4609002000000002</v>
      </c>
      <c r="BE307" s="10">
        <v>3.4467577</v>
      </c>
      <c r="BF307" s="10">
        <v>3.4331966999999999</v>
      </c>
      <c r="BG307" s="10">
        <v>3.4202021</v>
      </c>
      <c r="BH307" s="10">
        <v>3.4077633999999999</v>
      </c>
      <c r="BI307" s="10">
        <v>3.3958702000000001</v>
      </c>
      <c r="BJ307" s="10">
        <v>3.3845120999999998</v>
      </c>
      <c r="BK307" s="10">
        <v>3.3736785999999999</v>
      </c>
      <c r="BL307" s="10">
        <v>3.3633594000000002</v>
      </c>
      <c r="BM307" s="10">
        <v>3.3535439</v>
      </c>
      <c r="BN307" s="10">
        <v>3.3442216999999999</v>
      </c>
      <c r="BO307" s="10">
        <v>3.3353825000000001</v>
      </c>
      <c r="BP307" s="10">
        <v>3.3270157</v>
      </c>
      <c r="BQ307" s="10">
        <v>3.3191109000000001</v>
      </c>
      <c r="BR307" s="10">
        <v>3.2810092000000002</v>
      </c>
      <c r="BS307" s="10">
        <v>3.2581763000000001</v>
      </c>
      <c r="BU307" s="7">
        <v>3.62</v>
      </c>
      <c r="BV307" s="7">
        <v>3.75</v>
      </c>
      <c r="BW307" s="9">
        <v>77.720299999999995</v>
      </c>
    </row>
    <row r="308" spans="1:75" x14ac:dyDescent="0.25">
      <c r="A308" s="6">
        <f t="shared" si="29"/>
        <v>44984</v>
      </c>
      <c r="B308" s="13">
        <f t="shared" si="24"/>
        <v>2</v>
      </c>
      <c r="C308" s="13">
        <f t="shared" si="25"/>
        <v>2023</v>
      </c>
      <c r="D308">
        <f t="shared" si="26"/>
        <v>202302</v>
      </c>
      <c r="E308">
        <f t="shared" si="27"/>
        <v>1</v>
      </c>
      <c r="F308">
        <f t="shared" si="28"/>
        <v>202301</v>
      </c>
      <c r="G308" t="s">
        <v>495</v>
      </c>
      <c r="H308" s="9">
        <v>4</v>
      </c>
      <c r="I308" s="9">
        <v>3.927</v>
      </c>
      <c r="J308" s="10">
        <v>4.0930809999999997</v>
      </c>
      <c r="K308" s="10">
        <v>4.2761943999999996</v>
      </c>
      <c r="L308" s="10">
        <v>4.4184887000000002</v>
      </c>
      <c r="M308" s="10">
        <v>4.531765</v>
      </c>
      <c r="N308" s="10">
        <v>4.6212410999999998</v>
      </c>
      <c r="O308" s="10">
        <v>4.6862237000000002</v>
      </c>
      <c r="P308" s="10">
        <v>4.7279396</v>
      </c>
      <c r="Q308" s="10">
        <v>4.7483113000000001</v>
      </c>
      <c r="R308" s="10">
        <v>4.7506608999999997</v>
      </c>
      <c r="S308" s="10">
        <v>4.7381190000000002</v>
      </c>
      <c r="T308" s="10">
        <v>4.7135436999999998</v>
      </c>
      <c r="U308" s="10">
        <v>4.6798807</v>
      </c>
      <c r="V308" s="10">
        <v>4.6403467000000003</v>
      </c>
      <c r="W308" s="10">
        <v>4.5964603999999998</v>
      </c>
      <c r="X308" s="10">
        <v>4.5492616000000003</v>
      </c>
      <c r="Y308" s="10">
        <v>4.4997904000000002</v>
      </c>
      <c r="Z308" s="10">
        <v>4.4490864999999999</v>
      </c>
      <c r="AA308" s="10">
        <v>4.3981897999999999</v>
      </c>
      <c r="AB308" s="10">
        <v>4.3479937</v>
      </c>
      <c r="AC308" s="10">
        <v>4.2988337000000003</v>
      </c>
      <c r="AD308" s="10">
        <v>4.2509123999999998</v>
      </c>
      <c r="AE308" s="10">
        <v>4.2044325000000002</v>
      </c>
      <c r="AF308" s="10">
        <v>4.1595969000000004</v>
      </c>
      <c r="AG308" s="10">
        <v>4.1166081999999999</v>
      </c>
      <c r="AH308" s="10">
        <v>4.0756240999999997</v>
      </c>
      <c r="AI308" s="10">
        <v>4.0366039999999996</v>
      </c>
      <c r="AJ308" s="10">
        <v>3.9994524999999999</v>
      </c>
      <c r="AK308" s="10">
        <v>3.9640740999999999</v>
      </c>
      <c r="AL308" s="10">
        <v>3.9303732999999998</v>
      </c>
      <c r="AM308" s="10">
        <v>3.8982549</v>
      </c>
      <c r="AN308" s="10">
        <v>3.8676233</v>
      </c>
      <c r="AO308" s="10">
        <v>3.8383831000000002</v>
      </c>
      <c r="AP308" s="10">
        <v>3.8104388</v>
      </c>
      <c r="AQ308" s="10">
        <v>3.7836951000000001</v>
      </c>
      <c r="AR308" s="10">
        <v>3.7580564999999999</v>
      </c>
      <c r="AS308" s="10">
        <v>3.7334276000000002</v>
      </c>
      <c r="AT308" s="10">
        <v>3.7097235999999998</v>
      </c>
      <c r="AU308" s="10">
        <v>3.6869067000000002</v>
      </c>
      <c r="AV308" s="10">
        <v>3.6649520999999998</v>
      </c>
      <c r="AW308" s="10">
        <v>3.6438348999999999</v>
      </c>
      <c r="AX308" s="10">
        <v>3.6235305000000002</v>
      </c>
      <c r="AY308" s="10">
        <v>3.6040139</v>
      </c>
      <c r="AZ308" s="10">
        <v>3.5852604000000001</v>
      </c>
      <c r="BA308" s="10">
        <v>3.5672451000000001</v>
      </c>
      <c r="BB308" s="10">
        <v>3.5499432999999998</v>
      </c>
      <c r="BC308" s="10">
        <v>3.5333299999999999</v>
      </c>
      <c r="BD308" s="10">
        <v>3.5173806000000001</v>
      </c>
      <c r="BE308" s="10">
        <v>3.5020701999999999</v>
      </c>
      <c r="BF308" s="10">
        <v>3.4873766000000002</v>
      </c>
      <c r="BG308" s="10">
        <v>3.4732923000000002</v>
      </c>
      <c r="BH308" s="10">
        <v>3.4598143000000001</v>
      </c>
      <c r="BI308" s="10">
        <v>3.4469398999999998</v>
      </c>
      <c r="BJ308" s="10">
        <v>3.4346662999999999</v>
      </c>
      <c r="BK308" s="10">
        <v>3.4229905999999999</v>
      </c>
      <c r="BL308" s="10">
        <v>3.4119100000000002</v>
      </c>
      <c r="BM308" s="10">
        <v>3.4014217000000002</v>
      </c>
      <c r="BN308" s="10">
        <v>3.3915229</v>
      </c>
      <c r="BO308" s="10">
        <v>3.3822108000000002</v>
      </c>
      <c r="BP308" s="10">
        <v>3.3734825000000002</v>
      </c>
      <c r="BQ308" s="10">
        <v>3.3653352999999999</v>
      </c>
      <c r="BR308" s="10">
        <v>3.3281500999999998</v>
      </c>
      <c r="BS308" s="10">
        <v>3.30905</v>
      </c>
      <c r="BU308" s="7">
        <v>3.68</v>
      </c>
      <c r="BV308" s="7">
        <v>3.8</v>
      </c>
      <c r="BW308" s="9">
        <v>78.082899999999995</v>
      </c>
    </row>
    <row r="309" spans="1:75" x14ac:dyDescent="0.25">
      <c r="A309" s="6">
        <f t="shared" si="29"/>
        <v>44985</v>
      </c>
      <c r="B309" s="13">
        <f t="shared" si="24"/>
        <v>2</v>
      </c>
      <c r="C309" s="13">
        <f t="shared" si="25"/>
        <v>2023</v>
      </c>
      <c r="D309">
        <f t="shared" si="26"/>
        <v>202302</v>
      </c>
      <c r="E309">
        <f t="shared" si="27"/>
        <v>1</v>
      </c>
      <c r="F309">
        <f t="shared" si="28"/>
        <v>202301</v>
      </c>
      <c r="G309" t="s">
        <v>496</v>
      </c>
      <c r="H309" s="9">
        <v>4</v>
      </c>
      <c r="I309" s="9">
        <v>3.927</v>
      </c>
      <c r="J309" s="10">
        <v>4.0962559000000001</v>
      </c>
      <c r="K309" s="10">
        <v>4.2659250999999996</v>
      </c>
      <c r="L309" s="10">
        <v>4.4042735000000004</v>
      </c>
      <c r="M309" s="10">
        <v>4.5131563999999997</v>
      </c>
      <c r="N309" s="10">
        <v>4.5986820000000002</v>
      </c>
      <c r="O309" s="10">
        <v>4.6646633</v>
      </c>
      <c r="P309" s="10">
        <v>4.7136347000000001</v>
      </c>
      <c r="Q309" s="10">
        <v>4.7479589000000004</v>
      </c>
      <c r="R309" s="10">
        <v>4.7692188</v>
      </c>
      <c r="S309" s="10">
        <v>4.7790860999999998</v>
      </c>
      <c r="T309" s="10">
        <v>4.7782511000000003</v>
      </c>
      <c r="U309" s="10">
        <v>4.7669841999999996</v>
      </c>
      <c r="V309" s="10">
        <v>4.7452395000000003</v>
      </c>
      <c r="W309" s="10">
        <v>4.7140656999999999</v>
      </c>
      <c r="X309" s="10">
        <v>4.6748675000000004</v>
      </c>
      <c r="Y309" s="10">
        <v>4.6290497000000004</v>
      </c>
      <c r="Z309" s="10">
        <v>4.5780173</v>
      </c>
      <c r="AA309" s="10">
        <v>4.5231748999999999</v>
      </c>
      <c r="AB309" s="10">
        <v>4.4658696999999998</v>
      </c>
      <c r="AC309" s="10">
        <v>4.4070865000000001</v>
      </c>
      <c r="AD309" s="10">
        <v>4.3476698000000003</v>
      </c>
      <c r="AE309" s="10">
        <v>4.2884640999999997</v>
      </c>
      <c r="AF309" s="10">
        <v>4.2303137</v>
      </c>
      <c r="AG309" s="10">
        <v>4.1740630999999997</v>
      </c>
      <c r="AH309" s="10">
        <v>4.1204158</v>
      </c>
      <c r="AI309" s="10">
        <v>4.0694542</v>
      </c>
      <c r="AJ309" s="10">
        <v>4.0210891000000002</v>
      </c>
      <c r="AK309" s="10">
        <v>3.9752312999999999</v>
      </c>
      <c r="AL309" s="10">
        <v>3.9317918000000001</v>
      </c>
      <c r="AM309" s="10">
        <v>3.8906812999999998</v>
      </c>
      <c r="AN309" s="10">
        <v>3.8518107000000001</v>
      </c>
      <c r="AO309" s="10">
        <v>3.8150909</v>
      </c>
      <c r="AP309" s="10">
        <v>3.7804327999999998</v>
      </c>
      <c r="AQ309" s="10">
        <v>3.7477472000000001</v>
      </c>
      <c r="AR309" s="10">
        <v>3.7169449000000001</v>
      </c>
      <c r="AS309" s="10">
        <v>3.6879368000000001</v>
      </c>
      <c r="AT309" s="10">
        <v>3.6606337</v>
      </c>
      <c r="AU309" s="10">
        <v>3.6349466000000001</v>
      </c>
      <c r="AV309" s="10">
        <v>3.6107860999999999</v>
      </c>
      <c r="AW309" s="10">
        <v>3.5880630999999998</v>
      </c>
      <c r="AX309" s="10">
        <v>3.5666883999999999</v>
      </c>
      <c r="AY309" s="10">
        <v>3.5465727999999999</v>
      </c>
      <c r="AZ309" s="10">
        <v>3.5276271000000001</v>
      </c>
      <c r="BA309" s="10">
        <v>3.5097621999999999</v>
      </c>
      <c r="BB309" s="10">
        <v>3.4928887999999998</v>
      </c>
      <c r="BC309" s="10">
        <v>3.4769177</v>
      </c>
      <c r="BD309" s="10">
        <v>3.4617597999999998</v>
      </c>
      <c r="BE309" s="10">
        <v>3.4473258000000002</v>
      </c>
      <c r="BF309" s="10">
        <v>3.4335369999999998</v>
      </c>
      <c r="BG309" s="10">
        <v>3.4203652</v>
      </c>
      <c r="BH309" s="10">
        <v>3.4077975</v>
      </c>
      <c r="BI309" s="10">
        <v>3.3958211999999999</v>
      </c>
      <c r="BJ309" s="10">
        <v>3.3844235999999999</v>
      </c>
      <c r="BK309" s="10">
        <v>3.3735917999999998</v>
      </c>
      <c r="BL309" s="10">
        <v>3.3633131000000001</v>
      </c>
      <c r="BM309" s="10">
        <v>3.3535746999999998</v>
      </c>
      <c r="BN309" s="10">
        <v>3.3443637000000002</v>
      </c>
      <c r="BO309" s="10">
        <v>3.3356675</v>
      </c>
      <c r="BP309" s="10">
        <v>3.3274732999999999</v>
      </c>
      <c r="BQ309" s="10">
        <v>3.3197681999999999</v>
      </c>
      <c r="BR309" s="10">
        <v>3.2834256000000002</v>
      </c>
      <c r="BS309" s="10">
        <v>3.2635036999999998</v>
      </c>
      <c r="BU309" s="7">
        <v>3.66</v>
      </c>
      <c r="BV309" s="7">
        <v>3.84</v>
      </c>
      <c r="BW309" s="9">
        <v>78.542299999999997</v>
      </c>
    </row>
    <row r="310" spans="1:75" x14ac:dyDescent="0.25">
      <c r="A310" s="6">
        <f t="shared" si="29"/>
        <v>44986</v>
      </c>
      <c r="B310" s="13">
        <f t="shared" si="24"/>
        <v>3</v>
      </c>
      <c r="C310" s="13">
        <f t="shared" si="25"/>
        <v>2023</v>
      </c>
      <c r="D310">
        <f t="shared" si="26"/>
        <v>202303</v>
      </c>
      <c r="E310">
        <f t="shared" si="27"/>
        <v>1</v>
      </c>
      <c r="F310">
        <f t="shared" si="28"/>
        <v>202301</v>
      </c>
      <c r="G310" t="s">
        <v>497</v>
      </c>
      <c r="H310" s="9">
        <v>4</v>
      </c>
      <c r="I310" s="9">
        <v>3.927</v>
      </c>
      <c r="J310" s="10">
        <v>4.0969823999999999</v>
      </c>
      <c r="K310" s="10">
        <v>4.2468155999999997</v>
      </c>
      <c r="L310" s="10">
        <v>4.3762452999999999</v>
      </c>
      <c r="M310" s="10">
        <v>4.4848962999999999</v>
      </c>
      <c r="N310" s="10">
        <v>4.5701859000000002</v>
      </c>
      <c r="O310" s="10">
        <v>4.6322204999999999</v>
      </c>
      <c r="P310" s="10">
        <v>4.6731327</v>
      </c>
      <c r="Q310" s="10">
        <v>4.6971407000000003</v>
      </c>
      <c r="R310" s="10">
        <v>4.7081413000000003</v>
      </c>
      <c r="S310" s="10">
        <v>4.7090819000000002</v>
      </c>
      <c r="T310" s="10">
        <v>4.7016365000000002</v>
      </c>
      <c r="U310" s="10">
        <v>4.6863276999999997</v>
      </c>
      <c r="V310" s="10">
        <v>4.6628746000000003</v>
      </c>
      <c r="W310" s="10">
        <v>4.6319350000000004</v>
      </c>
      <c r="X310" s="10">
        <v>4.5944994000000001</v>
      </c>
      <c r="Y310" s="10">
        <v>4.5515584999999996</v>
      </c>
      <c r="Z310" s="10">
        <v>4.5041026999999998</v>
      </c>
      <c r="AA310" s="10">
        <v>4.4531228</v>
      </c>
      <c r="AB310" s="10">
        <v>4.3995953999999999</v>
      </c>
      <c r="AC310" s="10">
        <v>4.3444194999999999</v>
      </c>
      <c r="AD310" s="10">
        <v>4.2884665999999996</v>
      </c>
      <c r="AE310" s="10">
        <v>4.2326081000000002</v>
      </c>
      <c r="AF310" s="10">
        <v>4.1777154000000003</v>
      </c>
      <c r="AG310" s="10">
        <v>4.1246600999999998</v>
      </c>
      <c r="AH310" s="10">
        <v>4.0741965999999996</v>
      </c>
      <c r="AI310" s="10">
        <v>4.0264496999999997</v>
      </c>
      <c r="AJ310" s="10">
        <v>3.9813329999999998</v>
      </c>
      <c r="AK310" s="10">
        <v>3.9387601000000001</v>
      </c>
      <c r="AL310" s="10">
        <v>3.8986445000000001</v>
      </c>
      <c r="AM310" s="10">
        <v>3.8608997</v>
      </c>
      <c r="AN310" s="10">
        <v>3.8254391999999999</v>
      </c>
      <c r="AO310" s="10">
        <v>3.7921765000000001</v>
      </c>
      <c r="AP310" s="10">
        <v>3.7610252000000002</v>
      </c>
      <c r="AQ310" s="10">
        <v>3.7318988000000002</v>
      </c>
      <c r="AR310" s="10">
        <v>3.7047107000000001</v>
      </c>
      <c r="AS310" s="10">
        <v>3.6793745000000002</v>
      </c>
      <c r="AT310" s="10">
        <v>3.6558025999999999</v>
      </c>
      <c r="AU310" s="10">
        <v>3.6339014999999999</v>
      </c>
      <c r="AV310" s="10">
        <v>3.6135761</v>
      </c>
      <c r="AW310" s="10">
        <v>3.5947314000000001</v>
      </c>
      <c r="AX310" s="10">
        <v>3.5772721999999999</v>
      </c>
      <c r="AY310" s="10">
        <v>3.5611035000000002</v>
      </c>
      <c r="AZ310" s="10">
        <v>3.5461299999999998</v>
      </c>
      <c r="BA310" s="10">
        <v>3.5322567999999999</v>
      </c>
      <c r="BB310" s="10">
        <v>3.5193886000000001</v>
      </c>
      <c r="BC310" s="10">
        <v>3.5074304000000001</v>
      </c>
      <c r="BD310" s="10">
        <v>3.4962871</v>
      </c>
      <c r="BE310" s="10">
        <v>3.4858634999999998</v>
      </c>
      <c r="BF310" s="10">
        <v>3.4760757</v>
      </c>
      <c r="BG310" s="10">
        <v>3.4668884000000002</v>
      </c>
      <c r="BH310" s="10">
        <v>3.4582799</v>
      </c>
      <c r="BI310" s="10">
        <v>3.4502285000000001</v>
      </c>
      <c r="BJ310" s="10">
        <v>3.4427124999999998</v>
      </c>
      <c r="BK310" s="10">
        <v>3.4357101999999999</v>
      </c>
      <c r="BL310" s="10">
        <v>3.4291999</v>
      </c>
      <c r="BM310" s="10">
        <v>3.4231598999999999</v>
      </c>
      <c r="BN310" s="10">
        <v>3.4175684</v>
      </c>
      <c r="BO310" s="10">
        <v>3.4124039000000002</v>
      </c>
      <c r="BP310" s="10">
        <v>3.4076445</v>
      </c>
      <c r="BQ310" s="10">
        <v>3.4032684999999998</v>
      </c>
      <c r="BR310" s="10">
        <v>3.3843407000000001</v>
      </c>
      <c r="BS310" s="10">
        <v>3.3767580000000001</v>
      </c>
      <c r="BU310" s="7">
        <v>3.68</v>
      </c>
      <c r="BV310" s="7">
        <v>3.83</v>
      </c>
      <c r="BW310" s="9">
        <v>77.587000000000003</v>
      </c>
    </row>
    <row r="311" spans="1:75" x14ac:dyDescent="0.25">
      <c r="A311" s="6">
        <f t="shared" si="29"/>
        <v>44987</v>
      </c>
      <c r="B311" s="13">
        <f t="shared" si="24"/>
        <v>3</v>
      </c>
      <c r="C311" s="13">
        <f t="shared" si="25"/>
        <v>2023</v>
      </c>
      <c r="D311">
        <f t="shared" si="26"/>
        <v>202303</v>
      </c>
      <c r="E311">
        <f t="shared" si="27"/>
        <v>1</v>
      </c>
      <c r="F311">
        <f t="shared" si="28"/>
        <v>202301</v>
      </c>
      <c r="G311" t="s">
        <v>498</v>
      </c>
      <c r="H311" s="9">
        <v>4</v>
      </c>
      <c r="I311" s="9">
        <v>3.9272999999999998</v>
      </c>
      <c r="J311" s="10">
        <v>4.0946733000000002</v>
      </c>
      <c r="K311" s="10">
        <v>4.2411988999999997</v>
      </c>
      <c r="L311" s="10">
        <v>4.3696079000000001</v>
      </c>
      <c r="M311" s="10">
        <v>4.4794435999999997</v>
      </c>
      <c r="N311" s="10">
        <v>4.5684487999999996</v>
      </c>
      <c r="O311" s="10">
        <v>4.6354899999999999</v>
      </c>
      <c r="P311" s="10">
        <v>4.6817845</v>
      </c>
      <c r="Q311" s="10">
        <v>4.7093799000000001</v>
      </c>
      <c r="R311" s="10">
        <v>4.7216171999999998</v>
      </c>
      <c r="S311" s="10">
        <v>4.7211534999999998</v>
      </c>
      <c r="T311" s="10">
        <v>4.710445</v>
      </c>
      <c r="U311" s="10">
        <v>4.6910743000000004</v>
      </c>
      <c r="V311" s="10">
        <v>4.6644556000000001</v>
      </c>
      <c r="W311" s="10">
        <v>4.6317497999999997</v>
      </c>
      <c r="X311" s="10">
        <v>4.5940113</v>
      </c>
      <c r="Y311" s="10">
        <v>4.5522945000000004</v>
      </c>
      <c r="Z311" s="10">
        <v>4.5076539000000002</v>
      </c>
      <c r="AA311" s="10">
        <v>4.4611438000000003</v>
      </c>
      <c r="AB311" s="10">
        <v>4.4137389999999996</v>
      </c>
      <c r="AC311" s="10">
        <v>4.3660063999999998</v>
      </c>
      <c r="AD311" s="10">
        <v>4.3183822999999997</v>
      </c>
      <c r="AE311" s="10">
        <v>4.2713030999999999</v>
      </c>
      <c r="AF311" s="10">
        <v>4.2252052999999998</v>
      </c>
      <c r="AG311" s="10">
        <v>4.1805251999999999</v>
      </c>
      <c r="AH311" s="10">
        <v>4.1376321000000003</v>
      </c>
      <c r="AI311" s="10">
        <v>4.0965673000000002</v>
      </c>
      <c r="AJ311" s="10">
        <v>4.0572723999999996</v>
      </c>
      <c r="AK311" s="10">
        <v>4.0196892000000002</v>
      </c>
      <c r="AL311" s="10">
        <v>3.9837590999999999</v>
      </c>
      <c r="AM311" s="10">
        <v>3.949424</v>
      </c>
      <c r="AN311" s="10">
        <v>3.9166253000000002</v>
      </c>
      <c r="AO311" s="10">
        <v>3.8853046999999998</v>
      </c>
      <c r="AP311" s="10">
        <v>3.8554040000000001</v>
      </c>
      <c r="AQ311" s="10">
        <v>3.8268645999999999</v>
      </c>
      <c r="AR311" s="10">
        <v>3.7996281999999999</v>
      </c>
      <c r="AS311" s="10">
        <v>3.7736364999999998</v>
      </c>
      <c r="AT311" s="10">
        <v>3.7488339000000002</v>
      </c>
      <c r="AU311" s="10">
        <v>3.7251769000000001</v>
      </c>
      <c r="AV311" s="10">
        <v>3.7026254999999999</v>
      </c>
      <c r="AW311" s="10">
        <v>3.6811397000000001</v>
      </c>
      <c r="AX311" s="10">
        <v>3.6606792000000001</v>
      </c>
      <c r="AY311" s="10">
        <v>3.6412041999999998</v>
      </c>
      <c r="AZ311" s="10">
        <v>3.6226745999999999</v>
      </c>
      <c r="BA311" s="10">
        <v>3.6050502</v>
      </c>
      <c r="BB311" s="10">
        <v>3.5882911000000002</v>
      </c>
      <c r="BC311" s="10">
        <v>3.5723571000000001</v>
      </c>
      <c r="BD311" s="10">
        <v>3.5572081999999998</v>
      </c>
      <c r="BE311" s="10">
        <v>3.5428044000000001</v>
      </c>
      <c r="BF311" s="10">
        <v>3.5291100000000002</v>
      </c>
      <c r="BG311" s="10">
        <v>3.5161087000000002</v>
      </c>
      <c r="BH311" s="10">
        <v>3.5037897999999998</v>
      </c>
      <c r="BI311" s="10">
        <v>3.4921422999999998</v>
      </c>
      <c r="BJ311" s="10">
        <v>3.4811553000000002</v>
      </c>
      <c r="BK311" s="10">
        <v>3.4708180999999998</v>
      </c>
      <c r="BL311" s="10">
        <v>3.4611196</v>
      </c>
      <c r="BM311" s="10">
        <v>3.4520491999999998</v>
      </c>
      <c r="BN311" s="10">
        <v>3.4435958000000002</v>
      </c>
      <c r="BO311" s="10">
        <v>3.4357487</v>
      </c>
      <c r="BP311" s="10">
        <v>3.4284968999999998</v>
      </c>
      <c r="BQ311" s="10">
        <v>3.4218296000000001</v>
      </c>
      <c r="BR311" s="10">
        <v>3.39344</v>
      </c>
      <c r="BS311" s="10">
        <v>3.3830355000000001</v>
      </c>
      <c r="BU311" s="7">
        <v>3.69</v>
      </c>
      <c r="BV311" s="7">
        <v>3.91</v>
      </c>
      <c r="BW311" s="9">
        <v>77.523399999999995</v>
      </c>
    </row>
    <row r="312" spans="1:75" x14ac:dyDescent="0.25">
      <c r="A312" s="6">
        <f t="shared" si="29"/>
        <v>44988</v>
      </c>
      <c r="B312" s="13">
        <f t="shared" si="24"/>
        <v>3</v>
      </c>
      <c r="C312" s="13">
        <f t="shared" si="25"/>
        <v>2023</v>
      </c>
      <c r="D312">
        <f t="shared" si="26"/>
        <v>202303</v>
      </c>
      <c r="E312">
        <f t="shared" si="27"/>
        <v>1</v>
      </c>
      <c r="F312">
        <f t="shared" si="28"/>
        <v>202301</v>
      </c>
      <c r="G312" t="s">
        <v>499</v>
      </c>
      <c r="H312" s="9">
        <v>4</v>
      </c>
      <c r="I312" s="9">
        <v>3.9272</v>
      </c>
      <c r="J312" s="10">
        <v>4.0998739000000004</v>
      </c>
      <c r="K312" s="10">
        <v>4.2412149000000001</v>
      </c>
      <c r="L312" s="10">
        <v>4.3717597000000001</v>
      </c>
      <c r="M312" s="10">
        <v>4.4861531000000001</v>
      </c>
      <c r="N312" s="10">
        <v>4.5795228000000003</v>
      </c>
      <c r="O312" s="10">
        <v>4.6495027999999996</v>
      </c>
      <c r="P312" s="10">
        <v>4.6967810999999999</v>
      </c>
      <c r="Q312" s="10">
        <v>4.723884</v>
      </c>
      <c r="R312" s="10">
        <v>4.7344100999999998</v>
      </c>
      <c r="S312" s="10">
        <v>4.7316094</v>
      </c>
      <c r="T312" s="10">
        <v>4.7180910000000003</v>
      </c>
      <c r="U312" s="10">
        <v>4.6958317000000003</v>
      </c>
      <c r="V312" s="10">
        <v>4.6661460000000003</v>
      </c>
      <c r="W312" s="10">
        <v>4.6301759999999996</v>
      </c>
      <c r="X312" s="10">
        <v>4.5890747000000003</v>
      </c>
      <c r="Y312" s="10">
        <v>4.5439954</v>
      </c>
      <c r="Z312" s="10">
        <v>4.4960908999999996</v>
      </c>
      <c r="AA312" s="10">
        <v>4.4465146000000004</v>
      </c>
      <c r="AB312" s="10">
        <v>4.3963286000000004</v>
      </c>
      <c r="AC312" s="10">
        <v>4.3461303999999998</v>
      </c>
      <c r="AD312" s="10">
        <v>4.2963690000000003</v>
      </c>
      <c r="AE312" s="10">
        <v>4.2474933000000004</v>
      </c>
      <c r="AF312" s="10">
        <v>4.1999519999999997</v>
      </c>
      <c r="AG312" s="10">
        <v>4.1541942000000001</v>
      </c>
      <c r="AH312" s="10">
        <v>4.1105862000000002</v>
      </c>
      <c r="AI312" s="10">
        <v>4.0691302</v>
      </c>
      <c r="AJ312" s="10">
        <v>4.0297279000000001</v>
      </c>
      <c r="AK312" s="10">
        <v>3.9922808999999999</v>
      </c>
      <c r="AL312" s="10">
        <v>3.9566911</v>
      </c>
      <c r="AM312" s="10">
        <v>3.9228600999999998</v>
      </c>
      <c r="AN312" s="10">
        <v>3.8906896</v>
      </c>
      <c r="AO312" s="10">
        <v>3.8600813</v>
      </c>
      <c r="AP312" s="10">
        <v>3.8309369000000002</v>
      </c>
      <c r="AQ312" s="10">
        <v>3.8031581000000001</v>
      </c>
      <c r="AR312" s="10">
        <v>3.7766467000000001</v>
      </c>
      <c r="AS312" s="10">
        <v>3.7513043000000001</v>
      </c>
      <c r="AT312" s="10">
        <v>3.7270412999999998</v>
      </c>
      <c r="AU312" s="10">
        <v>3.7038061999999998</v>
      </c>
      <c r="AV312" s="10">
        <v>3.6815582999999998</v>
      </c>
      <c r="AW312" s="10">
        <v>3.6602565</v>
      </c>
      <c r="AX312" s="10">
        <v>3.6398600999999999</v>
      </c>
      <c r="AY312" s="10">
        <v>3.6203281</v>
      </c>
      <c r="AZ312" s="10">
        <v>3.6016197000000001</v>
      </c>
      <c r="BA312" s="10">
        <v>3.5836939000000001</v>
      </c>
      <c r="BB312" s="10">
        <v>3.5665098999999998</v>
      </c>
      <c r="BC312" s="10">
        <v>3.5500267999999999</v>
      </c>
      <c r="BD312" s="10">
        <v>3.5342037999999998</v>
      </c>
      <c r="BE312" s="10">
        <v>3.5189998999999998</v>
      </c>
      <c r="BF312" s="10">
        <v>3.5043804000000001</v>
      </c>
      <c r="BG312" s="10">
        <v>3.4903381000000002</v>
      </c>
      <c r="BH312" s="10">
        <v>3.4768732</v>
      </c>
      <c r="BI312" s="10">
        <v>3.4639859999999998</v>
      </c>
      <c r="BJ312" s="10">
        <v>3.4516765999999999</v>
      </c>
      <c r="BK312" s="10">
        <v>3.4399453000000002</v>
      </c>
      <c r="BL312" s="10">
        <v>3.4287923</v>
      </c>
      <c r="BM312" s="10">
        <v>3.418218</v>
      </c>
      <c r="BN312" s="10">
        <v>3.4082224000000001</v>
      </c>
      <c r="BO312" s="10">
        <v>3.398806</v>
      </c>
      <c r="BP312" s="10">
        <v>3.3899688000000001</v>
      </c>
      <c r="BQ312" s="10">
        <v>3.3817111999999998</v>
      </c>
      <c r="BR312" s="10">
        <v>3.3441253</v>
      </c>
      <c r="BS312" s="10">
        <v>3.3260890000000001</v>
      </c>
      <c r="BU312" s="7">
        <v>3.69</v>
      </c>
      <c r="BV312" s="7">
        <v>3.8</v>
      </c>
      <c r="BW312" s="9">
        <v>77.658500000000004</v>
      </c>
    </row>
    <row r="313" spans="1:75" x14ac:dyDescent="0.25">
      <c r="A313" s="6">
        <f t="shared" si="29"/>
        <v>44991</v>
      </c>
      <c r="B313" s="13">
        <f t="shared" si="24"/>
        <v>3</v>
      </c>
      <c r="C313" s="13">
        <f t="shared" si="25"/>
        <v>2023</v>
      </c>
      <c r="D313">
        <f t="shared" si="26"/>
        <v>202303</v>
      </c>
      <c r="E313">
        <f t="shared" si="27"/>
        <v>1</v>
      </c>
      <c r="F313">
        <f t="shared" si="28"/>
        <v>202301</v>
      </c>
      <c r="G313" t="s">
        <v>500</v>
      </c>
      <c r="H313" s="9">
        <v>4</v>
      </c>
      <c r="I313" s="9">
        <v>3.9272999999999998</v>
      </c>
      <c r="J313" s="10">
        <v>4.1294000999999998</v>
      </c>
      <c r="K313" s="10">
        <v>4.2544819</v>
      </c>
      <c r="L313" s="10">
        <v>4.3854438</v>
      </c>
      <c r="M313" s="10">
        <v>4.5032302</v>
      </c>
      <c r="N313" s="10">
        <v>4.5989922999999999</v>
      </c>
      <c r="O313" s="10">
        <v>4.6712712999999999</v>
      </c>
      <c r="P313" s="10">
        <v>4.7213573000000002</v>
      </c>
      <c r="Q313" s="10">
        <v>4.7523175000000002</v>
      </c>
      <c r="R313" s="10">
        <v>4.7675574000000003</v>
      </c>
      <c r="S313" s="10">
        <v>4.7702811000000001</v>
      </c>
      <c r="T313" s="10">
        <v>4.7626704000000002</v>
      </c>
      <c r="U313" s="10">
        <v>4.7462105000000001</v>
      </c>
      <c r="V313" s="10">
        <v>4.7218941000000001</v>
      </c>
      <c r="W313" s="10">
        <v>4.6907547000000003</v>
      </c>
      <c r="X313" s="10">
        <v>4.6538725000000003</v>
      </c>
      <c r="Y313" s="10">
        <v>4.6123276999999998</v>
      </c>
      <c r="Z313" s="10">
        <v>4.5672005999999996</v>
      </c>
      <c r="AA313" s="10">
        <v>4.5195714999999996</v>
      </c>
      <c r="AB313" s="10">
        <v>4.4704467000000001</v>
      </c>
      <c r="AC313" s="10">
        <v>4.4204530999999996</v>
      </c>
      <c r="AD313" s="10">
        <v>4.3700967999999998</v>
      </c>
      <c r="AE313" s="10">
        <v>4.3198835999999998</v>
      </c>
      <c r="AF313" s="10">
        <v>4.2703195000000003</v>
      </c>
      <c r="AG313" s="10">
        <v>4.2219103000000002</v>
      </c>
      <c r="AH313" s="10">
        <v>4.1750809999999996</v>
      </c>
      <c r="AI313" s="10">
        <v>4.1298994999999996</v>
      </c>
      <c r="AJ313" s="10">
        <v>4.0863348999999998</v>
      </c>
      <c r="AK313" s="10">
        <v>4.0443566000000004</v>
      </c>
      <c r="AL313" s="10">
        <v>4.0039338000000004</v>
      </c>
      <c r="AM313" s="10">
        <v>3.9650357999999999</v>
      </c>
      <c r="AN313" s="10">
        <v>3.9276317999999999</v>
      </c>
      <c r="AO313" s="10">
        <v>3.8916911000000001</v>
      </c>
      <c r="AP313" s="10">
        <v>3.8571829000000002</v>
      </c>
      <c r="AQ313" s="10">
        <v>3.8240764999999999</v>
      </c>
      <c r="AR313" s="10">
        <v>3.7923410999999998</v>
      </c>
      <c r="AS313" s="10">
        <v>3.761946</v>
      </c>
      <c r="AT313" s="10">
        <v>3.7328606</v>
      </c>
      <c r="AU313" s="10">
        <v>3.7050542000000002</v>
      </c>
      <c r="AV313" s="10">
        <v>3.6784962999999999</v>
      </c>
      <c r="AW313" s="10">
        <v>3.6531563999999999</v>
      </c>
      <c r="AX313" s="10">
        <v>3.6290040000000001</v>
      </c>
      <c r="AY313" s="10">
        <v>3.6060086</v>
      </c>
      <c r="AZ313" s="10">
        <v>3.5841397000000002</v>
      </c>
      <c r="BA313" s="10">
        <v>3.5633667</v>
      </c>
      <c r="BB313" s="10">
        <v>3.5436592</v>
      </c>
      <c r="BC313" s="10">
        <v>3.5249866000000001</v>
      </c>
      <c r="BD313" s="10">
        <v>3.5073183000000001</v>
      </c>
      <c r="BE313" s="10">
        <v>3.4906239999999999</v>
      </c>
      <c r="BF313" s="10">
        <v>3.4748741000000001</v>
      </c>
      <c r="BG313" s="10">
        <v>3.4600442999999999</v>
      </c>
      <c r="BH313" s="10">
        <v>3.4461121000000001</v>
      </c>
      <c r="BI313" s="10">
        <v>3.4330550999999998</v>
      </c>
      <c r="BJ313" s="10">
        <v>3.4208508000000002</v>
      </c>
      <c r="BK313" s="10">
        <v>3.4094766999999999</v>
      </c>
      <c r="BL313" s="10">
        <v>3.3989104000000001</v>
      </c>
      <c r="BM313" s="10">
        <v>3.3891293999999998</v>
      </c>
      <c r="BN313" s="10">
        <v>3.3801112999999998</v>
      </c>
      <c r="BO313" s="10">
        <v>3.3718333999999999</v>
      </c>
      <c r="BP313" s="10">
        <v>3.3642734999999999</v>
      </c>
      <c r="BQ313" s="10">
        <v>3.3574088999999998</v>
      </c>
      <c r="BR313" s="10">
        <v>3.3295276999999999</v>
      </c>
      <c r="BS313" s="10">
        <v>3.3207776</v>
      </c>
      <c r="BU313" s="7">
        <v>3.76</v>
      </c>
      <c r="BV313" s="7">
        <v>3.88</v>
      </c>
      <c r="BW313" s="9">
        <v>77.751999999999995</v>
      </c>
    </row>
    <row r="314" spans="1:75" x14ac:dyDescent="0.25">
      <c r="A314" s="6">
        <f t="shared" si="29"/>
        <v>44992</v>
      </c>
      <c r="B314" s="13">
        <f t="shared" si="24"/>
        <v>3</v>
      </c>
      <c r="C314" s="13">
        <f t="shared" si="25"/>
        <v>2023</v>
      </c>
      <c r="D314">
        <f t="shared" si="26"/>
        <v>202303</v>
      </c>
      <c r="E314">
        <f t="shared" si="27"/>
        <v>1</v>
      </c>
      <c r="F314">
        <f t="shared" si="28"/>
        <v>202301</v>
      </c>
      <c r="G314" t="s">
        <v>501</v>
      </c>
      <c r="H314" s="9">
        <v>4</v>
      </c>
      <c r="I314" s="9">
        <v>3.9275000000000002</v>
      </c>
      <c r="J314" s="10">
        <v>4.1739332999999998</v>
      </c>
      <c r="K314" s="10">
        <v>4.3079147000000004</v>
      </c>
      <c r="L314" s="10">
        <v>4.4570238</v>
      </c>
      <c r="M314" s="10">
        <v>4.5954803999999996</v>
      </c>
      <c r="N314" s="10">
        <v>4.7073383</v>
      </c>
      <c r="O314" s="10">
        <v>4.7885520000000001</v>
      </c>
      <c r="P314" s="10">
        <v>4.8407089000000001</v>
      </c>
      <c r="Q314" s="10">
        <v>4.8690534999999997</v>
      </c>
      <c r="R314" s="10">
        <v>4.8788076</v>
      </c>
      <c r="S314" s="10">
        <v>4.8745630000000002</v>
      </c>
      <c r="T314" s="10">
        <v>4.8594027000000004</v>
      </c>
      <c r="U314" s="10">
        <v>4.8349627000000002</v>
      </c>
      <c r="V314" s="10">
        <v>4.8022666000000003</v>
      </c>
      <c r="W314" s="10">
        <v>4.7624252</v>
      </c>
      <c r="X314" s="10">
        <v>4.7166015000000003</v>
      </c>
      <c r="Y314" s="10">
        <v>4.6659584000000001</v>
      </c>
      <c r="Z314" s="10">
        <v>4.6116587000000004</v>
      </c>
      <c r="AA314" s="10">
        <v>4.5548653999999997</v>
      </c>
      <c r="AB314" s="10">
        <v>4.4966873999999999</v>
      </c>
      <c r="AC314" s="10">
        <v>4.4378963999999996</v>
      </c>
      <c r="AD314" s="10">
        <v>4.3791333999999997</v>
      </c>
      <c r="AE314" s="10">
        <v>4.3210392000000004</v>
      </c>
      <c r="AF314" s="10">
        <v>4.2642544999999998</v>
      </c>
      <c r="AG314" s="10">
        <v>4.2094202000000003</v>
      </c>
      <c r="AH314" s="10">
        <v>4.1570657999999998</v>
      </c>
      <c r="AI314" s="10">
        <v>4.1072300999999998</v>
      </c>
      <c r="AJ314" s="10">
        <v>4.0598165000000002</v>
      </c>
      <c r="AK314" s="10">
        <v>4.0147284000000001</v>
      </c>
      <c r="AL314" s="10">
        <v>3.9718692</v>
      </c>
      <c r="AM314" s="10">
        <v>3.9311422999999999</v>
      </c>
      <c r="AN314" s="10">
        <v>3.8924509999999999</v>
      </c>
      <c r="AO314" s="10">
        <v>3.8556987999999999</v>
      </c>
      <c r="AP314" s="10">
        <v>3.8207890999999998</v>
      </c>
      <c r="AQ314" s="10">
        <v>3.7876251000000001</v>
      </c>
      <c r="AR314" s="10">
        <v>3.7561103</v>
      </c>
      <c r="AS314" s="10">
        <v>3.7261481999999999</v>
      </c>
      <c r="AT314" s="10">
        <v>3.6976461</v>
      </c>
      <c r="AU314" s="10">
        <v>3.6705333000000002</v>
      </c>
      <c r="AV314" s="10">
        <v>3.6447465999999999</v>
      </c>
      <c r="AW314" s="10">
        <v>3.6202226</v>
      </c>
      <c r="AX314" s="10">
        <v>3.5968979000000001</v>
      </c>
      <c r="AY314" s="10">
        <v>3.5747092</v>
      </c>
      <c r="AZ314" s="10">
        <v>3.5535931999999999</v>
      </c>
      <c r="BA314" s="10">
        <v>3.5334865999999998</v>
      </c>
      <c r="BB314" s="10">
        <v>3.5143258999999998</v>
      </c>
      <c r="BC314" s="10">
        <v>3.496048</v>
      </c>
      <c r="BD314" s="10">
        <v>3.4785892999999999</v>
      </c>
      <c r="BE314" s="10">
        <v>3.4618867</v>
      </c>
      <c r="BF314" s="10">
        <v>3.4458839000000001</v>
      </c>
      <c r="BG314" s="10">
        <v>3.4305602999999998</v>
      </c>
      <c r="BH314" s="10">
        <v>3.4159058</v>
      </c>
      <c r="BI314" s="10">
        <v>3.4019103999999998</v>
      </c>
      <c r="BJ314" s="10">
        <v>3.3885640000000001</v>
      </c>
      <c r="BK314" s="10">
        <v>3.3758566999999999</v>
      </c>
      <c r="BL314" s="10">
        <v>3.3637784000000002</v>
      </c>
      <c r="BM314" s="10">
        <v>3.3523190999999999</v>
      </c>
      <c r="BN314" s="10">
        <v>3.3414687999999999</v>
      </c>
      <c r="BO314" s="10">
        <v>3.3312173999999999</v>
      </c>
      <c r="BP314" s="10">
        <v>3.3215549000000002</v>
      </c>
      <c r="BQ314" s="10">
        <v>3.3124714000000002</v>
      </c>
      <c r="BR314" s="10">
        <v>3.2695205999999999</v>
      </c>
      <c r="BS314" s="10">
        <v>3.2446068000000001</v>
      </c>
      <c r="BU314" s="7">
        <v>3.79</v>
      </c>
      <c r="BV314" s="7">
        <v>3.85</v>
      </c>
      <c r="BW314" s="9">
        <v>77.147900000000007</v>
      </c>
    </row>
    <row r="315" spans="1:75" x14ac:dyDescent="0.25">
      <c r="A315" s="6">
        <f t="shared" si="29"/>
        <v>44993</v>
      </c>
      <c r="B315" s="13">
        <f t="shared" si="24"/>
        <v>3</v>
      </c>
      <c r="C315" s="13">
        <f t="shared" si="25"/>
        <v>2023</v>
      </c>
      <c r="D315">
        <f t="shared" si="26"/>
        <v>202303</v>
      </c>
      <c r="E315">
        <f t="shared" si="27"/>
        <v>1</v>
      </c>
      <c r="F315">
        <f t="shared" si="28"/>
        <v>202301</v>
      </c>
      <c r="G315" t="s">
        <v>502</v>
      </c>
      <c r="H315" s="9">
        <v>4</v>
      </c>
      <c r="I315" s="9">
        <v>3.9272999999999998</v>
      </c>
      <c r="J315" s="10">
        <v>4.1774984999999996</v>
      </c>
      <c r="K315" s="10">
        <v>4.2958331999999997</v>
      </c>
      <c r="L315" s="10">
        <v>4.4381132000000001</v>
      </c>
      <c r="M315" s="10">
        <v>4.5743704000000003</v>
      </c>
      <c r="N315" s="10">
        <v>4.6863663000000004</v>
      </c>
      <c r="O315" s="10">
        <v>4.7693326999999996</v>
      </c>
      <c r="P315" s="10">
        <v>4.8232749000000004</v>
      </c>
      <c r="Q315" s="10">
        <v>4.8520553</v>
      </c>
      <c r="R315" s="10">
        <v>4.8607617000000003</v>
      </c>
      <c r="S315" s="10">
        <v>4.8545230999999998</v>
      </c>
      <c r="T315" s="10">
        <v>4.8369438000000002</v>
      </c>
      <c r="U315" s="10">
        <v>4.8102381999999997</v>
      </c>
      <c r="V315" s="10">
        <v>4.7758095999999997</v>
      </c>
      <c r="W315" s="10">
        <v>4.7347691000000003</v>
      </c>
      <c r="X315" s="10">
        <v>4.6881921000000002</v>
      </c>
      <c r="Y315" s="10">
        <v>4.6371541000000001</v>
      </c>
      <c r="Z315" s="10">
        <v>4.5827302999999997</v>
      </c>
      <c r="AA315" s="10">
        <v>4.5259964000000004</v>
      </c>
      <c r="AB315" s="10">
        <v>4.4679769</v>
      </c>
      <c r="AC315" s="10">
        <v>4.4094091000000004</v>
      </c>
      <c r="AD315" s="10">
        <v>4.3509292000000004</v>
      </c>
      <c r="AE315" s="10">
        <v>4.2931730999999997</v>
      </c>
      <c r="AF315" s="10">
        <v>4.2367768000000003</v>
      </c>
      <c r="AG315" s="10">
        <v>4.1823765000000002</v>
      </c>
      <c r="AH315" s="10">
        <v>4.1305167000000003</v>
      </c>
      <c r="AI315" s="10">
        <v>4.0812495000000002</v>
      </c>
      <c r="AJ315" s="10">
        <v>4.0344619000000002</v>
      </c>
      <c r="AK315" s="10">
        <v>3.9900408000000001</v>
      </c>
      <c r="AL315" s="10">
        <v>3.9478732999999999</v>
      </c>
      <c r="AM315" s="10">
        <v>3.9078461</v>
      </c>
      <c r="AN315" s="10">
        <v>3.8698462</v>
      </c>
      <c r="AO315" s="10">
        <v>3.8337604999999999</v>
      </c>
      <c r="AP315" s="10">
        <v>3.7994759</v>
      </c>
      <c r="AQ315" s="10">
        <v>3.7668792999999998</v>
      </c>
      <c r="AR315" s="10">
        <v>3.7358576999999999</v>
      </c>
      <c r="AS315" s="10">
        <v>3.7062979999999999</v>
      </c>
      <c r="AT315" s="10">
        <v>3.6780940000000002</v>
      </c>
      <c r="AU315" s="10">
        <v>3.6511738</v>
      </c>
      <c r="AV315" s="10">
        <v>3.6254757</v>
      </c>
      <c r="AW315" s="10">
        <v>3.6009381</v>
      </c>
      <c r="AX315" s="10">
        <v>3.5774994000000002</v>
      </c>
      <c r="AY315" s="10">
        <v>3.5550978</v>
      </c>
      <c r="AZ315" s="10">
        <v>3.5336718999999999</v>
      </c>
      <c r="BA315" s="10">
        <v>3.5131598999999998</v>
      </c>
      <c r="BB315" s="10">
        <v>3.4935002000000002</v>
      </c>
      <c r="BC315" s="10">
        <v>3.4746313</v>
      </c>
      <c r="BD315" s="10">
        <v>3.4564913000000002</v>
      </c>
      <c r="BE315" s="10">
        <v>3.4390187999999999</v>
      </c>
      <c r="BF315" s="10">
        <v>3.422161</v>
      </c>
      <c r="BG315" s="10">
        <v>3.4059043999999998</v>
      </c>
      <c r="BH315" s="10">
        <v>3.3902464999999999</v>
      </c>
      <c r="BI315" s="10">
        <v>3.3751847000000001</v>
      </c>
      <c r="BJ315" s="10">
        <v>3.3607165000000001</v>
      </c>
      <c r="BK315" s="10">
        <v>3.3468393000000001</v>
      </c>
      <c r="BL315" s="10">
        <v>3.3335504999999999</v>
      </c>
      <c r="BM315" s="10">
        <v>3.3208473999999999</v>
      </c>
      <c r="BN315" s="10">
        <v>3.3087276999999999</v>
      </c>
      <c r="BO315" s="10">
        <v>3.2971886000000001</v>
      </c>
      <c r="BP315" s="10">
        <v>3.2862276000000001</v>
      </c>
      <c r="BQ315" s="10">
        <v>3.2758422</v>
      </c>
      <c r="BR315" s="10">
        <v>3.2253029</v>
      </c>
      <c r="BS315" s="10">
        <v>3.1937999000000001</v>
      </c>
      <c r="BU315" s="7">
        <v>3.79</v>
      </c>
      <c r="BV315" s="7">
        <v>3.79</v>
      </c>
      <c r="BW315" s="9">
        <v>77.089299999999994</v>
      </c>
    </row>
    <row r="316" spans="1:75" x14ac:dyDescent="0.25">
      <c r="A316" s="6">
        <f t="shared" si="29"/>
        <v>44994</v>
      </c>
      <c r="B316" s="13">
        <f t="shared" si="24"/>
        <v>3</v>
      </c>
      <c r="C316" s="13">
        <f t="shared" si="25"/>
        <v>2023</v>
      </c>
      <c r="D316">
        <f t="shared" si="26"/>
        <v>202303</v>
      </c>
      <c r="E316">
        <f t="shared" si="27"/>
        <v>1</v>
      </c>
      <c r="F316">
        <f t="shared" si="28"/>
        <v>202301</v>
      </c>
      <c r="G316" t="s">
        <v>503</v>
      </c>
      <c r="H316" s="9">
        <v>4</v>
      </c>
      <c r="I316" s="9">
        <v>3.9274</v>
      </c>
      <c r="J316" s="10">
        <v>4.1824437000000003</v>
      </c>
      <c r="K316" s="10">
        <v>4.2906149999999998</v>
      </c>
      <c r="L316" s="10">
        <v>4.4247642999999997</v>
      </c>
      <c r="M316" s="10">
        <v>4.5537764999999997</v>
      </c>
      <c r="N316" s="10">
        <v>4.6610073999999999</v>
      </c>
      <c r="O316" s="10">
        <v>4.7418348000000003</v>
      </c>
      <c r="P316" s="10">
        <v>4.7966952000000003</v>
      </c>
      <c r="Q316" s="10">
        <v>4.8272899999999996</v>
      </c>
      <c r="R316" s="10">
        <v>4.8375298000000004</v>
      </c>
      <c r="S316" s="10">
        <v>4.8310212999999997</v>
      </c>
      <c r="T316" s="10">
        <v>4.8114713</v>
      </c>
      <c r="U316" s="10">
        <v>4.7815310000000002</v>
      </c>
      <c r="V316" s="10">
        <v>4.7439352000000001</v>
      </c>
      <c r="W316" s="10">
        <v>4.7003782999999997</v>
      </c>
      <c r="X316" s="10">
        <v>4.6521258000000003</v>
      </c>
      <c r="Y316" s="10">
        <v>4.6004427000000003</v>
      </c>
      <c r="Z316" s="10">
        <v>4.5465942000000004</v>
      </c>
      <c r="AA316" s="10">
        <v>4.4918455000000002</v>
      </c>
      <c r="AB316" s="10">
        <v>4.4373367999999997</v>
      </c>
      <c r="AC316" s="10">
        <v>4.3835689999999996</v>
      </c>
      <c r="AD316" s="10">
        <v>4.3308385999999999</v>
      </c>
      <c r="AE316" s="10">
        <v>4.2794422000000001</v>
      </c>
      <c r="AF316" s="10">
        <v>4.2296760999999998</v>
      </c>
      <c r="AG316" s="10">
        <v>4.1818369999999998</v>
      </c>
      <c r="AH316" s="10">
        <v>4.1361654999999997</v>
      </c>
      <c r="AI316" s="10">
        <v>4.0926315999999998</v>
      </c>
      <c r="AJ316" s="10">
        <v>4.0511225</v>
      </c>
      <c r="AK316" s="10">
        <v>4.0115252999999997</v>
      </c>
      <c r="AL316" s="10">
        <v>3.9737274</v>
      </c>
      <c r="AM316" s="10">
        <v>3.9376161000000001</v>
      </c>
      <c r="AN316" s="10">
        <v>3.9030784999999999</v>
      </c>
      <c r="AO316" s="10">
        <v>3.8700019000000001</v>
      </c>
      <c r="AP316" s="10">
        <v>3.8382736</v>
      </c>
      <c r="AQ316" s="10">
        <v>3.8077809</v>
      </c>
      <c r="AR316" s="10">
        <v>3.7784108999999999</v>
      </c>
      <c r="AS316" s="10">
        <v>3.7500509000000002</v>
      </c>
      <c r="AT316" s="10">
        <v>3.7226016999999998</v>
      </c>
      <c r="AU316" s="10">
        <v>3.6960231000000001</v>
      </c>
      <c r="AV316" s="10">
        <v>3.6702916000000001</v>
      </c>
      <c r="AW316" s="10">
        <v>3.6453834000000001</v>
      </c>
      <c r="AX316" s="10">
        <v>3.6212749999999998</v>
      </c>
      <c r="AY316" s="10">
        <v>3.5979426000000001</v>
      </c>
      <c r="AZ316" s="10">
        <v>3.5753626999999999</v>
      </c>
      <c r="BA316" s="10">
        <v>3.5535114999999999</v>
      </c>
      <c r="BB316" s="10">
        <v>3.5323654000000002</v>
      </c>
      <c r="BC316" s="10">
        <v>3.5119007</v>
      </c>
      <c r="BD316" s="10">
        <v>3.4920938000000001</v>
      </c>
      <c r="BE316" s="10">
        <v>3.4729209999999999</v>
      </c>
      <c r="BF316" s="10">
        <v>3.4543634000000001</v>
      </c>
      <c r="BG316" s="10">
        <v>3.4364229000000002</v>
      </c>
      <c r="BH316" s="10">
        <v>3.4191071000000002</v>
      </c>
      <c r="BI316" s="10">
        <v>3.4024236999999999</v>
      </c>
      <c r="BJ316" s="10">
        <v>3.3863804000000002</v>
      </c>
      <c r="BK316" s="10">
        <v>3.3709847000000002</v>
      </c>
      <c r="BL316" s="10">
        <v>3.3562443000000002</v>
      </c>
      <c r="BM316" s="10">
        <v>3.3421669999999999</v>
      </c>
      <c r="BN316" s="10">
        <v>3.3287602000000001</v>
      </c>
      <c r="BO316" s="10">
        <v>3.3160316999999999</v>
      </c>
      <c r="BP316" s="10">
        <v>3.3039892000000002</v>
      </c>
      <c r="BQ316" s="10">
        <v>3.2926402000000001</v>
      </c>
      <c r="BR316" s="10">
        <v>3.2389222000000002</v>
      </c>
      <c r="BS316" s="10">
        <v>3.2083113999999999</v>
      </c>
      <c r="BU316" s="7">
        <v>3.8</v>
      </c>
      <c r="BV316" s="7">
        <v>3.83</v>
      </c>
      <c r="BW316" s="9">
        <v>77.4422</v>
      </c>
    </row>
    <row r="317" spans="1:75" x14ac:dyDescent="0.25">
      <c r="A317" s="6">
        <f t="shared" si="29"/>
        <v>44995</v>
      </c>
      <c r="B317" s="13">
        <f t="shared" si="24"/>
        <v>3</v>
      </c>
      <c r="C317" s="13">
        <f t="shared" si="25"/>
        <v>2023</v>
      </c>
      <c r="D317">
        <f t="shared" si="26"/>
        <v>202303</v>
      </c>
      <c r="E317">
        <f t="shared" si="27"/>
        <v>1</v>
      </c>
      <c r="F317">
        <f t="shared" si="28"/>
        <v>202301</v>
      </c>
      <c r="G317" t="s">
        <v>504</v>
      </c>
      <c r="H317" s="9">
        <v>4</v>
      </c>
      <c r="I317" s="9">
        <v>3.9274</v>
      </c>
      <c r="J317" s="10">
        <v>4.1486267999999997</v>
      </c>
      <c r="K317" s="10">
        <v>4.2473707000000003</v>
      </c>
      <c r="L317" s="10">
        <v>4.3642452</v>
      </c>
      <c r="M317" s="10">
        <v>4.4697351000000003</v>
      </c>
      <c r="N317" s="10">
        <v>4.5497142999999998</v>
      </c>
      <c r="O317" s="10">
        <v>4.6020566000000001</v>
      </c>
      <c r="P317" s="10">
        <v>4.6296825000000004</v>
      </c>
      <c r="Q317" s="10">
        <v>4.6375736999999999</v>
      </c>
      <c r="R317" s="10">
        <v>4.6313531000000001</v>
      </c>
      <c r="S317" s="10">
        <v>4.6154292999999997</v>
      </c>
      <c r="T317" s="10">
        <v>4.5926651999999999</v>
      </c>
      <c r="U317" s="10">
        <v>4.5646414000000002</v>
      </c>
      <c r="V317" s="10">
        <v>4.5318100000000001</v>
      </c>
      <c r="W317" s="10">
        <v>4.4947528999999999</v>
      </c>
      <c r="X317" s="10">
        <v>4.4542067000000003</v>
      </c>
      <c r="Y317" s="10">
        <v>4.4109081000000003</v>
      </c>
      <c r="Z317" s="10">
        <v>4.3655938000000001</v>
      </c>
      <c r="AA317" s="10">
        <v>4.3190004000000002</v>
      </c>
      <c r="AB317" s="10">
        <v>4.2718097000000004</v>
      </c>
      <c r="AC317" s="10">
        <v>4.2244219000000003</v>
      </c>
      <c r="AD317" s="10">
        <v>4.1771472999999997</v>
      </c>
      <c r="AE317" s="10">
        <v>4.1302960999999998</v>
      </c>
      <c r="AF317" s="10">
        <v>4.0841785000000002</v>
      </c>
      <c r="AG317" s="10">
        <v>4.0391048999999999</v>
      </c>
      <c r="AH317" s="10">
        <v>3.995336</v>
      </c>
      <c r="AI317" s="10">
        <v>3.9529147999999998</v>
      </c>
      <c r="AJ317" s="10">
        <v>3.9118240000000002</v>
      </c>
      <c r="AK317" s="10">
        <v>3.8720463000000001</v>
      </c>
      <c r="AL317" s="10">
        <v>3.8335645999999999</v>
      </c>
      <c r="AM317" s="10">
        <v>3.7963615000000002</v>
      </c>
      <c r="AN317" s="10">
        <v>3.7604199</v>
      </c>
      <c r="AO317" s="10">
        <v>3.7257224999999998</v>
      </c>
      <c r="AP317" s="10">
        <v>3.6922519</v>
      </c>
      <c r="AQ317" s="10">
        <v>3.6599911000000001</v>
      </c>
      <c r="AR317" s="10">
        <v>3.6289226999999999</v>
      </c>
      <c r="AS317" s="10">
        <v>3.5990294999999999</v>
      </c>
      <c r="AT317" s="10">
        <v>3.5702921999999999</v>
      </c>
      <c r="AU317" s="10">
        <v>3.5426823999999999</v>
      </c>
      <c r="AV317" s="10">
        <v>3.5161695000000002</v>
      </c>
      <c r="AW317" s="10">
        <v>3.4907224000000001</v>
      </c>
      <c r="AX317" s="10">
        <v>3.4663105000000001</v>
      </c>
      <c r="AY317" s="10">
        <v>3.4429029</v>
      </c>
      <c r="AZ317" s="10">
        <v>3.4204688999999999</v>
      </c>
      <c r="BA317" s="10">
        <v>3.3989775</v>
      </c>
      <c r="BB317" s="10">
        <v>3.3783979999999998</v>
      </c>
      <c r="BC317" s="10">
        <v>3.3586995000000002</v>
      </c>
      <c r="BD317" s="10">
        <v>3.3398514000000001</v>
      </c>
      <c r="BE317" s="10">
        <v>3.3218226</v>
      </c>
      <c r="BF317" s="10">
        <v>3.3045852</v>
      </c>
      <c r="BG317" s="10">
        <v>3.2881230000000001</v>
      </c>
      <c r="BH317" s="10">
        <v>3.2724232999999998</v>
      </c>
      <c r="BI317" s="10">
        <v>3.2574730999999999</v>
      </c>
      <c r="BJ317" s="10">
        <v>3.2432598000000001</v>
      </c>
      <c r="BK317" s="10">
        <v>3.2297706000000002</v>
      </c>
      <c r="BL317" s="10">
        <v>3.2169924999999999</v>
      </c>
      <c r="BM317" s="10">
        <v>3.2049129000000001</v>
      </c>
      <c r="BN317" s="10">
        <v>3.1935188999999999</v>
      </c>
      <c r="BO317" s="10">
        <v>3.1827977000000001</v>
      </c>
      <c r="BP317" s="10">
        <v>3.1727365999999999</v>
      </c>
      <c r="BQ317" s="10">
        <v>3.1633225999999999</v>
      </c>
      <c r="BR317" s="10">
        <v>3.1198006</v>
      </c>
      <c r="BS317" s="10">
        <v>3.0968849999999999</v>
      </c>
      <c r="BU317" s="7">
        <v>3.61</v>
      </c>
      <c r="BV317" s="7">
        <v>3.62</v>
      </c>
      <c r="BW317" s="9">
        <v>78.239500000000007</v>
      </c>
    </row>
    <row r="318" spans="1:75" x14ac:dyDescent="0.25">
      <c r="A318" s="6">
        <f t="shared" si="29"/>
        <v>44998</v>
      </c>
      <c r="B318" s="13">
        <f t="shared" si="24"/>
        <v>3</v>
      </c>
      <c r="C318" s="13">
        <f t="shared" si="25"/>
        <v>2023</v>
      </c>
      <c r="D318">
        <f t="shared" si="26"/>
        <v>202303</v>
      </c>
      <c r="E318">
        <f t="shared" si="27"/>
        <v>1</v>
      </c>
      <c r="F318">
        <f t="shared" si="28"/>
        <v>202301</v>
      </c>
      <c r="G318" t="s">
        <v>505</v>
      </c>
      <c r="H318" s="9">
        <v>4</v>
      </c>
      <c r="I318" s="9">
        <v>3.9275000000000002</v>
      </c>
      <c r="J318" s="10">
        <v>4.1038575000000002</v>
      </c>
      <c r="K318" s="10">
        <v>4.1681419000000002</v>
      </c>
      <c r="L318" s="10">
        <v>4.2296348000000004</v>
      </c>
      <c r="M318" s="10">
        <v>4.2688063999999999</v>
      </c>
      <c r="N318" s="10">
        <v>4.2832033000000003</v>
      </c>
      <c r="O318" s="10">
        <v>4.2789317999999996</v>
      </c>
      <c r="P318" s="10">
        <v>4.2635382999999996</v>
      </c>
      <c r="Q318" s="10">
        <v>4.2438864000000001</v>
      </c>
      <c r="R318" s="10">
        <v>4.2247658000000001</v>
      </c>
      <c r="S318" s="10">
        <v>4.2085982</v>
      </c>
      <c r="T318" s="10">
        <v>4.1957585999999996</v>
      </c>
      <c r="U318" s="10">
        <v>4.1852448000000004</v>
      </c>
      <c r="V318" s="10">
        <v>4.1743477000000002</v>
      </c>
      <c r="W318" s="10">
        <v>4.1620885000000003</v>
      </c>
      <c r="X318" s="10">
        <v>4.1481440000000003</v>
      </c>
      <c r="Y318" s="10">
        <v>4.1321909999999997</v>
      </c>
      <c r="Z318" s="10">
        <v>4.1139064999999997</v>
      </c>
      <c r="AA318" s="10">
        <v>4.0929672000000004</v>
      </c>
      <c r="AB318" s="10">
        <v>4.0691383999999999</v>
      </c>
      <c r="AC318" s="10">
        <v>4.0426374000000003</v>
      </c>
      <c r="AD318" s="10">
        <v>4.0138259999999999</v>
      </c>
      <c r="AE318" s="10">
        <v>3.9830663999999998</v>
      </c>
      <c r="AF318" s="10">
        <v>3.9507202000000001</v>
      </c>
      <c r="AG318" s="10">
        <v>3.9171496000000001</v>
      </c>
      <c r="AH318" s="10">
        <v>3.8826855999999998</v>
      </c>
      <c r="AI318" s="10">
        <v>3.8475231999999999</v>
      </c>
      <c r="AJ318" s="10">
        <v>3.8118202999999999</v>
      </c>
      <c r="AK318" s="10">
        <v>3.7757342</v>
      </c>
      <c r="AL318" s="10">
        <v>3.7394227</v>
      </c>
      <c r="AM318" s="10">
        <v>3.7030433</v>
      </c>
      <c r="AN318" s="10">
        <v>3.6667535999999998</v>
      </c>
      <c r="AO318" s="10">
        <v>3.6307113000000002</v>
      </c>
      <c r="AP318" s="10">
        <v>3.5950739</v>
      </c>
      <c r="AQ318" s="10">
        <v>3.5599989999999999</v>
      </c>
      <c r="AR318" s="10">
        <v>3.5256443000000002</v>
      </c>
      <c r="AS318" s="10">
        <v>3.4921673000000002</v>
      </c>
      <c r="AT318" s="10">
        <v>3.4597020999999999</v>
      </c>
      <c r="AU318" s="10">
        <v>3.4282791000000001</v>
      </c>
      <c r="AV318" s="10">
        <v>3.3978999000000001</v>
      </c>
      <c r="AW318" s="10">
        <v>3.3685662999999999</v>
      </c>
      <c r="AX318" s="10">
        <v>3.3402799000000001</v>
      </c>
      <c r="AY318" s="10">
        <v>3.3130424000000001</v>
      </c>
      <c r="AZ318" s="10">
        <v>3.2868556</v>
      </c>
      <c r="BA318" s="10">
        <v>3.2617210999999999</v>
      </c>
      <c r="BB318" s="10">
        <v>3.2376406000000002</v>
      </c>
      <c r="BC318" s="10">
        <v>3.2146157999999998</v>
      </c>
      <c r="BD318" s="10">
        <v>3.1926483999999999</v>
      </c>
      <c r="BE318" s="10">
        <v>3.1717401000000001</v>
      </c>
      <c r="BF318" s="10">
        <v>3.1518893000000001</v>
      </c>
      <c r="BG318" s="10">
        <v>3.133076</v>
      </c>
      <c r="BH318" s="10">
        <v>3.1152744000000001</v>
      </c>
      <c r="BI318" s="10">
        <v>3.0984585</v>
      </c>
      <c r="BJ318" s="10">
        <v>3.0826023</v>
      </c>
      <c r="BK318" s="10">
        <v>3.0676800000000002</v>
      </c>
      <c r="BL318" s="10">
        <v>3.0536656</v>
      </c>
      <c r="BM318" s="10">
        <v>3.0405331000000002</v>
      </c>
      <c r="BN318" s="10">
        <v>3.0282566000000002</v>
      </c>
      <c r="BO318" s="10">
        <v>3.0168102000000001</v>
      </c>
      <c r="BP318" s="10">
        <v>3.0061678999999999</v>
      </c>
      <c r="BQ318" s="10">
        <v>2.9963038000000002</v>
      </c>
      <c r="BR318" s="10">
        <v>2.9522303999999999</v>
      </c>
      <c r="BS318" s="10">
        <v>2.9309945000000002</v>
      </c>
      <c r="BU318" s="7">
        <v>3.36</v>
      </c>
      <c r="BV318" s="7">
        <v>3.38</v>
      </c>
      <c r="BW318" s="9">
        <v>78.311199999999999</v>
      </c>
    </row>
    <row r="319" spans="1:75" x14ac:dyDescent="0.25">
      <c r="A319" s="6">
        <f t="shared" si="29"/>
        <v>44999</v>
      </c>
      <c r="B319" s="13">
        <f t="shared" si="24"/>
        <v>3</v>
      </c>
      <c r="C319" s="13">
        <f t="shared" si="25"/>
        <v>2023</v>
      </c>
      <c r="D319">
        <f t="shared" si="26"/>
        <v>202303</v>
      </c>
      <c r="E319">
        <f t="shared" si="27"/>
        <v>1</v>
      </c>
      <c r="F319">
        <f t="shared" si="28"/>
        <v>202301</v>
      </c>
      <c r="G319" t="s">
        <v>506</v>
      </c>
      <c r="H319" s="9">
        <v>4</v>
      </c>
      <c r="I319" s="9">
        <v>3.927</v>
      </c>
      <c r="J319" s="10">
        <v>4.0864408000000001</v>
      </c>
      <c r="K319" s="10">
        <v>4.1631429000000004</v>
      </c>
      <c r="L319" s="10">
        <v>4.2368085999999998</v>
      </c>
      <c r="M319" s="10">
        <v>4.2916971000000004</v>
      </c>
      <c r="N319" s="10">
        <v>4.3235482999999997</v>
      </c>
      <c r="O319" s="10">
        <v>4.3354616999999998</v>
      </c>
      <c r="P319" s="10">
        <v>4.3331394000000003</v>
      </c>
      <c r="Q319" s="10">
        <v>4.3231672000000003</v>
      </c>
      <c r="R319" s="10">
        <v>4.3106698999999997</v>
      </c>
      <c r="S319" s="10">
        <v>4.2985192000000003</v>
      </c>
      <c r="T319" s="10">
        <v>4.2875113999999996</v>
      </c>
      <c r="U319" s="10">
        <v>4.2771669000000001</v>
      </c>
      <c r="V319" s="10">
        <v>4.2653784000000003</v>
      </c>
      <c r="W319" s="10">
        <v>4.2515067999999996</v>
      </c>
      <c r="X319" s="10">
        <v>4.2354881999999998</v>
      </c>
      <c r="Y319" s="10">
        <v>4.2172590000000003</v>
      </c>
      <c r="Z319" s="10">
        <v>4.1967553999999998</v>
      </c>
      <c r="AA319" s="10">
        <v>4.1739136999999999</v>
      </c>
      <c r="AB319" s="10">
        <v>4.1487147000000002</v>
      </c>
      <c r="AC319" s="10">
        <v>4.1214193999999997</v>
      </c>
      <c r="AD319" s="10">
        <v>4.0923971000000003</v>
      </c>
      <c r="AE319" s="10">
        <v>4.0620171999999997</v>
      </c>
      <c r="AF319" s="10">
        <v>4.0306493000000003</v>
      </c>
      <c r="AG319" s="10">
        <v>3.9986628</v>
      </c>
      <c r="AH319" s="10">
        <v>3.9663835999999999</v>
      </c>
      <c r="AI319" s="10">
        <v>3.9339445999999998</v>
      </c>
      <c r="AJ319" s="10">
        <v>3.9014258000000002</v>
      </c>
      <c r="AK319" s="10">
        <v>3.8689068</v>
      </c>
      <c r="AL319" s="10">
        <v>3.8364677</v>
      </c>
      <c r="AM319" s="10">
        <v>3.8041882</v>
      </c>
      <c r="AN319" s="10">
        <v>3.7721480999999999</v>
      </c>
      <c r="AO319" s="10">
        <v>3.7404272000000001</v>
      </c>
      <c r="AP319" s="10">
        <v>3.7091055000000002</v>
      </c>
      <c r="AQ319" s="10">
        <v>3.6782626999999999</v>
      </c>
      <c r="AR319" s="10">
        <v>3.6479786999999999</v>
      </c>
      <c r="AS319" s="10">
        <v>3.6183333000000002</v>
      </c>
      <c r="AT319" s="10">
        <v>3.5893969999999999</v>
      </c>
      <c r="AU319" s="10">
        <v>3.5611907</v>
      </c>
      <c r="AV319" s="10">
        <v>3.5337182999999999</v>
      </c>
      <c r="AW319" s="10">
        <v>3.5069840000000001</v>
      </c>
      <c r="AX319" s="10">
        <v>3.4809917000000001</v>
      </c>
      <c r="AY319" s="10">
        <v>3.4557456000000002</v>
      </c>
      <c r="AZ319" s="10">
        <v>3.4312494999999998</v>
      </c>
      <c r="BA319" s="10">
        <v>3.4075076000000002</v>
      </c>
      <c r="BB319" s="10">
        <v>3.3845239</v>
      </c>
      <c r="BC319" s="10">
        <v>3.3623023999999999</v>
      </c>
      <c r="BD319" s="10">
        <v>3.3408471999999998</v>
      </c>
      <c r="BE319" s="10">
        <v>3.3201624000000001</v>
      </c>
      <c r="BF319" s="10">
        <v>3.3002501999999998</v>
      </c>
      <c r="BG319" s="10">
        <v>3.2811054999999998</v>
      </c>
      <c r="BH319" s="10">
        <v>3.2627206000000002</v>
      </c>
      <c r="BI319" s="10">
        <v>3.2450877999999999</v>
      </c>
      <c r="BJ319" s="10">
        <v>3.2281993</v>
      </c>
      <c r="BK319" s="10">
        <v>3.2120476</v>
      </c>
      <c r="BL319" s="10">
        <v>3.1966249000000002</v>
      </c>
      <c r="BM319" s="10">
        <v>3.1819236000000002</v>
      </c>
      <c r="BN319" s="10">
        <v>3.1679360000000001</v>
      </c>
      <c r="BO319" s="10">
        <v>3.1546544000000001</v>
      </c>
      <c r="BP319" s="10">
        <v>3.1420710999999999</v>
      </c>
      <c r="BQ319" s="10">
        <v>3.1301785</v>
      </c>
      <c r="BR319" s="10">
        <v>3.0727598</v>
      </c>
      <c r="BS319" s="10">
        <v>3.0374314999999998</v>
      </c>
      <c r="BU319" s="7">
        <v>3.47</v>
      </c>
      <c r="BV319" s="7">
        <v>3.5</v>
      </c>
      <c r="BW319" s="9">
        <v>78.258499999999998</v>
      </c>
    </row>
    <row r="320" spans="1:75" x14ac:dyDescent="0.25">
      <c r="A320" s="6">
        <f t="shared" si="29"/>
        <v>45000</v>
      </c>
      <c r="B320" s="13">
        <f t="shared" si="24"/>
        <v>3</v>
      </c>
      <c r="C320" s="13">
        <f t="shared" si="25"/>
        <v>2023</v>
      </c>
      <c r="D320">
        <f t="shared" si="26"/>
        <v>202303</v>
      </c>
      <c r="E320">
        <f t="shared" si="27"/>
        <v>1</v>
      </c>
      <c r="F320">
        <f t="shared" si="28"/>
        <v>202301</v>
      </c>
      <c r="G320" t="s">
        <v>507</v>
      </c>
      <c r="H320" s="9">
        <v>4</v>
      </c>
      <c r="I320" s="9">
        <v>3.9272</v>
      </c>
      <c r="J320" s="10">
        <v>4.0465513</v>
      </c>
      <c r="K320" s="10">
        <v>4.1138579999999996</v>
      </c>
      <c r="L320" s="10">
        <v>4.1769540000000003</v>
      </c>
      <c r="M320" s="10">
        <v>4.2161359999999997</v>
      </c>
      <c r="N320" s="10">
        <v>4.2235258</v>
      </c>
      <c r="O320" s="10">
        <v>4.2058274000000004</v>
      </c>
      <c r="P320" s="10">
        <v>4.1722808999999996</v>
      </c>
      <c r="Q320" s="10">
        <v>4.132053</v>
      </c>
      <c r="R320" s="10">
        <v>4.0923333</v>
      </c>
      <c r="S320" s="10">
        <v>4.0576049000000003</v>
      </c>
      <c r="T320" s="10">
        <v>4.0296953000000002</v>
      </c>
      <c r="U320" s="10">
        <v>4.0083925000000002</v>
      </c>
      <c r="V320" s="10">
        <v>3.9913778</v>
      </c>
      <c r="W320" s="10">
        <v>3.9773057999999999</v>
      </c>
      <c r="X320" s="10">
        <v>3.9652881999999998</v>
      </c>
      <c r="Y320" s="10">
        <v>3.9544364000000001</v>
      </c>
      <c r="Z320" s="10">
        <v>3.9438621999999999</v>
      </c>
      <c r="AA320" s="10">
        <v>3.9326770999999998</v>
      </c>
      <c r="AB320" s="10">
        <v>3.9201066</v>
      </c>
      <c r="AC320" s="10">
        <v>3.9060218999999998</v>
      </c>
      <c r="AD320" s="10">
        <v>3.8905208</v>
      </c>
      <c r="AE320" s="10">
        <v>3.8737016</v>
      </c>
      <c r="AF320" s="10">
        <v>3.8556623999999999</v>
      </c>
      <c r="AG320" s="10">
        <v>3.8365016000000001</v>
      </c>
      <c r="AH320" s="10">
        <v>3.8163170000000002</v>
      </c>
      <c r="AI320" s="10">
        <v>3.7952051</v>
      </c>
      <c r="AJ320" s="10">
        <v>3.7732618000000002</v>
      </c>
      <c r="AK320" s="10">
        <v>3.7505831000000001</v>
      </c>
      <c r="AL320" s="10">
        <v>3.7272647999999999</v>
      </c>
      <c r="AM320" s="10">
        <v>3.7034029999999998</v>
      </c>
      <c r="AN320" s="10">
        <v>3.6790935</v>
      </c>
      <c r="AO320" s="10">
        <v>3.6544322999999999</v>
      </c>
      <c r="AP320" s="10">
        <v>3.6295153</v>
      </c>
      <c r="AQ320" s="10">
        <v>3.6044383999999998</v>
      </c>
      <c r="AR320" s="10">
        <v>3.5792977000000001</v>
      </c>
      <c r="AS320" s="10">
        <v>3.5541889000000002</v>
      </c>
      <c r="AT320" s="10">
        <v>3.5292005</v>
      </c>
      <c r="AU320" s="10">
        <v>3.5043839000000001</v>
      </c>
      <c r="AV320" s="10">
        <v>3.4797791</v>
      </c>
      <c r="AW320" s="10">
        <v>3.4554263999999999</v>
      </c>
      <c r="AX320" s="10">
        <v>3.4313658</v>
      </c>
      <c r="AY320" s="10">
        <v>3.4076374</v>
      </c>
      <c r="AZ320" s="10">
        <v>3.3842815000000002</v>
      </c>
      <c r="BA320" s="10">
        <v>3.3613381000000002</v>
      </c>
      <c r="BB320" s="10">
        <v>3.3388472999999999</v>
      </c>
      <c r="BC320" s="10">
        <v>3.3168492999999999</v>
      </c>
      <c r="BD320" s="10">
        <v>3.2953842999999998</v>
      </c>
      <c r="BE320" s="10">
        <v>3.2744922999999999</v>
      </c>
      <c r="BF320" s="10">
        <v>3.2542081</v>
      </c>
      <c r="BG320" s="10">
        <v>3.2345424999999999</v>
      </c>
      <c r="BH320" s="10">
        <v>3.2155</v>
      </c>
      <c r="BI320" s="10">
        <v>3.1970847999999998</v>
      </c>
      <c r="BJ320" s="10">
        <v>3.1793011999999998</v>
      </c>
      <c r="BK320" s="10">
        <v>3.1621537000000002</v>
      </c>
      <c r="BL320" s="10">
        <v>3.1456464</v>
      </c>
      <c r="BM320" s="10">
        <v>3.1297836999999999</v>
      </c>
      <c r="BN320" s="10">
        <v>3.1145698999999998</v>
      </c>
      <c r="BO320" s="10">
        <v>3.1000093999999998</v>
      </c>
      <c r="BP320" s="10">
        <v>3.0861065000000001</v>
      </c>
      <c r="BQ320" s="10">
        <v>3.0728654999999998</v>
      </c>
      <c r="BR320" s="10">
        <v>3.0070991999999999</v>
      </c>
      <c r="BS320" s="10">
        <v>2.9634149999999999</v>
      </c>
      <c r="BU320" s="7">
        <v>3.31</v>
      </c>
      <c r="BV320" s="7">
        <v>3.33</v>
      </c>
      <c r="BW320" s="9">
        <v>78.2483</v>
      </c>
    </row>
    <row r="321" spans="1:75" x14ac:dyDescent="0.25">
      <c r="A321" s="6">
        <f t="shared" si="29"/>
        <v>45001</v>
      </c>
      <c r="B321" s="13">
        <f t="shared" si="24"/>
        <v>3</v>
      </c>
      <c r="C321" s="13">
        <f t="shared" si="25"/>
        <v>2023</v>
      </c>
      <c r="D321">
        <f t="shared" si="26"/>
        <v>202303</v>
      </c>
      <c r="E321">
        <f t="shared" si="27"/>
        <v>1</v>
      </c>
      <c r="F321">
        <f t="shared" si="28"/>
        <v>202301</v>
      </c>
      <c r="G321" t="s">
        <v>508</v>
      </c>
      <c r="H321" s="9">
        <v>4</v>
      </c>
      <c r="I321" s="9">
        <v>3.9272</v>
      </c>
      <c r="J321" s="10">
        <v>4.0874724000000002</v>
      </c>
      <c r="K321" s="10">
        <v>4.1555467999999998</v>
      </c>
      <c r="L321" s="10">
        <v>4.2238077000000001</v>
      </c>
      <c r="M321" s="10">
        <v>4.2745138000000003</v>
      </c>
      <c r="N321" s="10">
        <v>4.2999346000000003</v>
      </c>
      <c r="O321" s="10">
        <v>4.3026721999999999</v>
      </c>
      <c r="P321" s="10">
        <v>4.2887237000000002</v>
      </c>
      <c r="Q321" s="10">
        <v>4.2639696999999996</v>
      </c>
      <c r="R321" s="10">
        <v>4.2340064999999996</v>
      </c>
      <c r="S321" s="10">
        <v>4.2027432999999998</v>
      </c>
      <c r="T321" s="10">
        <v>4.1724439999999996</v>
      </c>
      <c r="U321" s="10">
        <v>4.1441407000000003</v>
      </c>
      <c r="V321" s="10">
        <v>4.1178280999999997</v>
      </c>
      <c r="W321" s="10">
        <v>4.0932158999999997</v>
      </c>
      <c r="X321" s="10">
        <v>4.0700048999999998</v>
      </c>
      <c r="Y321" s="10">
        <v>4.0478962000000003</v>
      </c>
      <c r="Z321" s="10">
        <v>4.0265905999999996</v>
      </c>
      <c r="AA321" s="10">
        <v>4.0057893</v>
      </c>
      <c r="AB321" s="10">
        <v>3.9852108999999998</v>
      </c>
      <c r="AC321" s="10">
        <v>3.9646661000000001</v>
      </c>
      <c r="AD321" s="10">
        <v>3.9439943999999998</v>
      </c>
      <c r="AE321" s="10">
        <v>3.9230356</v>
      </c>
      <c r="AF321" s="10">
        <v>3.9016294999999999</v>
      </c>
      <c r="AG321" s="10">
        <v>3.8796157999999998</v>
      </c>
      <c r="AH321" s="10">
        <v>3.8568674999999999</v>
      </c>
      <c r="AI321" s="10">
        <v>3.8334202999999998</v>
      </c>
      <c r="AJ321" s="10">
        <v>3.8093591</v>
      </c>
      <c r="AK321" s="10">
        <v>3.7847689999999998</v>
      </c>
      <c r="AL321" s="10">
        <v>3.759735</v>
      </c>
      <c r="AM321" s="10">
        <v>3.7343419999999998</v>
      </c>
      <c r="AN321" s="10">
        <v>3.7086750999999998</v>
      </c>
      <c r="AO321" s="10">
        <v>3.6828194000000001</v>
      </c>
      <c r="AP321" s="10">
        <v>3.6568597999999999</v>
      </c>
      <c r="AQ321" s="10">
        <v>3.6308813</v>
      </c>
      <c r="AR321" s="10">
        <v>3.6049690999999999</v>
      </c>
      <c r="AS321" s="10">
        <v>3.5792079999999999</v>
      </c>
      <c r="AT321" s="10">
        <v>3.5536775</v>
      </c>
      <c r="AU321" s="10">
        <v>3.5284320999999998</v>
      </c>
      <c r="AV321" s="10">
        <v>3.5035194000000001</v>
      </c>
      <c r="AW321" s="10">
        <v>3.4789870000000001</v>
      </c>
      <c r="AX321" s="10">
        <v>3.4548827000000002</v>
      </c>
      <c r="AY321" s="10">
        <v>3.431254</v>
      </c>
      <c r="AZ321" s="10">
        <v>3.4081486999999999</v>
      </c>
      <c r="BA321" s="10">
        <v>3.3856142999999999</v>
      </c>
      <c r="BB321" s="10">
        <v>3.3636984000000001</v>
      </c>
      <c r="BC321" s="10">
        <v>3.3424488000000001</v>
      </c>
      <c r="BD321" s="10">
        <v>3.3219131000000002</v>
      </c>
      <c r="BE321" s="10">
        <v>3.3021389999999999</v>
      </c>
      <c r="BF321" s="10">
        <v>3.2831625999999998</v>
      </c>
      <c r="BG321" s="10">
        <v>3.2649701000000002</v>
      </c>
      <c r="BH321" s="10">
        <v>3.2475339000000001</v>
      </c>
      <c r="BI321" s="10">
        <v>3.2308260999999998</v>
      </c>
      <c r="BJ321" s="10">
        <v>3.2148191000000002</v>
      </c>
      <c r="BK321" s="10">
        <v>3.1994851999999998</v>
      </c>
      <c r="BL321" s="10">
        <v>3.1847965</v>
      </c>
      <c r="BM321" s="10">
        <v>3.1707255000000001</v>
      </c>
      <c r="BN321" s="10">
        <v>3.1572444000000002</v>
      </c>
      <c r="BO321" s="10">
        <v>3.1443254</v>
      </c>
      <c r="BP321" s="10">
        <v>3.1319409</v>
      </c>
      <c r="BQ321" s="10">
        <v>3.120063</v>
      </c>
      <c r="BR321" s="10">
        <v>3.0587604000000002</v>
      </c>
      <c r="BS321" s="10">
        <v>3.0140834000000001</v>
      </c>
      <c r="BU321" s="7">
        <v>3.42</v>
      </c>
      <c r="BV321" s="7">
        <v>3.41</v>
      </c>
      <c r="BW321" s="9">
        <v>78.4816</v>
      </c>
    </row>
    <row r="322" spans="1:75" x14ac:dyDescent="0.25">
      <c r="A322" s="6">
        <f t="shared" si="29"/>
        <v>45002</v>
      </c>
      <c r="B322" s="13">
        <f t="shared" si="24"/>
        <v>3</v>
      </c>
      <c r="C322" s="13">
        <f t="shared" si="25"/>
        <v>2023</v>
      </c>
      <c r="D322">
        <f t="shared" si="26"/>
        <v>202303</v>
      </c>
      <c r="E322">
        <f t="shared" si="27"/>
        <v>1</v>
      </c>
      <c r="F322">
        <f t="shared" si="28"/>
        <v>202301</v>
      </c>
      <c r="G322" t="s">
        <v>509</v>
      </c>
      <c r="H322" s="9">
        <v>4</v>
      </c>
      <c r="I322" s="9">
        <v>3.9268000000000001</v>
      </c>
      <c r="J322" s="10">
        <v>4.0720675000000002</v>
      </c>
      <c r="K322" s="10">
        <v>4.1068663000000001</v>
      </c>
      <c r="L322" s="10">
        <v>4.1412636000000003</v>
      </c>
      <c r="M322" s="10">
        <v>4.1628150000000002</v>
      </c>
      <c r="N322" s="10">
        <v>4.1672950999999996</v>
      </c>
      <c r="O322" s="10">
        <v>4.1562181999999996</v>
      </c>
      <c r="P322" s="10">
        <v>4.1337069</v>
      </c>
      <c r="Q322" s="10">
        <v>4.1043759</v>
      </c>
      <c r="R322" s="10">
        <v>4.0722135000000002</v>
      </c>
      <c r="S322" s="10">
        <v>4.0398867999999997</v>
      </c>
      <c r="T322" s="10">
        <v>4.0086820999999997</v>
      </c>
      <c r="U322" s="10">
        <v>3.9788190999999999</v>
      </c>
      <c r="V322" s="10">
        <v>3.9496375000000001</v>
      </c>
      <c r="W322" s="10">
        <v>3.9209507000000001</v>
      </c>
      <c r="X322" s="10">
        <v>3.8928153000000001</v>
      </c>
      <c r="Y322" s="10">
        <v>3.8652882000000002</v>
      </c>
      <c r="Z322" s="10">
        <v>3.8384258999999998</v>
      </c>
      <c r="AA322" s="10">
        <v>3.8122851</v>
      </c>
      <c r="AB322" s="10">
        <v>3.7868976999999999</v>
      </c>
      <c r="AC322" s="10">
        <v>3.7621682000000001</v>
      </c>
      <c r="AD322" s="10">
        <v>3.7379603000000001</v>
      </c>
      <c r="AE322" s="10">
        <v>3.7141378</v>
      </c>
      <c r="AF322" s="10">
        <v>3.6905644999999998</v>
      </c>
      <c r="AG322" s="10">
        <v>3.6671041</v>
      </c>
      <c r="AH322" s="10">
        <v>3.6436429000000001</v>
      </c>
      <c r="AI322" s="10">
        <v>3.6201656999999998</v>
      </c>
      <c r="AJ322" s="10">
        <v>3.5966849000000001</v>
      </c>
      <c r="AK322" s="10">
        <v>3.5732127999999999</v>
      </c>
      <c r="AL322" s="10">
        <v>3.5497614999999998</v>
      </c>
      <c r="AM322" s="10">
        <v>3.5263434999999999</v>
      </c>
      <c r="AN322" s="10">
        <v>3.5029709000000002</v>
      </c>
      <c r="AO322" s="10">
        <v>3.4796561000000001</v>
      </c>
      <c r="AP322" s="10">
        <v>3.4564111999999998</v>
      </c>
      <c r="AQ322" s="10">
        <v>3.4332487</v>
      </c>
      <c r="AR322" s="10">
        <v>3.4101807000000002</v>
      </c>
      <c r="AS322" s="10">
        <v>3.3872195</v>
      </c>
      <c r="AT322" s="10">
        <v>3.3643814000000001</v>
      </c>
      <c r="AU322" s="10">
        <v>3.3417007999999999</v>
      </c>
      <c r="AV322" s="10">
        <v>3.3192167000000001</v>
      </c>
      <c r="AW322" s="10">
        <v>3.2969685000000002</v>
      </c>
      <c r="AX322" s="10">
        <v>3.2749953000000001</v>
      </c>
      <c r="AY322" s="10">
        <v>3.2533362000000001</v>
      </c>
      <c r="AZ322" s="10">
        <v>3.2320305999999999</v>
      </c>
      <c r="BA322" s="10">
        <v>3.2111174999999998</v>
      </c>
      <c r="BB322" s="10">
        <v>3.1906362000000001</v>
      </c>
      <c r="BC322" s="10">
        <v>3.1706259000000001</v>
      </c>
      <c r="BD322" s="10">
        <v>3.1511258</v>
      </c>
      <c r="BE322" s="10">
        <v>3.1321750000000002</v>
      </c>
      <c r="BF322" s="10">
        <v>3.1138077000000002</v>
      </c>
      <c r="BG322" s="10">
        <v>3.0960350000000001</v>
      </c>
      <c r="BH322" s="10">
        <v>3.0788617999999999</v>
      </c>
      <c r="BI322" s="10">
        <v>3.0622931000000002</v>
      </c>
      <c r="BJ322" s="10">
        <v>3.0463338000000002</v>
      </c>
      <c r="BK322" s="10">
        <v>3.0309887999999998</v>
      </c>
      <c r="BL322" s="10">
        <v>3.0162631000000002</v>
      </c>
      <c r="BM322" s="10">
        <v>3.0021615000000001</v>
      </c>
      <c r="BN322" s="10">
        <v>2.9886889999999999</v>
      </c>
      <c r="BO322" s="10">
        <v>2.9758505</v>
      </c>
      <c r="BP322" s="10">
        <v>2.9636509000000002</v>
      </c>
      <c r="BQ322" s="10">
        <v>2.9520952</v>
      </c>
      <c r="BR322" s="10">
        <v>2.8961169</v>
      </c>
      <c r="BS322" s="10">
        <v>2.8618548000000001</v>
      </c>
      <c r="BU322" s="7">
        <v>3.24</v>
      </c>
      <c r="BV322" s="7">
        <v>3.28</v>
      </c>
      <c r="BW322" s="9">
        <v>78.509200000000007</v>
      </c>
    </row>
    <row r="323" spans="1:75" x14ac:dyDescent="0.25">
      <c r="A323" s="6">
        <f t="shared" si="29"/>
        <v>45005</v>
      </c>
      <c r="B323" s="13">
        <f t="shared" si="24"/>
        <v>3</v>
      </c>
      <c r="C323" s="13">
        <f t="shared" si="25"/>
        <v>2023</v>
      </c>
      <c r="D323">
        <f t="shared" si="26"/>
        <v>202303</v>
      </c>
      <c r="E323">
        <f t="shared" si="27"/>
        <v>1</v>
      </c>
      <c r="F323">
        <f t="shared" si="28"/>
        <v>202301</v>
      </c>
      <c r="G323" t="s">
        <v>510</v>
      </c>
      <c r="H323" s="9">
        <v>4</v>
      </c>
      <c r="I323" s="9">
        <v>3.9268000000000001</v>
      </c>
      <c r="J323" s="10">
        <v>4.0587860999999998</v>
      </c>
      <c r="K323" s="10">
        <v>4.1050528999999996</v>
      </c>
      <c r="L323" s="10">
        <v>4.1412136000000004</v>
      </c>
      <c r="M323" s="10">
        <v>4.1574372000000004</v>
      </c>
      <c r="N323" s="10">
        <v>4.1523298999999998</v>
      </c>
      <c r="O323" s="10">
        <v>4.1304775999999999</v>
      </c>
      <c r="P323" s="10">
        <v>4.0977601000000003</v>
      </c>
      <c r="Q323" s="10">
        <v>4.0595635999999997</v>
      </c>
      <c r="R323" s="10">
        <v>4.0196567999999999</v>
      </c>
      <c r="S323" s="10">
        <v>3.9802675999999999</v>
      </c>
      <c r="T323" s="10">
        <v>3.9425512999999999</v>
      </c>
      <c r="U323" s="10">
        <v>3.9070372</v>
      </c>
      <c r="V323" s="10">
        <v>3.8741650000000001</v>
      </c>
      <c r="W323" s="10">
        <v>3.8438153000000002</v>
      </c>
      <c r="X323" s="10">
        <v>3.8156949999999998</v>
      </c>
      <c r="Y323" s="10">
        <v>3.7895112000000002</v>
      </c>
      <c r="Z323" s="10">
        <v>3.7649705999999998</v>
      </c>
      <c r="AA323" s="10">
        <v>3.7417801000000002</v>
      </c>
      <c r="AB323" s="10">
        <v>3.7196535000000002</v>
      </c>
      <c r="AC323" s="10">
        <v>3.6983399000000001</v>
      </c>
      <c r="AD323" s="10">
        <v>3.6775992999999998</v>
      </c>
      <c r="AE323" s="10">
        <v>3.6571921999999999</v>
      </c>
      <c r="AF323" s="10">
        <v>3.6368787999999999</v>
      </c>
      <c r="AG323" s="10">
        <v>3.6164193999999998</v>
      </c>
      <c r="AH323" s="10">
        <v>3.5956185000000001</v>
      </c>
      <c r="AI323" s="10">
        <v>3.5744766000000001</v>
      </c>
      <c r="AJ323" s="10">
        <v>3.553048</v>
      </c>
      <c r="AK323" s="10">
        <v>3.5313872000000002</v>
      </c>
      <c r="AL323" s="10">
        <v>3.5095486</v>
      </c>
      <c r="AM323" s="10">
        <v>3.4875864999999999</v>
      </c>
      <c r="AN323" s="10">
        <v>3.4655554</v>
      </c>
      <c r="AO323" s="10">
        <v>3.4435098000000002</v>
      </c>
      <c r="AP323" s="10">
        <v>3.4215038999999998</v>
      </c>
      <c r="AQ323" s="10">
        <v>3.3995921999999998</v>
      </c>
      <c r="AR323" s="10">
        <v>3.3778291999999999</v>
      </c>
      <c r="AS323" s="10">
        <v>3.3562691</v>
      </c>
      <c r="AT323" s="10">
        <v>3.3349631</v>
      </c>
      <c r="AU323" s="10">
        <v>3.3139470000000002</v>
      </c>
      <c r="AV323" s="10">
        <v>3.2932524999999999</v>
      </c>
      <c r="AW323" s="10">
        <v>3.2729115000000002</v>
      </c>
      <c r="AX323" s="10">
        <v>3.2529556999999998</v>
      </c>
      <c r="AY323" s="10">
        <v>3.2334168999999999</v>
      </c>
      <c r="AZ323" s="10">
        <v>3.2143267</v>
      </c>
      <c r="BA323" s="10">
        <v>3.1957171</v>
      </c>
      <c r="BB323" s="10">
        <v>3.1776195999999999</v>
      </c>
      <c r="BC323" s="10">
        <v>3.1600660999999999</v>
      </c>
      <c r="BD323" s="10">
        <v>3.1430883000000001</v>
      </c>
      <c r="BE323" s="10">
        <v>3.1267181000000002</v>
      </c>
      <c r="BF323" s="10">
        <v>3.1109825999999998</v>
      </c>
      <c r="BG323" s="10">
        <v>3.0958855999999999</v>
      </c>
      <c r="BH323" s="10">
        <v>3.0814227000000001</v>
      </c>
      <c r="BI323" s="10">
        <v>3.0675894000000001</v>
      </c>
      <c r="BJ323" s="10">
        <v>3.0543814</v>
      </c>
      <c r="BK323" s="10">
        <v>3.0417942999999998</v>
      </c>
      <c r="BL323" s="10">
        <v>3.0298238</v>
      </c>
      <c r="BM323" s="10">
        <v>3.0184654000000002</v>
      </c>
      <c r="BN323" s="10">
        <v>3.0077148999999999</v>
      </c>
      <c r="BO323" s="10">
        <v>2.9975676999999998</v>
      </c>
      <c r="BP323" s="10">
        <v>2.9880195999999999</v>
      </c>
      <c r="BQ323" s="10">
        <v>2.9790662000000001</v>
      </c>
      <c r="BR323" s="10">
        <v>2.9374155000000002</v>
      </c>
      <c r="BS323" s="10">
        <v>2.9150095999999999</v>
      </c>
      <c r="BU323" s="7">
        <v>3.23</v>
      </c>
      <c r="BV323" s="7">
        <v>3.31</v>
      </c>
      <c r="BW323" s="9">
        <v>78.985799999999998</v>
      </c>
    </row>
    <row r="324" spans="1:75" x14ac:dyDescent="0.25">
      <c r="A324" s="6">
        <f t="shared" si="29"/>
        <v>45006</v>
      </c>
      <c r="B324" s="13">
        <f t="shared" si="24"/>
        <v>3</v>
      </c>
      <c r="C324" s="13">
        <f t="shared" si="25"/>
        <v>2023</v>
      </c>
      <c r="D324">
        <f t="shared" si="26"/>
        <v>202303</v>
      </c>
      <c r="E324">
        <f t="shared" si="27"/>
        <v>1</v>
      </c>
      <c r="F324">
        <f t="shared" si="28"/>
        <v>202301</v>
      </c>
      <c r="G324" t="s">
        <v>511</v>
      </c>
      <c r="H324" s="9">
        <v>4</v>
      </c>
      <c r="I324" s="9">
        <v>3.9268999999999998</v>
      </c>
      <c r="J324" s="10">
        <v>4.0831891999999996</v>
      </c>
      <c r="K324" s="10">
        <v>4.1518915999999999</v>
      </c>
      <c r="L324" s="10">
        <v>4.2186678000000004</v>
      </c>
      <c r="M324" s="10">
        <v>4.2626176999999998</v>
      </c>
      <c r="N324" s="10">
        <v>4.2768503999999998</v>
      </c>
      <c r="O324" s="10">
        <v>4.2665034000000004</v>
      </c>
      <c r="P324" s="10">
        <v>4.2393583000000001</v>
      </c>
      <c r="Q324" s="10">
        <v>4.2026503000000002</v>
      </c>
      <c r="R324" s="10">
        <v>4.1612672999999996</v>
      </c>
      <c r="S324" s="10">
        <v>4.1180975000000002</v>
      </c>
      <c r="T324" s="10">
        <v>4.0746042999999998</v>
      </c>
      <c r="U324" s="10">
        <v>4.0315178999999999</v>
      </c>
      <c r="V324" s="10">
        <v>3.9893030999999999</v>
      </c>
      <c r="W324" s="10">
        <v>3.9481942000000001</v>
      </c>
      <c r="X324" s="10">
        <v>3.9083682999999998</v>
      </c>
      <c r="Y324" s="10">
        <v>3.8700027000000001</v>
      </c>
      <c r="Z324" s="10">
        <v>3.8332746000000002</v>
      </c>
      <c r="AA324" s="10">
        <v>3.7983614000000001</v>
      </c>
      <c r="AB324" s="10">
        <v>3.7653992000000001</v>
      </c>
      <c r="AC324" s="10">
        <v>3.7342672000000001</v>
      </c>
      <c r="AD324" s="10">
        <v>3.704745</v>
      </c>
      <c r="AE324" s="10">
        <v>3.6766120999999998</v>
      </c>
      <c r="AF324" s="10">
        <v>3.649648</v>
      </c>
      <c r="AG324" s="10">
        <v>3.6236320000000002</v>
      </c>
      <c r="AH324" s="10">
        <v>3.5983717</v>
      </c>
      <c r="AI324" s="10">
        <v>3.573798</v>
      </c>
      <c r="AJ324" s="10">
        <v>3.5498758000000001</v>
      </c>
      <c r="AK324" s="10">
        <v>3.5265700999999998</v>
      </c>
      <c r="AL324" s="10">
        <v>3.5038459999999998</v>
      </c>
      <c r="AM324" s="10">
        <v>3.4816682999999999</v>
      </c>
      <c r="AN324" s="10">
        <v>3.4600021999999999</v>
      </c>
      <c r="AO324" s="10">
        <v>3.4388125999999999</v>
      </c>
      <c r="AP324" s="10">
        <v>3.4180644</v>
      </c>
      <c r="AQ324" s="10">
        <v>3.3977227999999999</v>
      </c>
      <c r="AR324" s="10">
        <v>3.3777526</v>
      </c>
      <c r="AS324" s="10">
        <v>3.3581188000000002</v>
      </c>
      <c r="AT324" s="10">
        <v>3.3387929000000001</v>
      </c>
      <c r="AU324" s="10">
        <v>3.3197806999999999</v>
      </c>
      <c r="AV324" s="10">
        <v>3.3010996000000001</v>
      </c>
      <c r="AW324" s="10">
        <v>3.2827670000000002</v>
      </c>
      <c r="AX324" s="10">
        <v>3.2648005000000002</v>
      </c>
      <c r="AY324" s="10">
        <v>3.2472173</v>
      </c>
      <c r="AZ324" s="10">
        <v>3.230035</v>
      </c>
      <c r="BA324" s="10">
        <v>3.2132710000000002</v>
      </c>
      <c r="BB324" s="10">
        <v>3.1969425999999999</v>
      </c>
      <c r="BC324" s="10">
        <v>3.1810673</v>
      </c>
      <c r="BD324" s="10">
        <v>3.1656626000000001</v>
      </c>
      <c r="BE324" s="10">
        <v>3.1507459</v>
      </c>
      <c r="BF324" s="10">
        <v>3.1363324000000001</v>
      </c>
      <c r="BG324" s="10">
        <v>3.1224267999999999</v>
      </c>
      <c r="BH324" s="10">
        <v>3.1090304999999998</v>
      </c>
      <c r="BI324" s="10">
        <v>3.0961451000000002</v>
      </c>
      <c r="BJ324" s="10">
        <v>3.0837720000000002</v>
      </c>
      <c r="BK324" s="10">
        <v>3.0719126999999999</v>
      </c>
      <c r="BL324" s="10">
        <v>3.0605685</v>
      </c>
      <c r="BM324" s="10">
        <v>3.049741</v>
      </c>
      <c r="BN324" s="10">
        <v>3.0394317000000002</v>
      </c>
      <c r="BO324" s="10">
        <v>3.0296419000000001</v>
      </c>
      <c r="BP324" s="10">
        <v>3.0203731999999999</v>
      </c>
      <c r="BQ324" s="10">
        <v>3.0116269999999998</v>
      </c>
      <c r="BR324" s="10">
        <v>2.9699449000000002</v>
      </c>
      <c r="BS324" s="10">
        <v>2.9458500000000001</v>
      </c>
      <c r="BU324" s="7">
        <v>3.29</v>
      </c>
      <c r="BV324" s="7">
        <v>3.36</v>
      </c>
      <c r="BW324" s="9">
        <v>78.415800000000004</v>
      </c>
    </row>
    <row r="325" spans="1:75" x14ac:dyDescent="0.25">
      <c r="A325" s="6">
        <f t="shared" si="29"/>
        <v>45007</v>
      </c>
      <c r="B325" s="13">
        <f t="shared" si="24"/>
        <v>3</v>
      </c>
      <c r="C325" s="13">
        <f t="shared" si="25"/>
        <v>2023</v>
      </c>
      <c r="D325">
        <f t="shared" si="26"/>
        <v>202303</v>
      </c>
      <c r="E325">
        <f t="shared" si="27"/>
        <v>1</v>
      </c>
      <c r="F325">
        <f t="shared" si="28"/>
        <v>202301</v>
      </c>
      <c r="G325" t="s">
        <v>512</v>
      </c>
      <c r="H325" s="9">
        <v>4</v>
      </c>
      <c r="I325" s="9">
        <v>3.927</v>
      </c>
      <c r="J325" s="10">
        <v>4.1520564000000002</v>
      </c>
      <c r="K325" s="10">
        <v>4.2775607000000004</v>
      </c>
      <c r="L325" s="10">
        <v>4.4035191999999999</v>
      </c>
      <c r="M325" s="10">
        <v>4.5051987000000002</v>
      </c>
      <c r="N325" s="10">
        <v>4.5683723000000001</v>
      </c>
      <c r="O325" s="10">
        <v>4.5940205000000001</v>
      </c>
      <c r="P325" s="10">
        <v>4.5888865000000001</v>
      </c>
      <c r="Q325" s="10">
        <v>4.5629</v>
      </c>
      <c r="R325" s="10">
        <v>4.5239836999999996</v>
      </c>
      <c r="S325" s="10">
        <v>4.4778513000000002</v>
      </c>
      <c r="T325" s="10">
        <v>4.4284416999999996</v>
      </c>
      <c r="U325" s="10">
        <v>4.3780559999999999</v>
      </c>
      <c r="V325" s="10">
        <v>4.3277343999999998</v>
      </c>
      <c r="W325" s="10">
        <v>4.2778155</v>
      </c>
      <c r="X325" s="10">
        <v>4.2285158000000003</v>
      </c>
      <c r="Y325" s="10">
        <v>4.1800519999999999</v>
      </c>
      <c r="Z325" s="10">
        <v>4.1326409000000002</v>
      </c>
      <c r="AA325" s="10">
        <v>4.0864991000000002</v>
      </c>
      <c r="AB325" s="10">
        <v>4.0418113</v>
      </c>
      <c r="AC325" s="10">
        <v>3.9985824000000001</v>
      </c>
      <c r="AD325" s="10">
        <v>3.9567535999999999</v>
      </c>
      <c r="AE325" s="10">
        <v>3.9162661000000001</v>
      </c>
      <c r="AF325" s="10">
        <v>3.8770612</v>
      </c>
      <c r="AG325" s="10">
        <v>3.8390800999999999</v>
      </c>
      <c r="AH325" s="10">
        <v>3.8022656000000001</v>
      </c>
      <c r="AI325" s="10">
        <v>3.7665692000000002</v>
      </c>
      <c r="AJ325" s="10">
        <v>3.7319453999999999</v>
      </c>
      <c r="AK325" s="10">
        <v>3.6983484</v>
      </c>
      <c r="AL325" s="10">
        <v>3.6657327999999998</v>
      </c>
      <c r="AM325" s="10">
        <v>3.6340528000000001</v>
      </c>
      <c r="AN325" s="10">
        <v>3.6032628999999998</v>
      </c>
      <c r="AO325" s="10">
        <v>3.5733174999999999</v>
      </c>
      <c r="AP325" s="10">
        <v>3.5441709000000001</v>
      </c>
      <c r="AQ325" s="10">
        <v>3.5157775999999998</v>
      </c>
      <c r="AR325" s="10">
        <v>3.488092</v>
      </c>
      <c r="AS325" s="10">
        <v>3.4610683999999998</v>
      </c>
      <c r="AT325" s="10">
        <v>3.4346681000000001</v>
      </c>
      <c r="AU325" s="10">
        <v>3.4088859</v>
      </c>
      <c r="AV325" s="10">
        <v>3.3837267999999998</v>
      </c>
      <c r="AW325" s="10">
        <v>3.3591958000000002</v>
      </c>
      <c r="AX325" s="10">
        <v>3.3352979</v>
      </c>
      <c r="AY325" s="10">
        <v>3.3120381999999999</v>
      </c>
      <c r="AZ325" s="10">
        <v>3.2894215999999998</v>
      </c>
      <c r="BA325" s="10">
        <v>3.2674531999999998</v>
      </c>
      <c r="BB325" s="10">
        <v>3.2461378999999999</v>
      </c>
      <c r="BC325" s="10">
        <v>3.2254806999999999</v>
      </c>
      <c r="BD325" s="10">
        <v>3.2054866999999998</v>
      </c>
      <c r="BE325" s="10">
        <v>3.1861608000000001</v>
      </c>
      <c r="BF325" s="10">
        <v>3.1675072000000002</v>
      </c>
      <c r="BG325" s="10">
        <v>3.1495255000000002</v>
      </c>
      <c r="BH325" s="10">
        <v>3.1322144000000001</v>
      </c>
      <c r="BI325" s="10">
        <v>3.1155724</v>
      </c>
      <c r="BJ325" s="10">
        <v>3.0995981000000001</v>
      </c>
      <c r="BK325" s="10">
        <v>3.0842901999999999</v>
      </c>
      <c r="BL325" s="10">
        <v>3.0696473000000002</v>
      </c>
      <c r="BM325" s="10">
        <v>3.0556678000000002</v>
      </c>
      <c r="BN325" s="10">
        <v>3.0423504000000001</v>
      </c>
      <c r="BO325" s="10">
        <v>3.0296937000000002</v>
      </c>
      <c r="BP325" s="10">
        <v>3.0176962999999999</v>
      </c>
      <c r="BQ325" s="10">
        <v>3.0063567999999998</v>
      </c>
      <c r="BR325" s="10">
        <v>2.9517369000000002</v>
      </c>
      <c r="BS325" s="10">
        <v>2.9184871999999999</v>
      </c>
      <c r="BU325" s="7">
        <v>3.48</v>
      </c>
      <c r="BV325" s="7">
        <v>3.44</v>
      </c>
      <c r="BW325" s="9">
        <v>78.574100000000001</v>
      </c>
    </row>
    <row r="326" spans="1:75" x14ac:dyDescent="0.25">
      <c r="A326" s="6">
        <f t="shared" si="29"/>
        <v>45008</v>
      </c>
      <c r="B326" s="13">
        <f t="shared" si="24"/>
        <v>3</v>
      </c>
      <c r="C326" s="13">
        <f t="shared" si="25"/>
        <v>2023</v>
      </c>
      <c r="D326">
        <f t="shared" si="26"/>
        <v>202303</v>
      </c>
      <c r="E326">
        <f t="shared" si="27"/>
        <v>1</v>
      </c>
      <c r="F326">
        <f t="shared" si="28"/>
        <v>202301</v>
      </c>
      <c r="G326" t="s">
        <v>513</v>
      </c>
      <c r="H326" s="9">
        <v>4.25</v>
      </c>
      <c r="I326" s="9">
        <v>4.1759000000000004</v>
      </c>
      <c r="J326" s="10">
        <v>4.1876813000000004</v>
      </c>
      <c r="K326" s="10">
        <v>4.2925022000000004</v>
      </c>
      <c r="L326" s="10">
        <v>4.3875133000000002</v>
      </c>
      <c r="M326" s="10">
        <v>4.4517986000000001</v>
      </c>
      <c r="N326" s="10">
        <v>4.4772048</v>
      </c>
      <c r="O326" s="10">
        <v>4.4683779000000001</v>
      </c>
      <c r="P326" s="10">
        <v>4.4338857999999997</v>
      </c>
      <c r="Q326" s="10">
        <v>4.3813978000000002</v>
      </c>
      <c r="R326" s="10">
        <v>4.3179284000000004</v>
      </c>
      <c r="S326" s="10">
        <v>4.2482848999999998</v>
      </c>
      <c r="T326" s="10">
        <v>4.1760763000000001</v>
      </c>
      <c r="U326" s="10">
        <v>4.1037030000000003</v>
      </c>
      <c r="V326" s="10">
        <v>4.0334215000000002</v>
      </c>
      <c r="W326" s="10">
        <v>3.9661995999999999</v>
      </c>
      <c r="X326" s="10">
        <v>3.9025223000000002</v>
      </c>
      <c r="Y326" s="10">
        <v>3.8428743000000001</v>
      </c>
      <c r="Z326" s="10">
        <v>3.7877402999999998</v>
      </c>
      <c r="AA326" s="10">
        <v>3.7376051000000001</v>
      </c>
      <c r="AB326" s="10">
        <v>3.6928133000000001</v>
      </c>
      <c r="AC326" s="10">
        <v>3.6529921000000001</v>
      </c>
      <c r="AD326" s="10">
        <v>3.6175392</v>
      </c>
      <c r="AE326" s="10">
        <v>3.5858525999999999</v>
      </c>
      <c r="AF326" s="10">
        <v>3.5573299999999999</v>
      </c>
      <c r="AG326" s="10">
        <v>3.5313691999999999</v>
      </c>
      <c r="AH326" s="10">
        <v>3.5074252000000001</v>
      </c>
      <c r="AI326" s="10">
        <v>3.4852308999999999</v>
      </c>
      <c r="AJ326" s="10">
        <v>3.4646039000000002</v>
      </c>
      <c r="AK326" s="10">
        <v>3.4453619999999998</v>
      </c>
      <c r="AL326" s="10">
        <v>3.4273226999999999</v>
      </c>
      <c r="AM326" s="10">
        <v>3.4103037999999999</v>
      </c>
      <c r="AN326" s="10">
        <v>3.3941227999999999</v>
      </c>
      <c r="AO326" s="10">
        <v>3.3785975000000001</v>
      </c>
      <c r="AP326" s="10">
        <v>3.3635454999999999</v>
      </c>
      <c r="AQ326" s="10">
        <v>3.3487844</v>
      </c>
      <c r="AR326" s="10">
        <v>3.3341319999999999</v>
      </c>
      <c r="AS326" s="10">
        <v>3.3194059</v>
      </c>
      <c r="AT326" s="10">
        <v>3.3044571999999999</v>
      </c>
      <c r="AU326" s="10">
        <v>3.2892853999999998</v>
      </c>
      <c r="AV326" s="10">
        <v>3.2739308</v>
      </c>
      <c r="AW326" s="10">
        <v>3.2584336</v>
      </c>
      <c r="AX326" s="10">
        <v>3.2428340000000002</v>
      </c>
      <c r="AY326" s="10">
        <v>3.2271724000000002</v>
      </c>
      <c r="AZ326" s="10">
        <v>3.2114889</v>
      </c>
      <c r="BA326" s="10">
        <v>3.1958239000000002</v>
      </c>
      <c r="BB326" s="10">
        <v>3.1802176000000002</v>
      </c>
      <c r="BC326" s="10">
        <v>3.1647102999999999</v>
      </c>
      <c r="BD326" s="10">
        <v>3.1493422</v>
      </c>
      <c r="BE326" s="10">
        <v>3.1341535999999999</v>
      </c>
      <c r="BF326" s="10">
        <v>3.1191829000000002</v>
      </c>
      <c r="BG326" s="10">
        <v>3.1044597999999999</v>
      </c>
      <c r="BH326" s="10">
        <v>3.0900118000000001</v>
      </c>
      <c r="BI326" s="10">
        <v>3.0758662999999999</v>
      </c>
      <c r="BJ326" s="10">
        <v>3.0620509</v>
      </c>
      <c r="BK326" s="10">
        <v>3.0485929</v>
      </c>
      <c r="BL326" s="10">
        <v>3.03552</v>
      </c>
      <c r="BM326" s="10">
        <v>3.0228594000000002</v>
      </c>
      <c r="BN326" s="10">
        <v>3.0106386999999999</v>
      </c>
      <c r="BO326" s="10">
        <v>2.9988853</v>
      </c>
      <c r="BP326" s="10">
        <v>2.9876268000000001</v>
      </c>
      <c r="BQ326" s="10">
        <v>2.9768903999999998</v>
      </c>
      <c r="BR326" s="10">
        <v>2.9240206999999998</v>
      </c>
      <c r="BS326" s="10">
        <v>2.8910019999999998</v>
      </c>
      <c r="BU326" s="7">
        <v>3.28</v>
      </c>
      <c r="BV326" s="7">
        <v>3.36</v>
      </c>
      <c r="BW326" s="9">
        <v>78.614999999999995</v>
      </c>
    </row>
    <row r="327" spans="1:75" x14ac:dyDescent="0.25">
      <c r="A327" s="6">
        <f t="shared" si="29"/>
        <v>45009</v>
      </c>
      <c r="B327" s="13">
        <f t="shared" si="24"/>
        <v>3</v>
      </c>
      <c r="C327" s="13">
        <f t="shared" si="25"/>
        <v>2023</v>
      </c>
      <c r="D327">
        <f t="shared" si="26"/>
        <v>202303</v>
      </c>
      <c r="E327">
        <f t="shared" si="27"/>
        <v>1</v>
      </c>
      <c r="F327">
        <f t="shared" si="28"/>
        <v>202301</v>
      </c>
      <c r="G327" t="s">
        <v>514</v>
      </c>
      <c r="H327" s="9">
        <v>4.25</v>
      </c>
      <c r="I327" s="9">
        <v>4.1764999999999999</v>
      </c>
      <c r="J327" s="10">
        <v>4.1651378000000001</v>
      </c>
      <c r="K327" s="10">
        <v>4.2699670000000003</v>
      </c>
      <c r="L327" s="10">
        <v>4.3582324000000003</v>
      </c>
      <c r="M327" s="10">
        <v>4.4131606000000003</v>
      </c>
      <c r="N327" s="10">
        <v>4.4293336999999999</v>
      </c>
      <c r="O327" s="10">
        <v>4.4112065999999999</v>
      </c>
      <c r="P327" s="10">
        <v>4.3673336999999997</v>
      </c>
      <c r="Q327" s="10">
        <v>4.3064480999999999</v>
      </c>
      <c r="R327" s="10">
        <v>4.2359527999999997</v>
      </c>
      <c r="S327" s="10">
        <v>4.1609242000000002</v>
      </c>
      <c r="T327" s="10">
        <v>4.0850596000000001</v>
      </c>
      <c r="U327" s="10">
        <v>4.0108097999999996</v>
      </c>
      <c r="V327" s="10">
        <v>3.9408416000000002</v>
      </c>
      <c r="W327" s="10">
        <v>3.8758235999999999</v>
      </c>
      <c r="X327" s="10">
        <v>3.8156911999999998</v>
      </c>
      <c r="Y327" s="10">
        <v>3.7603799000000002</v>
      </c>
      <c r="Z327" s="10">
        <v>3.7098251000000002</v>
      </c>
      <c r="AA327" s="10">
        <v>3.6639621999999998</v>
      </c>
      <c r="AB327" s="10">
        <v>3.6226672999999998</v>
      </c>
      <c r="AC327" s="10">
        <v>3.5855123</v>
      </c>
      <c r="AD327" s="10">
        <v>3.5519721999999998</v>
      </c>
      <c r="AE327" s="10">
        <v>3.5215217000000001</v>
      </c>
      <c r="AF327" s="10">
        <v>3.4936357999999998</v>
      </c>
      <c r="AG327" s="10">
        <v>3.4677891000000001</v>
      </c>
      <c r="AH327" s="10">
        <v>3.4435172000000001</v>
      </c>
      <c r="AI327" s="10">
        <v>3.4206232000000001</v>
      </c>
      <c r="AJ327" s="10">
        <v>3.3989843999999998</v>
      </c>
      <c r="AK327" s="10">
        <v>3.3784778000000002</v>
      </c>
      <c r="AL327" s="10">
        <v>3.3589804999999999</v>
      </c>
      <c r="AM327" s="10">
        <v>3.3403695999999998</v>
      </c>
      <c r="AN327" s="10">
        <v>3.3225221999999999</v>
      </c>
      <c r="AO327" s="10">
        <v>3.3053154</v>
      </c>
      <c r="AP327" s="10">
        <v>3.2886261999999999</v>
      </c>
      <c r="AQ327" s="10">
        <v>3.2723319000000002</v>
      </c>
      <c r="AR327" s="10">
        <v>3.2563095</v>
      </c>
      <c r="AS327" s="10">
        <v>3.2404362</v>
      </c>
      <c r="AT327" s="10">
        <v>3.2246108000000002</v>
      </c>
      <c r="AU327" s="10">
        <v>3.2088296000000001</v>
      </c>
      <c r="AV327" s="10">
        <v>3.1931153999999999</v>
      </c>
      <c r="AW327" s="10">
        <v>3.1774908000000002</v>
      </c>
      <c r="AX327" s="10">
        <v>3.1619785999999999</v>
      </c>
      <c r="AY327" s="10">
        <v>3.1466018</v>
      </c>
      <c r="AZ327" s="10">
        <v>3.1313830999999999</v>
      </c>
      <c r="BA327" s="10">
        <v>3.1163452</v>
      </c>
      <c r="BB327" s="10">
        <v>3.1015109999999999</v>
      </c>
      <c r="BC327" s="10">
        <v>3.0869032999999999</v>
      </c>
      <c r="BD327" s="10">
        <v>3.0725448000000002</v>
      </c>
      <c r="BE327" s="10">
        <v>3.0584582999999999</v>
      </c>
      <c r="BF327" s="10">
        <v>3.0446662</v>
      </c>
      <c r="BG327" s="10">
        <v>3.0311887999999998</v>
      </c>
      <c r="BH327" s="10">
        <v>3.0180457999999999</v>
      </c>
      <c r="BI327" s="10">
        <v>3.0052569999999998</v>
      </c>
      <c r="BJ327" s="10">
        <v>2.9928420999999998</v>
      </c>
      <c r="BK327" s="10">
        <v>2.9808208999999999</v>
      </c>
      <c r="BL327" s="10">
        <v>2.9692131000000002</v>
      </c>
      <c r="BM327" s="10">
        <v>2.9580384</v>
      </c>
      <c r="BN327" s="10">
        <v>2.9473166000000002</v>
      </c>
      <c r="BO327" s="10">
        <v>2.9370674000000001</v>
      </c>
      <c r="BP327" s="10">
        <v>2.9273106000000002</v>
      </c>
      <c r="BQ327" s="10">
        <v>2.9180659000000002</v>
      </c>
      <c r="BR327" s="10">
        <v>2.8737187</v>
      </c>
      <c r="BS327" s="10">
        <v>2.8482489000000002</v>
      </c>
      <c r="BU327" s="7">
        <v>3.21</v>
      </c>
      <c r="BV327" s="7">
        <v>3.28</v>
      </c>
      <c r="BW327" s="9">
        <v>78.568799999999996</v>
      </c>
    </row>
    <row r="328" spans="1:75" x14ac:dyDescent="0.25">
      <c r="A328" s="6">
        <f t="shared" si="29"/>
        <v>45012</v>
      </c>
      <c r="B328" s="13">
        <f t="shared" si="24"/>
        <v>3</v>
      </c>
      <c r="C328" s="13">
        <f t="shared" si="25"/>
        <v>2023</v>
      </c>
      <c r="D328">
        <f t="shared" si="26"/>
        <v>202303</v>
      </c>
      <c r="E328">
        <f t="shared" si="27"/>
        <v>1</v>
      </c>
      <c r="F328">
        <f t="shared" si="28"/>
        <v>202301</v>
      </c>
      <c r="G328" t="s">
        <v>515</v>
      </c>
      <c r="H328" s="9">
        <v>4.25</v>
      </c>
      <c r="I328" s="9">
        <v>4.1764999999999999</v>
      </c>
      <c r="J328" s="10">
        <v>4.1872474999999998</v>
      </c>
      <c r="K328" s="10">
        <v>4.3029440000000001</v>
      </c>
      <c r="L328" s="10">
        <v>4.4007681999999999</v>
      </c>
      <c r="M328" s="10">
        <v>4.4669487999999999</v>
      </c>
      <c r="N328" s="10">
        <v>4.4978499999999997</v>
      </c>
      <c r="O328" s="10">
        <v>4.4968512</v>
      </c>
      <c r="P328" s="10">
        <v>4.4708392000000003</v>
      </c>
      <c r="Q328" s="10">
        <v>4.4272185000000004</v>
      </c>
      <c r="R328" s="10">
        <v>4.3727375000000004</v>
      </c>
      <c r="S328" s="10">
        <v>4.3126169000000001</v>
      </c>
      <c r="T328" s="10">
        <v>4.2503723000000004</v>
      </c>
      <c r="U328" s="10">
        <v>4.1882336999999996</v>
      </c>
      <c r="V328" s="10">
        <v>4.1280622999999999</v>
      </c>
      <c r="W328" s="10">
        <v>4.0703763000000004</v>
      </c>
      <c r="X328" s="10">
        <v>4.0152947000000001</v>
      </c>
      <c r="Y328" s="10">
        <v>3.9629368</v>
      </c>
      <c r="Z328" s="10">
        <v>3.9134215999999999</v>
      </c>
      <c r="AA328" s="10">
        <v>3.8668681999999999</v>
      </c>
      <c r="AB328" s="10">
        <v>3.8233450000000002</v>
      </c>
      <c r="AC328" s="10">
        <v>3.7826599000000001</v>
      </c>
      <c r="AD328" s="10">
        <v>3.7445379000000001</v>
      </c>
      <c r="AE328" s="10">
        <v>3.7087037999999999</v>
      </c>
      <c r="AF328" s="10">
        <v>3.6748824999999998</v>
      </c>
      <c r="AG328" s="10">
        <v>3.6427990000000001</v>
      </c>
      <c r="AH328" s="10">
        <v>3.6122062000000001</v>
      </c>
      <c r="AI328" s="10">
        <v>3.5829822</v>
      </c>
      <c r="AJ328" s="10">
        <v>3.5550392</v>
      </c>
      <c r="AK328" s="10">
        <v>3.5282897000000002</v>
      </c>
      <c r="AL328" s="10">
        <v>3.5026459999999999</v>
      </c>
      <c r="AM328" s="10">
        <v>3.4780204000000001</v>
      </c>
      <c r="AN328" s="10">
        <v>3.4543252</v>
      </c>
      <c r="AO328" s="10">
        <v>3.4314729000000002</v>
      </c>
      <c r="AP328" s="10">
        <v>3.4093757</v>
      </c>
      <c r="AQ328" s="10">
        <v>3.3879459999999999</v>
      </c>
      <c r="AR328" s="10">
        <v>3.3670962000000002</v>
      </c>
      <c r="AS328" s="10">
        <v>3.3467386000000001</v>
      </c>
      <c r="AT328" s="10">
        <v>3.3267997</v>
      </c>
      <c r="AU328" s="10">
        <v>3.3072691000000001</v>
      </c>
      <c r="AV328" s="10">
        <v>3.2881535999999998</v>
      </c>
      <c r="AW328" s="10">
        <v>3.2694599000000002</v>
      </c>
      <c r="AX328" s="10">
        <v>3.2511949000000002</v>
      </c>
      <c r="AY328" s="10">
        <v>3.2333653</v>
      </c>
      <c r="AZ328" s="10">
        <v>3.2159779999999998</v>
      </c>
      <c r="BA328" s="10">
        <v>3.1990398</v>
      </c>
      <c r="BB328" s="10">
        <v>3.1825573999999999</v>
      </c>
      <c r="BC328" s="10">
        <v>3.1665378</v>
      </c>
      <c r="BD328" s="10">
        <v>3.1509876000000001</v>
      </c>
      <c r="BE328" s="10">
        <v>3.1359137000000001</v>
      </c>
      <c r="BF328" s="10">
        <v>3.1213226999999999</v>
      </c>
      <c r="BG328" s="10">
        <v>3.1072202</v>
      </c>
      <c r="BH328" s="10">
        <v>3.0936113000000001</v>
      </c>
      <c r="BI328" s="10">
        <v>3.0805012000000001</v>
      </c>
      <c r="BJ328" s="10">
        <v>3.067895</v>
      </c>
      <c r="BK328" s="10">
        <v>3.0557979999999998</v>
      </c>
      <c r="BL328" s="10">
        <v>3.0442152999999998</v>
      </c>
      <c r="BM328" s="10">
        <v>3.0331519999999998</v>
      </c>
      <c r="BN328" s="10">
        <v>3.0226133000000002</v>
      </c>
      <c r="BO328" s="10">
        <v>3.0126043</v>
      </c>
      <c r="BP328" s="10">
        <v>3.0031303</v>
      </c>
      <c r="BQ328" s="10">
        <v>2.9941963999999999</v>
      </c>
      <c r="BR328" s="10">
        <v>2.9517833000000002</v>
      </c>
      <c r="BS328" s="10">
        <v>2.9274132000000002</v>
      </c>
      <c r="BU328" s="7">
        <v>3.34</v>
      </c>
      <c r="BV328" s="7">
        <v>3.38</v>
      </c>
      <c r="BW328" s="9">
        <v>78.8352</v>
      </c>
    </row>
    <row r="329" spans="1:75" x14ac:dyDescent="0.25">
      <c r="A329" s="6">
        <f t="shared" si="29"/>
        <v>45013</v>
      </c>
      <c r="B329" s="13">
        <f t="shared" ref="B329:B392" si="30">MONTH(A329)</f>
        <v>3</v>
      </c>
      <c r="C329" s="13">
        <f t="shared" ref="C329:C392" si="31">YEAR(A329)</f>
        <v>2023</v>
      </c>
      <c r="D329">
        <f t="shared" ref="D329:D392" si="32">C329*100+B329</f>
        <v>202303</v>
      </c>
      <c r="E329">
        <f t="shared" ref="E329:E392" si="33">IF(B329&lt;4,1,IF(B329&lt;7,2,IF(B329&lt;10,3,4)))</f>
        <v>1</v>
      </c>
      <c r="F329">
        <f t="shared" ref="F329:F392" si="34">C329*100+E329</f>
        <v>202301</v>
      </c>
      <c r="G329" t="s">
        <v>516</v>
      </c>
      <c r="H329" s="9">
        <v>4.25</v>
      </c>
      <c r="I329" s="9">
        <v>4.1765999999999996</v>
      </c>
      <c r="J329" s="10">
        <v>4.1980921999999996</v>
      </c>
      <c r="K329" s="10">
        <v>4.3152584999999997</v>
      </c>
      <c r="L329" s="10">
        <v>4.4171477000000001</v>
      </c>
      <c r="M329" s="10">
        <v>4.4904815999999999</v>
      </c>
      <c r="N329" s="10">
        <v>4.5286099999999996</v>
      </c>
      <c r="O329" s="10">
        <v>4.5337551999999999</v>
      </c>
      <c r="P329" s="10">
        <v>4.5121751999999997</v>
      </c>
      <c r="Q329" s="10">
        <v>4.4719310999999999</v>
      </c>
      <c r="R329" s="10">
        <v>4.4201147000000001</v>
      </c>
      <c r="S329" s="10">
        <v>4.3622363999999996</v>
      </c>
      <c r="T329" s="10">
        <v>4.3018831000000004</v>
      </c>
      <c r="U329" s="10">
        <v>4.2411579000000001</v>
      </c>
      <c r="V329" s="10">
        <v>4.1815860999999996</v>
      </c>
      <c r="W329" s="10">
        <v>4.1236822999999996</v>
      </c>
      <c r="X329" s="10">
        <v>4.0676819999999996</v>
      </c>
      <c r="Y329" s="10">
        <v>4.0138208000000004</v>
      </c>
      <c r="Z329" s="10">
        <v>3.9623341999999999</v>
      </c>
      <c r="AA329" s="10">
        <v>3.9134576000000001</v>
      </c>
      <c r="AB329" s="10">
        <v>3.8673888999999999</v>
      </c>
      <c r="AC329" s="10">
        <v>3.8240891000000001</v>
      </c>
      <c r="AD329" s="10">
        <v>3.7834278000000001</v>
      </c>
      <c r="AE329" s="10">
        <v>3.7452741999999999</v>
      </c>
      <c r="AF329" s="10">
        <v>3.7094976000000002</v>
      </c>
      <c r="AG329" s="10">
        <v>3.6759674000000002</v>
      </c>
      <c r="AH329" s="10">
        <v>3.6445512999999998</v>
      </c>
      <c r="AI329" s="10">
        <v>3.6151103999999998</v>
      </c>
      <c r="AJ329" s="10">
        <v>3.5875037999999999</v>
      </c>
      <c r="AK329" s="10">
        <v>3.5615904999999999</v>
      </c>
      <c r="AL329" s="10">
        <v>3.5372298</v>
      </c>
      <c r="AM329" s="10">
        <v>3.5142807</v>
      </c>
      <c r="AN329" s="10">
        <v>3.4926023000000002</v>
      </c>
      <c r="AO329" s="10">
        <v>3.4720537999999999</v>
      </c>
      <c r="AP329" s="10">
        <v>3.4524943000000001</v>
      </c>
      <c r="AQ329" s="10">
        <v>3.433783</v>
      </c>
      <c r="AR329" s="10">
        <v>3.4157788</v>
      </c>
      <c r="AS329" s="10">
        <v>3.3983411000000001</v>
      </c>
      <c r="AT329" s="10">
        <v>3.3813447000000001</v>
      </c>
      <c r="AU329" s="10">
        <v>3.3647505</v>
      </c>
      <c r="AV329" s="10">
        <v>3.3485478999999998</v>
      </c>
      <c r="AW329" s="10">
        <v>3.3327265000000001</v>
      </c>
      <c r="AX329" s="10">
        <v>3.3172758</v>
      </c>
      <c r="AY329" s="10">
        <v>3.3021853999999999</v>
      </c>
      <c r="AZ329" s="10">
        <v>3.2874446000000002</v>
      </c>
      <c r="BA329" s="10">
        <v>3.2730431000000002</v>
      </c>
      <c r="BB329" s="10">
        <v>3.2589703000000001</v>
      </c>
      <c r="BC329" s="10">
        <v>3.2452158</v>
      </c>
      <c r="BD329" s="10">
        <v>3.2317691000000002</v>
      </c>
      <c r="BE329" s="10">
        <v>3.2186197000000001</v>
      </c>
      <c r="BF329" s="10">
        <v>3.2057601999999998</v>
      </c>
      <c r="BG329" s="10">
        <v>3.1931997000000001</v>
      </c>
      <c r="BH329" s="10">
        <v>3.1809527000000002</v>
      </c>
      <c r="BI329" s="10">
        <v>3.1690339000000001</v>
      </c>
      <c r="BJ329" s="10">
        <v>3.1574578999999998</v>
      </c>
      <c r="BK329" s="10">
        <v>3.1462393</v>
      </c>
      <c r="BL329" s="10">
        <v>3.1353927000000001</v>
      </c>
      <c r="BM329" s="10">
        <v>3.1249327999999998</v>
      </c>
      <c r="BN329" s="10">
        <v>3.1148739999999999</v>
      </c>
      <c r="BO329" s="10">
        <v>3.1052311000000001</v>
      </c>
      <c r="BP329" s="10">
        <v>3.0960185999999998</v>
      </c>
      <c r="BQ329" s="10">
        <v>3.0872511999999999</v>
      </c>
      <c r="BR329" s="10">
        <v>3.0442507000000001</v>
      </c>
      <c r="BS329" s="10">
        <v>3.0175169999999998</v>
      </c>
      <c r="BU329" s="7">
        <v>3.38</v>
      </c>
      <c r="BV329" s="7">
        <v>3.46</v>
      </c>
      <c r="BW329" s="9">
        <v>78.973299999999995</v>
      </c>
    </row>
    <row r="330" spans="1:75" x14ac:dyDescent="0.25">
      <c r="A330" s="6">
        <f t="shared" si="29"/>
        <v>45014</v>
      </c>
      <c r="B330" s="13">
        <f t="shared" si="30"/>
        <v>3</v>
      </c>
      <c r="C330" s="13">
        <f t="shared" si="31"/>
        <v>2023</v>
      </c>
      <c r="D330">
        <f t="shared" si="32"/>
        <v>202303</v>
      </c>
      <c r="E330">
        <f t="shared" si="33"/>
        <v>1</v>
      </c>
      <c r="F330">
        <f t="shared" si="34"/>
        <v>202301</v>
      </c>
      <c r="G330" t="s">
        <v>517</v>
      </c>
      <c r="H330" s="9">
        <v>4.25</v>
      </c>
      <c r="I330" s="9">
        <v>4.1767000000000003</v>
      </c>
      <c r="J330" s="10">
        <v>4.1972060000000004</v>
      </c>
      <c r="K330" s="10">
        <v>4.3294813999999997</v>
      </c>
      <c r="L330" s="10">
        <v>4.4402964999999996</v>
      </c>
      <c r="M330" s="10">
        <v>4.5178940000000001</v>
      </c>
      <c r="N330" s="10">
        <v>4.5578428999999998</v>
      </c>
      <c r="O330" s="10">
        <v>4.5651526000000002</v>
      </c>
      <c r="P330" s="10">
        <v>4.5469546000000003</v>
      </c>
      <c r="Q330" s="10">
        <v>4.5113531</v>
      </c>
      <c r="R330" s="10">
        <v>4.4650941</v>
      </c>
      <c r="S330" s="10">
        <v>4.4128964000000002</v>
      </c>
      <c r="T330" s="10">
        <v>4.3575106999999997</v>
      </c>
      <c r="U330" s="10">
        <v>4.3004432000000001</v>
      </c>
      <c r="V330" s="10">
        <v>4.2423523999999997</v>
      </c>
      <c r="W330" s="10">
        <v>4.1839377999999998</v>
      </c>
      <c r="X330" s="10">
        <v>4.1260026999999999</v>
      </c>
      <c r="Y330" s="10">
        <v>4.0693505999999999</v>
      </c>
      <c r="Z330" s="10">
        <v>4.0147851000000001</v>
      </c>
      <c r="AA330" s="10">
        <v>3.9631094999999998</v>
      </c>
      <c r="AB330" s="10">
        <v>3.9150021000000002</v>
      </c>
      <c r="AC330" s="10">
        <v>3.8704304</v>
      </c>
      <c r="AD330" s="10">
        <v>3.8291122999999998</v>
      </c>
      <c r="AE330" s="10">
        <v>3.7907652999999999</v>
      </c>
      <c r="AF330" s="10">
        <v>3.7551068999999999</v>
      </c>
      <c r="AG330" s="10">
        <v>3.7218548</v>
      </c>
      <c r="AH330" s="10">
        <v>3.6907413999999998</v>
      </c>
      <c r="AI330" s="10">
        <v>3.6615809000000001</v>
      </c>
      <c r="AJ330" s="10">
        <v>3.6342145000000001</v>
      </c>
      <c r="AK330" s="10">
        <v>3.6084833999999999</v>
      </c>
      <c r="AL330" s="10">
        <v>3.5842288999999998</v>
      </c>
      <c r="AM330" s="10">
        <v>3.5612924000000001</v>
      </c>
      <c r="AN330" s="10">
        <v>3.5395150000000002</v>
      </c>
      <c r="AO330" s="10">
        <v>3.5187381000000002</v>
      </c>
      <c r="AP330" s="10">
        <v>3.4988030000000001</v>
      </c>
      <c r="AQ330" s="10">
        <v>3.4795509</v>
      </c>
      <c r="AR330" s="10">
        <v>3.4608230999999998</v>
      </c>
      <c r="AS330" s="10">
        <v>3.4424608999999999</v>
      </c>
      <c r="AT330" s="10">
        <v>3.4243288000000001</v>
      </c>
      <c r="AU330" s="10">
        <v>3.4064041999999999</v>
      </c>
      <c r="AV330" s="10">
        <v>3.3886989999999999</v>
      </c>
      <c r="AW330" s="10">
        <v>3.3712251000000002</v>
      </c>
      <c r="AX330" s="10">
        <v>3.3539943999999999</v>
      </c>
      <c r="AY330" s="10">
        <v>3.3370186999999998</v>
      </c>
      <c r="AZ330" s="10">
        <v>3.3203098999999998</v>
      </c>
      <c r="BA330" s="10">
        <v>3.3038799999999999</v>
      </c>
      <c r="BB330" s="10">
        <v>3.2877407000000001</v>
      </c>
      <c r="BC330" s="10">
        <v>3.2719040000000001</v>
      </c>
      <c r="BD330" s="10">
        <v>3.2563816999999999</v>
      </c>
      <c r="BE330" s="10">
        <v>3.2411856999999999</v>
      </c>
      <c r="BF330" s="10">
        <v>3.2263280999999999</v>
      </c>
      <c r="BG330" s="10">
        <v>3.2118218000000001</v>
      </c>
      <c r="BH330" s="10">
        <v>3.1976798</v>
      </c>
      <c r="BI330" s="10">
        <v>3.1839152999999998</v>
      </c>
      <c r="BJ330" s="10">
        <v>3.1705413999999998</v>
      </c>
      <c r="BK330" s="10">
        <v>3.1575712999999999</v>
      </c>
      <c r="BL330" s="10">
        <v>3.1450181000000001</v>
      </c>
      <c r="BM330" s="10">
        <v>3.1328949000000001</v>
      </c>
      <c r="BN330" s="10">
        <v>3.1212149</v>
      </c>
      <c r="BO330" s="10">
        <v>3.1099912000000001</v>
      </c>
      <c r="BP330" s="10">
        <v>3.0992367999999999</v>
      </c>
      <c r="BQ330" s="10">
        <v>3.088965</v>
      </c>
      <c r="BR330" s="10">
        <v>3.0376870999999999</v>
      </c>
      <c r="BS330" s="10">
        <v>3.0039267000000001</v>
      </c>
      <c r="BU330" s="7">
        <v>3.4</v>
      </c>
      <c r="BV330" s="7">
        <v>3.46</v>
      </c>
      <c r="BW330" s="9">
        <v>78.918700000000001</v>
      </c>
    </row>
    <row r="331" spans="1:75" x14ac:dyDescent="0.25">
      <c r="A331" s="6">
        <f t="shared" si="29"/>
        <v>45015</v>
      </c>
      <c r="B331" s="13">
        <f t="shared" si="30"/>
        <v>3</v>
      </c>
      <c r="C331" s="13">
        <f t="shared" si="31"/>
        <v>2023</v>
      </c>
      <c r="D331">
        <f t="shared" si="32"/>
        <v>202303</v>
      </c>
      <c r="E331">
        <f t="shared" si="33"/>
        <v>1</v>
      </c>
      <c r="F331">
        <f t="shared" si="34"/>
        <v>202301</v>
      </c>
      <c r="G331" t="s">
        <v>518</v>
      </c>
      <c r="H331" s="9">
        <v>4.25</v>
      </c>
      <c r="I331" s="9">
        <v>4.1768000000000001</v>
      </c>
      <c r="J331" s="10">
        <v>4.1994005000000003</v>
      </c>
      <c r="K331" s="10">
        <v>4.3300947000000001</v>
      </c>
      <c r="L331" s="10">
        <v>4.4392274</v>
      </c>
      <c r="M331" s="10">
        <v>4.5191894000000001</v>
      </c>
      <c r="N331" s="10">
        <v>4.5674741000000001</v>
      </c>
      <c r="O331" s="10">
        <v>4.5866574</v>
      </c>
      <c r="P331" s="10">
        <v>4.5813001</v>
      </c>
      <c r="Q331" s="10">
        <v>4.5556950000000001</v>
      </c>
      <c r="R331" s="10">
        <v>4.5155611999999996</v>
      </c>
      <c r="S331" s="10">
        <v>4.4654508000000002</v>
      </c>
      <c r="T331" s="10">
        <v>4.4093385999999999</v>
      </c>
      <c r="U331" s="10">
        <v>4.3500435</v>
      </c>
      <c r="V331" s="10">
        <v>4.2903903999999997</v>
      </c>
      <c r="W331" s="10">
        <v>4.2316599999999998</v>
      </c>
      <c r="X331" s="10">
        <v>4.1744797</v>
      </c>
      <c r="Y331" s="10">
        <v>4.1194758</v>
      </c>
      <c r="Z331" s="10">
        <v>4.0672747999999999</v>
      </c>
      <c r="AA331" s="10">
        <v>4.0185029999999999</v>
      </c>
      <c r="AB331" s="10">
        <v>3.973649</v>
      </c>
      <c r="AC331" s="10">
        <v>3.9324965000000001</v>
      </c>
      <c r="AD331" s="10">
        <v>3.8946036999999998</v>
      </c>
      <c r="AE331" s="10">
        <v>3.8595288999999999</v>
      </c>
      <c r="AF331" s="10">
        <v>3.8268303000000001</v>
      </c>
      <c r="AG331" s="10">
        <v>3.7960663000000001</v>
      </c>
      <c r="AH331" s="10">
        <v>3.7668393</v>
      </c>
      <c r="AI331" s="10">
        <v>3.7389684999999999</v>
      </c>
      <c r="AJ331" s="10">
        <v>3.7123387999999999</v>
      </c>
      <c r="AK331" s="10">
        <v>3.6868352999999998</v>
      </c>
      <c r="AL331" s="10">
        <v>3.6623427999999998</v>
      </c>
      <c r="AM331" s="10">
        <v>3.6387463000000002</v>
      </c>
      <c r="AN331" s="10">
        <v>3.6159308000000001</v>
      </c>
      <c r="AO331" s="10">
        <v>3.5937812</v>
      </c>
      <c r="AP331" s="10">
        <v>3.5721824999999998</v>
      </c>
      <c r="AQ331" s="10">
        <v>3.5510196999999999</v>
      </c>
      <c r="AR331" s="10">
        <v>3.5301776999999999</v>
      </c>
      <c r="AS331" s="10">
        <v>3.5095413999999998</v>
      </c>
      <c r="AT331" s="10">
        <v>3.4890173</v>
      </c>
      <c r="AU331" s="10">
        <v>3.4686059</v>
      </c>
      <c r="AV331" s="10">
        <v>3.448334</v>
      </c>
      <c r="AW331" s="10">
        <v>3.4282281999999999</v>
      </c>
      <c r="AX331" s="10">
        <v>3.4083152000000001</v>
      </c>
      <c r="AY331" s="10">
        <v>3.3886216</v>
      </c>
      <c r="AZ331" s="10">
        <v>3.3691741999999998</v>
      </c>
      <c r="BA331" s="10">
        <v>3.3499997000000001</v>
      </c>
      <c r="BB331" s="10">
        <v>3.3311247000000002</v>
      </c>
      <c r="BC331" s="10">
        <v>3.3125757999999998</v>
      </c>
      <c r="BD331" s="10">
        <v>3.2943799</v>
      </c>
      <c r="BE331" s="10">
        <v>3.2765635</v>
      </c>
      <c r="BF331" s="10">
        <v>3.2591515000000002</v>
      </c>
      <c r="BG331" s="10">
        <v>3.2421608000000002</v>
      </c>
      <c r="BH331" s="10">
        <v>3.2256060999999998</v>
      </c>
      <c r="BI331" s="10">
        <v>3.2095020000000001</v>
      </c>
      <c r="BJ331" s="10">
        <v>3.1938631000000002</v>
      </c>
      <c r="BK331" s="10">
        <v>3.1787041</v>
      </c>
      <c r="BL331" s="10">
        <v>3.1640397</v>
      </c>
      <c r="BM331" s="10">
        <v>3.1498845000000002</v>
      </c>
      <c r="BN331" s="10">
        <v>3.1362530999999998</v>
      </c>
      <c r="BO331" s="10">
        <v>3.1231602999999999</v>
      </c>
      <c r="BP331" s="10">
        <v>3.1106207000000001</v>
      </c>
      <c r="BQ331" s="10">
        <v>3.0986489000000002</v>
      </c>
      <c r="BR331" s="10">
        <v>3.0389889000000001</v>
      </c>
      <c r="BS331" s="10">
        <v>2.9999416000000001</v>
      </c>
      <c r="BU331" s="7">
        <v>3.45</v>
      </c>
      <c r="BV331" s="7">
        <v>3.5</v>
      </c>
      <c r="BW331" s="9">
        <v>79.039000000000001</v>
      </c>
    </row>
    <row r="332" spans="1:75" x14ac:dyDescent="0.25">
      <c r="A332" s="6">
        <f t="shared" si="29"/>
        <v>45016</v>
      </c>
      <c r="B332" s="13">
        <f t="shared" si="30"/>
        <v>3</v>
      </c>
      <c r="C332" s="13">
        <f t="shared" si="31"/>
        <v>2023</v>
      </c>
      <c r="D332">
        <f t="shared" si="32"/>
        <v>202303</v>
      </c>
      <c r="E332">
        <f t="shared" si="33"/>
        <v>1</v>
      </c>
      <c r="F332">
        <f t="shared" si="34"/>
        <v>202301</v>
      </c>
      <c r="G332" t="s">
        <v>519</v>
      </c>
      <c r="H332" s="9">
        <v>4.25</v>
      </c>
      <c r="I332" s="9">
        <v>4.1776999999999997</v>
      </c>
      <c r="J332" s="10">
        <v>4.2023529000000002</v>
      </c>
      <c r="K332" s="10">
        <v>4.3278242000000002</v>
      </c>
      <c r="L332" s="10">
        <v>4.4341052000000003</v>
      </c>
      <c r="M332" s="10">
        <v>4.5128509000000001</v>
      </c>
      <c r="N332" s="10">
        <v>4.5607099</v>
      </c>
      <c r="O332" s="10">
        <v>4.5794192999999996</v>
      </c>
      <c r="P332" s="10">
        <v>4.5728887</v>
      </c>
      <c r="Q332" s="10">
        <v>4.5454078000000004</v>
      </c>
      <c r="R332" s="10">
        <v>4.5023567</v>
      </c>
      <c r="S332" s="10">
        <v>4.4480376000000001</v>
      </c>
      <c r="T332" s="10">
        <v>4.3865312999999997</v>
      </c>
      <c r="U332" s="10">
        <v>4.3208979999999997</v>
      </c>
      <c r="V332" s="10">
        <v>4.2545415999999996</v>
      </c>
      <c r="W332" s="10">
        <v>4.1891109999999996</v>
      </c>
      <c r="X332" s="10">
        <v>4.1255651999999996</v>
      </c>
      <c r="Y332" s="10">
        <v>4.0648622000000003</v>
      </c>
      <c r="Z332" s="10">
        <v>4.0079605000000003</v>
      </c>
      <c r="AA332" s="10">
        <v>3.9558184000000001</v>
      </c>
      <c r="AB332" s="10">
        <v>3.9091537999999999</v>
      </c>
      <c r="AC332" s="10">
        <v>3.8675706999999999</v>
      </c>
      <c r="AD332" s="10">
        <v>3.8303501999999998</v>
      </c>
      <c r="AE332" s="10">
        <v>3.7967732000000001</v>
      </c>
      <c r="AF332" s="10">
        <v>3.7661207000000001</v>
      </c>
      <c r="AG332" s="10">
        <v>3.7376738</v>
      </c>
      <c r="AH332" s="10">
        <v>3.7108013999999998</v>
      </c>
      <c r="AI332" s="10">
        <v>3.6852605000000001</v>
      </c>
      <c r="AJ332" s="10">
        <v>3.6609153000000001</v>
      </c>
      <c r="AK332" s="10">
        <v>3.6376300000000001</v>
      </c>
      <c r="AL332" s="10">
        <v>3.6152688999999998</v>
      </c>
      <c r="AM332" s="10">
        <v>3.593696</v>
      </c>
      <c r="AN332" s="10">
        <v>3.5727755000000001</v>
      </c>
      <c r="AO332" s="10">
        <v>3.5523717000000001</v>
      </c>
      <c r="AP332" s="10">
        <v>3.5323487</v>
      </c>
      <c r="AQ332" s="10">
        <v>3.5125706999999999</v>
      </c>
      <c r="AR332" s="10">
        <v>3.4929019000000001</v>
      </c>
      <c r="AS332" s="10">
        <v>3.4732064</v>
      </c>
      <c r="AT332" s="10">
        <v>3.4533763</v>
      </c>
      <c r="AU332" s="10">
        <v>3.4334264999999999</v>
      </c>
      <c r="AV332" s="10">
        <v>3.4134055000000001</v>
      </c>
      <c r="AW332" s="10">
        <v>3.3933623000000002</v>
      </c>
      <c r="AX332" s="10">
        <v>3.3733455999999999</v>
      </c>
      <c r="AY332" s="10">
        <v>3.3534041000000001</v>
      </c>
      <c r="AZ332" s="10">
        <v>3.3335865</v>
      </c>
      <c r="BA332" s="10">
        <v>3.3139417</v>
      </c>
      <c r="BB332" s="10">
        <v>3.2945183999999998</v>
      </c>
      <c r="BC332" s="10">
        <v>3.2753652</v>
      </c>
      <c r="BD332" s="10">
        <v>3.2565309999999998</v>
      </c>
      <c r="BE332" s="10">
        <v>3.2380645000000001</v>
      </c>
      <c r="BF332" s="10">
        <v>3.2200095000000002</v>
      </c>
      <c r="BG332" s="10">
        <v>3.2023874999999999</v>
      </c>
      <c r="BH332" s="10">
        <v>3.1852138999999999</v>
      </c>
      <c r="BI332" s="10">
        <v>3.1685040999999998</v>
      </c>
      <c r="BJ332" s="10">
        <v>3.1522736</v>
      </c>
      <c r="BK332" s="10">
        <v>3.1365378000000002</v>
      </c>
      <c r="BL332" s="10">
        <v>3.1213120999999999</v>
      </c>
      <c r="BM332" s="10">
        <v>3.1066118999999999</v>
      </c>
      <c r="BN332" s="10">
        <v>3.0924527999999998</v>
      </c>
      <c r="BO332" s="10">
        <v>3.0788500999999999</v>
      </c>
      <c r="BP332" s="10">
        <v>3.0658191000000001</v>
      </c>
      <c r="BQ332" s="10">
        <v>3.0533755</v>
      </c>
      <c r="BR332" s="10">
        <v>2.9913188000000002</v>
      </c>
      <c r="BS332" s="10">
        <v>2.9506646999999999</v>
      </c>
      <c r="BU332" s="7">
        <v>3.42</v>
      </c>
      <c r="BV332" s="7">
        <v>3.47</v>
      </c>
      <c r="BW332" s="9">
        <v>79.091499999999996</v>
      </c>
    </row>
    <row r="333" spans="1:75" x14ac:dyDescent="0.25">
      <c r="A333" s="6">
        <f t="shared" si="29"/>
        <v>45019</v>
      </c>
      <c r="B333" s="13">
        <f t="shared" si="30"/>
        <v>4</v>
      </c>
      <c r="C333" s="13">
        <f t="shared" si="31"/>
        <v>2023</v>
      </c>
      <c r="D333">
        <f t="shared" si="32"/>
        <v>202304</v>
      </c>
      <c r="E333">
        <f t="shared" si="33"/>
        <v>2</v>
      </c>
      <c r="F333">
        <f t="shared" si="34"/>
        <v>202302</v>
      </c>
      <c r="G333" t="s">
        <v>520</v>
      </c>
      <c r="H333" s="9">
        <v>4.25</v>
      </c>
      <c r="I333" s="9">
        <v>4.1768999999999998</v>
      </c>
      <c r="J333" s="10">
        <v>4.2133944000000003</v>
      </c>
      <c r="K333" s="10">
        <v>4.3471611000000001</v>
      </c>
      <c r="L333" s="10">
        <v>4.4538481000000001</v>
      </c>
      <c r="M333" s="10">
        <v>4.5263228</v>
      </c>
      <c r="N333" s="10">
        <v>4.5623117000000004</v>
      </c>
      <c r="O333" s="10">
        <v>4.5647865000000003</v>
      </c>
      <c r="P333" s="10">
        <v>4.5393974999999998</v>
      </c>
      <c r="Q333" s="10">
        <v>4.4938161000000001</v>
      </c>
      <c r="R333" s="10">
        <v>4.4349914999999998</v>
      </c>
      <c r="S333" s="10">
        <v>4.3686308</v>
      </c>
      <c r="T333" s="10">
        <v>4.2988527000000003</v>
      </c>
      <c r="U333" s="10">
        <v>4.2285463999999999</v>
      </c>
      <c r="V333" s="10">
        <v>4.1603678999999998</v>
      </c>
      <c r="W333" s="10">
        <v>4.0951424000000003</v>
      </c>
      <c r="X333" s="10">
        <v>4.0331441000000003</v>
      </c>
      <c r="Y333" s="10">
        <v>3.9746473</v>
      </c>
      <c r="Z333" s="10">
        <v>3.9199259</v>
      </c>
      <c r="AA333" s="10">
        <v>3.8692543000000001</v>
      </c>
      <c r="AB333" s="10">
        <v>3.8228013000000001</v>
      </c>
      <c r="AC333" s="10">
        <v>3.7802479999999998</v>
      </c>
      <c r="AD333" s="10">
        <v>3.7411341999999999</v>
      </c>
      <c r="AE333" s="10">
        <v>3.7049994000000002</v>
      </c>
      <c r="AF333" s="10">
        <v>3.6713835000000001</v>
      </c>
      <c r="AG333" s="10">
        <v>3.6398259999999998</v>
      </c>
      <c r="AH333" s="10">
        <v>3.6099206000000001</v>
      </c>
      <c r="AI333" s="10">
        <v>3.5814989000000002</v>
      </c>
      <c r="AJ333" s="10">
        <v>3.5544582</v>
      </c>
      <c r="AK333" s="10">
        <v>3.5286957000000001</v>
      </c>
      <c r="AL333" s="10">
        <v>3.5041088999999999</v>
      </c>
      <c r="AM333" s="10">
        <v>3.4805950000000001</v>
      </c>
      <c r="AN333" s="10">
        <v>3.4580511999999999</v>
      </c>
      <c r="AO333" s="10">
        <v>3.436375</v>
      </c>
      <c r="AP333" s="10">
        <v>3.4154635</v>
      </c>
      <c r="AQ333" s="10">
        <v>3.3952141</v>
      </c>
      <c r="AR333" s="10">
        <v>3.3755240999999998</v>
      </c>
      <c r="AS333" s="10">
        <v>3.3562908</v>
      </c>
      <c r="AT333" s="10">
        <v>3.3374221999999998</v>
      </c>
      <c r="AU333" s="10">
        <v>3.3188971999999999</v>
      </c>
      <c r="AV333" s="10">
        <v>3.3007236999999998</v>
      </c>
      <c r="AW333" s="10">
        <v>3.2829093</v>
      </c>
      <c r="AX333" s="10">
        <v>3.2654619</v>
      </c>
      <c r="AY333" s="10">
        <v>3.2483892000000001</v>
      </c>
      <c r="AZ333" s="10">
        <v>3.2316989999999999</v>
      </c>
      <c r="BA333" s="10">
        <v>3.2153991999999998</v>
      </c>
      <c r="BB333" s="10">
        <v>3.1994973999999998</v>
      </c>
      <c r="BC333" s="10">
        <v>3.1840014000000001</v>
      </c>
      <c r="BD333" s="10">
        <v>3.1689191999999999</v>
      </c>
      <c r="BE333" s="10">
        <v>3.1542583</v>
      </c>
      <c r="BF333" s="10">
        <v>3.1400263000000002</v>
      </c>
      <c r="BG333" s="10">
        <v>3.1262283000000002</v>
      </c>
      <c r="BH333" s="10">
        <v>3.1128688000000002</v>
      </c>
      <c r="BI333" s="10">
        <v>3.0999523</v>
      </c>
      <c r="BJ333" s="10">
        <v>3.0874831999999999</v>
      </c>
      <c r="BK333" s="10">
        <v>3.0754660999999999</v>
      </c>
      <c r="BL333" s="10">
        <v>3.0639053999999999</v>
      </c>
      <c r="BM333" s="10">
        <v>3.0528056000000001</v>
      </c>
      <c r="BN333" s="10">
        <v>3.0421711999999999</v>
      </c>
      <c r="BO333" s="10">
        <v>3.0320065999999999</v>
      </c>
      <c r="BP333" s="10">
        <v>3.0223163</v>
      </c>
      <c r="BQ333" s="10">
        <v>3.0131049000000001</v>
      </c>
      <c r="BR333" s="10">
        <v>2.9678531000000001</v>
      </c>
      <c r="BS333" s="10">
        <v>2.9391957999999998</v>
      </c>
      <c r="BU333" s="7">
        <v>3.39</v>
      </c>
      <c r="BV333" s="7">
        <v>3.43</v>
      </c>
      <c r="BW333" s="9">
        <v>79.2286</v>
      </c>
    </row>
    <row r="334" spans="1:75" x14ac:dyDescent="0.25">
      <c r="A334" s="6">
        <f t="shared" ref="A334:A397" si="35">+A329+7</f>
        <v>45020</v>
      </c>
      <c r="B334" s="13">
        <f t="shared" si="30"/>
        <v>4</v>
      </c>
      <c r="C334" s="13">
        <f t="shared" si="31"/>
        <v>2023</v>
      </c>
      <c r="D334">
        <f t="shared" si="32"/>
        <v>202304</v>
      </c>
      <c r="E334">
        <f t="shared" si="33"/>
        <v>2</v>
      </c>
      <c r="F334">
        <f t="shared" si="34"/>
        <v>202302</v>
      </c>
      <c r="G334" t="s">
        <v>521</v>
      </c>
      <c r="H334" s="9">
        <v>4.25</v>
      </c>
      <c r="I334" s="9">
        <v>4.1767000000000003</v>
      </c>
      <c r="J334" s="10">
        <v>4.1681299000000003</v>
      </c>
      <c r="K334" s="10">
        <v>4.3520789000000004</v>
      </c>
      <c r="L334" s="10">
        <v>4.4633187999999997</v>
      </c>
      <c r="M334" s="10">
        <v>4.5186140999999997</v>
      </c>
      <c r="N334" s="10">
        <v>4.5341060000000004</v>
      </c>
      <c r="O334" s="10">
        <v>4.5193042999999999</v>
      </c>
      <c r="P334" s="10">
        <v>4.4805790999999999</v>
      </c>
      <c r="Q334" s="10">
        <v>4.4247075999999996</v>
      </c>
      <c r="R334" s="10">
        <v>4.3577066000000002</v>
      </c>
      <c r="S334" s="10">
        <v>4.2846460000000004</v>
      </c>
      <c r="T334" s="10">
        <v>4.2094076999999999</v>
      </c>
      <c r="U334" s="10">
        <v>4.1347871999999999</v>
      </c>
      <c r="V334" s="10">
        <v>4.0632662000000002</v>
      </c>
      <c r="W334" s="10">
        <v>3.9956269999999998</v>
      </c>
      <c r="X334" s="10">
        <v>3.9321541999999998</v>
      </c>
      <c r="Y334" s="10">
        <v>3.8731323999999998</v>
      </c>
      <c r="Z334" s="10">
        <v>3.8188461</v>
      </c>
      <c r="AA334" s="10">
        <v>3.7695799999999999</v>
      </c>
      <c r="AB334" s="10">
        <v>3.7254908000000002</v>
      </c>
      <c r="AC334" s="10">
        <v>3.6861421000000001</v>
      </c>
      <c r="AD334" s="10">
        <v>3.6509252999999999</v>
      </c>
      <c r="AE334" s="10">
        <v>3.6192321999999999</v>
      </c>
      <c r="AF334" s="10">
        <v>3.5904544</v>
      </c>
      <c r="AG334" s="10">
        <v>3.5639834000000001</v>
      </c>
      <c r="AH334" s="10">
        <v>3.5392826999999998</v>
      </c>
      <c r="AI334" s="10">
        <v>3.5161324</v>
      </c>
      <c r="AJ334" s="10">
        <v>3.4944001</v>
      </c>
      <c r="AK334" s="10">
        <v>3.4739534000000001</v>
      </c>
      <c r="AL334" s="10">
        <v>3.4546597999999999</v>
      </c>
      <c r="AM334" s="10">
        <v>3.4363869</v>
      </c>
      <c r="AN334" s="10">
        <v>3.4190022999999998</v>
      </c>
      <c r="AO334" s="10">
        <v>3.4023734999999999</v>
      </c>
      <c r="AP334" s="10">
        <v>3.3863682000000002</v>
      </c>
      <c r="AQ334" s="10">
        <v>3.3708537999999999</v>
      </c>
      <c r="AR334" s="10">
        <v>3.3556981000000001</v>
      </c>
      <c r="AS334" s="10">
        <v>3.3407684</v>
      </c>
      <c r="AT334" s="10">
        <v>3.3259489000000002</v>
      </c>
      <c r="AU334" s="10">
        <v>3.3112205000000001</v>
      </c>
      <c r="AV334" s="10">
        <v>3.2966004999999998</v>
      </c>
      <c r="AW334" s="10">
        <v>3.2821058999999999</v>
      </c>
      <c r="AX334" s="10">
        <v>3.2677539000000002</v>
      </c>
      <c r="AY334" s="10">
        <v>3.2535615999999998</v>
      </c>
      <c r="AZ334" s="10">
        <v>3.2395461000000001</v>
      </c>
      <c r="BA334" s="10">
        <v>3.2257246999999998</v>
      </c>
      <c r="BB334" s="10">
        <v>3.2121143000000001</v>
      </c>
      <c r="BC334" s="10">
        <v>3.1987321999999998</v>
      </c>
      <c r="BD334" s="10">
        <v>3.1855954999999998</v>
      </c>
      <c r="BE334" s="10">
        <v>3.1727213000000001</v>
      </c>
      <c r="BF334" s="10">
        <v>3.160126</v>
      </c>
      <c r="BG334" s="10">
        <v>3.1478221999999998</v>
      </c>
      <c r="BH334" s="10">
        <v>3.1358215999999999</v>
      </c>
      <c r="BI334" s="10">
        <v>3.1241357000000001</v>
      </c>
      <c r="BJ334" s="10">
        <v>3.1127760000000002</v>
      </c>
      <c r="BK334" s="10">
        <v>3.1017541</v>
      </c>
      <c r="BL334" s="10">
        <v>3.0910815</v>
      </c>
      <c r="BM334" s="10">
        <v>3.0807698000000001</v>
      </c>
      <c r="BN334" s="10">
        <v>3.0708305999999999</v>
      </c>
      <c r="BO334" s="10">
        <v>3.0612754</v>
      </c>
      <c r="BP334" s="10">
        <v>3.0521156999999999</v>
      </c>
      <c r="BQ334" s="10">
        <v>3.0433631999999999</v>
      </c>
      <c r="BR334" s="10">
        <v>2.9996556000000001</v>
      </c>
      <c r="BS334" s="10">
        <v>2.9711321000000002</v>
      </c>
      <c r="BU334" s="7">
        <v>3.34</v>
      </c>
      <c r="BV334" s="7">
        <v>3.42</v>
      </c>
      <c r="BW334" s="9">
        <v>79.673199999999994</v>
      </c>
    </row>
    <row r="335" spans="1:75" x14ac:dyDescent="0.25">
      <c r="A335" s="6">
        <f t="shared" si="35"/>
        <v>45021</v>
      </c>
      <c r="B335" s="13">
        <f t="shared" si="30"/>
        <v>4</v>
      </c>
      <c r="C335" s="13">
        <f t="shared" si="31"/>
        <v>2023</v>
      </c>
      <c r="D335">
        <f t="shared" si="32"/>
        <v>202304</v>
      </c>
      <c r="E335">
        <f t="shared" si="33"/>
        <v>2</v>
      </c>
      <c r="F335">
        <f t="shared" si="34"/>
        <v>202302</v>
      </c>
      <c r="G335" t="s">
        <v>522</v>
      </c>
      <c r="H335" s="9">
        <v>4.25</v>
      </c>
      <c r="I335" s="9">
        <v>4.1768999999999998</v>
      </c>
      <c r="J335" s="10">
        <v>4.2225140000000003</v>
      </c>
      <c r="K335" s="10">
        <v>4.3540035000000001</v>
      </c>
      <c r="L335" s="10">
        <v>4.4498382999999997</v>
      </c>
      <c r="M335" s="10">
        <v>4.5089259999999998</v>
      </c>
      <c r="N335" s="10">
        <v>4.5321065000000003</v>
      </c>
      <c r="O335" s="10">
        <v>4.5234420999999996</v>
      </c>
      <c r="P335" s="10">
        <v>4.4878415</v>
      </c>
      <c r="Q335" s="10">
        <v>4.4323842999999998</v>
      </c>
      <c r="R335" s="10">
        <v>4.3638117000000003</v>
      </c>
      <c r="S335" s="10">
        <v>4.2879395000000002</v>
      </c>
      <c r="T335" s="10">
        <v>4.2091734000000001</v>
      </c>
      <c r="U335" s="10">
        <v>4.1306269999999996</v>
      </c>
      <c r="V335" s="10">
        <v>4.0551450999999998</v>
      </c>
      <c r="W335" s="10">
        <v>3.9835869000000002</v>
      </c>
      <c r="X335" s="10">
        <v>3.9162243000000001</v>
      </c>
      <c r="Y335" s="10">
        <v>3.8533297000000002</v>
      </c>
      <c r="Z335" s="10">
        <v>3.7951749000000001</v>
      </c>
      <c r="AA335" s="10">
        <v>3.7420320999999999</v>
      </c>
      <c r="AB335" s="10">
        <v>3.6940876999999999</v>
      </c>
      <c r="AC335" s="10">
        <v>3.6510419999999999</v>
      </c>
      <c r="AD335" s="10">
        <v>3.6124244999999999</v>
      </c>
      <c r="AE335" s="10">
        <v>3.5777644999999998</v>
      </c>
      <c r="AF335" s="10">
        <v>3.5465912999999998</v>
      </c>
      <c r="AG335" s="10">
        <v>3.5184342000000002</v>
      </c>
      <c r="AH335" s="10">
        <v>3.492855</v>
      </c>
      <c r="AI335" s="10">
        <v>3.4695890999999999</v>
      </c>
      <c r="AJ335" s="10">
        <v>3.4484308000000001</v>
      </c>
      <c r="AK335" s="10">
        <v>3.4291741</v>
      </c>
      <c r="AL335" s="10">
        <v>3.4116130999999998</v>
      </c>
      <c r="AM335" s="10">
        <v>3.3955418000000002</v>
      </c>
      <c r="AN335" s="10">
        <v>3.3807543</v>
      </c>
      <c r="AO335" s="10">
        <v>3.3670447999999999</v>
      </c>
      <c r="AP335" s="10">
        <v>3.3542073000000001</v>
      </c>
      <c r="AQ335" s="10">
        <v>3.3420358999999999</v>
      </c>
      <c r="AR335" s="10">
        <v>3.3303246</v>
      </c>
      <c r="AS335" s="10">
        <v>3.3188675999999999</v>
      </c>
      <c r="AT335" s="10">
        <v>3.3074840000000001</v>
      </c>
      <c r="AU335" s="10">
        <v>3.2961273000000002</v>
      </c>
      <c r="AV335" s="10">
        <v>3.2847963</v>
      </c>
      <c r="AW335" s="10">
        <v>3.2734896999999998</v>
      </c>
      <c r="AX335" s="10">
        <v>3.2622064000000002</v>
      </c>
      <c r="AY335" s="10">
        <v>3.2509451</v>
      </c>
      <c r="AZ335" s="10">
        <v>3.2397046</v>
      </c>
      <c r="BA335" s="10">
        <v>3.2284836000000001</v>
      </c>
      <c r="BB335" s="10">
        <v>3.2172809999999998</v>
      </c>
      <c r="BC335" s="10">
        <v>3.2060954000000002</v>
      </c>
      <c r="BD335" s="10">
        <v>3.1949257000000002</v>
      </c>
      <c r="BE335" s="10">
        <v>3.1837705999999999</v>
      </c>
      <c r="BF335" s="10">
        <v>3.1726331999999999</v>
      </c>
      <c r="BG335" s="10">
        <v>3.1615354</v>
      </c>
      <c r="BH335" s="10">
        <v>3.1505041</v>
      </c>
      <c r="BI335" s="10">
        <v>3.1395666000000002</v>
      </c>
      <c r="BJ335" s="10">
        <v>3.1287498</v>
      </c>
      <c r="BK335" s="10">
        <v>3.1180808999999998</v>
      </c>
      <c r="BL335" s="10">
        <v>3.1075868</v>
      </c>
      <c r="BM335" s="10">
        <v>3.0972947999999998</v>
      </c>
      <c r="BN335" s="10">
        <v>3.0872316999999998</v>
      </c>
      <c r="BO335" s="10">
        <v>3.0774249</v>
      </c>
      <c r="BP335" s="10">
        <v>3.0679012000000001</v>
      </c>
      <c r="BQ335" s="10">
        <v>3.0586878</v>
      </c>
      <c r="BR335" s="10">
        <v>3.0107591</v>
      </c>
      <c r="BS335" s="10">
        <v>2.9766507999999998</v>
      </c>
      <c r="BU335" s="7">
        <v>3.32</v>
      </c>
      <c r="BV335" s="7">
        <v>3.42</v>
      </c>
      <c r="BW335" s="9">
        <v>79.462199999999996</v>
      </c>
    </row>
    <row r="336" spans="1:75" x14ac:dyDescent="0.25">
      <c r="A336" s="6">
        <f t="shared" si="35"/>
        <v>45022</v>
      </c>
      <c r="B336" s="13">
        <f t="shared" si="30"/>
        <v>4</v>
      </c>
      <c r="C336" s="13">
        <f t="shared" si="31"/>
        <v>2023</v>
      </c>
      <c r="D336">
        <f t="shared" si="32"/>
        <v>202304</v>
      </c>
      <c r="E336">
        <f t="shared" si="33"/>
        <v>2</v>
      </c>
      <c r="F336">
        <f t="shared" si="34"/>
        <v>202302</v>
      </c>
      <c r="G336" t="s">
        <v>523</v>
      </c>
      <c r="H336" s="9">
        <v>4.25</v>
      </c>
      <c r="I336" s="9">
        <v>4.1769999999999996</v>
      </c>
      <c r="J336" s="10">
        <v>4.2233289999999997</v>
      </c>
      <c r="K336" s="10">
        <v>4.3642428000000004</v>
      </c>
      <c r="L336" s="10">
        <v>4.4643734000000004</v>
      </c>
      <c r="M336" s="10">
        <v>4.5261456000000004</v>
      </c>
      <c r="N336" s="10">
        <v>4.5529520000000003</v>
      </c>
      <c r="O336" s="10">
        <v>4.5490630999999997</v>
      </c>
      <c r="P336" s="10">
        <v>4.5181901</v>
      </c>
      <c r="Q336" s="10">
        <v>4.4659525000000002</v>
      </c>
      <c r="R336" s="10">
        <v>4.3986612000000003</v>
      </c>
      <c r="S336" s="10">
        <v>4.3218952000000002</v>
      </c>
      <c r="T336" s="10">
        <v>4.2405872000000002</v>
      </c>
      <c r="U336" s="10">
        <v>4.1583189999999997</v>
      </c>
      <c r="V336" s="10">
        <v>4.0782246000000004</v>
      </c>
      <c r="W336" s="10">
        <v>4.0015954000000002</v>
      </c>
      <c r="X336" s="10">
        <v>3.9290772</v>
      </c>
      <c r="Y336" s="10">
        <v>3.8613152999999998</v>
      </c>
      <c r="Z336" s="10">
        <v>3.7989552</v>
      </c>
      <c r="AA336" s="10">
        <v>3.742642</v>
      </c>
      <c r="AB336" s="10">
        <v>3.6928467</v>
      </c>
      <c r="AC336" s="10">
        <v>3.6491468</v>
      </c>
      <c r="AD336" s="10">
        <v>3.6108343000000001</v>
      </c>
      <c r="AE336" s="10">
        <v>3.5772008999999998</v>
      </c>
      <c r="AF336" s="10">
        <v>3.5475387</v>
      </c>
      <c r="AG336" s="10">
        <v>3.5211394999999999</v>
      </c>
      <c r="AH336" s="10">
        <v>3.4973600999999999</v>
      </c>
      <c r="AI336" s="10">
        <v>3.4758741</v>
      </c>
      <c r="AJ336" s="10">
        <v>3.4564515</v>
      </c>
      <c r="AK336" s="10">
        <v>3.4388621000000001</v>
      </c>
      <c r="AL336" s="10">
        <v>3.422876</v>
      </c>
      <c r="AM336" s="10">
        <v>3.4082631000000001</v>
      </c>
      <c r="AN336" s="10">
        <v>3.3947932999999999</v>
      </c>
      <c r="AO336" s="10">
        <v>3.3822366000000001</v>
      </c>
      <c r="AP336" s="10">
        <v>3.3703628999999999</v>
      </c>
      <c r="AQ336" s="10">
        <v>3.3589422</v>
      </c>
      <c r="AR336" s="10">
        <v>3.3477443999999998</v>
      </c>
      <c r="AS336" s="10">
        <v>3.3365395000000002</v>
      </c>
      <c r="AT336" s="10">
        <v>3.3251319000000001</v>
      </c>
      <c r="AU336" s="10">
        <v>3.3134944000000002</v>
      </c>
      <c r="AV336" s="10">
        <v>3.3016508999999998</v>
      </c>
      <c r="AW336" s="10">
        <v>3.2896252000000001</v>
      </c>
      <c r="AX336" s="10">
        <v>3.2774413999999998</v>
      </c>
      <c r="AY336" s="10">
        <v>3.2651232000000001</v>
      </c>
      <c r="AZ336" s="10">
        <v>3.2526947000000002</v>
      </c>
      <c r="BA336" s="10">
        <v>3.2401797999999999</v>
      </c>
      <c r="BB336" s="10">
        <v>3.2276023</v>
      </c>
      <c r="BC336" s="10">
        <v>3.2149863000000001</v>
      </c>
      <c r="BD336" s="10">
        <v>3.2023556000000002</v>
      </c>
      <c r="BE336" s="10">
        <v>3.1897340999999999</v>
      </c>
      <c r="BF336" s="10">
        <v>3.1771465000000001</v>
      </c>
      <c r="BG336" s="10">
        <v>3.1646207999999998</v>
      </c>
      <c r="BH336" s="10">
        <v>3.1521857999999998</v>
      </c>
      <c r="BI336" s="10">
        <v>3.1398704999999998</v>
      </c>
      <c r="BJ336" s="10">
        <v>3.1277037000000001</v>
      </c>
      <c r="BK336" s="10">
        <v>3.1157142000000002</v>
      </c>
      <c r="BL336" s="10">
        <v>3.1039311000000001</v>
      </c>
      <c r="BM336" s="10">
        <v>3.0923829999999999</v>
      </c>
      <c r="BN336" s="10">
        <v>3.081099</v>
      </c>
      <c r="BO336" s="10">
        <v>3.0701079</v>
      </c>
      <c r="BP336" s="10">
        <v>3.0594385000000002</v>
      </c>
      <c r="BQ336" s="10">
        <v>3.0491198000000002</v>
      </c>
      <c r="BR336" s="10">
        <v>2.9954472000000001</v>
      </c>
      <c r="BS336" s="10">
        <v>2.9571299999999998</v>
      </c>
      <c r="BU336" s="7">
        <v>3.33</v>
      </c>
      <c r="BV336" s="7">
        <v>3.41</v>
      </c>
      <c r="BW336" s="9">
        <v>79.346000000000004</v>
      </c>
    </row>
    <row r="337" spans="1:75" x14ac:dyDescent="0.25">
      <c r="A337" s="6">
        <f t="shared" si="35"/>
        <v>45023</v>
      </c>
      <c r="B337" s="13">
        <f t="shared" si="30"/>
        <v>4</v>
      </c>
      <c r="C337" s="13">
        <f t="shared" si="31"/>
        <v>2023</v>
      </c>
      <c r="D337">
        <f t="shared" si="32"/>
        <v>202304</v>
      </c>
      <c r="E337">
        <f t="shared" si="33"/>
        <v>2</v>
      </c>
      <c r="F337">
        <f t="shared" si="34"/>
        <v>202302</v>
      </c>
      <c r="G337" t="s">
        <v>524</v>
      </c>
      <c r="H337" s="9">
        <v>4.25</v>
      </c>
      <c r="I337" s="9" t="e">
        <v>#N/A</v>
      </c>
      <c r="J337" s="10" t="e">
        <v>#N/A</v>
      </c>
      <c r="K337" s="10" t="e">
        <v>#N/A</v>
      </c>
      <c r="L337" s="10" t="e">
        <v>#N/A</v>
      </c>
      <c r="M337" s="10" t="e">
        <v>#N/A</v>
      </c>
      <c r="N337" s="10" t="e">
        <v>#N/A</v>
      </c>
      <c r="O337" s="10" t="e">
        <v>#N/A</v>
      </c>
      <c r="P337" s="10" t="e">
        <v>#N/A</v>
      </c>
      <c r="Q337" s="10" t="e">
        <v>#N/A</v>
      </c>
      <c r="R337" s="10" t="e">
        <v>#N/A</v>
      </c>
      <c r="S337" s="10" t="e">
        <v>#N/A</v>
      </c>
      <c r="T337" s="10" t="e">
        <v>#N/A</v>
      </c>
      <c r="U337" s="10" t="e">
        <v>#N/A</v>
      </c>
      <c r="V337" s="10" t="e">
        <v>#N/A</v>
      </c>
      <c r="W337" s="10" t="e">
        <v>#N/A</v>
      </c>
      <c r="X337" s="10" t="e">
        <v>#N/A</v>
      </c>
      <c r="Y337" s="10" t="e">
        <v>#N/A</v>
      </c>
      <c r="Z337" s="10" t="e">
        <v>#N/A</v>
      </c>
      <c r="AA337" s="10" t="e">
        <v>#N/A</v>
      </c>
      <c r="AB337" s="10" t="e">
        <v>#N/A</v>
      </c>
      <c r="AC337" s="10" t="e">
        <v>#N/A</v>
      </c>
      <c r="AD337" s="10" t="e">
        <v>#N/A</v>
      </c>
      <c r="AE337" s="10" t="e">
        <v>#N/A</v>
      </c>
      <c r="AF337" s="10" t="e">
        <v>#N/A</v>
      </c>
      <c r="AG337" s="10" t="e">
        <v>#N/A</v>
      </c>
      <c r="AH337" s="10" t="e">
        <v>#N/A</v>
      </c>
      <c r="AI337" s="10" t="e">
        <v>#N/A</v>
      </c>
      <c r="AJ337" s="10" t="e">
        <v>#N/A</v>
      </c>
      <c r="AK337" s="10" t="e">
        <v>#N/A</v>
      </c>
      <c r="AL337" s="10" t="e">
        <v>#N/A</v>
      </c>
      <c r="AM337" s="10" t="e">
        <v>#N/A</v>
      </c>
      <c r="AN337" s="10" t="e">
        <v>#N/A</v>
      </c>
      <c r="AO337" s="10" t="e">
        <v>#N/A</v>
      </c>
      <c r="AP337" s="10" t="e">
        <v>#N/A</v>
      </c>
      <c r="AQ337" s="10" t="e">
        <v>#N/A</v>
      </c>
      <c r="AR337" s="10" t="e">
        <v>#N/A</v>
      </c>
      <c r="AS337" s="10" t="e">
        <v>#N/A</v>
      </c>
      <c r="AT337" s="10" t="e">
        <v>#N/A</v>
      </c>
      <c r="AU337" s="10" t="e">
        <v>#N/A</v>
      </c>
      <c r="AV337" s="10" t="e">
        <v>#N/A</v>
      </c>
      <c r="AW337" s="10" t="e">
        <v>#N/A</v>
      </c>
      <c r="AX337" s="10" t="e">
        <v>#N/A</v>
      </c>
      <c r="AY337" s="10" t="e">
        <v>#N/A</v>
      </c>
      <c r="AZ337" s="10" t="e">
        <v>#N/A</v>
      </c>
      <c r="BA337" s="10" t="e">
        <v>#N/A</v>
      </c>
      <c r="BB337" s="10" t="e">
        <v>#N/A</v>
      </c>
      <c r="BC337" s="10" t="e">
        <v>#N/A</v>
      </c>
      <c r="BD337" s="10" t="e">
        <v>#N/A</v>
      </c>
      <c r="BE337" s="10" t="e">
        <v>#N/A</v>
      </c>
      <c r="BF337" s="10" t="e">
        <v>#N/A</v>
      </c>
      <c r="BG337" s="10" t="e">
        <v>#N/A</v>
      </c>
      <c r="BH337" s="10" t="e">
        <v>#N/A</v>
      </c>
      <c r="BI337" s="10" t="e">
        <v>#N/A</v>
      </c>
      <c r="BJ337" s="10" t="e">
        <v>#N/A</v>
      </c>
      <c r="BK337" s="10" t="e">
        <v>#N/A</v>
      </c>
      <c r="BL337" s="10" t="e">
        <v>#N/A</v>
      </c>
      <c r="BM337" s="10" t="e">
        <v>#N/A</v>
      </c>
      <c r="BN337" s="10" t="e">
        <v>#N/A</v>
      </c>
      <c r="BO337" s="10" t="e">
        <v>#N/A</v>
      </c>
      <c r="BP337" s="10" t="e">
        <v>#N/A</v>
      </c>
      <c r="BQ337" s="10" t="e">
        <v>#N/A</v>
      </c>
      <c r="BR337" s="10" t="e">
        <v>#N/A</v>
      </c>
      <c r="BS337" s="10" t="e">
        <v>#N/A</v>
      </c>
      <c r="BU337" s="7" t="e">
        <v>#N/A</v>
      </c>
      <c r="BV337" s="7" t="e">
        <v>#N/A</v>
      </c>
      <c r="BW337" s="9" t="e">
        <v>#N/A</v>
      </c>
    </row>
    <row r="338" spans="1:75" x14ac:dyDescent="0.25">
      <c r="A338" s="6">
        <f t="shared" si="35"/>
        <v>45026</v>
      </c>
      <c r="B338" s="13">
        <f t="shared" si="30"/>
        <v>4</v>
      </c>
      <c r="C338" s="13">
        <f t="shared" si="31"/>
        <v>2023</v>
      </c>
      <c r="D338">
        <f t="shared" si="32"/>
        <v>202304</v>
      </c>
      <c r="E338">
        <f t="shared" si="33"/>
        <v>2</v>
      </c>
      <c r="F338">
        <f t="shared" si="34"/>
        <v>202302</v>
      </c>
      <c r="G338" t="s">
        <v>525</v>
      </c>
      <c r="H338" s="9">
        <v>4.25</v>
      </c>
      <c r="I338" s="9" t="e">
        <v>#N/A</v>
      </c>
      <c r="J338" s="10" t="e">
        <v>#N/A</v>
      </c>
      <c r="K338" s="10" t="e">
        <v>#N/A</v>
      </c>
      <c r="L338" s="10" t="e">
        <v>#N/A</v>
      </c>
      <c r="M338" s="10" t="e">
        <v>#N/A</v>
      </c>
      <c r="N338" s="10" t="e">
        <v>#N/A</v>
      </c>
      <c r="O338" s="10" t="e">
        <v>#N/A</v>
      </c>
      <c r="P338" s="10" t="e">
        <v>#N/A</v>
      </c>
      <c r="Q338" s="10" t="e">
        <v>#N/A</v>
      </c>
      <c r="R338" s="10" t="e">
        <v>#N/A</v>
      </c>
      <c r="S338" s="10" t="e">
        <v>#N/A</v>
      </c>
      <c r="T338" s="10" t="e">
        <v>#N/A</v>
      </c>
      <c r="U338" s="10" t="e">
        <v>#N/A</v>
      </c>
      <c r="V338" s="10" t="e">
        <v>#N/A</v>
      </c>
      <c r="W338" s="10" t="e">
        <v>#N/A</v>
      </c>
      <c r="X338" s="10" t="e">
        <v>#N/A</v>
      </c>
      <c r="Y338" s="10" t="e">
        <v>#N/A</v>
      </c>
      <c r="Z338" s="10" t="e">
        <v>#N/A</v>
      </c>
      <c r="AA338" s="10" t="e">
        <v>#N/A</v>
      </c>
      <c r="AB338" s="10" t="e">
        <v>#N/A</v>
      </c>
      <c r="AC338" s="10" t="e">
        <v>#N/A</v>
      </c>
      <c r="AD338" s="10" t="e">
        <v>#N/A</v>
      </c>
      <c r="AE338" s="10" t="e">
        <v>#N/A</v>
      </c>
      <c r="AF338" s="10" t="e">
        <v>#N/A</v>
      </c>
      <c r="AG338" s="10" t="e">
        <v>#N/A</v>
      </c>
      <c r="AH338" s="10" t="e">
        <v>#N/A</v>
      </c>
      <c r="AI338" s="10" t="e">
        <v>#N/A</v>
      </c>
      <c r="AJ338" s="10" t="e">
        <v>#N/A</v>
      </c>
      <c r="AK338" s="10" t="e">
        <v>#N/A</v>
      </c>
      <c r="AL338" s="10" t="e">
        <v>#N/A</v>
      </c>
      <c r="AM338" s="10" t="e">
        <v>#N/A</v>
      </c>
      <c r="AN338" s="10" t="e">
        <v>#N/A</v>
      </c>
      <c r="AO338" s="10" t="e">
        <v>#N/A</v>
      </c>
      <c r="AP338" s="10" t="e">
        <v>#N/A</v>
      </c>
      <c r="AQ338" s="10" t="e">
        <v>#N/A</v>
      </c>
      <c r="AR338" s="10" t="e">
        <v>#N/A</v>
      </c>
      <c r="AS338" s="10" t="e">
        <v>#N/A</v>
      </c>
      <c r="AT338" s="10" t="e">
        <v>#N/A</v>
      </c>
      <c r="AU338" s="10" t="e">
        <v>#N/A</v>
      </c>
      <c r="AV338" s="10" t="e">
        <v>#N/A</v>
      </c>
      <c r="AW338" s="10" t="e">
        <v>#N/A</v>
      </c>
      <c r="AX338" s="10" t="e">
        <v>#N/A</v>
      </c>
      <c r="AY338" s="10" t="e">
        <v>#N/A</v>
      </c>
      <c r="AZ338" s="10" t="e">
        <v>#N/A</v>
      </c>
      <c r="BA338" s="10" t="e">
        <v>#N/A</v>
      </c>
      <c r="BB338" s="10" t="e">
        <v>#N/A</v>
      </c>
      <c r="BC338" s="10" t="e">
        <v>#N/A</v>
      </c>
      <c r="BD338" s="10" t="e">
        <v>#N/A</v>
      </c>
      <c r="BE338" s="10" t="e">
        <v>#N/A</v>
      </c>
      <c r="BF338" s="10" t="e">
        <v>#N/A</v>
      </c>
      <c r="BG338" s="10" t="e">
        <v>#N/A</v>
      </c>
      <c r="BH338" s="10" t="e">
        <v>#N/A</v>
      </c>
      <c r="BI338" s="10" t="e">
        <v>#N/A</v>
      </c>
      <c r="BJ338" s="10" t="e">
        <v>#N/A</v>
      </c>
      <c r="BK338" s="10" t="e">
        <v>#N/A</v>
      </c>
      <c r="BL338" s="10" t="e">
        <v>#N/A</v>
      </c>
      <c r="BM338" s="10" t="e">
        <v>#N/A</v>
      </c>
      <c r="BN338" s="10" t="e">
        <v>#N/A</v>
      </c>
      <c r="BO338" s="10" t="e">
        <v>#N/A</v>
      </c>
      <c r="BP338" s="10" t="e">
        <v>#N/A</v>
      </c>
      <c r="BQ338" s="10" t="e">
        <v>#N/A</v>
      </c>
      <c r="BR338" s="10" t="e">
        <v>#N/A</v>
      </c>
      <c r="BS338" s="10" t="e">
        <v>#N/A</v>
      </c>
      <c r="BU338" s="7">
        <v>3.36</v>
      </c>
      <c r="BV338" s="7" t="e">
        <v>#N/A</v>
      </c>
      <c r="BW338" s="9" t="e">
        <v>#N/A</v>
      </c>
    </row>
    <row r="339" spans="1:75" x14ac:dyDescent="0.25">
      <c r="A339" s="6">
        <f t="shared" si="35"/>
        <v>45027</v>
      </c>
      <c r="B339" s="13">
        <f t="shared" si="30"/>
        <v>4</v>
      </c>
      <c r="C339" s="13">
        <f t="shared" si="31"/>
        <v>2023</v>
      </c>
      <c r="D339">
        <f t="shared" si="32"/>
        <v>202304</v>
      </c>
      <c r="E339">
        <f t="shared" si="33"/>
        <v>2</v>
      </c>
      <c r="F339">
        <f t="shared" si="34"/>
        <v>202302</v>
      </c>
      <c r="G339" t="s">
        <v>526</v>
      </c>
      <c r="H339" s="9">
        <v>4.25</v>
      </c>
      <c r="I339" s="9">
        <v>4.1767000000000003</v>
      </c>
      <c r="J339" s="10">
        <v>4.2495855000000002</v>
      </c>
      <c r="K339" s="10">
        <v>4.4107466999999998</v>
      </c>
      <c r="L339" s="10">
        <v>4.5226942000000001</v>
      </c>
      <c r="M339" s="10">
        <v>4.5928931999999998</v>
      </c>
      <c r="N339" s="10">
        <v>4.6297677999999998</v>
      </c>
      <c r="O339" s="10">
        <v>4.6376350999999998</v>
      </c>
      <c r="P339" s="10">
        <v>4.6190762999999997</v>
      </c>
      <c r="Q339" s="10">
        <v>4.5788051000000003</v>
      </c>
      <c r="R339" s="10">
        <v>4.5222737000000004</v>
      </c>
      <c r="S339" s="10">
        <v>4.4551065000000003</v>
      </c>
      <c r="T339" s="10">
        <v>4.3820372000000001</v>
      </c>
      <c r="U339" s="10">
        <v>4.3065134</v>
      </c>
      <c r="V339" s="10">
        <v>4.2318094999999998</v>
      </c>
      <c r="W339" s="10">
        <v>4.1592513000000002</v>
      </c>
      <c r="X339" s="10">
        <v>4.0895754999999996</v>
      </c>
      <c r="Y339" s="10">
        <v>4.0235186000000001</v>
      </c>
      <c r="Z339" s="10">
        <v>3.9618172</v>
      </c>
      <c r="AA339" s="10">
        <v>3.9052077999999999</v>
      </c>
      <c r="AB339" s="10">
        <v>3.8542382000000002</v>
      </c>
      <c r="AC339" s="10">
        <v>3.8085792999999999</v>
      </c>
      <c r="AD339" s="10">
        <v>3.7676481000000002</v>
      </c>
      <c r="AE339" s="10">
        <v>3.7308617000000002</v>
      </c>
      <c r="AF339" s="10">
        <v>3.6976369999999998</v>
      </c>
      <c r="AG339" s="10">
        <v>3.6673912</v>
      </c>
      <c r="AH339" s="10">
        <v>3.6396012</v>
      </c>
      <c r="AI339" s="10">
        <v>3.6140097999999998</v>
      </c>
      <c r="AJ339" s="10">
        <v>3.5904327</v>
      </c>
      <c r="AK339" s="10">
        <v>3.5686857000000001</v>
      </c>
      <c r="AL339" s="10">
        <v>3.5485847000000001</v>
      </c>
      <c r="AM339" s="10">
        <v>3.5299455000000002</v>
      </c>
      <c r="AN339" s="10">
        <v>3.5125837999999998</v>
      </c>
      <c r="AO339" s="10">
        <v>3.4963156</v>
      </c>
      <c r="AP339" s="10">
        <v>3.4809567000000001</v>
      </c>
      <c r="AQ339" s="10">
        <v>3.4663227999999999</v>
      </c>
      <c r="AR339" s="10">
        <v>3.4522297000000002</v>
      </c>
      <c r="AS339" s="10">
        <v>3.4384934</v>
      </c>
      <c r="AT339" s="10">
        <v>3.4249524999999998</v>
      </c>
      <c r="AU339" s="10">
        <v>3.4115695000000001</v>
      </c>
      <c r="AV339" s="10">
        <v>3.3983479999999999</v>
      </c>
      <c r="AW339" s="10">
        <v>3.3852918000000001</v>
      </c>
      <c r="AX339" s="10">
        <v>3.3724048999999998</v>
      </c>
      <c r="AY339" s="10">
        <v>3.3596908999999999</v>
      </c>
      <c r="AZ339" s="10">
        <v>3.3471536</v>
      </c>
      <c r="BA339" s="10">
        <v>3.3347969000000002</v>
      </c>
      <c r="BB339" s="10">
        <v>3.3226244999999999</v>
      </c>
      <c r="BC339" s="10">
        <v>3.3106403000000002</v>
      </c>
      <c r="BD339" s="10">
        <v>3.2988480999999998</v>
      </c>
      <c r="BE339" s="10">
        <v>3.2872515999999998</v>
      </c>
      <c r="BF339" s="10">
        <v>3.2758555999999999</v>
      </c>
      <c r="BG339" s="10">
        <v>3.2646703000000001</v>
      </c>
      <c r="BH339" s="10">
        <v>3.2537072</v>
      </c>
      <c r="BI339" s="10">
        <v>3.2429777999999998</v>
      </c>
      <c r="BJ339" s="10">
        <v>3.2324939000000001</v>
      </c>
      <c r="BK339" s="10">
        <v>3.2222669000000002</v>
      </c>
      <c r="BL339" s="10">
        <v>3.2123084</v>
      </c>
      <c r="BM339" s="10">
        <v>3.2026300999999999</v>
      </c>
      <c r="BN339" s="10">
        <v>3.1932434999999999</v>
      </c>
      <c r="BO339" s="10">
        <v>3.1841602</v>
      </c>
      <c r="BP339" s="10">
        <v>3.1753917</v>
      </c>
      <c r="BQ339" s="10">
        <v>3.1669497999999998</v>
      </c>
      <c r="BR339" s="10">
        <v>3.1235211000000001</v>
      </c>
      <c r="BS339" s="10">
        <v>3.0930363999999999</v>
      </c>
      <c r="BU339" s="7">
        <v>3.48</v>
      </c>
      <c r="BV339" s="7">
        <v>3.54</v>
      </c>
      <c r="BW339" s="9">
        <v>79.4238</v>
      </c>
    </row>
    <row r="340" spans="1:75" x14ac:dyDescent="0.25">
      <c r="A340" s="6">
        <f t="shared" si="35"/>
        <v>45028</v>
      </c>
      <c r="B340" s="13">
        <f t="shared" si="30"/>
        <v>4</v>
      </c>
      <c r="C340" s="13">
        <f t="shared" si="31"/>
        <v>2023</v>
      </c>
      <c r="D340">
        <f t="shared" si="32"/>
        <v>202304</v>
      </c>
      <c r="E340">
        <f t="shared" si="33"/>
        <v>2</v>
      </c>
      <c r="F340">
        <f t="shared" si="34"/>
        <v>202302</v>
      </c>
      <c r="G340" t="s">
        <v>527</v>
      </c>
      <c r="H340" s="9">
        <v>4.25</v>
      </c>
      <c r="I340" s="9">
        <v>4.1767000000000003</v>
      </c>
      <c r="J340" s="10">
        <v>4.2570456999999999</v>
      </c>
      <c r="K340" s="10">
        <v>4.4184023999999997</v>
      </c>
      <c r="L340" s="10">
        <v>4.5318391</v>
      </c>
      <c r="M340" s="10">
        <v>4.6036840999999997</v>
      </c>
      <c r="N340" s="10">
        <v>4.6414062999999999</v>
      </c>
      <c r="O340" s="10">
        <v>4.6505453000000001</v>
      </c>
      <c r="P340" s="10">
        <v>4.6340022000000003</v>
      </c>
      <c r="Q340" s="10">
        <v>4.5961536000000001</v>
      </c>
      <c r="R340" s="10">
        <v>4.5420781999999997</v>
      </c>
      <c r="S340" s="10">
        <v>4.4770295000000004</v>
      </c>
      <c r="T340" s="10">
        <v>4.4056176000000002</v>
      </c>
      <c r="U340" s="10">
        <v>4.3314896000000003</v>
      </c>
      <c r="V340" s="10">
        <v>4.2584831999999997</v>
      </c>
      <c r="W340" s="10">
        <v>4.1878837999999998</v>
      </c>
      <c r="X340" s="10">
        <v>4.1201891000000002</v>
      </c>
      <c r="Y340" s="10">
        <v>4.0558964</v>
      </c>
      <c r="Z340" s="10">
        <v>3.9955033000000002</v>
      </c>
      <c r="AA340" s="10">
        <v>3.9395072</v>
      </c>
      <c r="AB340" s="10">
        <v>3.8883060999999999</v>
      </c>
      <c r="AC340" s="10">
        <v>3.8417325999999998</v>
      </c>
      <c r="AD340" s="10">
        <v>3.7994210000000002</v>
      </c>
      <c r="AE340" s="10">
        <v>3.7610054000000002</v>
      </c>
      <c r="AF340" s="10">
        <v>3.7261196000000001</v>
      </c>
      <c r="AG340" s="10">
        <v>3.6943975999999998</v>
      </c>
      <c r="AH340" s="10">
        <v>3.665492</v>
      </c>
      <c r="AI340" s="10">
        <v>3.6391543</v>
      </c>
      <c r="AJ340" s="10">
        <v>3.6151697999999999</v>
      </c>
      <c r="AK340" s="10">
        <v>3.5933233000000002</v>
      </c>
      <c r="AL340" s="10">
        <v>3.5733999999999999</v>
      </c>
      <c r="AM340" s="10">
        <v>3.5551849999999998</v>
      </c>
      <c r="AN340" s="10">
        <v>3.5384633000000001</v>
      </c>
      <c r="AO340" s="10">
        <v>3.5230199</v>
      </c>
      <c r="AP340" s="10">
        <v>3.5086398999999999</v>
      </c>
      <c r="AQ340" s="10">
        <v>3.4951083999999999</v>
      </c>
      <c r="AR340" s="10">
        <v>3.4822104999999999</v>
      </c>
      <c r="AS340" s="10">
        <v>3.4697311000000002</v>
      </c>
      <c r="AT340" s="10">
        <v>3.4574829</v>
      </c>
      <c r="AU340" s="10">
        <v>3.4454129</v>
      </c>
      <c r="AV340" s="10">
        <v>3.4335087</v>
      </c>
      <c r="AW340" s="10">
        <v>3.4217580999999999</v>
      </c>
      <c r="AX340" s="10">
        <v>3.4101488999999998</v>
      </c>
      <c r="AY340" s="10">
        <v>3.3986689000000001</v>
      </c>
      <c r="AZ340" s="10">
        <v>3.3873058</v>
      </c>
      <c r="BA340" s="10">
        <v>3.3760474</v>
      </c>
      <c r="BB340" s="10">
        <v>3.3648815000000001</v>
      </c>
      <c r="BC340" s="10">
        <v>3.3537959000000002</v>
      </c>
      <c r="BD340" s="10">
        <v>3.3427782000000001</v>
      </c>
      <c r="BE340" s="10">
        <v>3.3318164000000001</v>
      </c>
      <c r="BF340" s="10">
        <v>3.3209035999999998</v>
      </c>
      <c r="BG340" s="10">
        <v>3.3100573999999998</v>
      </c>
      <c r="BH340" s="10">
        <v>3.2993020999999998</v>
      </c>
      <c r="BI340" s="10">
        <v>3.288662</v>
      </c>
      <c r="BJ340" s="10">
        <v>3.2781612999999998</v>
      </c>
      <c r="BK340" s="10">
        <v>3.2678243999999999</v>
      </c>
      <c r="BL340" s="10">
        <v>3.2576754999999999</v>
      </c>
      <c r="BM340" s="10">
        <v>3.2477388999999999</v>
      </c>
      <c r="BN340" s="10">
        <v>3.2380388</v>
      </c>
      <c r="BO340" s="10">
        <v>3.2285995999999999</v>
      </c>
      <c r="BP340" s="10">
        <v>3.2194455</v>
      </c>
      <c r="BQ340" s="10">
        <v>3.2106007999999999</v>
      </c>
      <c r="BR340" s="10">
        <v>3.1647251999999999</v>
      </c>
      <c r="BS340" s="10">
        <v>3.1320329999999998</v>
      </c>
      <c r="BU340" s="7">
        <v>3.52</v>
      </c>
      <c r="BV340" s="7">
        <v>3.57</v>
      </c>
      <c r="BW340" s="9">
        <v>79.356200000000001</v>
      </c>
    </row>
    <row r="341" spans="1:75" x14ac:dyDescent="0.25">
      <c r="A341" s="6">
        <f t="shared" si="35"/>
        <v>45029</v>
      </c>
      <c r="B341" s="13">
        <f t="shared" si="30"/>
        <v>4</v>
      </c>
      <c r="C341" s="13">
        <f t="shared" si="31"/>
        <v>2023</v>
      </c>
      <c r="D341">
        <f t="shared" si="32"/>
        <v>202304</v>
      </c>
      <c r="E341">
        <f t="shared" si="33"/>
        <v>2</v>
      </c>
      <c r="F341">
        <f t="shared" si="34"/>
        <v>202302</v>
      </c>
      <c r="G341" t="s">
        <v>528</v>
      </c>
      <c r="H341" s="9">
        <v>4.25</v>
      </c>
      <c r="I341" s="9">
        <v>4.1768999999999998</v>
      </c>
      <c r="J341" s="10">
        <v>4.2706641000000003</v>
      </c>
      <c r="K341" s="10">
        <v>4.4144126000000004</v>
      </c>
      <c r="L341" s="10">
        <v>4.5157772999999999</v>
      </c>
      <c r="M341" s="10">
        <v>4.5783740999999996</v>
      </c>
      <c r="N341" s="10">
        <v>4.6089782000000001</v>
      </c>
      <c r="O341" s="10">
        <v>4.6132175000000002</v>
      </c>
      <c r="P341" s="10">
        <v>4.5944379</v>
      </c>
      <c r="Q341" s="10">
        <v>4.5569180999999999</v>
      </c>
      <c r="R341" s="10">
        <v>4.5054217999999997</v>
      </c>
      <c r="S341" s="10">
        <v>4.4440529</v>
      </c>
      <c r="T341" s="10">
        <v>4.3766239000000002</v>
      </c>
      <c r="U341" s="10">
        <v>4.3058687999999998</v>
      </c>
      <c r="V341" s="10">
        <v>4.2341081000000003</v>
      </c>
      <c r="W341" s="10">
        <v>4.1627090000000004</v>
      </c>
      <c r="X341" s="10">
        <v>4.0927091999999998</v>
      </c>
      <c r="Y341" s="10">
        <v>4.0251462</v>
      </c>
      <c r="Z341" s="10">
        <v>3.9610574999999999</v>
      </c>
      <c r="AA341" s="10">
        <v>3.9014807</v>
      </c>
      <c r="AB341" s="10">
        <v>3.8472775000000001</v>
      </c>
      <c r="AC341" s="10">
        <v>3.7984095</v>
      </c>
      <c r="AD341" s="10">
        <v>3.7545508000000001</v>
      </c>
      <c r="AE341" s="10">
        <v>3.7153752999999998</v>
      </c>
      <c r="AF341" s="10">
        <v>3.6805572</v>
      </c>
      <c r="AG341" s="10">
        <v>3.6497701999999999</v>
      </c>
      <c r="AH341" s="10">
        <v>3.6226875000000001</v>
      </c>
      <c r="AI341" s="10">
        <v>3.5989767000000001</v>
      </c>
      <c r="AJ341" s="10">
        <v>3.5783043999999999</v>
      </c>
      <c r="AK341" s="10">
        <v>3.5603368999999998</v>
      </c>
      <c r="AL341" s="10">
        <v>3.5447405999999999</v>
      </c>
      <c r="AM341" s="10">
        <v>3.5311819</v>
      </c>
      <c r="AN341" s="10">
        <v>3.5193270000000001</v>
      </c>
      <c r="AO341" s="10">
        <v>3.5088425000000001</v>
      </c>
      <c r="AP341" s="10">
        <v>3.4993946</v>
      </c>
      <c r="AQ341" s="10">
        <v>3.4906497999999999</v>
      </c>
      <c r="AR341" s="10">
        <v>3.4822744000000001</v>
      </c>
      <c r="AS341" s="10">
        <v>3.4739347999999999</v>
      </c>
      <c r="AT341" s="10">
        <v>3.4653496000000001</v>
      </c>
      <c r="AU341" s="10">
        <v>3.4564683999999999</v>
      </c>
      <c r="AV341" s="10">
        <v>3.4473044000000002</v>
      </c>
      <c r="AW341" s="10">
        <v>3.4378706999999999</v>
      </c>
      <c r="AX341" s="10">
        <v>3.4281804999999999</v>
      </c>
      <c r="AY341" s="10">
        <v>3.418247</v>
      </c>
      <c r="AZ341" s="10">
        <v>3.4080835</v>
      </c>
      <c r="BA341" s="10">
        <v>3.3977029999999999</v>
      </c>
      <c r="BB341" s="10">
        <v>3.3871188999999999</v>
      </c>
      <c r="BC341" s="10">
        <v>3.3763442000000001</v>
      </c>
      <c r="BD341" s="10">
        <v>3.3653922000000001</v>
      </c>
      <c r="BE341" s="10">
        <v>3.3542760999999999</v>
      </c>
      <c r="BF341" s="10">
        <v>3.3430137000000002</v>
      </c>
      <c r="BG341" s="10">
        <v>3.3316439</v>
      </c>
      <c r="BH341" s="10">
        <v>3.3202110999999999</v>
      </c>
      <c r="BI341" s="10">
        <v>3.3087599000000001</v>
      </c>
      <c r="BJ341" s="10">
        <v>3.2973346000000001</v>
      </c>
      <c r="BK341" s="10">
        <v>3.2859799000000001</v>
      </c>
      <c r="BL341" s="10">
        <v>3.2747402000000001</v>
      </c>
      <c r="BM341" s="10">
        <v>3.2636601000000001</v>
      </c>
      <c r="BN341" s="10">
        <v>3.2527838999999998</v>
      </c>
      <c r="BO341" s="10">
        <v>3.2421563</v>
      </c>
      <c r="BP341" s="10">
        <v>3.2318216999999998</v>
      </c>
      <c r="BQ341" s="10">
        <v>3.2218246000000001</v>
      </c>
      <c r="BR341" s="10">
        <v>3.1701000000000001</v>
      </c>
      <c r="BS341" s="10">
        <v>3.1336309999999998</v>
      </c>
      <c r="BU341" s="7">
        <v>3.5</v>
      </c>
      <c r="BV341" s="7">
        <v>3.56</v>
      </c>
      <c r="BW341" s="9">
        <v>79.286500000000004</v>
      </c>
    </row>
    <row r="342" spans="1:75" x14ac:dyDescent="0.25">
      <c r="A342" s="6">
        <f t="shared" si="35"/>
        <v>45030</v>
      </c>
      <c r="B342" s="13">
        <f t="shared" si="30"/>
        <v>4</v>
      </c>
      <c r="C342" s="13">
        <f t="shared" si="31"/>
        <v>2023</v>
      </c>
      <c r="D342">
        <f t="shared" si="32"/>
        <v>202304</v>
      </c>
      <c r="E342">
        <f t="shared" si="33"/>
        <v>2</v>
      </c>
      <c r="F342">
        <f t="shared" si="34"/>
        <v>202302</v>
      </c>
      <c r="G342" t="s">
        <v>529</v>
      </c>
      <c r="H342" s="9">
        <v>4.25</v>
      </c>
      <c r="I342" s="9">
        <v>4.1768999999999998</v>
      </c>
      <c r="J342" s="10">
        <v>4.2799912999999998</v>
      </c>
      <c r="K342" s="10">
        <v>4.4313083000000004</v>
      </c>
      <c r="L342" s="10">
        <v>4.5419387999999996</v>
      </c>
      <c r="M342" s="10">
        <v>4.6149633999999997</v>
      </c>
      <c r="N342" s="10">
        <v>4.6567901000000003</v>
      </c>
      <c r="O342" s="10">
        <v>4.6714862000000004</v>
      </c>
      <c r="P342" s="10">
        <v>4.6618620000000002</v>
      </c>
      <c r="Q342" s="10">
        <v>4.6306655000000001</v>
      </c>
      <c r="R342" s="10">
        <v>4.5823397000000003</v>
      </c>
      <c r="S342" s="10">
        <v>4.5214879000000003</v>
      </c>
      <c r="T342" s="10">
        <v>4.4528281999999999</v>
      </c>
      <c r="U342" s="10">
        <v>4.3803025</v>
      </c>
      <c r="V342" s="10">
        <v>4.3086359999999999</v>
      </c>
      <c r="W342" s="10">
        <v>4.2395294999999997</v>
      </c>
      <c r="X342" s="10">
        <v>4.1736105999999999</v>
      </c>
      <c r="Y342" s="10">
        <v>4.1115066000000002</v>
      </c>
      <c r="Z342" s="10">
        <v>4.0538448999999996</v>
      </c>
      <c r="AA342" s="10">
        <v>4.0012530000000002</v>
      </c>
      <c r="AB342" s="10">
        <v>3.9541762999999999</v>
      </c>
      <c r="AC342" s="10">
        <v>3.9122170999999999</v>
      </c>
      <c r="AD342" s="10">
        <v>3.8747330999999998</v>
      </c>
      <c r="AE342" s="10">
        <v>3.8410820000000001</v>
      </c>
      <c r="AF342" s="10">
        <v>3.8106214999999999</v>
      </c>
      <c r="AG342" s="10">
        <v>3.7827095000000002</v>
      </c>
      <c r="AH342" s="10">
        <v>3.7567767000000001</v>
      </c>
      <c r="AI342" s="10">
        <v>3.7325775999999999</v>
      </c>
      <c r="AJ342" s="10">
        <v>3.7099552999999998</v>
      </c>
      <c r="AK342" s="10">
        <v>3.6887534999999998</v>
      </c>
      <c r="AL342" s="10">
        <v>3.6688154000000002</v>
      </c>
      <c r="AM342" s="10">
        <v>3.6499845999999998</v>
      </c>
      <c r="AN342" s="10">
        <v>3.6321043</v>
      </c>
      <c r="AO342" s="10">
        <v>3.6150180000000001</v>
      </c>
      <c r="AP342" s="10">
        <v>3.5985691000000002</v>
      </c>
      <c r="AQ342" s="10">
        <v>3.5826011000000002</v>
      </c>
      <c r="AR342" s="10">
        <v>3.5669572000000001</v>
      </c>
      <c r="AS342" s="10">
        <v>3.5514809999999999</v>
      </c>
      <c r="AT342" s="10">
        <v>3.5360423999999999</v>
      </c>
      <c r="AU342" s="10">
        <v>3.5206289000000002</v>
      </c>
      <c r="AV342" s="10">
        <v>3.5052603000000002</v>
      </c>
      <c r="AW342" s="10">
        <v>3.4899564000000001</v>
      </c>
      <c r="AX342" s="10">
        <v>3.4747370000000002</v>
      </c>
      <c r="AY342" s="10">
        <v>3.4596220999999998</v>
      </c>
      <c r="AZ342" s="10">
        <v>3.4446313000000002</v>
      </c>
      <c r="BA342" s="10">
        <v>3.4297846000000001</v>
      </c>
      <c r="BB342" s="10">
        <v>3.4151017000000001</v>
      </c>
      <c r="BC342" s="10">
        <v>3.4006025000000002</v>
      </c>
      <c r="BD342" s="10">
        <v>3.3863069000000001</v>
      </c>
      <c r="BE342" s="10">
        <v>3.3722344999999998</v>
      </c>
      <c r="BF342" s="10">
        <v>3.3584054000000001</v>
      </c>
      <c r="BG342" s="10">
        <v>3.3448395</v>
      </c>
      <c r="BH342" s="10">
        <v>3.3315567000000001</v>
      </c>
      <c r="BI342" s="10">
        <v>3.3185771000000002</v>
      </c>
      <c r="BJ342" s="10">
        <v>3.3059207000000002</v>
      </c>
      <c r="BK342" s="10">
        <v>3.2936074999999998</v>
      </c>
      <c r="BL342" s="10">
        <v>3.2816573999999998</v>
      </c>
      <c r="BM342" s="10">
        <v>3.2700904999999998</v>
      </c>
      <c r="BN342" s="10">
        <v>3.2589267</v>
      </c>
      <c r="BO342" s="10">
        <v>3.2481860999999999</v>
      </c>
      <c r="BP342" s="10">
        <v>3.2378887000000001</v>
      </c>
      <c r="BQ342" s="10">
        <v>3.2280544999999998</v>
      </c>
      <c r="BR342" s="10">
        <v>3.1792907000000001</v>
      </c>
      <c r="BS342" s="10">
        <v>3.1483612000000001</v>
      </c>
      <c r="BU342" s="7">
        <v>3.6</v>
      </c>
      <c r="BV342" s="7">
        <v>3.65</v>
      </c>
      <c r="BW342" s="9">
        <v>79.013499999999993</v>
      </c>
    </row>
    <row r="343" spans="1:75" x14ac:dyDescent="0.25">
      <c r="A343" s="6">
        <f t="shared" si="35"/>
        <v>45033</v>
      </c>
      <c r="B343" s="13">
        <f t="shared" si="30"/>
        <v>4</v>
      </c>
      <c r="C343" s="13">
        <f t="shared" si="31"/>
        <v>2023</v>
      </c>
      <c r="D343">
        <f t="shared" si="32"/>
        <v>202304</v>
      </c>
      <c r="E343">
        <f t="shared" si="33"/>
        <v>2</v>
      </c>
      <c r="F343">
        <f t="shared" si="34"/>
        <v>202302</v>
      </c>
      <c r="G343" t="s">
        <v>530</v>
      </c>
      <c r="H343" s="9">
        <v>4.25</v>
      </c>
      <c r="I343" s="9">
        <v>4.1771000000000003</v>
      </c>
      <c r="J343" s="10">
        <v>4.2967968000000001</v>
      </c>
      <c r="K343" s="10">
        <v>4.4325571999999998</v>
      </c>
      <c r="L343" s="10">
        <v>4.5359768999999996</v>
      </c>
      <c r="M343" s="10">
        <v>4.6079482</v>
      </c>
      <c r="N343" s="10">
        <v>4.6527731000000001</v>
      </c>
      <c r="O343" s="10">
        <v>4.6725586000000003</v>
      </c>
      <c r="P343" s="10">
        <v>4.6682613999999996</v>
      </c>
      <c r="Q343" s="10">
        <v>4.6428115999999999</v>
      </c>
      <c r="R343" s="10">
        <v>4.6001367000000002</v>
      </c>
      <c r="S343" s="10">
        <v>4.5448687000000003</v>
      </c>
      <c r="T343" s="10">
        <v>4.4812244999999997</v>
      </c>
      <c r="U343" s="10">
        <v>4.4128214999999997</v>
      </c>
      <c r="V343" s="10">
        <v>4.3434635000000004</v>
      </c>
      <c r="W343" s="10">
        <v>4.274851</v>
      </c>
      <c r="X343" s="10">
        <v>4.2080273999999998</v>
      </c>
      <c r="Y343" s="10">
        <v>4.1440362999999998</v>
      </c>
      <c r="Z343" s="10">
        <v>4.0839211999999998</v>
      </c>
      <c r="AA343" s="10">
        <v>4.0287255000000002</v>
      </c>
      <c r="AB343" s="10">
        <v>3.9792447000000002</v>
      </c>
      <c r="AC343" s="10">
        <v>3.9351224999999999</v>
      </c>
      <c r="AD343" s="10">
        <v>3.8956692999999998</v>
      </c>
      <c r="AE343" s="10">
        <v>3.8601953</v>
      </c>
      <c r="AF343" s="10">
        <v>3.8280107999999999</v>
      </c>
      <c r="AG343" s="10">
        <v>3.7984260999999999</v>
      </c>
      <c r="AH343" s="10">
        <v>3.7708339999999998</v>
      </c>
      <c r="AI343" s="10">
        <v>3.7449921000000002</v>
      </c>
      <c r="AJ343" s="10">
        <v>3.7207588</v>
      </c>
      <c r="AK343" s="10">
        <v>3.6979924</v>
      </c>
      <c r="AL343" s="10">
        <v>3.6765512999999999</v>
      </c>
      <c r="AM343" s="10">
        <v>3.6562936000000001</v>
      </c>
      <c r="AN343" s="10">
        <v>3.6370776999999999</v>
      </c>
      <c r="AO343" s="10">
        <v>3.6187619</v>
      </c>
      <c r="AP343" s="10">
        <v>3.6012045000000001</v>
      </c>
      <c r="AQ343" s="10">
        <v>3.5842638999999998</v>
      </c>
      <c r="AR343" s="10">
        <v>3.5677983000000002</v>
      </c>
      <c r="AS343" s="10">
        <v>3.5516660999999998</v>
      </c>
      <c r="AT343" s="10">
        <v>3.5357501999999998</v>
      </c>
      <c r="AU343" s="10">
        <v>3.5200429999999998</v>
      </c>
      <c r="AV343" s="10">
        <v>3.5045668000000001</v>
      </c>
      <c r="AW343" s="10">
        <v>3.4893442000000001</v>
      </c>
      <c r="AX343" s="10">
        <v>3.4743974</v>
      </c>
      <c r="AY343" s="10">
        <v>3.4597489000000001</v>
      </c>
      <c r="AZ343" s="10">
        <v>3.4454212000000002</v>
      </c>
      <c r="BA343" s="10">
        <v>3.4314366000000001</v>
      </c>
      <c r="BB343" s="10">
        <v>3.4178175</v>
      </c>
      <c r="BC343" s="10">
        <v>3.4045863000000001</v>
      </c>
      <c r="BD343" s="10">
        <v>3.3917655</v>
      </c>
      <c r="BE343" s="10">
        <v>3.3793774000000001</v>
      </c>
      <c r="BF343" s="10">
        <v>3.3674417000000001</v>
      </c>
      <c r="BG343" s="10">
        <v>3.3559624000000001</v>
      </c>
      <c r="BH343" s="10">
        <v>3.3449385999999999</v>
      </c>
      <c r="BI343" s="10">
        <v>3.3343691</v>
      </c>
      <c r="BJ343" s="10">
        <v>3.3242531</v>
      </c>
      <c r="BK343" s="10">
        <v>3.3145893000000002</v>
      </c>
      <c r="BL343" s="10">
        <v>3.3053769000000002</v>
      </c>
      <c r="BM343" s="10">
        <v>3.2966147000000001</v>
      </c>
      <c r="BN343" s="10">
        <v>3.2883019</v>
      </c>
      <c r="BO343" s="10">
        <v>3.2804372000000002</v>
      </c>
      <c r="BP343" s="10">
        <v>3.2730196999999999</v>
      </c>
      <c r="BQ343" s="10">
        <v>3.2660483999999999</v>
      </c>
      <c r="BR343" s="10">
        <v>3.2333691999999998</v>
      </c>
      <c r="BS343" s="10">
        <v>3.2154802999999998</v>
      </c>
      <c r="BU343" s="7">
        <v>3.62</v>
      </c>
      <c r="BV343" s="7">
        <v>3.7</v>
      </c>
      <c r="BW343" s="9">
        <v>78.906099999999995</v>
      </c>
    </row>
    <row r="344" spans="1:75" x14ac:dyDescent="0.25">
      <c r="A344" s="6">
        <f t="shared" si="35"/>
        <v>45034</v>
      </c>
      <c r="B344" s="13">
        <f t="shared" si="30"/>
        <v>4</v>
      </c>
      <c r="C344" s="13">
        <f t="shared" si="31"/>
        <v>2023</v>
      </c>
      <c r="D344">
        <f t="shared" si="32"/>
        <v>202304</v>
      </c>
      <c r="E344">
        <f t="shared" si="33"/>
        <v>2</v>
      </c>
      <c r="F344">
        <f t="shared" si="34"/>
        <v>202302</v>
      </c>
      <c r="G344" t="s">
        <v>531</v>
      </c>
      <c r="H344" s="9">
        <v>4.25</v>
      </c>
      <c r="I344" s="9">
        <v>4.1773999999999996</v>
      </c>
      <c r="J344" s="10">
        <v>4.3205377</v>
      </c>
      <c r="K344" s="10">
        <v>4.4795543999999996</v>
      </c>
      <c r="L344" s="10">
        <v>4.6039194999999999</v>
      </c>
      <c r="M344" s="10">
        <v>4.6920770999999997</v>
      </c>
      <c r="N344" s="10">
        <v>4.7473084999999999</v>
      </c>
      <c r="O344" s="10">
        <v>4.7725667999999999</v>
      </c>
      <c r="P344" s="10">
        <v>4.7700810999999996</v>
      </c>
      <c r="Q344" s="10">
        <v>4.7446408</v>
      </c>
      <c r="R344" s="10">
        <v>4.7014985999999999</v>
      </c>
      <c r="S344" s="10">
        <v>4.6460008999999998</v>
      </c>
      <c r="T344" s="10">
        <v>4.5827942999999998</v>
      </c>
      <c r="U344" s="10">
        <v>4.5153119000000004</v>
      </c>
      <c r="V344" s="10">
        <v>4.4473525</v>
      </c>
      <c r="W344" s="10">
        <v>4.3802523999999998</v>
      </c>
      <c r="X344" s="10">
        <v>4.3145629999999997</v>
      </c>
      <c r="Y344" s="10">
        <v>4.2508350999999998</v>
      </c>
      <c r="Z344" s="10">
        <v>4.1896199000000003</v>
      </c>
      <c r="AA344" s="10">
        <v>4.1314684000000002</v>
      </c>
      <c r="AB344" s="10">
        <v>4.0768351000000003</v>
      </c>
      <c r="AC344" s="10">
        <v>4.0257256000000003</v>
      </c>
      <c r="AD344" s="10">
        <v>3.9780158999999999</v>
      </c>
      <c r="AE344" s="10">
        <v>3.9335817</v>
      </c>
      <c r="AF344" s="10">
        <v>3.8922987999999998</v>
      </c>
      <c r="AG344" s="10">
        <v>3.8540431000000002</v>
      </c>
      <c r="AH344" s="10">
        <v>3.8186841</v>
      </c>
      <c r="AI344" s="10">
        <v>3.7860502999999999</v>
      </c>
      <c r="AJ344" s="10">
        <v>3.7559534999999999</v>
      </c>
      <c r="AK344" s="10">
        <v>3.7282053999999998</v>
      </c>
      <c r="AL344" s="10">
        <v>3.7026178999999999</v>
      </c>
      <c r="AM344" s="10">
        <v>3.6790026</v>
      </c>
      <c r="AN344" s="10">
        <v>3.6571714000000002</v>
      </c>
      <c r="AO344" s="10">
        <v>3.6369359999999999</v>
      </c>
      <c r="AP344" s="10">
        <v>3.6181082</v>
      </c>
      <c r="AQ344" s="10">
        <v>3.6004996999999999</v>
      </c>
      <c r="AR344" s="10">
        <v>3.5839222999999998</v>
      </c>
      <c r="AS344" s="10">
        <v>3.5681877000000002</v>
      </c>
      <c r="AT344" s="10">
        <v>3.5531267</v>
      </c>
      <c r="AU344" s="10">
        <v>3.5386714000000001</v>
      </c>
      <c r="AV344" s="10">
        <v>3.5247883999999998</v>
      </c>
      <c r="AW344" s="10">
        <v>3.5114440999999998</v>
      </c>
      <c r="AX344" s="10">
        <v>3.4986049000000001</v>
      </c>
      <c r="AY344" s="10">
        <v>3.4862372000000001</v>
      </c>
      <c r="AZ344" s="10">
        <v>3.4743073999999998</v>
      </c>
      <c r="BA344" s="10">
        <v>3.4627821000000001</v>
      </c>
      <c r="BB344" s="10">
        <v>3.4516274999999998</v>
      </c>
      <c r="BC344" s="10">
        <v>3.4408102999999999</v>
      </c>
      <c r="BD344" s="10">
        <v>3.4302967</v>
      </c>
      <c r="BE344" s="10">
        <v>3.4200533000000002</v>
      </c>
      <c r="BF344" s="10">
        <v>3.4100522999999998</v>
      </c>
      <c r="BG344" s="10">
        <v>3.4002952</v>
      </c>
      <c r="BH344" s="10">
        <v>3.3907919999999998</v>
      </c>
      <c r="BI344" s="10">
        <v>3.3815529</v>
      </c>
      <c r="BJ344" s="10">
        <v>3.3725881000000002</v>
      </c>
      <c r="BK344" s="10">
        <v>3.3639076000000001</v>
      </c>
      <c r="BL344" s="10">
        <v>3.3555215999999999</v>
      </c>
      <c r="BM344" s="10">
        <v>3.3474401999999999</v>
      </c>
      <c r="BN344" s="10">
        <v>3.3396737000000001</v>
      </c>
      <c r="BO344" s="10">
        <v>3.3322319999999999</v>
      </c>
      <c r="BP344" s="10">
        <v>3.3251254000000001</v>
      </c>
      <c r="BQ344" s="10">
        <v>3.3183639</v>
      </c>
      <c r="BR344" s="10">
        <v>3.2852687</v>
      </c>
      <c r="BS344" s="10">
        <v>3.2650511</v>
      </c>
      <c r="BU344" s="7">
        <v>3.69</v>
      </c>
      <c r="BV344" s="7">
        <v>3.75</v>
      </c>
      <c r="BW344" s="9">
        <v>79.142600000000002</v>
      </c>
    </row>
    <row r="345" spans="1:75" x14ac:dyDescent="0.25">
      <c r="A345" s="6">
        <f t="shared" si="35"/>
        <v>45035</v>
      </c>
      <c r="B345" s="13">
        <f t="shared" si="30"/>
        <v>4</v>
      </c>
      <c r="C345" s="13">
        <f t="shared" si="31"/>
        <v>2023</v>
      </c>
      <c r="D345">
        <f t="shared" si="32"/>
        <v>202304</v>
      </c>
      <c r="E345">
        <f t="shared" si="33"/>
        <v>2</v>
      </c>
      <c r="F345">
        <f t="shared" si="34"/>
        <v>202302</v>
      </c>
      <c r="G345" t="s">
        <v>532</v>
      </c>
      <c r="H345" s="9">
        <v>4.25</v>
      </c>
      <c r="I345" s="9">
        <v>4.1773999999999996</v>
      </c>
      <c r="J345" s="10">
        <v>4.3695899000000002</v>
      </c>
      <c r="K345" s="10">
        <v>4.5504543999999996</v>
      </c>
      <c r="L345" s="10">
        <v>4.6959903000000001</v>
      </c>
      <c r="M345" s="10">
        <v>4.8042873999999998</v>
      </c>
      <c r="N345" s="10">
        <v>4.8764566</v>
      </c>
      <c r="O345" s="10">
        <v>4.9156421000000003</v>
      </c>
      <c r="P345" s="10">
        <v>4.9242046999999998</v>
      </c>
      <c r="Q345" s="10">
        <v>4.9077392</v>
      </c>
      <c r="R345" s="10">
        <v>4.8725611000000004</v>
      </c>
      <c r="S345" s="10">
        <v>4.8244201999999996</v>
      </c>
      <c r="T345" s="10">
        <v>4.7678415999999997</v>
      </c>
      <c r="U345" s="10">
        <v>4.7060497999999997</v>
      </c>
      <c r="V345" s="10">
        <v>4.6420605000000004</v>
      </c>
      <c r="W345" s="10">
        <v>4.5771562000000001</v>
      </c>
      <c r="X345" s="10">
        <v>4.5121003000000002</v>
      </c>
      <c r="Y345" s="10">
        <v>4.4476560000000003</v>
      </c>
      <c r="Z345" s="10">
        <v>4.3845866999999998</v>
      </c>
      <c r="AA345" s="10">
        <v>4.3236556000000004</v>
      </c>
      <c r="AB345" s="10">
        <v>4.2655417</v>
      </c>
      <c r="AC345" s="10">
        <v>4.2104445999999998</v>
      </c>
      <c r="AD345" s="10">
        <v>4.1583956999999998</v>
      </c>
      <c r="AE345" s="10">
        <v>4.1094261999999997</v>
      </c>
      <c r="AF345" s="10">
        <v>4.0635672999999999</v>
      </c>
      <c r="AG345" s="10">
        <v>4.0208501999999999</v>
      </c>
      <c r="AH345" s="10">
        <v>3.9812801000000002</v>
      </c>
      <c r="AI345" s="10">
        <v>3.9447084000000001</v>
      </c>
      <c r="AJ345" s="10">
        <v>3.9109291000000002</v>
      </c>
      <c r="AK345" s="10">
        <v>3.8797366000000002</v>
      </c>
      <c r="AL345" s="10">
        <v>3.8509251999999998</v>
      </c>
      <c r="AM345" s="10">
        <v>3.8242889</v>
      </c>
      <c r="AN345" s="10">
        <v>3.7996219999999998</v>
      </c>
      <c r="AO345" s="10">
        <v>3.7767187999999998</v>
      </c>
      <c r="AP345" s="10">
        <v>3.7553735000000001</v>
      </c>
      <c r="AQ345" s="10">
        <v>3.7353801999999998</v>
      </c>
      <c r="AR345" s="10">
        <v>3.7165332000000002</v>
      </c>
      <c r="AS345" s="10">
        <v>3.6986267000000002</v>
      </c>
      <c r="AT345" s="10">
        <v>3.6814770000000001</v>
      </c>
      <c r="AU345" s="10">
        <v>3.6650076999999999</v>
      </c>
      <c r="AV345" s="10">
        <v>3.6491753</v>
      </c>
      <c r="AW345" s="10">
        <v>3.6339361000000001</v>
      </c>
      <c r="AX345" s="10">
        <v>3.6192464000000002</v>
      </c>
      <c r="AY345" s="10">
        <v>3.6050627</v>
      </c>
      <c r="AZ345" s="10">
        <v>3.5913412999999998</v>
      </c>
      <c r="BA345" s="10">
        <v>3.5780387</v>
      </c>
      <c r="BB345" s="10">
        <v>3.5651111000000002</v>
      </c>
      <c r="BC345" s="10">
        <v>3.5525150000000001</v>
      </c>
      <c r="BD345" s="10">
        <v>3.5402068</v>
      </c>
      <c r="BE345" s="10">
        <v>3.5281427000000001</v>
      </c>
      <c r="BF345" s="10">
        <v>3.5162879999999999</v>
      </c>
      <c r="BG345" s="10">
        <v>3.5046465000000002</v>
      </c>
      <c r="BH345" s="10">
        <v>3.4932325</v>
      </c>
      <c r="BI345" s="10">
        <v>3.4820604999999998</v>
      </c>
      <c r="BJ345" s="10">
        <v>3.4711449000000001</v>
      </c>
      <c r="BK345" s="10">
        <v>3.4605001</v>
      </c>
      <c r="BL345" s="10">
        <v>3.4501406000000001</v>
      </c>
      <c r="BM345" s="10">
        <v>3.4400808</v>
      </c>
      <c r="BN345" s="10">
        <v>3.4303352</v>
      </c>
      <c r="BO345" s="10">
        <v>3.4209181000000002</v>
      </c>
      <c r="BP345" s="10">
        <v>3.4118439999999999</v>
      </c>
      <c r="BQ345" s="10">
        <v>3.4031273</v>
      </c>
      <c r="BR345" s="10">
        <v>3.3587834999999999</v>
      </c>
      <c r="BS345" s="10">
        <v>3.3287483999999998</v>
      </c>
      <c r="BU345" s="7">
        <v>3.82</v>
      </c>
      <c r="BV345" s="7">
        <v>3.85</v>
      </c>
      <c r="BW345" s="9">
        <v>79.358999999999995</v>
      </c>
    </row>
    <row r="346" spans="1:75" x14ac:dyDescent="0.25">
      <c r="A346" s="6">
        <f t="shared" si="35"/>
        <v>45036</v>
      </c>
      <c r="B346" s="13">
        <f t="shared" si="30"/>
        <v>4</v>
      </c>
      <c r="C346" s="13">
        <f t="shared" si="31"/>
        <v>2023</v>
      </c>
      <c r="D346">
        <f t="shared" si="32"/>
        <v>202304</v>
      </c>
      <c r="E346">
        <f t="shared" si="33"/>
        <v>2</v>
      </c>
      <c r="F346">
        <f t="shared" si="34"/>
        <v>202302</v>
      </c>
      <c r="G346" t="s">
        <v>533</v>
      </c>
      <c r="H346" s="9">
        <v>4.25</v>
      </c>
      <c r="I346" s="9">
        <v>4.1775000000000002</v>
      </c>
      <c r="J346" s="10">
        <v>4.3710047999999997</v>
      </c>
      <c r="K346" s="10">
        <v>4.5424593</v>
      </c>
      <c r="L346" s="10">
        <v>4.6820373999999996</v>
      </c>
      <c r="M346" s="10">
        <v>4.7866397000000003</v>
      </c>
      <c r="N346" s="10">
        <v>4.8561101999999998</v>
      </c>
      <c r="O346" s="10">
        <v>4.8918336</v>
      </c>
      <c r="P346" s="10">
        <v>4.8953303999999997</v>
      </c>
      <c r="Q346" s="10">
        <v>4.8716410000000003</v>
      </c>
      <c r="R346" s="10">
        <v>4.8271388000000002</v>
      </c>
      <c r="S346" s="10">
        <v>4.7675684</v>
      </c>
      <c r="T346" s="10">
        <v>4.6983798999999999</v>
      </c>
      <c r="U346" s="10">
        <v>4.6234792999999996</v>
      </c>
      <c r="V346" s="10">
        <v>4.5469612000000001</v>
      </c>
      <c r="W346" s="10">
        <v>4.4707150000000002</v>
      </c>
      <c r="X346" s="10">
        <v>4.3957822999999996</v>
      </c>
      <c r="Y346" s="10">
        <v>4.3232037999999999</v>
      </c>
      <c r="Z346" s="10">
        <v>4.2540205000000002</v>
      </c>
      <c r="AA346" s="10">
        <v>4.1892734000000003</v>
      </c>
      <c r="AB346" s="10">
        <v>4.1298140999999999</v>
      </c>
      <c r="AC346" s="10">
        <v>4.0755258999999997</v>
      </c>
      <c r="AD346" s="10">
        <v>4.0259824999999996</v>
      </c>
      <c r="AE346" s="10">
        <v>3.9807576999999998</v>
      </c>
      <c r="AF346" s="10">
        <v>3.9394249000000001</v>
      </c>
      <c r="AG346" s="10">
        <v>3.9015580000000001</v>
      </c>
      <c r="AH346" s="10">
        <v>3.8667543000000002</v>
      </c>
      <c r="AI346" s="10">
        <v>3.8347391000000002</v>
      </c>
      <c r="AJ346" s="10">
        <v>3.8052804999999998</v>
      </c>
      <c r="AK346" s="10">
        <v>3.7781470000000001</v>
      </c>
      <c r="AL346" s="10">
        <v>3.7531066000000002</v>
      </c>
      <c r="AM346" s="10">
        <v>3.7299275000000001</v>
      </c>
      <c r="AN346" s="10">
        <v>3.7083781999999998</v>
      </c>
      <c r="AO346" s="10">
        <v>3.6882267</v>
      </c>
      <c r="AP346" s="10">
        <v>3.6692412000000001</v>
      </c>
      <c r="AQ346" s="10">
        <v>3.6511901</v>
      </c>
      <c r="AR346" s="10">
        <v>3.6338415999999998</v>
      </c>
      <c r="AS346" s="10">
        <v>3.6169639</v>
      </c>
      <c r="AT346" s="10">
        <v>3.6003601999999999</v>
      </c>
      <c r="AU346" s="10">
        <v>3.5839886999999999</v>
      </c>
      <c r="AV346" s="10">
        <v>3.5678500999999998</v>
      </c>
      <c r="AW346" s="10">
        <v>3.5519451000000002</v>
      </c>
      <c r="AX346" s="10">
        <v>3.5362746</v>
      </c>
      <c r="AY346" s="10">
        <v>3.5208392000000002</v>
      </c>
      <c r="AZ346" s="10">
        <v>3.5056397000000001</v>
      </c>
      <c r="BA346" s="10">
        <v>3.4906769999999998</v>
      </c>
      <c r="BB346" s="10">
        <v>3.4759517</v>
      </c>
      <c r="BC346" s="10">
        <v>3.4614645999999998</v>
      </c>
      <c r="BD346" s="10">
        <v>3.4472163999999998</v>
      </c>
      <c r="BE346" s="10">
        <v>3.433208</v>
      </c>
      <c r="BF346" s="10">
        <v>3.4194429999999998</v>
      </c>
      <c r="BG346" s="10">
        <v>3.4059377999999998</v>
      </c>
      <c r="BH346" s="10">
        <v>3.3927125</v>
      </c>
      <c r="BI346" s="10">
        <v>3.3797869999999999</v>
      </c>
      <c r="BJ346" s="10">
        <v>3.3671814000000002</v>
      </c>
      <c r="BK346" s="10">
        <v>3.3549156</v>
      </c>
      <c r="BL346" s="10">
        <v>3.3430095</v>
      </c>
      <c r="BM346" s="10">
        <v>3.3314832999999999</v>
      </c>
      <c r="BN346" s="10">
        <v>3.3203569000000002</v>
      </c>
      <c r="BO346" s="10">
        <v>3.3096504000000002</v>
      </c>
      <c r="BP346" s="10">
        <v>3.2993836000000001</v>
      </c>
      <c r="BQ346" s="10">
        <v>3.2895766000000002</v>
      </c>
      <c r="BR346" s="10">
        <v>3.2408560999999998</v>
      </c>
      <c r="BS346" s="10">
        <v>3.2097178</v>
      </c>
      <c r="BU346" s="7">
        <v>3.71</v>
      </c>
      <c r="BV346" s="7">
        <v>3.75</v>
      </c>
      <c r="BW346" s="9">
        <v>79.271699999999996</v>
      </c>
    </row>
    <row r="347" spans="1:75" x14ac:dyDescent="0.25">
      <c r="A347" s="6">
        <f t="shared" si="35"/>
        <v>45037</v>
      </c>
      <c r="B347" s="13">
        <f t="shared" si="30"/>
        <v>4</v>
      </c>
      <c r="C347" s="13">
        <f t="shared" si="31"/>
        <v>2023</v>
      </c>
      <c r="D347">
        <f t="shared" si="32"/>
        <v>202304</v>
      </c>
      <c r="E347">
        <f t="shared" si="33"/>
        <v>2</v>
      </c>
      <c r="F347">
        <f t="shared" si="34"/>
        <v>202302</v>
      </c>
      <c r="G347" t="s">
        <v>534</v>
      </c>
      <c r="H347" s="9">
        <v>4.25</v>
      </c>
      <c r="I347" s="9">
        <v>4.1773999999999996</v>
      </c>
      <c r="J347" s="10">
        <v>4.3770376999999998</v>
      </c>
      <c r="K347" s="10">
        <v>4.5379277</v>
      </c>
      <c r="L347" s="10">
        <v>4.6731587000000001</v>
      </c>
      <c r="M347" s="10">
        <v>4.7743745999999998</v>
      </c>
      <c r="N347" s="10">
        <v>4.8402858999999996</v>
      </c>
      <c r="O347" s="10">
        <v>4.8719165999999996</v>
      </c>
      <c r="P347" s="10">
        <v>4.8720340000000002</v>
      </c>
      <c r="Q347" s="10">
        <v>4.8451883999999996</v>
      </c>
      <c r="R347" s="10">
        <v>4.7979307000000002</v>
      </c>
      <c r="S347" s="10">
        <v>4.7362649000000001</v>
      </c>
      <c r="T347" s="10">
        <v>4.6656649000000003</v>
      </c>
      <c r="U347" s="10">
        <v>4.5902956000000001</v>
      </c>
      <c r="V347" s="10">
        <v>4.5147311999999999</v>
      </c>
      <c r="W347" s="10">
        <v>4.4407297000000003</v>
      </c>
      <c r="X347" s="10">
        <v>4.3690658999999998</v>
      </c>
      <c r="Y347" s="10">
        <v>4.3005145999999996</v>
      </c>
      <c r="Z347" s="10">
        <v>4.2358504999999997</v>
      </c>
      <c r="AA347" s="10">
        <v>4.1758483999999996</v>
      </c>
      <c r="AB347" s="10">
        <v>4.1210987000000001</v>
      </c>
      <c r="AC347" s="10">
        <v>4.0713378000000002</v>
      </c>
      <c r="AD347" s="10">
        <v>4.0260540999999996</v>
      </c>
      <c r="AE347" s="10">
        <v>3.9847362999999998</v>
      </c>
      <c r="AF347" s="10">
        <v>3.9468730999999999</v>
      </c>
      <c r="AG347" s="10">
        <v>3.9119530999999998</v>
      </c>
      <c r="AH347" s="10">
        <v>3.8795101999999999</v>
      </c>
      <c r="AI347" s="10">
        <v>3.8492997999999998</v>
      </c>
      <c r="AJ347" s="10">
        <v>3.8211445999999998</v>
      </c>
      <c r="AK347" s="10">
        <v>3.7948672999999999</v>
      </c>
      <c r="AL347" s="10">
        <v>3.7702906</v>
      </c>
      <c r="AM347" s="10">
        <v>3.7472371</v>
      </c>
      <c r="AN347" s="10">
        <v>3.7255297000000001</v>
      </c>
      <c r="AO347" s="10">
        <v>3.7049908999999999</v>
      </c>
      <c r="AP347" s="10">
        <v>3.6854434999999999</v>
      </c>
      <c r="AQ347" s="10">
        <v>3.6667101999999998</v>
      </c>
      <c r="AR347" s="10">
        <v>3.6486136999999998</v>
      </c>
      <c r="AS347" s="10">
        <v>3.6309767000000002</v>
      </c>
      <c r="AT347" s="10">
        <v>3.6136490999999999</v>
      </c>
      <c r="AU347" s="10">
        <v>3.5966019</v>
      </c>
      <c r="AV347" s="10">
        <v>3.5798391999999999</v>
      </c>
      <c r="AW347" s="10">
        <v>3.5633650000000001</v>
      </c>
      <c r="AX347" s="10">
        <v>3.5471835</v>
      </c>
      <c r="AY347" s="10">
        <v>3.5312988000000001</v>
      </c>
      <c r="AZ347" s="10">
        <v>3.5157150000000001</v>
      </c>
      <c r="BA347" s="10">
        <v>3.5004363000000001</v>
      </c>
      <c r="BB347" s="10">
        <v>3.4854668000000002</v>
      </c>
      <c r="BC347" s="10">
        <v>3.4708104999999998</v>
      </c>
      <c r="BD347" s="10">
        <v>3.4564716999999998</v>
      </c>
      <c r="BE347" s="10">
        <v>3.4424543000000001</v>
      </c>
      <c r="BF347" s="10">
        <v>3.4287638</v>
      </c>
      <c r="BG347" s="10">
        <v>3.4154105000000001</v>
      </c>
      <c r="BH347" s="10">
        <v>3.4024062000000002</v>
      </c>
      <c r="BI347" s="10">
        <v>3.3897626999999999</v>
      </c>
      <c r="BJ347" s="10">
        <v>3.3774918</v>
      </c>
      <c r="BK347" s="10">
        <v>3.3656052999999999</v>
      </c>
      <c r="BL347" s="10">
        <v>3.3541150000000002</v>
      </c>
      <c r="BM347" s="10">
        <v>3.3430327000000002</v>
      </c>
      <c r="BN347" s="10">
        <v>3.3323703</v>
      </c>
      <c r="BO347" s="10">
        <v>3.3221395</v>
      </c>
      <c r="BP347" s="10">
        <v>3.3123521</v>
      </c>
      <c r="BQ347" s="10">
        <v>3.3030200000000001</v>
      </c>
      <c r="BR347" s="10">
        <v>3.2568575000000002</v>
      </c>
      <c r="BS347" s="10">
        <v>3.2276620999999999</v>
      </c>
      <c r="BU347" s="7">
        <v>3.74</v>
      </c>
      <c r="BV347" s="7">
        <v>3.75</v>
      </c>
      <c r="BW347" s="9">
        <v>78.975899999999996</v>
      </c>
    </row>
    <row r="348" spans="1:75" x14ac:dyDescent="0.25">
      <c r="A348" s="6">
        <f t="shared" si="35"/>
        <v>45040</v>
      </c>
      <c r="B348" s="13">
        <f t="shared" si="30"/>
        <v>4</v>
      </c>
      <c r="C348" s="13">
        <f t="shared" si="31"/>
        <v>2023</v>
      </c>
      <c r="D348">
        <f t="shared" si="32"/>
        <v>202304</v>
      </c>
      <c r="E348">
        <f t="shared" si="33"/>
        <v>2</v>
      </c>
      <c r="F348">
        <f t="shared" si="34"/>
        <v>202302</v>
      </c>
      <c r="G348" t="s">
        <v>535</v>
      </c>
      <c r="H348" s="9">
        <v>4.25</v>
      </c>
      <c r="I348" s="9">
        <v>4.1772999999999998</v>
      </c>
      <c r="J348" s="10">
        <v>4.4180862999999997</v>
      </c>
      <c r="K348" s="10">
        <v>4.5537508999999998</v>
      </c>
      <c r="L348" s="10">
        <v>4.6870282999999997</v>
      </c>
      <c r="M348" s="10">
        <v>4.7943083</v>
      </c>
      <c r="N348" s="10">
        <v>4.8651803999999998</v>
      </c>
      <c r="O348" s="10">
        <v>4.9001371999999996</v>
      </c>
      <c r="P348" s="10">
        <v>4.9030224999999996</v>
      </c>
      <c r="Q348" s="10">
        <v>4.8806257999999998</v>
      </c>
      <c r="R348" s="10">
        <v>4.8393280000000001</v>
      </c>
      <c r="S348" s="10">
        <v>4.7851714999999997</v>
      </c>
      <c r="T348" s="10">
        <v>4.7226938000000001</v>
      </c>
      <c r="U348" s="10">
        <v>4.6552072999999998</v>
      </c>
      <c r="V348" s="10">
        <v>4.5857713000000002</v>
      </c>
      <c r="W348" s="10">
        <v>4.5159075</v>
      </c>
      <c r="X348" s="10">
        <v>4.4466771999999999</v>
      </c>
      <c r="Y348" s="10">
        <v>4.3791418999999996</v>
      </c>
      <c r="Z348" s="10">
        <v>4.3143627999999996</v>
      </c>
      <c r="AA348" s="10">
        <v>4.2534013000000002</v>
      </c>
      <c r="AB348" s="10">
        <v>4.1971125999999996</v>
      </c>
      <c r="AC348" s="10">
        <v>4.1453955000000002</v>
      </c>
      <c r="AD348" s="10">
        <v>4.0978713999999998</v>
      </c>
      <c r="AE348" s="10">
        <v>4.0541619999999998</v>
      </c>
      <c r="AF348" s="10">
        <v>4.0138888000000001</v>
      </c>
      <c r="AG348" s="10">
        <v>3.9766732</v>
      </c>
      <c r="AH348" s="10">
        <v>3.9421634999999999</v>
      </c>
      <c r="AI348" s="10">
        <v>3.9101246000000001</v>
      </c>
      <c r="AJ348" s="10">
        <v>3.8803540999999999</v>
      </c>
      <c r="AK348" s="10">
        <v>3.8526490999999998</v>
      </c>
      <c r="AL348" s="10">
        <v>3.8268072000000002</v>
      </c>
      <c r="AM348" s="10">
        <v>3.8026257999999999</v>
      </c>
      <c r="AN348" s="10">
        <v>3.7799021000000002</v>
      </c>
      <c r="AO348" s="10">
        <v>3.7584336999999999</v>
      </c>
      <c r="AP348" s="10">
        <v>3.7380179</v>
      </c>
      <c r="AQ348" s="10">
        <v>3.7184520000000001</v>
      </c>
      <c r="AR348" s="10">
        <v>3.6995336000000001</v>
      </c>
      <c r="AS348" s="10">
        <v>3.6810599000000002</v>
      </c>
      <c r="AT348" s="10">
        <v>3.6628612</v>
      </c>
      <c r="AU348" s="10">
        <v>3.6449132</v>
      </c>
      <c r="AV348" s="10">
        <v>3.6272313999999999</v>
      </c>
      <c r="AW348" s="10">
        <v>3.6098314999999999</v>
      </c>
      <c r="AX348" s="10">
        <v>3.5927292</v>
      </c>
      <c r="AY348" s="10">
        <v>3.5759400000000001</v>
      </c>
      <c r="AZ348" s="10">
        <v>3.5594796999999998</v>
      </c>
      <c r="BA348" s="10">
        <v>3.5433639000000001</v>
      </c>
      <c r="BB348" s="10">
        <v>3.5276082</v>
      </c>
      <c r="BC348" s="10">
        <v>3.5122282</v>
      </c>
      <c r="BD348" s="10">
        <v>3.4972397000000002</v>
      </c>
      <c r="BE348" s="10">
        <v>3.4826581999999999</v>
      </c>
      <c r="BF348" s="10">
        <v>3.4684987</v>
      </c>
      <c r="BG348" s="10">
        <v>3.4547729</v>
      </c>
      <c r="BH348" s="10">
        <v>3.4414910999999999</v>
      </c>
      <c r="BI348" s="10">
        <v>3.4286637</v>
      </c>
      <c r="BJ348" s="10">
        <v>3.4163013000000002</v>
      </c>
      <c r="BK348" s="10">
        <v>3.4044140999999999</v>
      </c>
      <c r="BL348" s="10">
        <v>3.3930126</v>
      </c>
      <c r="BM348" s="10">
        <v>3.3821072999999999</v>
      </c>
      <c r="BN348" s="10">
        <v>3.3717085</v>
      </c>
      <c r="BO348" s="10">
        <v>3.3618266999999999</v>
      </c>
      <c r="BP348" s="10">
        <v>3.3524721999999998</v>
      </c>
      <c r="BQ348" s="10">
        <v>3.3436555000000001</v>
      </c>
      <c r="BR348" s="10">
        <v>3.3019696000000001</v>
      </c>
      <c r="BS348" s="10">
        <v>3.2782026000000002</v>
      </c>
      <c r="BU348" s="7">
        <v>3.81</v>
      </c>
      <c r="BV348" s="7">
        <v>3.78</v>
      </c>
      <c r="BW348" s="9">
        <v>79.184100000000001</v>
      </c>
    </row>
    <row r="349" spans="1:75" x14ac:dyDescent="0.25">
      <c r="A349" s="6">
        <f t="shared" si="35"/>
        <v>45041</v>
      </c>
      <c r="B349" s="13">
        <f t="shared" si="30"/>
        <v>4</v>
      </c>
      <c r="C349" s="13">
        <f t="shared" si="31"/>
        <v>2023</v>
      </c>
      <c r="D349">
        <f t="shared" si="32"/>
        <v>202304</v>
      </c>
      <c r="E349">
        <f t="shared" si="33"/>
        <v>2</v>
      </c>
      <c r="F349">
        <f t="shared" si="34"/>
        <v>202302</v>
      </c>
      <c r="G349" t="s">
        <v>536</v>
      </c>
      <c r="H349" s="9">
        <v>4.25</v>
      </c>
      <c r="I349" s="9">
        <v>4.1773999999999996</v>
      </c>
      <c r="J349" s="10">
        <v>4.4212182000000002</v>
      </c>
      <c r="K349" s="10">
        <v>4.538564</v>
      </c>
      <c r="L349" s="10">
        <v>4.6552083</v>
      </c>
      <c r="M349" s="10">
        <v>4.7498453999999999</v>
      </c>
      <c r="N349" s="10">
        <v>4.8114062999999998</v>
      </c>
      <c r="O349" s="10">
        <v>4.8388016</v>
      </c>
      <c r="P349" s="10">
        <v>4.8348544999999996</v>
      </c>
      <c r="Q349" s="10">
        <v>4.8065220999999996</v>
      </c>
      <c r="R349" s="10">
        <v>4.7603657000000004</v>
      </c>
      <c r="S349" s="10">
        <v>4.7026259000000001</v>
      </c>
      <c r="T349" s="10">
        <v>4.6379431000000002</v>
      </c>
      <c r="U349" s="10">
        <v>4.5693726999999997</v>
      </c>
      <c r="V349" s="10">
        <v>4.4994858999999998</v>
      </c>
      <c r="W349" s="10">
        <v>4.4295850999999997</v>
      </c>
      <c r="X349" s="10">
        <v>4.3606075999999998</v>
      </c>
      <c r="Y349" s="10">
        <v>4.2934907000000004</v>
      </c>
      <c r="Z349" s="10">
        <v>4.2291715999999999</v>
      </c>
      <c r="AA349" s="10">
        <v>4.1685876999999998</v>
      </c>
      <c r="AB349" s="10">
        <v>4.1124879999999999</v>
      </c>
      <c r="AC349" s="10">
        <v>4.0607493000000003</v>
      </c>
      <c r="AD349" s="10">
        <v>4.0129951999999998</v>
      </c>
      <c r="AE349" s="10">
        <v>3.9688495000000001</v>
      </c>
      <c r="AF349" s="10">
        <v>3.9279359999999999</v>
      </c>
      <c r="AG349" s="10">
        <v>3.8898784000000002</v>
      </c>
      <c r="AH349" s="10">
        <v>3.8543324000000001</v>
      </c>
      <c r="AI349" s="10">
        <v>3.8210948</v>
      </c>
      <c r="AJ349" s="10">
        <v>3.7900011999999998</v>
      </c>
      <c r="AK349" s="10">
        <v>3.7608874999999999</v>
      </c>
      <c r="AL349" s="10">
        <v>3.7335891000000001</v>
      </c>
      <c r="AM349" s="10">
        <v>3.7079420000000001</v>
      </c>
      <c r="AN349" s="10">
        <v>3.6837816999999999</v>
      </c>
      <c r="AO349" s="10">
        <v>3.6609440000000002</v>
      </c>
      <c r="AP349" s="10">
        <v>3.6392644999999999</v>
      </c>
      <c r="AQ349" s="10">
        <v>3.6185789000000002</v>
      </c>
      <c r="AR349" s="10">
        <v>3.5987230000000001</v>
      </c>
      <c r="AS349" s="10">
        <v>3.5795324000000002</v>
      </c>
      <c r="AT349" s="10">
        <v>3.5608628000000002</v>
      </c>
      <c r="AU349" s="10">
        <v>3.5426768000000002</v>
      </c>
      <c r="AV349" s="10">
        <v>3.5249731</v>
      </c>
      <c r="AW349" s="10">
        <v>3.5077503000000001</v>
      </c>
      <c r="AX349" s="10">
        <v>3.4910071</v>
      </c>
      <c r="AY349" s="10">
        <v>3.4747423</v>
      </c>
      <c r="AZ349" s="10">
        <v>3.4589544000000001</v>
      </c>
      <c r="BA349" s="10">
        <v>3.4436420999999999</v>
      </c>
      <c r="BB349" s="10">
        <v>3.4288040999999998</v>
      </c>
      <c r="BC349" s="10">
        <v>3.4144391000000001</v>
      </c>
      <c r="BD349" s="10">
        <v>3.4005456999999999</v>
      </c>
      <c r="BE349" s="10">
        <v>3.3871226000000001</v>
      </c>
      <c r="BF349" s="10">
        <v>3.3741686</v>
      </c>
      <c r="BG349" s="10">
        <v>3.3616830000000002</v>
      </c>
      <c r="BH349" s="10">
        <v>3.3496652999999998</v>
      </c>
      <c r="BI349" s="10">
        <v>3.3381151</v>
      </c>
      <c r="BJ349" s="10">
        <v>3.327032</v>
      </c>
      <c r="BK349" s="10">
        <v>3.3164153999999999</v>
      </c>
      <c r="BL349" s="10">
        <v>3.3062648000000001</v>
      </c>
      <c r="BM349" s="10">
        <v>3.2965798999999998</v>
      </c>
      <c r="BN349" s="10">
        <v>3.2873600999999999</v>
      </c>
      <c r="BO349" s="10">
        <v>3.2786050000000002</v>
      </c>
      <c r="BP349" s="10">
        <v>3.2703139999999999</v>
      </c>
      <c r="BQ349" s="10">
        <v>3.2624867000000002</v>
      </c>
      <c r="BR349" s="10">
        <v>3.2250573</v>
      </c>
      <c r="BS349" s="10">
        <v>3.2031146000000001</v>
      </c>
      <c r="BU349" s="7">
        <v>3.73</v>
      </c>
      <c r="BV349" s="7">
        <v>3.69</v>
      </c>
      <c r="BW349" s="9">
        <v>79.024299999999997</v>
      </c>
    </row>
    <row r="350" spans="1:75" x14ac:dyDescent="0.25">
      <c r="A350" s="6">
        <f t="shared" si="35"/>
        <v>45042</v>
      </c>
      <c r="B350" s="13">
        <f t="shared" si="30"/>
        <v>4</v>
      </c>
      <c r="C350" s="13">
        <f t="shared" si="31"/>
        <v>2023</v>
      </c>
      <c r="D350">
        <f t="shared" si="32"/>
        <v>202304</v>
      </c>
      <c r="E350">
        <f t="shared" si="33"/>
        <v>2</v>
      </c>
      <c r="F350">
        <f t="shared" si="34"/>
        <v>202302</v>
      </c>
      <c r="G350" t="s">
        <v>537</v>
      </c>
      <c r="H350" s="9">
        <v>4.25</v>
      </c>
      <c r="I350" s="9">
        <v>4.1783999999999999</v>
      </c>
      <c r="J350" s="10">
        <v>4.4241849000000002</v>
      </c>
      <c r="K350" s="10">
        <v>4.5389888999999997</v>
      </c>
      <c r="L350" s="10">
        <v>4.6612894999999996</v>
      </c>
      <c r="M350" s="10">
        <v>4.7621981</v>
      </c>
      <c r="N350" s="10">
        <v>4.8270862000000001</v>
      </c>
      <c r="O350" s="10">
        <v>4.8560401000000004</v>
      </c>
      <c r="P350" s="10">
        <v>4.8522704000000001</v>
      </c>
      <c r="Q350" s="10">
        <v>4.8228754</v>
      </c>
      <c r="R350" s="10">
        <v>4.7749242000000001</v>
      </c>
      <c r="S350" s="10">
        <v>4.7148561999999998</v>
      </c>
      <c r="T350" s="10">
        <v>4.6474529999999996</v>
      </c>
      <c r="U350" s="10">
        <v>4.5760281000000003</v>
      </c>
      <c r="V350" s="10">
        <v>4.5035940999999999</v>
      </c>
      <c r="W350" s="10">
        <v>4.4314625000000003</v>
      </c>
      <c r="X350" s="10">
        <v>4.3604424000000002</v>
      </c>
      <c r="Y350" s="10">
        <v>4.2913427000000004</v>
      </c>
      <c r="Z350" s="10">
        <v>4.2249726000000001</v>
      </c>
      <c r="AA350" s="10">
        <v>4.1621411000000004</v>
      </c>
      <c r="AB350" s="10">
        <v>4.1035405000000003</v>
      </c>
      <c r="AC350" s="10">
        <v>4.0492026000000001</v>
      </c>
      <c r="AD350" s="10">
        <v>3.9989268</v>
      </c>
      <c r="AE350" s="10">
        <v>3.9525120999999999</v>
      </c>
      <c r="AF350" s="10">
        <v>3.9097577000000001</v>
      </c>
      <c r="AG350" s="10">
        <v>3.8704626000000002</v>
      </c>
      <c r="AH350" s="10">
        <v>3.8344228</v>
      </c>
      <c r="AI350" s="10">
        <v>3.8014169999999998</v>
      </c>
      <c r="AJ350" s="10">
        <v>3.7712180000000002</v>
      </c>
      <c r="AK350" s="10">
        <v>3.7435987000000002</v>
      </c>
      <c r="AL350" s="10">
        <v>3.7183321</v>
      </c>
      <c r="AM350" s="10">
        <v>3.6951909999999999</v>
      </c>
      <c r="AN350" s="10">
        <v>3.6739483000000002</v>
      </c>
      <c r="AO350" s="10">
        <v>3.6543770000000002</v>
      </c>
      <c r="AP350" s="10">
        <v>3.6362499000000001</v>
      </c>
      <c r="AQ350" s="10">
        <v>3.6193398999999999</v>
      </c>
      <c r="AR350" s="10">
        <v>3.6034199</v>
      </c>
      <c r="AS350" s="10">
        <v>3.5882627999999999</v>
      </c>
      <c r="AT350" s="10">
        <v>3.5736686</v>
      </c>
      <c r="AU350" s="10">
        <v>3.5595691999999999</v>
      </c>
      <c r="AV350" s="10">
        <v>3.5459369000000001</v>
      </c>
      <c r="AW350" s="10">
        <v>3.5327437000000002</v>
      </c>
      <c r="AX350" s="10">
        <v>3.5199617999999999</v>
      </c>
      <c r="AY350" s="10">
        <v>3.5075634999999998</v>
      </c>
      <c r="AZ350" s="10">
        <v>3.4955208</v>
      </c>
      <c r="BA350" s="10">
        <v>3.4838059000000001</v>
      </c>
      <c r="BB350" s="10">
        <v>3.472391</v>
      </c>
      <c r="BC350" s="10">
        <v>3.4612482</v>
      </c>
      <c r="BD350" s="10">
        <v>3.4503496999999999</v>
      </c>
      <c r="BE350" s="10">
        <v>3.4396677000000002</v>
      </c>
      <c r="BF350" s="10">
        <v>3.4291806</v>
      </c>
      <c r="BG350" s="10">
        <v>3.4188949000000002</v>
      </c>
      <c r="BH350" s="10">
        <v>3.4088248000000001</v>
      </c>
      <c r="BI350" s="10">
        <v>3.3989847000000002</v>
      </c>
      <c r="BJ350" s="10">
        <v>3.3893884999999999</v>
      </c>
      <c r="BK350" s="10">
        <v>3.3800506000000001</v>
      </c>
      <c r="BL350" s="10">
        <v>3.3709851999999998</v>
      </c>
      <c r="BM350" s="10">
        <v>3.3622065000000001</v>
      </c>
      <c r="BN350" s="10">
        <v>3.3537286000000002</v>
      </c>
      <c r="BO350" s="10">
        <v>3.3455658000000001</v>
      </c>
      <c r="BP350" s="10">
        <v>3.3377322999999999</v>
      </c>
      <c r="BQ350" s="10">
        <v>3.3302423999999999</v>
      </c>
      <c r="BR350" s="10">
        <v>3.2928858000000001</v>
      </c>
      <c r="BS350" s="10">
        <v>3.2688646000000001</v>
      </c>
      <c r="BU350" s="7">
        <v>3.77</v>
      </c>
      <c r="BV350" s="7">
        <v>3.74</v>
      </c>
      <c r="BW350" s="9">
        <v>79.224800000000002</v>
      </c>
    </row>
    <row r="351" spans="1:75" x14ac:dyDescent="0.25">
      <c r="A351" s="6">
        <f t="shared" si="35"/>
        <v>45043</v>
      </c>
      <c r="B351" s="13">
        <f t="shared" si="30"/>
        <v>4</v>
      </c>
      <c r="C351" s="13">
        <f t="shared" si="31"/>
        <v>2023</v>
      </c>
      <c r="D351">
        <f t="shared" si="32"/>
        <v>202304</v>
      </c>
      <c r="E351">
        <f t="shared" si="33"/>
        <v>2</v>
      </c>
      <c r="F351">
        <f t="shared" si="34"/>
        <v>202302</v>
      </c>
      <c r="G351" t="s">
        <v>538</v>
      </c>
      <c r="H351" s="9">
        <v>4.25</v>
      </c>
      <c r="I351" s="9">
        <v>4.1787000000000001</v>
      </c>
      <c r="J351" s="10">
        <v>4.4429562999999996</v>
      </c>
      <c r="K351" s="10">
        <v>4.5525707000000004</v>
      </c>
      <c r="L351" s="10">
        <v>4.6742184</v>
      </c>
      <c r="M351" s="10">
        <v>4.7772997000000004</v>
      </c>
      <c r="N351" s="10">
        <v>4.8452121000000004</v>
      </c>
      <c r="O351" s="10">
        <v>4.8773337999999997</v>
      </c>
      <c r="P351" s="10">
        <v>4.8771852000000004</v>
      </c>
      <c r="Q351" s="10">
        <v>4.8518264999999996</v>
      </c>
      <c r="R351" s="10">
        <v>4.8082174000000002</v>
      </c>
      <c r="S351" s="10">
        <v>4.7516524000000002</v>
      </c>
      <c r="T351" s="10">
        <v>4.6866909000000003</v>
      </c>
      <c r="U351" s="10">
        <v>4.6164668000000004</v>
      </c>
      <c r="V351" s="10">
        <v>4.5440889000000002</v>
      </c>
      <c r="W351" s="10">
        <v>4.4712703999999999</v>
      </c>
      <c r="X351" s="10">
        <v>4.3991916</v>
      </c>
      <c r="Y351" s="10">
        <v>4.3290322000000003</v>
      </c>
      <c r="Z351" s="10">
        <v>4.2619721000000004</v>
      </c>
      <c r="AA351" s="10">
        <v>4.1991911000000002</v>
      </c>
      <c r="AB351" s="10">
        <v>4.1416645000000001</v>
      </c>
      <c r="AC351" s="10">
        <v>4.0893198999999996</v>
      </c>
      <c r="AD351" s="10">
        <v>4.0417500000000004</v>
      </c>
      <c r="AE351" s="10">
        <v>3.9985476000000002</v>
      </c>
      <c r="AF351" s="10">
        <v>3.9593053999999999</v>
      </c>
      <c r="AG351" s="10">
        <v>3.923616</v>
      </c>
      <c r="AH351" s="10">
        <v>3.8910941000000001</v>
      </c>
      <c r="AI351" s="10">
        <v>3.8614606</v>
      </c>
      <c r="AJ351" s="10">
        <v>3.8344692</v>
      </c>
      <c r="AK351" s="10">
        <v>3.8098733999999999</v>
      </c>
      <c r="AL351" s="10">
        <v>3.7874265999999999</v>
      </c>
      <c r="AM351" s="10">
        <v>3.7668824000000001</v>
      </c>
      <c r="AN351" s="10">
        <v>3.7479942999999998</v>
      </c>
      <c r="AO351" s="10">
        <v>3.7305158999999999</v>
      </c>
      <c r="AP351" s="10">
        <v>3.7142005999999999</v>
      </c>
      <c r="AQ351" s="10">
        <v>3.6988020000000001</v>
      </c>
      <c r="AR351" s="10">
        <v>3.6840736000000001</v>
      </c>
      <c r="AS351" s="10">
        <v>3.6697688999999998</v>
      </c>
      <c r="AT351" s="10">
        <v>3.6556788</v>
      </c>
      <c r="AU351" s="10">
        <v>3.6417595999999999</v>
      </c>
      <c r="AV351" s="10">
        <v>3.6280128999999999</v>
      </c>
      <c r="AW351" s="10">
        <v>3.6144405000000002</v>
      </c>
      <c r="AX351" s="10">
        <v>3.6010439999999999</v>
      </c>
      <c r="AY351" s="10">
        <v>3.5878250999999999</v>
      </c>
      <c r="AZ351" s="10">
        <v>3.5747857000000001</v>
      </c>
      <c r="BA351" s="10">
        <v>3.5619274000000001</v>
      </c>
      <c r="BB351" s="10">
        <v>3.5492518999999998</v>
      </c>
      <c r="BC351" s="10">
        <v>3.5367609999999998</v>
      </c>
      <c r="BD351" s="10">
        <v>3.5244564</v>
      </c>
      <c r="BE351" s="10">
        <v>3.5123397999999999</v>
      </c>
      <c r="BF351" s="10">
        <v>3.5004154000000001</v>
      </c>
      <c r="BG351" s="10">
        <v>3.4886984999999999</v>
      </c>
      <c r="BH351" s="10">
        <v>3.4772074000000002</v>
      </c>
      <c r="BI351" s="10">
        <v>3.4659604000000002</v>
      </c>
      <c r="BJ351" s="10">
        <v>3.4549759</v>
      </c>
      <c r="BK351" s="10">
        <v>3.4442721999999999</v>
      </c>
      <c r="BL351" s="10">
        <v>3.4338677</v>
      </c>
      <c r="BM351" s="10">
        <v>3.4237806000000002</v>
      </c>
      <c r="BN351" s="10">
        <v>3.4140291999999999</v>
      </c>
      <c r="BO351" s="10">
        <v>3.4046319</v>
      </c>
      <c r="BP351" s="10">
        <v>3.3956070999999999</v>
      </c>
      <c r="BQ351" s="10">
        <v>3.3869729999999998</v>
      </c>
      <c r="BR351" s="10">
        <v>3.3438132</v>
      </c>
      <c r="BS351" s="10">
        <v>3.3157380999999999</v>
      </c>
      <c r="BU351" s="7">
        <v>3.81</v>
      </c>
      <c r="BV351" s="7">
        <v>3.8</v>
      </c>
      <c r="BW351" s="9">
        <v>79.387299999999996</v>
      </c>
    </row>
    <row r="352" spans="1:75" x14ac:dyDescent="0.25">
      <c r="A352" s="6">
        <f t="shared" si="35"/>
        <v>45044</v>
      </c>
      <c r="B352" s="13">
        <f t="shared" si="30"/>
        <v>4</v>
      </c>
      <c r="C352" s="13">
        <f t="shared" si="31"/>
        <v>2023</v>
      </c>
      <c r="D352">
        <f t="shared" si="32"/>
        <v>202304</v>
      </c>
      <c r="E352">
        <f t="shared" si="33"/>
        <v>2</v>
      </c>
      <c r="F352">
        <f t="shared" si="34"/>
        <v>202302</v>
      </c>
      <c r="G352" t="s">
        <v>539</v>
      </c>
      <c r="H352" s="9">
        <v>4.25</v>
      </c>
      <c r="I352" s="9">
        <v>4.1791999999999998</v>
      </c>
      <c r="J352" s="10">
        <v>4.4539</v>
      </c>
      <c r="K352" s="10">
        <v>4.5670419999999998</v>
      </c>
      <c r="L352" s="10">
        <v>4.6872726</v>
      </c>
      <c r="M352" s="10">
        <v>4.7892828999999999</v>
      </c>
      <c r="N352" s="10">
        <v>4.8569510999999999</v>
      </c>
      <c r="O352" s="10">
        <v>4.8875957999999997</v>
      </c>
      <c r="P352" s="10">
        <v>4.8841340999999998</v>
      </c>
      <c r="Q352" s="10">
        <v>4.8522344999999998</v>
      </c>
      <c r="R352" s="10">
        <v>4.7993737999999997</v>
      </c>
      <c r="S352" s="10">
        <v>4.7320450000000003</v>
      </c>
      <c r="T352" s="10">
        <v>4.6561548000000004</v>
      </c>
      <c r="U352" s="10">
        <v>4.5760379000000002</v>
      </c>
      <c r="V352" s="10">
        <v>4.4967673000000001</v>
      </c>
      <c r="W352" s="10">
        <v>4.4201734999999998</v>
      </c>
      <c r="X352" s="10">
        <v>4.3469233000000003</v>
      </c>
      <c r="Y352" s="10">
        <v>4.2776831</v>
      </c>
      <c r="Z352" s="10">
        <v>4.2131192000000004</v>
      </c>
      <c r="AA352" s="10">
        <v>4.1538982000000004</v>
      </c>
      <c r="AB352" s="10">
        <v>4.1005010000000004</v>
      </c>
      <c r="AC352" s="10">
        <v>4.0525481000000001</v>
      </c>
      <c r="AD352" s="10">
        <v>4.0094110000000001</v>
      </c>
      <c r="AE352" s="10">
        <v>3.9704609999999998</v>
      </c>
      <c r="AF352" s="10">
        <v>3.9350692999999999</v>
      </c>
      <c r="AG352" s="10">
        <v>3.9026073000000001</v>
      </c>
      <c r="AH352" s="10">
        <v>3.8725141999999999</v>
      </c>
      <c r="AI352" s="10">
        <v>3.8445285</v>
      </c>
      <c r="AJ352" s="10">
        <v>3.8184714999999998</v>
      </c>
      <c r="AK352" s="10">
        <v>3.7941646000000002</v>
      </c>
      <c r="AL352" s="10">
        <v>3.7714289999999999</v>
      </c>
      <c r="AM352" s="10">
        <v>3.7500859000000002</v>
      </c>
      <c r="AN352" s="10">
        <v>3.7299566999999998</v>
      </c>
      <c r="AO352" s="10">
        <v>3.7108626</v>
      </c>
      <c r="AP352" s="10">
        <v>3.6926247999999999</v>
      </c>
      <c r="AQ352" s="10">
        <v>3.6750647000000001</v>
      </c>
      <c r="AR352" s="10">
        <v>3.6580035999999998</v>
      </c>
      <c r="AS352" s="10">
        <v>3.6412626000000001</v>
      </c>
      <c r="AT352" s="10">
        <v>3.6246923</v>
      </c>
      <c r="AU352" s="10">
        <v>3.6082719999999999</v>
      </c>
      <c r="AV352" s="10">
        <v>3.5920166999999998</v>
      </c>
      <c r="AW352" s="10">
        <v>3.5759413000000002</v>
      </c>
      <c r="AX352" s="10">
        <v>3.5600605999999999</v>
      </c>
      <c r="AY352" s="10">
        <v>3.5443896000000001</v>
      </c>
      <c r="AZ352" s="10">
        <v>3.5289432999999999</v>
      </c>
      <c r="BA352" s="10">
        <v>3.5137364999999998</v>
      </c>
      <c r="BB352" s="10">
        <v>3.4987841999999998</v>
      </c>
      <c r="BC352" s="10">
        <v>3.4841012999999998</v>
      </c>
      <c r="BD352" s="10">
        <v>3.4697026000000002</v>
      </c>
      <c r="BE352" s="10">
        <v>3.4556032000000001</v>
      </c>
      <c r="BF352" s="10">
        <v>3.4418179000000002</v>
      </c>
      <c r="BG352" s="10">
        <v>3.4283613000000002</v>
      </c>
      <c r="BH352" s="10">
        <v>3.4152477999999999</v>
      </c>
      <c r="BI352" s="10">
        <v>3.4024918</v>
      </c>
      <c r="BJ352" s="10">
        <v>3.3901080000000001</v>
      </c>
      <c r="BK352" s="10">
        <v>3.3781107000000001</v>
      </c>
      <c r="BL352" s="10">
        <v>3.3665145000000001</v>
      </c>
      <c r="BM352" s="10">
        <v>3.3553337000000001</v>
      </c>
      <c r="BN352" s="10">
        <v>3.3445830000000001</v>
      </c>
      <c r="BO352" s="10">
        <v>3.3342768</v>
      </c>
      <c r="BP352" s="10">
        <v>3.3244294999999999</v>
      </c>
      <c r="BQ352" s="10">
        <v>3.3150556999999998</v>
      </c>
      <c r="BR352" s="10">
        <v>3.2690397</v>
      </c>
      <c r="BS352" s="10">
        <v>3.2404901000000002</v>
      </c>
      <c r="BU352" s="7">
        <v>3.78</v>
      </c>
      <c r="BV352" s="7">
        <v>3.72</v>
      </c>
      <c r="BW352" s="9">
        <v>79.912000000000006</v>
      </c>
    </row>
    <row r="353" spans="1:75" x14ac:dyDescent="0.25">
      <c r="A353" s="6">
        <f t="shared" si="35"/>
        <v>45047</v>
      </c>
      <c r="B353" s="13">
        <f t="shared" si="30"/>
        <v>5</v>
      </c>
      <c r="C353" s="13">
        <f t="shared" si="31"/>
        <v>2023</v>
      </c>
      <c r="D353">
        <f t="shared" si="32"/>
        <v>202305</v>
      </c>
      <c r="E353">
        <f t="shared" si="33"/>
        <v>2</v>
      </c>
      <c r="F353">
        <f t="shared" si="34"/>
        <v>202302</v>
      </c>
      <c r="G353" t="s">
        <v>540</v>
      </c>
      <c r="H353" s="9">
        <v>4.25</v>
      </c>
      <c r="I353" s="9" t="e">
        <v>#N/A</v>
      </c>
      <c r="J353" s="10" t="e">
        <v>#N/A</v>
      </c>
      <c r="K353" s="10" t="e">
        <v>#N/A</v>
      </c>
      <c r="L353" s="10" t="e">
        <v>#N/A</v>
      </c>
      <c r="M353" s="10" t="e">
        <v>#N/A</v>
      </c>
      <c r="N353" s="10" t="e">
        <v>#N/A</v>
      </c>
      <c r="O353" s="10" t="e">
        <v>#N/A</v>
      </c>
      <c r="P353" s="10" t="e">
        <v>#N/A</v>
      </c>
      <c r="Q353" s="10" t="e">
        <v>#N/A</v>
      </c>
      <c r="R353" s="10" t="e">
        <v>#N/A</v>
      </c>
      <c r="S353" s="10" t="e">
        <v>#N/A</v>
      </c>
      <c r="T353" s="10" t="e">
        <v>#N/A</v>
      </c>
      <c r="U353" s="10" t="e">
        <v>#N/A</v>
      </c>
      <c r="V353" s="10" t="e">
        <v>#N/A</v>
      </c>
      <c r="W353" s="10" t="e">
        <v>#N/A</v>
      </c>
      <c r="X353" s="10" t="e">
        <v>#N/A</v>
      </c>
      <c r="Y353" s="10" t="e">
        <v>#N/A</v>
      </c>
      <c r="Z353" s="10" t="e">
        <v>#N/A</v>
      </c>
      <c r="AA353" s="10" t="e">
        <v>#N/A</v>
      </c>
      <c r="AB353" s="10" t="e">
        <v>#N/A</v>
      </c>
      <c r="AC353" s="10" t="e">
        <v>#N/A</v>
      </c>
      <c r="AD353" s="10" t="e">
        <v>#N/A</v>
      </c>
      <c r="AE353" s="10" t="e">
        <v>#N/A</v>
      </c>
      <c r="AF353" s="10" t="e">
        <v>#N/A</v>
      </c>
      <c r="AG353" s="10" t="e">
        <v>#N/A</v>
      </c>
      <c r="AH353" s="10" t="e">
        <v>#N/A</v>
      </c>
      <c r="AI353" s="10" t="e">
        <v>#N/A</v>
      </c>
      <c r="AJ353" s="10" t="e">
        <v>#N/A</v>
      </c>
      <c r="AK353" s="10" t="e">
        <v>#N/A</v>
      </c>
      <c r="AL353" s="10" t="e">
        <v>#N/A</v>
      </c>
      <c r="AM353" s="10" t="e">
        <v>#N/A</v>
      </c>
      <c r="AN353" s="10" t="e">
        <v>#N/A</v>
      </c>
      <c r="AO353" s="10" t="e">
        <v>#N/A</v>
      </c>
      <c r="AP353" s="10" t="e">
        <v>#N/A</v>
      </c>
      <c r="AQ353" s="10" t="e">
        <v>#N/A</v>
      </c>
      <c r="AR353" s="10" t="e">
        <v>#N/A</v>
      </c>
      <c r="AS353" s="10" t="e">
        <v>#N/A</v>
      </c>
      <c r="AT353" s="10" t="e">
        <v>#N/A</v>
      </c>
      <c r="AU353" s="10" t="e">
        <v>#N/A</v>
      </c>
      <c r="AV353" s="10" t="e">
        <v>#N/A</v>
      </c>
      <c r="AW353" s="10" t="e">
        <v>#N/A</v>
      </c>
      <c r="AX353" s="10" t="e">
        <v>#N/A</v>
      </c>
      <c r="AY353" s="10" t="e">
        <v>#N/A</v>
      </c>
      <c r="AZ353" s="10" t="e">
        <v>#N/A</v>
      </c>
      <c r="BA353" s="10" t="e">
        <v>#N/A</v>
      </c>
      <c r="BB353" s="10" t="e">
        <v>#N/A</v>
      </c>
      <c r="BC353" s="10" t="e">
        <v>#N/A</v>
      </c>
      <c r="BD353" s="10" t="e">
        <v>#N/A</v>
      </c>
      <c r="BE353" s="10" t="e">
        <v>#N/A</v>
      </c>
      <c r="BF353" s="10" t="e">
        <v>#N/A</v>
      </c>
      <c r="BG353" s="10" t="e">
        <v>#N/A</v>
      </c>
      <c r="BH353" s="10" t="e">
        <v>#N/A</v>
      </c>
      <c r="BI353" s="10" t="e">
        <v>#N/A</v>
      </c>
      <c r="BJ353" s="10" t="e">
        <v>#N/A</v>
      </c>
      <c r="BK353" s="10" t="e">
        <v>#N/A</v>
      </c>
      <c r="BL353" s="10" t="e">
        <v>#N/A</v>
      </c>
      <c r="BM353" s="10" t="e">
        <v>#N/A</v>
      </c>
      <c r="BN353" s="10" t="e">
        <v>#N/A</v>
      </c>
      <c r="BO353" s="10" t="e">
        <v>#N/A</v>
      </c>
      <c r="BP353" s="10" t="e">
        <v>#N/A</v>
      </c>
      <c r="BQ353" s="10" t="e">
        <v>#N/A</v>
      </c>
      <c r="BR353" s="10" t="e">
        <v>#N/A</v>
      </c>
      <c r="BS353" s="10" t="e">
        <v>#N/A</v>
      </c>
      <c r="BU353" s="7">
        <v>3.78</v>
      </c>
      <c r="BV353" s="7" t="e">
        <v>#N/A</v>
      </c>
      <c r="BW353" s="9" t="e">
        <v>#N/A</v>
      </c>
    </row>
    <row r="354" spans="1:75" x14ac:dyDescent="0.25">
      <c r="A354" s="6">
        <f t="shared" si="35"/>
        <v>45048</v>
      </c>
      <c r="B354" s="13">
        <f t="shared" si="30"/>
        <v>5</v>
      </c>
      <c r="C354" s="13">
        <f t="shared" si="31"/>
        <v>2023</v>
      </c>
      <c r="D354">
        <f t="shared" si="32"/>
        <v>202305</v>
      </c>
      <c r="E354">
        <f t="shared" si="33"/>
        <v>2</v>
      </c>
      <c r="F354">
        <f t="shared" si="34"/>
        <v>202302</v>
      </c>
      <c r="G354" t="s">
        <v>541</v>
      </c>
      <c r="H354" s="9">
        <v>4.25</v>
      </c>
      <c r="I354" s="9">
        <v>4.1791999999999998</v>
      </c>
      <c r="J354" s="10">
        <v>4.4348150000000004</v>
      </c>
      <c r="K354" s="10">
        <v>4.5492879999999998</v>
      </c>
      <c r="L354" s="10">
        <v>4.6637842000000003</v>
      </c>
      <c r="M354" s="10">
        <v>4.7551607999999996</v>
      </c>
      <c r="N354" s="10">
        <v>4.8089829999999996</v>
      </c>
      <c r="O354" s="10">
        <v>4.8259027000000003</v>
      </c>
      <c r="P354" s="10">
        <v>4.8108547000000002</v>
      </c>
      <c r="Q354" s="10">
        <v>4.7720175999999999</v>
      </c>
      <c r="R354" s="10">
        <v>4.7172086000000002</v>
      </c>
      <c r="S354" s="10">
        <v>4.6529429000000002</v>
      </c>
      <c r="T354" s="10">
        <v>4.5840603</v>
      </c>
      <c r="U354" s="10">
        <v>4.5135791999999997</v>
      </c>
      <c r="V354" s="10">
        <v>4.4441449999999998</v>
      </c>
      <c r="W354" s="10">
        <v>4.3766204000000002</v>
      </c>
      <c r="X354" s="10">
        <v>4.3113324999999998</v>
      </c>
      <c r="Y354" s="10">
        <v>4.2486058</v>
      </c>
      <c r="Z354" s="10">
        <v>4.1887651999999997</v>
      </c>
      <c r="AA354" s="10">
        <v>4.1321374999999998</v>
      </c>
      <c r="AB354" s="10">
        <v>4.0789914999999999</v>
      </c>
      <c r="AC354" s="10">
        <v>4.0292447999999998</v>
      </c>
      <c r="AD354" s="10">
        <v>3.9826809000000001</v>
      </c>
      <c r="AE354" s="10">
        <v>3.9390811999999999</v>
      </c>
      <c r="AF354" s="10">
        <v>3.8982272</v>
      </c>
      <c r="AG354" s="10">
        <v>3.8599019999999999</v>
      </c>
      <c r="AH354" s="10">
        <v>3.8239003</v>
      </c>
      <c r="AI354" s="10">
        <v>3.7900754000000001</v>
      </c>
      <c r="AJ354" s="10">
        <v>3.7582979999999999</v>
      </c>
      <c r="AK354" s="10">
        <v>3.7284373</v>
      </c>
      <c r="AL354" s="10">
        <v>3.7003629</v>
      </c>
      <c r="AM354" s="10">
        <v>3.6739453000000002</v>
      </c>
      <c r="AN354" s="10">
        <v>3.6490537999999999</v>
      </c>
      <c r="AO354" s="10">
        <v>3.6255579999999998</v>
      </c>
      <c r="AP354" s="10">
        <v>3.6033282999999998</v>
      </c>
      <c r="AQ354" s="10">
        <v>3.5822341999999998</v>
      </c>
      <c r="AR354" s="10">
        <v>3.5621451999999998</v>
      </c>
      <c r="AS354" s="10">
        <v>3.5429317</v>
      </c>
      <c r="AT354" s="10">
        <v>3.5244746999999998</v>
      </c>
      <c r="AU354" s="10">
        <v>3.5067249</v>
      </c>
      <c r="AV354" s="10">
        <v>3.4896588999999998</v>
      </c>
      <c r="AW354" s="10">
        <v>3.4732528999999999</v>
      </c>
      <c r="AX354" s="10">
        <v>3.4574831000000001</v>
      </c>
      <c r="AY354" s="10">
        <v>3.4423260999999998</v>
      </c>
      <c r="AZ354" s="10">
        <v>3.4277581000000001</v>
      </c>
      <c r="BA354" s="10">
        <v>3.4137553999999999</v>
      </c>
      <c r="BB354" s="10">
        <v>3.4002945000000002</v>
      </c>
      <c r="BC354" s="10">
        <v>3.3873516000000001</v>
      </c>
      <c r="BD354" s="10">
        <v>3.3749031</v>
      </c>
      <c r="BE354" s="10">
        <v>3.3629254</v>
      </c>
      <c r="BF354" s="10">
        <v>3.3513974000000002</v>
      </c>
      <c r="BG354" s="10">
        <v>3.3403122999999999</v>
      </c>
      <c r="BH354" s="10">
        <v>3.3296682</v>
      </c>
      <c r="BI354" s="10">
        <v>3.3194631000000001</v>
      </c>
      <c r="BJ354" s="10">
        <v>3.3096947999999999</v>
      </c>
      <c r="BK354" s="10">
        <v>3.3003615000000002</v>
      </c>
      <c r="BL354" s="10">
        <v>3.2914612000000001</v>
      </c>
      <c r="BM354" s="10">
        <v>3.2829917000000002</v>
      </c>
      <c r="BN354" s="10">
        <v>3.2749513000000001</v>
      </c>
      <c r="BO354" s="10">
        <v>3.2673378</v>
      </c>
      <c r="BP354" s="10">
        <v>3.2601491</v>
      </c>
      <c r="BQ354" s="10">
        <v>3.2533834000000001</v>
      </c>
      <c r="BR354" s="10">
        <v>3.2214507000000001</v>
      </c>
      <c r="BS354" s="10">
        <v>3.2035776999999999</v>
      </c>
      <c r="BU354" s="7">
        <v>3.73</v>
      </c>
      <c r="BV354" s="7">
        <v>3.66</v>
      </c>
      <c r="BW354" s="9">
        <v>79.501900000000006</v>
      </c>
    </row>
    <row r="355" spans="1:75" x14ac:dyDescent="0.25">
      <c r="A355" s="6">
        <f t="shared" si="35"/>
        <v>45049</v>
      </c>
      <c r="B355" s="13">
        <f t="shared" si="30"/>
        <v>5</v>
      </c>
      <c r="C355" s="13">
        <f t="shared" si="31"/>
        <v>2023</v>
      </c>
      <c r="D355">
        <f t="shared" si="32"/>
        <v>202305</v>
      </c>
      <c r="E355">
        <f t="shared" si="33"/>
        <v>2</v>
      </c>
      <c r="F355">
        <f t="shared" si="34"/>
        <v>202302</v>
      </c>
      <c r="G355" t="s">
        <v>542</v>
      </c>
      <c r="H355" s="9">
        <v>4.25</v>
      </c>
      <c r="I355" s="9">
        <v>4.1778000000000004</v>
      </c>
      <c r="J355" s="10">
        <v>4.4383134000000002</v>
      </c>
      <c r="K355" s="10">
        <v>4.5600607000000002</v>
      </c>
      <c r="L355" s="10">
        <v>4.6791163999999998</v>
      </c>
      <c r="M355" s="10">
        <v>4.7732755999999998</v>
      </c>
      <c r="N355" s="10">
        <v>4.8302019999999999</v>
      </c>
      <c r="O355" s="10">
        <v>4.8514590000000002</v>
      </c>
      <c r="P355" s="10">
        <v>4.8418450000000002</v>
      </c>
      <c r="Q355" s="10">
        <v>4.8084349</v>
      </c>
      <c r="R355" s="10">
        <v>4.7585291999999999</v>
      </c>
      <c r="S355" s="10">
        <v>4.6981748999999997</v>
      </c>
      <c r="T355" s="10">
        <v>4.6322865999999996</v>
      </c>
      <c r="U355" s="10">
        <v>4.5638912999999999</v>
      </c>
      <c r="V355" s="10">
        <v>4.4955986000000001</v>
      </c>
      <c r="W355" s="10">
        <v>4.4283231000000001</v>
      </c>
      <c r="X355" s="10">
        <v>4.3624707000000003</v>
      </c>
      <c r="Y355" s="10">
        <v>4.2984447000000001</v>
      </c>
      <c r="Z355" s="10">
        <v>4.2366485000000003</v>
      </c>
      <c r="AA355" s="10">
        <v>4.1774877999999998</v>
      </c>
      <c r="AB355" s="10">
        <v>4.1213145000000004</v>
      </c>
      <c r="AC355" s="10">
        <v>4.0681878999999999</v>
      </c>
      <c r="AD355" s="10">
        <v>4.0180664999999998</v>
      </c>
      <c r="AE355" s="10">
        <v>3.9709067</v>
      </c>
      <c r="AF355" s="10">
        <v>3.9266651000000001</v>
      </c>
      <c r="AG355" s="10">
        <v>3.8852997</v>
      </c>
      <c r="AH355" s="10">
        <v>3.8467533</v>
      </c>
      <c r="AI355" s="10">
        <v>3.8108865000000001</v>
      </c>
      <c r="AJ355" s="10">
        <v>3.7775306</v>
      </c>
      <c r="AK355" s="10">
        <v>3.7465158000000001</v>
      </c>
      <c r="AL355" s="10">
        <v>3.7176722999999998</v>
      </c>
      <c r="AM355" s="10">
        <v>3.6908314</v>
      </c>
      <c r="AN355" s="10">
        <v>3.6658230999999999</v>
      </c>
      <c r="AO355" s="10">
        <v>3.6424778999999998</v>
      </c>
      <c r="AP355" s="10">
        <v>3.6206268000000001</v>
      </c>
      <c r="AQ355" s="10">
        <v>3.6001001000000001</v>
      </c>
      <c r="AR355" s="10">
        <v>3.5807281</v>
      </c>
      <c r="AS355" s="10">
        <v>3.5623418999999998</v>
      </c>
      <c r="AT355" s="10">
        <v>3.5447874000000001</v>
      </c>
      <c r="AU355" s="10">
        <v>3.5279954999999998</v>
      </c>
      <c r="AV355" s="10">
        <v>3.5119261000000002</v>
      </c>
      <c r="AW355" s="10">
        <v>3.4965383999999999</v>
      </c>
      <c r="AX355" s="10">
        <v>3.4817917999999999</v>
      </c>
      <c r="AY355" s="10">
        <v>3.4676461000000001</v>
      </c>
      <c r="AZ355" s="10">
        <v>3.4540605000000002</v>
      </c>
      <c r="BA355" s="10">
        <v>3.4409945</v>
      </c>
      <c r="BB355" s="10">
        <v>3.4284077000000002</v>
      </c>
      <c r="BC355" s="10">
        <v>3.4162596000000001</v>
      </c>
      <c r="BD355" s="10">
        <v>3.4045093999999998</v>
      </c>
      <c r="BE355" s="10">
        <v>3.3931168999999999</v>
      </c>
      <c r="BF355" s="10">
        <v>3.3820477000000002</v>
      </c>
      <c r="BG355" s="10">
        <v>3.3712982</v>
      </c>
      <c r="BH355" s="10">
        <v>3.3608745999999998</v>
      </c>
      <c r="BI355" s="10">
        <v>3.3507823999999999</v>
      </c>
      <c r="BJ355" s="10">
        <v>3.3410274000000002</v>
      </c>
      <c r="BK355" s="10">
        <v>3.3316157999999998</v>
      </c>
      <c r="BL355" s="10">
        <v>3.3225530999999999</v>
      </c>
      <c r="BM355" s="10">
        <v>3.3138451999999998</v>
      </c>
      <c r="BN355" s="10">
        <v>3.3054980999999999</v>
      </c>
      <c r="BO355" s="10">
        <v>3.2975175000000001</v>
      </c>
      <c r="BP355" s="10">
        <v>3.2899091</v>
      </c>
      <c r="BQ355" s="10">
        <v>3.2826789999999999</v>
      </c>
      <c r="BR355" s="10">
        <v>3.2473363000000002</v>
      </c>
      <c r="BS355" s="10">
        <v>3.2256626000000002</v>
      </c>
      <c r="BU355" s="7">
        <v>3.76</v>
      </c>
      <c r="BV355" s="7">
        <v>3.69</v>
      </c>
      <c r="BW355" s="9">
        <v>79.618899999999996</v>
      </c>
    </row>
    <row r="356" spans="1:75" x14ac:dyDescent="0.25">
      <c r="A356" s="6">
        <f t="shared" si="35"/>
        <v>45050</v>
      </c>
      <c r="B356" s="13">
        <f t="shared" si="30"/>
        <v>5</v>
      </c>
      <c r="C356" s="13">
        <f t="shared" si="31"/>
        <v>2023</v>
      </c>
      <c r="D356">
        <f t="shared" si="32"/>
        <v>202305</v>
      </c>
      <c r="E356">
        <f t="shared" si="33"/>
        <v>2</v>
      </c>
      <c r="F356">
        <f t="shared" si="34"/>
        <v>202302</v>
      </c>
      <c r="G356" t="s">
        <v>543</v>
      </c>
      <c r="H356" s="9">
        <v>4.25</v>
      </c>
      <c r="I356" s="9">
        <v>4.1779000000000002</v>
      </c>
      <c r="J356" s="10">
        <v>4.4228712999999997</v>
      </c>
      <c r="K356" s="10">
        <v>4.5241033000000002</v>
      </c>
      <c r="L356" s="10">
        <v>4.6154067999999997</v>
      </c>
      <c r="M356" s="10">
        <v>4.6872495000000001</v>
      </c>
      <c r="N356" s="10">
        <v>4.7285434999999998</v>
      </c>
      <c r="O356" s="10">
        <v>4.7369136999999997</v>
      </c>
      <c r="P356" s="10">
        <v>4.7151601999999997</v>
      </c>
      <c r="Q356" s="10">
        <v>4.6672419999999999</v>
      </c>
      <c r="R356" s="10">
        <v>4.5995182999999997</v>
      </c>
      <c r="S356" s="10">
        <v>4.5183517999999996</v>
      </c>
      <c r="T356" s="10">
        <v>4.4299679000000003</v>
      </c>
      <c r="U356" s="10">
        <v>4.3394884999999999</v>
      </c>
      <c r="V356" s="10">
        <v>4.2532432</v>
      </c>
      <c r="W356" s="10">
        <v>4.1732510999999999</v>
      </c>
      <c r="X356" s="10">
        <v>4.0996740000000003</v>
      </c>
      <c r="Y356" s="10">
        <v>4.0326681000000004</v>
      </c>
      <c r="Z356" s="10">
        <v>3.9723898000000002</v>
      </c>
      <c r="AA356" s="10">
        <v>3.9189976999999998</v>
      </c>
      <c r="AB356" s="10">
        <v>3.8725158999999998</v>
      </c>
      <c r="AC356" s="10">
        <v>3.8322919</v>
      </c>
      <c r="AD356" s="10">
        <v>3.7974581999999999</v>
      </c>
      <c r="AE356" s="10">
        <v>3.7671458000000002</v>
      </c>
      <c r="AF356" s="10">
        <v>3.7404860000000002</v>
      </c>
      <c r="AG356" s="10">
        <v>3.7166109000000001</v>
      </c>
      <c r="AH356" s="10">
        <v>3.6947391000000001</v>
      </c>
      <c r="AI356" s="10">
        <v>3.6745606999999998</v>
      </c>
      <c r="AJ356" s="10">
        <v>3.6559244</v>
      </c>
      <c r="AK356" s="10">
        <v>3.6386782000000002</v>
      </c>
      <c r="AL356" s="10">
        <v>3.6226702</v>
      </c>
      <c r="AM356" s="10">
        <v>3.6077492000000002</v>
      </c>
      <c r="AN356" s="10">
        <v>3.5937632000000002</v>
      </c>
      <c r="AO356" s="10">
        <v>3.5805604</v>
      </c>
      <c r="AP356" s="10">
        <v>3.5679894999999999</v>
      </c>
      <c r="AQ356" s="10">
        <v>3.5558985000000001</v>
      </c>
      <c r="AR356" s="10">
        <v>3.5441357</v>
      </c>
      <c r="AS356" s="10">
        <v>3.5325495999999998</v>
      </c>
      <c r="AT356" s="10">
        <v>3.5210113999999999</v>
      </c>
      <c r="AU356" s="10">
        <v>3.5095035999999999</v>
      </c>
      <c r="AV356" s="10">
        <v>3.4980435000000001</v>
      </c>
      <c r="AW356" s="10">
        <v>3.4866475000000001</v>
      </c>
      <c r="AX356" s="10">
        <v>3.4753324000000001</v>
      </c>
      <c r="AY356" s="10">
        <v>3.4641153</v>
      </c>
      <c r="AZ356" s="10">
        <v>3.4530128000000002</v>
      </c>
      <c r="BA356" s="10">
        <v>3.4420415000000002</v>
      </c>
      <c r="BB356" s="10">
        <v>3.4312185999999998</v>
      </c>
      <c r="BC356" s="10">
        <v>3.4205606999999998</v>
      </c>
      <c r="BD356" s="10">
        <v>3.4100845</v>
      </c>
      <c r="BE356" s="10">
        <v>3.399807</v>
      </c>
      <c r="BF356" s="10">
        <v>3.3897444999999999</v>
      </c>
      <c r="BG356" s="10">
        <v>3.3799117999999999</v>
      </c>
      <c r="BH356" s="10">
        <v>3.3703234000000002</v>
      </c>
      <c r="BI356" s="10">
        <v>3.3609936999999999</v>
      </c>
      <c r="BJ356" s="10">
        <v>3.3519369000000001</v>
      </c>
      <c r="BK356" s="10">
        <v>3.3431677</v>
      </c>
      <c r="BL356" s="10">
        <v>3.3347001999999999</v>
      </c>
      <c r="BM356" s="10">
        <v>3.3265489000000001</v>
      </c>
      <c r="BN356" s="10">
        <v>3.3187283000000001</v>
      </c>
      <c r="BO356" s="10">
        <v>3.3112526999999998</v>
      </c>
      <c r="BP356" s="10">
        <v>3.3041364</v>
      </c>
      <c r="BQ356" s="10">
        <v>3.2973940000000002</v>
      </c>
      <c r="BR356" s="10">
        <v>3.2650910999999998</v>
      </c>
      <c r="BS356" s="10">
        <v>3.2467831</v>
      </c>
      <c r="BU356" s="7">
        <v>3.68</v>
      </c>
      <c r="BV356" s="7">
        <v>3.66</v>
      </c>
      <c r="BW356" s="9">
        <v>79.976200000000006</v>
      </c>
    </row>
    <row r="357" spans="1:75" x14ac:dyDescent="0.25">
      <c r="A357" s="6">
        <f t="shared" si="35"/>
        <v>45051</v>
      </c>
      <c r="B357" s="13">
        <f t="shared" si="30"/>
        <v>5</v>
      </c>
      <c r="C357" s="13">
        <f t="shared" si="31"/>
        <v>2023</v>
      </c>
      <c r="D357">
        <f t="shared" si="32"/>
        <v>202305</v>
      </c>
      <c r="E357">
        <f t="shared" si="33"/>
        <v>2</v>
      </c>
      <c r="F357">
        <f t="shared" si="34"/>
        <v>202302</v>
      </c>
      <c r="G357" t="s">
        <v>544</v>
      </c>
      <c r="H357" s="9">
        <v>4.25</v>
      </c>
      <c r="I357" s="9">
        <v>4.1776999999999997</v>
      </c>
      <c r="J357" s="10">
        <v>4.4357769999999999</v>
      </c>
      <c r="K357" s="10">
        <v>4.5574954999999999</v>
      </c>
      <c r="L357" s="10">
        <v>4.671297</v>
      </c>
      <c r="M357" s="10">
        <v>4.7594054000000003</v>
      </c>
      <c r="N357" s="10">
        <v>4.8119953999999998</v>
      </c>
      <c r="O357" s="10">
        <v>4.8298632000000001</v>
      </c>
      <c r="P357" s="10">
        <v>4.8175119999999998</v>
      </c>
      <c r="Q357" s="10">
        <v>4.7809179999999998</v>
      </c>
      <c r="R357" s="10">
        <v>4.7270484000000002</v>
      </c>
      <c r="S357" s="10">
        <v>4.6622043</v>
      </c>
      <c r="T357" s="10">
        <v>4.5914359999999999</v>
      </c>
      <c r="U357" s="10">
        <v>4.5183825000000004</v>
      </c>
      <c r="V357" s="10">
        <v>4.4463466</v>
      </c>
      <c r="W357" s="10">
        <v>4.3765919000000002</v>
      </c>
      <c r="X357" s="10">
        <v>4.3096619</v>
      </c>
      <c r="Y357" s="10">
        <v>4.2460972999999997</v>
      </c>
      <c r="Z357" s="10">
        <v>4.1864388999999997</v>
      </c>
      <c r="AA357" s="10">
        <v>4.1312294999999999</v>
      </c>
      <c r="AB357" s="10">
        <v>4.0808812000000003</v>
      </c>
      <c r="AC357" s="10">
        <v>4.0351470000000003</v>
      </c>
      <c r="AD357" s="10">
        <v>3.9935711999999999</v>
      </c>
      <c r="AE357" s="10">
        <v>3.9556960999999999</v>
      </c>
      <c r="AF357" s="10">
        <v>3.9210642999999998</v>
      </c>
      <c r="AG357" s="10">
        <v>3.8892196000000001</v>
      </c>
      <c r="AH357" s="10">
        <v>3.8597443999999999</v>
      </c>
      <c r="AI357" s="10">
        <v>3.8324151</v>
      </c>
      <c r="AJ357" s="10">
        <v>3.8070680000000001</v>
      </c>
      <c r="AK357" s="10">
        <v>3.7835385000000001</v>
      </c>
      <c r="AL357" s="10">
        <v>3.7616622999999998</v>
      </c>
      <c r="AM357" s="10">
        <v>3.7412755</v>
      </c>
      <c r="AN357" s="10">
        <v>3.7222135999999999</v>
      </c>
      <c r="AO357" s="10">
        <v>3.7043121000000001</v>
      </c>
      <c r="AP357" s="10">
        <v>3.6874072999999998</v>
      </c>
      <c r="AQ357" s="10">
        <v>3.6713347000000001</v>
      </c>
      <c r="AR357" s="10">
        <v>3.6559298999999998</v>
      </c>
      <c r="AS357" s="10">
        <v>3.6410288</v>
      </c>
      <c r="AT357" s="10">
        <v>3.6264913999999999</v>
      </c>
      <c r="AU357" s="10">
        <v>3.6122839999999998</v>
      </c>
      <c r="AV357" s="10">
        <v>3.5984031000000001</v>
      </c>
      <c r="AW357" s="10">
        <v>3.5848444000000002</v>
      </c>
      <c r="AX357" s="10">
        <v>3.5716038999999999</v>
      </c>
      <c r="AY357" s="10">
        <v>3.5586779000000002</v>
      </c>
      <c r="AZ357" s="10">
        <v>3.5460623999999998</v>
      </c>
      <c r="BA357" s="10">
        <v>3.5337531000000002</v>
      </c>
      <c r="BB357" s="10">
        <v>3.5217466000000002</v>
      </c>
      <c r="BC357" s="10">
        <v>3.5100384999999998</v>
      </c>
      <c r="BD357" s="10">
        <v>3.4986248999999998</v>
      </c>
      <c r="BE357" s="10">
        <v>3.4875020999999999</v>
      </c>
      <c r="BF357" s="10">
        <v>3.4766680999999999</v>
      </c>
      <c r="BG357" s="10">
        <v>3.4661301</v>
      </c>
      <c r="BH357" s="10">
        <v>3.4558982999999999</v>
      </c>
      <c r="BI357" s="10">
        <v>3.4459824999999999</v>
      </c>
      <c r="BJ357" s="10">
        <v>3.4363926999999999</v>
      </c>
      <c r="BK357" s="10">
        <v>3.4271389000000001</v>
      </c>
      <c r="BL357" s="10">
        <v>3.4182309000000002</v>
      </c>
      <c r="BM357" s="10">
        <v>3.4096785999999999</v>
      </c>
      <c r="BN357" s="10">
        <v>3.4014921999999999</v>
      </c>
      <c r="BO357" s="10">
        <v>3.3936815</v>
      </c>
      <c r="BP357" s="10">
        <v>3.3862564000000002</v>
      </c>
      <c r="BQ357" s="10">
        <v>3.3792268999999999</v>
      </c>
      <c r="BR357" s="10">
        <v>3.3455832000000001</v>
      </c>
      <c r="BS357" s="10">
        <v>3.3266600999999998</v>
      </c>
      <c r="BU357" s="7">
        <v>3.77</v>
      </c>
      <c r="BV357" s="7">
        <v>3.77</v>
      </c>
      <c r="BW357" s="9">
        <v>80.219800000000006</v>
      </c>
    </row>
    <row r="358" spans="1:75" x14ac:dyDescent="0.25">
      <c r="A358" s="6">
        <f t="shared" si="35"/>
        <v>45054</v>
      </c>
      <c r="B358" s="13">
        <f t="shared" si="30"/>
        <v>5</v>
      </c>
      <c r="C358" s="13">
        <f t="shared" si="31"/>
        <v>2023</v>
      </c>
      <c r="D358">
        <f t="shared" si="32"/>
        <v>202305</v>
      </c>
      <c r="E358">
        <f t="shared" si="33"/>
        <v>2</v>
      </c>
      <c r="F358">
        <f t="shared" si="34"/>
        <v>202302</v>
      </c>
      <c r="G358" t="s">
        <v>545</v>
      </c>
      <c r="H358" s="9">
        <v>4.25</v>
      </c>
      <c r="I358" s="9" t="e">
        <v>#N/A</v>
      </c>
      <c r="J358" s="10" t="e">
        <v>#N/A</v>
      </c>
      <c r="K358" s="10" t="e">
        <v>#N/A</v>
      </c>
      <c r="L358" s="10" t="e">
        <v>#N/A</v>
      </c>
      <c r="M358" s="10" t="e">
        <v>#N/A</v>
      </c>
      <c r="N358" s="10" t="e">
        <v>#N/A</v>
      </c>
      <c r="O358" s="10" t="e">
        <v>#N/A</v>
      </c>
      <c r="P358" s="10" t="e">
        <v>#N/A</v>
      </c>
      <c r="Q358" s="10" t="e">
        <v>#N/A</v>
      </c>
      <c r="R358" s="10" t="e">
        <v>#N/A</v>
      </c>
      <c r="S358" s="10" t="e">
        <v>#N/A</v>
      </c>
      <c r="T358" s="10" t="e">
        <v>#N/A</v>
      </c>
      <c r="U358" s="10" t="e">
        <v>#N/A</v>
      </c>
      <c r="V358" s="10" t="e">
        <v>#N/A</v>
      </c>
      <c r="W358" s="10" t="e">
        <v>#N/A</v>
      </c>
      <c r="X358" s="10" t="e">
        <v>#N/A</v>
      </c>
      <c r="Y358" s="10" t="e">
        <v>#N/A</v>
      </c>
      <c r="Z358" s="10" t="e">
        <v>#N/A</v>
      </c>
      <c r="AA358" s="10" t="e">
        <v>#N/A</v>
      </c>
      <c r="AB358" s="10" t="e">
        <v>#N/A</v>
      </c>
      <c r="AC358" s="10" t="e">
        <v>#N/A</v>
      </c>
      <c r="AD358" s="10" t="e">
        <v>#N/A</v>
      </c>
      <c r="AE358" s="10" t="e">
        <v>#N/A</v>
      </c>
      <c r="AF358" s="10" t="e">
        <v>#N/A</v>
      </c>
      <c r="AG358" s="10" t="e">
        <v>#N/A</v>
      </c>
      <c r="AH358" s="10" t="e">
        <v>#N/A</v>
      </c>
      <c r="AI358" s="10" t="e">
        <v>#N/A</v>
      </c>
      <c r="AJ358" s="10" t="e">
        <v>#N/A</v>
      </c>
      <c r="AK358" s="10" t="e">
        <v>#N/A</v>
      </c>
      <c r="AL358" s="10" t="e">
        <v>#N/A</v>
      </c>
      <c r="AM358" s="10" t="e">
        <v>#N/A</v>
      </c>
      <c r="AN358" s="10" t="e">
        <v>#N/A</v>
      </c>
      <c r="AO358" s="10" t="e">
        <v>#N/A</v>
      </c>
      <c r="AP358" s="10" t="e">
        <v>#N/A</v>
      </c>
      <c r="AQ358" s="10" t="e">
        <v>#N/A</v>
      </c>
      <c r="AR358" s="10" t="e">
        <v>#N/A</v>
      </c>
      <c r="AS358" s="10" t="e">
        <v>#N/A</v>
      </c>
      <c r="AT358" s="10" t="e">
        <v>#N/A</v>
      </c>
      <c r="AU358" s="10" t="e">
        <v>#N/A</v>
      </c>
      <c r="AV358" s="10" t="e">
        <v>#N/A</v>
      </c>
      <c r="AW358" s="10" t="e">
        <v>#N/A</v>
      </c>
      <c r="AX358" s="10" t="e">
        <v>#N/A</v>
      </c>
      <c r="AY358" s="10" t="e">
        <v>#N/A</v>
      </c>
      <c r="AZ358" s="10" t="e">
        <v>#N/A</v>
      </c>
      <c r="BA358" s="10" t="e">
        <v>#N/A</v>
      </c>
      <c r="BB358" s="10" t="e">
        <v>#N/A</v>
      </c>
      <c r="BC358" s="10" t="e">
        <v>#N/A</v>
      </c>
      <c r="BD358" s="10" t="e">
        <v>#N/A</v>
      </c>
      <c r="BE358" s="10" t="e">
        <v>#N/A</v>
      </c>
      <c r="BF358" s="10" t="e">
        <v>#N/A</v>
      </c>
      <c r="BG358" s="10" t="e">
        <v>#N/A</v>
      </c>
      <c r="BH358" s="10" t="e">
        <v>#N/A</v>
      </c>
      <c r="BI358" s="10" t="e">
        <v>#N/A</v>
      </c>
      <c r="BJ358" s="10" t="e">
        <v>#N/A</v>
      </c>
      <c r="BK358" s="10" t="e">
        <v>#N/A</v>
      </c>
      <c r="BL358" s="10" t="e">
        <v>#N/A</v>
      </c>
      <c r="BM358" s="10" t="e">
        <v>#N/A</v>
      </c>
      <c r="BN358" s="10" t="e">
        <v>#N/A</v>
      </c>
      <c r="BO358" s="10" t="e">
        <v>#N/A</v>
      </c>
      <c r="BP358" s="10" t="e">
        <v>#N/A</v>
      </c>
      <c r="BQ358" s="10" t="e">
        <v>#N/A</v>
      </c>
      <c r="BR358" s="10" t="e">
        <v>#N/A</v>
      </c>
      <c r="BS358" s="10" t="e">
        <v>#N/A</v>
      </c>
      <c r="BU358" s="7">
        <v>3.78</v>
      </c>
      <c r="BV358" s="7" t="e">
        <v>#N/A</v>
      </c>
      <c r="BW358" s="9" t="e">
        <v>#N/A</v>
      </c>
    </row>
    <row r="359" spans="1:75" x14ac:dyDescent="0.25">
      <c r="A359" s="6">
        <f t="shared" si="35"/>
        <v>45055</v>
      </c>
      <c r="B359" s="13">
        <f t="shared" si="30"/>
        <v>5</v>
      </c>
      <c r="C359" s="13">
        <f t="shared" si="31"/>
        <v>2023</v>
      </c>
      <c r="D359">
        <f t="shared" si="32"/>
        <v>202305</v>
      </c>
      <c r="E359">
        <f t="shared" si="33"/>
        <v>2</v>
      </c>
      <c r="F359">
        <f t="shared" si="34"/>
        <v>202302</v>
      </c>
      <c r="G359" t="s">
        <v>546</v>
      </c>
      <c r="H359" s="9">
        <v>4.25</v>
      </c>
      <c r="I359" s="9">
        <v>4.1776999999999997</v>
      </c>
      <c r="J359" s="10">
        <v>4.4522899000000002</v>
      </c>
      <c r="K359" s="10">
        <v>4.5915045000000001</v>
      </c>
      <c r="L359" s="10">
        <v>4.7100603999999997</v>
      </c>
      <c r="M359" s="10">
        <v>4.7956820000000002</v>
      </c>
      <c r="N359" s="10">
        <v>4.8432646000000004</v>
      </c>
      <c r="O359" s="10">
        <v>4.8574942999999999</v>
      </c>
      <c r="P359" s="10">
        <v>4.8443478999999998</v>
      </c>
      <c r="Q359" s="10">
        <v>4.8112803</v>
      </c>
      <c r="R359" s="10">
        <v>4.7650898000000002</v>
      </c>
      <c r="S359" s="10">
        <v>4.7112866999999996</v>
      </c>
      <c r="T359" s="10">
        <v>4.6537329999999999</v>
      </c>
      <c r="U359" s="10">
        <v>4.5946064</v>
      </c>
      <c r="V359" s="10">
        <v>4.5353081</v>
      </c>
      <c r="W359" s="10">
        <v>4.4764797999999999</v>
      </c>
      <c r="X359" s="10">
        <v>4.4185720999999996</v>
      </c>
      <c r="Y359" s="10">
        <v>4.3620336000000002</v>
      </c>
      <c r="Z359" s="10">
        <v>4.3073126999999998</v>
      </c>
      <c r="AA359" s="10">
        <v>4.2548601000000001</v>
      </c>
      <c r="AB359" s="10">
        <v>4.2050695999999999</v>
      </c>
      <c r="AC359" s="10">
        <v>4.1579929</v>
      </c>
      <c r="AD359" s="10">
        <v>4.1135507999999996</v>
      </c>
      <c r="AE359" s="10">
        <v>4.0716622999999998</v>
      </c>
      <c r="AF359" s="10">
        <v>4.0322464</v>
      </c>
      <c r="AG359" s="10">
        <v>3.9952234</v>
      </c>
      <c r="AH359" s="10">
        <v>3.9605055999999998</v>
      </c>
      <c r="AI359" s="10">
        <v>3.9279760000000001</v>
      </c>
      <c r="AJ359" s="10">
        <v>3.8975100999999999</v>
      </c>
      <c r="AK359" s="10">
        <v>3.8689827000000001</v>
      </c>
      <c r="AL359" s="10">
        <v>3.8422684999999999</v>
      </c>
      <c r="AM359" s="10">
        <v>3.8172429999999999</v>
      </c>
      <c r="AN359" s="10">
        <v>3.7937810999999999</v>
      </c>
      <c r="AO359" s="10">
        <v>3.7717573</v>
      </c>
      <c r="AP359" s="10">
        <v>3.7510474</v>
      </c>
      <c r="AQ359" s="10">
        <v>3.7315258999999998</v>
      </c>
      <c r="AR359" s="10">
        <v>3.7130676999999999</v>
      </c>
      <c r="AS359" s="10">
        <v>3.6955483999999998</v>
      </c>
      <c r="AT359" s="10">
        <v>3.6788539999999998</v>
      </c>
      <c r="AU359" s="10">
        <v>3.6629326999999998</v>
      </c>
      <c r="AV359" s="10">
        <v>3.6477539000000001</v>
      </c>
      <c r="AW359" s="10">
        <v>3.6332863</v>
      </c>
      <c r="AX359" s="10">
        <v>3.6194988000000001</v>
      </c>
      <c r="AY359" s="10">
        <v>3.6063607000000002</v>
      </c>
      <c r="AZ359" s="10">
        <v>3.5938409</v>
      </c>
      <c r="BA359" s="10">
        <v>3.5819081000000002</v>
      </c>
      <c r="BB359" s="10">
        <v>3.5705317000000001</v>
      </c>
      <c r="BC359" s="10">
        <v>3.5596806000000001</v>
      </c>
      <c r="BD359" s="10">
        <v>3.5493234</v>
      </c>
      <c r="BE359" s="10">
        <v>3.5394296999999999</v>
      </c>
      <c r="BF359" s="10">
        <v>3.5299716999999999</v>
      </c>
      <c r="BG359" s="10">
        <v>3.5209396000000002</v>
      </c>
      <c r="BH359" s="10">
        <v>3.5123291999999999</v>
      </c>
      <c r="BI359" s="10">
        <v>3.5041359999999999</v>
      </c>
      <c r="BJ359" s="10">
        <v>3.4963554000000001</v>
      </c>
      <c r="BK359" s="10">
        <v>3.4889831</v>
      </c>
      <c r="BL359" s="10">
        <v>3.4820147000000001</v>
      </c>
      <c r="BM359" s="10">
        <v>3.4754456999999999</v>
      </c>
      <c r="BN359" s="10">
        <v>3.4692717000000002</v>
      </c>
      <c r="BO359" s="10">
        <v>3.4634882999999999</v>
      </c>
      <c r="BP359" s="10">
        <v>3.458091</v>
      </c>
      <c r="BQ359" s="10">
        <v>3.4530753999999999</v>
      </c>
      <c r="BR359" s="10">
        <v>3.4307240000000001</v>
      </c>
      <c r="BS359" s="10">
        <v>3.4208425</v>
      </c>
      <c r="BU359" s="7">
        <v>3.87</v>
      </c>
      <c r="BV359" s="7">
        <v>3.86</v>
      </c>
      <c r="BW359" s="9">
        <v>80.386899999999997</v>
      </c>
    </row>
    <row r="360" spans="1:75" x14ac:dyDescent="0.25">
      <c r="A360" s="6">
        <f t="shared" si="35"/>
        <v>45056</v>
      </c>
      <c r="B360" s="13">
        <f t="shared" si="30"/>
        <v>5</v>
      </c>
      <c r="C360" s="13">
        <f t="shared" si="31"/>
        <v>2023</v>
      </c>
      <c r="D360">
        <f t="shared" si="32"/>
        <v>202305</v>
      </c>
      <c r="E360">
        <f t="shared" si="33"/>
        <v>2</v>
      </c>
      <c r="F360">
        <f t="shared" si="34"/>
        <v>202302</v>
      </c>
      <c r="G360" t="s">
        <v>547</v>
      </c>
      <c r="H360" s="9">
        <v>4.25</v>
      </c>
      <c r="I360" s="9">
        <v>4.1775000000000002</v>
      </c>
      <c r="J360" s="10">
        <v>4.4572539000000004</v>
      </c>
      <c r="K360" s="10">
        <v>4.5862267000000001</v>
      </c>
      <c r="L360" s="10">
        <v>4.6952574</v>
      </c>
      <c r="M360" s="10">
        <v>4.7727126999999996</v>
      </c>
      <c r="N360" s="10">
        <v>4.8137790000000003</v>
      </c>
      <c r="O360" s="10">
        <v>4.8220418</v>
      </c>
      <c r="P360" s="10">
        <v>4.8029257999999997</v>
      </c>
      <c r="Q360" s="10">
        <v>4.7635833999999999</v>
      </c>
      <c r="R360" s="10">
        <v>4.7110022000000003</v>
      </c>
      <c r="S360" s="10">
        <v>4.6508019000000003</v>
      </c>
      <c r="T360" s="10">
        <v>4.5872745999999998</v>
      </c>
      <c r="U360" s="10">
        <v>4.5229109999999997</v>
      </c>
      <c r="V360" s="10">
        <v>4.4595867</v>
      </c>
      <c r="W360" s="10">
        <v>4.3978776000000002</v>
      </c>
      <c r="X360" s="10">
        <v>4.3379902000000001</v>
      </c>
      <c r="Y360" s="10">
        <v>4.2801292999999996</v>
      </c>
      <c r="Z360" s="10">
        <v>4.2244995000000003</v>
      </c>
      <c r="AA360" s="10">
        <v>4.1713073999999999</v>
      </c>
      <c r="AB360" s="10">
        <v>4.1207355000000003</v>
      </c>
      <c r="AC360" s="10">
        <v>4.0728413000000003</v>
      </c>
      <c r="AD360" s="10">
        <v>4.0276401000000002</v>
      </c>
      <c r="AE360" s="10">
        <v>3.9851451999999998</v>
      </c>
      <c r="AF360" s="10">
        <v>3.9453700999999999</v>
      </c>
      <c r="AG360" s="10">
        <v>3.9083299</v>
      </c>
      <c r="AH360" s="10">
        <v>3.8740155000000001</v>
      </c>
      <c r="AI360" s="10">
        <v>3.8422976000000002</v>
      </c>
      <c r="AJ360" s="10">
        <v>3.8130071999999999</v>
      </c>
      <c r="AK360" s="10">
        <v>3.7859742999999999</v>
      </c>
      <c r="AL360" s="10">
        <v>3.7610291</v>
      </c>
      <c r="AM360" s="10">
        <v>3.7380024000000001</v>
      </c>
      <c r="AN360" s="10">
        <v>3.7167243000000001</v>
      </c>
      <c r="AO360" s="10">
        <v>3.6970250999999998</v>
      </c>
      <c r="AP360" s="10">
        <v>3.6787353999999999</v>
      </c>
      <c r="AQ360" s="10">
        <v>3.6616854999999999</v>
      </c>
      <c r="AR360" s="10">
        <v>3.6457055</v>
      </c>
      <c r="AS360" s="10">
        <v>3.6306262</v>
      </c>
      <c r="AT360" s="10">
        <v>3.6162953</v>
      </c>
      <c r="AU360" s="10">
        <v>3.6026468999999999</v>
      </c>
      <c r="AV360" s="10">
        <v>3.5896412999999998</v>
      </c>
      <c r="AW360" s="10">
        <v>3.5772387999999999</v>
      </c>
      <c r="AX360" s="10">
        <v>3.5653991999999999</v>
      </c>
      <c r="AY360" s="10">
        <v>3.5540832</v>
      </c>
      <c r="AZ360" s="10">
        <v>3.5432508</v>
      </c>
      <c r="BA360" s="10">
        <v>3.5328621999999998</v>
      </c>
      <c r="BB360" s="10">
        <v>3.5228777</v>
      </c>
      <c r="BC360" s="10">
        <v>3.5132574000000001</v>
      </c>
      <c r="BD360" s="10">
        <v>3.5039615999999998</v>
      </c>
      <c r="BE360" s="10">
        <v>3.4949506000000001</v>
      </c>
      <c r="BF360" s="10">
        <v>3.4861917999999998</v>
      </c>
      <c r="BG360" s="10">
        <v>3.4776851999999998</v>
      </c>
      <c r="BH360" s="10">
        <v>3.4694395999999998</v>
      </c>
      <c r="BI360" s="10">
        <v>3.4614639999999999</v>
      </c>
      <c r="BJ360" s="10">
        <v>3.4537670999999999</v>
      </c>
      <c r="BK360" s="10">
        <v>3.4463579000000002</v>
      </c>
      <c r="BL360" s="10">
        <v>3.4392451999999998</v>
      </c>
      <c r="BM360" s="10">
        <v>3.4324378000000002</v>
      </c>
      <c r="BN360" s="10">
        <v>3.4259447000000001</v>
      </c>
      <c r="BO360" s="10">
        <v>3.4197747000000001</v>
      </c>
      <c r="BP360" s="10">
        <v>3.4139365000000002</v>
      </c>
      <c r="BQ360" s="10">
        <v>3.4084392999999999</v>
      </c>
      <c r="BR360" s="10">
        <v>3.3827419999999999</v>
      </c>
      <c r="BS360" s="10">
        <v>3.3692975999999999</v>
      </c>
      <c r="BU360" s="7">
        <v>3.83</v>
      </c>
      <c r="BV360" s="7">
        <v>3.8</v>
      </c>
      <c r="BW360" s="9">
        <v>80.317099999999996</v>
      </c>
    </row>
    <row r="361" spans="1:75" x14ac:dyDescent="0.25">
      <c r="A361" s="6">
        <f t="shared" si="35"/>
        <v>45057</v>
      </c>
      <c r="B361" s="13">
        <f t="shared" si="30"/>
        <v>5</v>
      </c>
      <c r="C361" s="13">
        <f t="shared" si="31"/>
        <v>2023</v>
      </c>
      <c r="D361">
        <f t="shared" si="32"/>
        <v>202305</v>
      </c>
      <c r="E361">
        <f t="shared" si="33"/>
        <v>2</v>
      </c>
      <c r="F361">
        <f t="shared" si="34"/>
        <v>202302</v>
      </c>
      <c r="G361" t="s">
        <v>548</v>
      </c>
      <c r="H361" s="9">
        <v>4.5</v>
      </c>
      <c r="I361" s="9">
        <v>4.4273999999999996</v>
      </c>
      <c r="J361" s="10">
        <v>4.4619768000000004</v>
      </c>
      <c r="K361" s="10">
        <v>4.5879808999999998</v>
      </c>
      <c r="L361" s="10">
        <v>4.6942665000000003</v>
      </c>
      <c r="M361" s="10">
        <v>4.7680601999999999</v>
      </c>
      <c r="N361" s="10">
        <v>4.8053698999999996</v>
      </c>
      <c r="O361" s="10">
        <v>4.8087491</v>
      </c>
      <c r="P361" s="10">
        <v>4.7835234</v>
      </c>
      <c r="Q361" s="10">
        <v>4.7352100000000004</v>
      </c>
      <c r="R361" s="10">
        <v>4.6706868000000004</v>
      </c>
      <c r="S361" s="10">
        <v>4.5958242</v>
      </c>
      <c r="T361" s="10">
        <v>4.5156280000000004</v>
      </c>
      <c r="U361" s="10">
        <v>4.4338141000000002</v>
      </c>
      <c r="V361" s="10">
        <v>4.3543438999999999</v>
      </c>
      <c r="W361" s="10">
        <v>4.2785532000000002</v>
      </c>
      <c r="X361" s="10">
        <v>4.2067845999999998</v>
      </c>
      <c r="Y361" s="10">
        <v>4.1393770999999999</v>
      </c>
      <c r="Z361" s="10">
        <v>4.07667</v>
      </c>
      <c r="AA361" s="10">
        <v>4.0190048000000003</v>
      </c>
      <c r="AB361" s="10">
        <v>3.9666177</v>
      </c>
      <c r="AC361" s="10">
        <v>3.9192178000000002</v>
      </c>
      <c r="AD361" s="10">
        <v>3.8763472000000001</v>
      </c>
      <c r="AE361" s="10">
        <v>3.8375463999999999</v>
      </c>
      <c r="AF361" s="10">
        <v>3.8023560999999999</v>
      </c>
      <c r="AG361" s="10">
        <v>3.7703180000000001</v>
      </c>
      <c r="AH361" s="10">
        <v>3.7410087000000001</v>
      </c>
      <c r="AI361" s="10">
        <v>3.7141809000000001</v>
      </c>
      <c r="AJ361" s="10">
        <v>3.6896415</v>
      </c>
      <c r="AK361" s="10">
        <v>3.6671965000000002</v>
      </c>
      <c r="AL361" s="10">
        <v>3.6466517999999999</v>
      </c>
      <c r="AM361" s="10">
        <v>3.6278144999999999</v>
      </c>
      <c r="AN361" s="10">
        <v>3.6104904000000002</v>
      </c>
      <c r="AO361" s="10">
        <v>3.5944858000000002</v>
      </c>
      <c r="AP361" s="10">
        <v>3.5796074</v>
      </c>
      <c r="AQ361" s="10">
        <v>3.5656612999999999</v>
      </c>
      <c r="AR361" s="10">
        <v>3.5524536000000002</v>
      </c>
      <c r="AS361" s="10">
        <v>3.5397911</v>
      </c>
      <c r="AT361" s="10">
        <v>3.5275072999999999</v>
      </c>
      <c r="AU361" s="10">
        <v>3.5155580999999998</v>
      </c>
      <c r="AV361" s="10">
        <v>3.5039330999999998</v>
      </c>
      <c r="AW361" s="10">
        <v>3.4926216000000001</v>
      </c>
      <c r="AX361" s="10">
        <v>3.4816129</v>
      </c>
      <c r="AY361" s="10">
        <v>3.4708966000000001</v>
      </c>
      <c r="AZ361" s="10">
        <v>3.4604621</v>
      </c>
      <c r="BA361" s="10">
        <v>3.4502985000000002</v>
      </c>
      <c r="BB361" s="10">
        <v>3.4403956999999998</v>
      </c>
      <c r="BC361" s="10">
        <v>3.4307428999999998</v>
      </c>
      <c r="BD361" s="10">
        <v>3.4213293</v>
      </c>
      <c r="BE361" s="10">
        <v>3.4121446999999998</v>
      </c>
      <c r="BF361" s="10">
        <v>3.4031820000000002</v>
      </c>
      <c r="BG361" s="10">
        <v>3.3944505999999999</v>
      </c>
      <c r="BH361" s="10">
        <v>3.3859645999999999</v>
      </c>
      <c r="BI361" s="10">
        <v>3.3777377999999998</v>
      </c>
      <c r="BJ361" s="10">
        <v>3.3697840999999999</v>
      </c>
      <c r="BK361" s="10">
        <v>3.3621175999999999</v>
      </c>
      <c r="BL361" s="10">
        <v>3.3547522000000001</v>
      </c>
      <c r="BM361" s="10">
        <v>3.3477017</v>
      </c>
      <c r="BN361" s="10">
        <v>3.3409802000000002</v>
      </c>
      <c r="BO361" s="10">
        <v>3.3346015000000002</v>
      </c>
      <c r="BP361" s="10">
        <v>3.3285797000000001</v>
      </c>
      <c r="BQ361" s="10">
        <v>3.3229286</v>
      </c>
      <c r="BR361" s="10">
        <v>3.2970993000000002</v>
      </c>
      <c r="BS361" s="10">
        <v>3.2851298</v>
      </c>
      <c r="BU361" s="7">
        <v>3.73</v>
      </c>
      <c r="BV361" s="7">
        <v>3.71</v>
      </c>
      <c r="BW361" s="9">
        <v>79.997100000000003</v>
      </c>
    </row>
    <row r="362" spans="1:75" x14ac:dyDescent="0.25">
      <c r="A362" s="6">
        <f t="shared" si="35"/>
        <v>45058</v>
      </c>
      <c r="B362" s="13">
        <f t="shared" si="30"/>
        <v>5</v>
      </c>
      <c r="C362" s="13">
        <f t="shared" si="31"/>
        <v>2023</v>
      </c>
      <c r="D362">
        <f t="shared" si="32"/>
        <v>202305</v>
      </c>
      <c r="E362">
        <f t="shared" si="33"/>
        <v>2</v>
      </c>
      <c r="F362">
        <f t="shared" si="34"/>
        <v>202302</v>
      </c>
      <c r="G362" t="s">
        <v>549</v>
      </c>
      <c r="H362" s="9">
        <v>4.5</v>
      </c>
      <c r="I362" s="9">
        <v>4.4276999999999997</v>
      </c>
      <c r="J362" s="10">
        <v>4.4681797999999997</v>
      </c>
      <c r="K362" s="10">
        <v>4.6102192000000004</v>
      </c>
      <c r="L362" s="10">
        <v>4.7250576999999998</v>
      </c>
      <c r="M362" s="10">
        <v>4.8054592999999999</v>
      </c>
      <c r="N362" s="10">
        <v>4.8489839999999997</v>
      </c>
      <c r="O362" s="10">
        <v>4.8585637999999998</v>
      </c>
      <c r="P362" s="10">
        <v>4.8393807999999998</v>
      </c>
      <c r="Q362" s="10">
        <v>4.7976331999999999</v>
      </c>
      <c r="R362" s="10">
        <v>4.7401717000000003</v>
      </c>
      <c r="S362" s="10">
        <v>4.6729696000000001</v>
      </c>
      <c r="T362" s="10">
        <v>4.6007866000000002</v>
      </c>
      <c r="U362" s="10">
        <v>4.5270185999999999</v>
      </c>
      <c r="V362" s="10">
        <v>4.4546815999999998</v>
      </c>
      <c r="W362" s="10">
        <v>4.3847999</v>
      </c>
      <c r="X362" s="10">
        <v>4.3177611999999996</v>
      </c>
      <c r="Y362" s="10">
        <v>4.2539503999999999</v>
      </c>
      <c r="Z362" s="10">
        <v>4.1937527000000001</v>
      </c>
      <c r="AA362" s="10">
        <v>4.1375554000000001</v>
      </c>
      <c r="AB362" s="10">
        <v>4.0856513000000003</v>
      </c>
      <c r="AC362" s="10">
        <v>4.0378607000000004</v>
      </c>
      <c r="AD362" s="10">
        <v>3.9938547</v>
      </c>
      <c r="AE362" s="10">
        <v>3.9533027999999999</v>
      </c>
      <c r="AF362" s="10">
        <v>3.9158742000000002</v>
      </c>
      <c r="AG362" s="10">
        <v>3.8812399000000002</v>
      </c>
      <c r="AH362" s="10">
        <v>3.8490947000000002</v>
      </c>
      <c r="AI362" s="10">
        <v>3.8192455000000001</v>
      </c>
      <c r="AJ362" s="10">
        <v>3.7915315000000001</v>
      </c>
      <c r="AK362" s="10">
        <v>3.7657904000000002</v>
      </c>
      <c r="AL362" s="10">
        <v>3.7418604000000002</v>
      </c>
      <c r="AM362" s="10">
        <v>3.7195801999999998</v>
      </c>
      <c r="AN362" s="10">
        <v>3.698788</v>
      </c>
      <c r="AO362" s="10">
        <v>3.6793217</v>
      </c>
      <c r="AP362" s="10">
        <v>3.6610201</v>
      </c>
      <c r="AQ362" s="10">
        <v>3.6437213000000002</v>
      </c>
      <c r="AR362" s="10">
        <v>3.6272633000000001</v>
      </c>
      <c r="AS362" s="10">
        <v>3.6114849000000002</v>
      </c>
      <c r="AT362" s="10">
        <v>3.5962464999999999</v>
      </c>
      <c r="AU362" s="10">
        <v>3.5815073000000002</v>
      </c>
      <c r="AV362" s="10">
        <v>3.5672543000000001</v>
      </c>
      <c r="AW362" s="10">
        <v>3.5534739000000002</v>
      </c>
      <c r="AX362" s="10">
        <v>3.5401525999999999</v>
      </c>
      <c r="AY362" s="10">
        <v>3.5272771999999999</v>
      </c>
      <c r="AZ362" s="10">
        <v>3.5148343999999998</v>
      </c>
      <c r="BA362" s="10">
        <v>3.5028104999999998</v>
      </c>
      <c r="BB362" s="10">
        <v>3.4911924000000001</v>
      </c>
      <c r="BC362" s="10">
        <v>3.4799666999999999</v>
      </c>
      <c r="BD362" s="10">
        <v>3.4691196999999998</v>
      </c>
      <c r="BE362" s="10">
        <v>3.4586385000000002</v>
      </c>
      <c r="BF362" s="10">
        <v>3.4485125000000001</v>
      </c>
      <c r="BG362" s="10">
        <v>3.4387454000000002</v>
      </c>
      <c r="BH362" s="10">
        <v>3.4293447000000001</v>
      </c>
      <c r="BI362" s="10">
        <v>3.4203177999999999</v>
      </c>
      <c r="BJ362" s="10">
        <v>3.4116719999999998</v>
      </c>
      <c r="BK362" s="10">
        <v>3.4034149999999999</v>
      </c>
      <c r="BL362" s="10">
        <v>3.3955540000000002</v>
      </c>
      <c r="BM362" s="10">
        <v>3.3880965000000001</v>
      </c>
      <c r="BN362" s="10">
        <v>3.3810500000000001</v>
      </c>
      <c r="BO362" s="10">
        <v>3.3744219000000002</v>
      </c>
      <c r="BP362" s="10">
        <v>3.3682196000000002</v>
      </c>
      <c r="BQ362" s="10">
        <v>3.3624505999999998</v>
      </c>
      <c r="BR362" s="10">
        <v>3.3369718000000002</v>
      </c>
      <c r="BS362" s="10">
        <v>3.326638</v>
      </c>
      <c r="BU362" s="7">
        <v>3.8</v>
      </c>
      <c r="BV362" s="7">
        <v>3.78</v>
      </c>
      <c r="BW362" s="9">
        <v>79.929400000000001</v>
      </c>
    </row>
    <row r="363" spans="1:75" x14ac:dyDescent="0.25">
      <c r="A363" s="6">
        <f t="shared" si="35"/>
        <v>45061</v>
      </c>
      <c r="B363" s="13">
        <f t="shared" si="30"/>
        <v>5</v>
      </c>
      <c r="C363" s="13">
        <f t="shared" si="31"/>
        <v>2023</v>
      </c>
      <c r="D363">
        <f t="shared" si="32"/>
        <v>202305</v>
      </c>
      <c r="E363">
        <f t="shared" si="33"/>
        <v>2</v>
      </c>
      <c r="F363">
        <f t="shared" si="34"/>
        <v>202302</v>
      </c>
      <c r="G363" t="s">
        <v>550</v>
      </c>
      <c r="H363" s="9">
        <v>4.5</v>
      </c>
      <c r="I363" s="9">
        <v>4.4273999999999996</v>
      </c>
      <c r="J363" s="10">
        <v>4.473687</v>
      </c>
      <c r="K363" s="10">
        <v>4.6229579000000003</v>
      </c>
      <c r="L363" s="10">
        <v>4.7382429000000004</v>
      </c>
      <c r="M363" s="10">
        <v>4.8138036</v>
      </c>
      <c r="N363" s="10">
        <v>4.8514606999999996</v>
      </c>
      <c r="O363" s="10">
        <v>4.8564658999999999</v>
      </c>
      <c r="P363" s="10">
        <v>4.8345839000000002</v>
      </c>
      <c r="Q363" s="10">
        <v>4.7924785999999999</v>
      </c>
      <c r="R363" s="10">
        <v>4.7366488999999996</v>
      </c>
      <c r="S363" s="10">
        <v>4.6726025</v>
      </c>
      <c r="T363" s="10">
        <v>4.6045502999999997</v>
      </c>
      <c r="U363" s="10">
        <v>4.5353364000000003</v>
      </c>
      <c r="V363" s="10">
        <v>4.4675427000000001</v>
      </c>
      <c r="W363" s="10">
        <v>4.4019453000000004</v>
      </c>
      <c r="X363" s="10">
        <v>4.3387843000000004</v>
      </c>
      <c r="Y363" s="10">
        <v>4.2782976000000001</v>
      </c>
      <c r="Z363" s="10">
        <v>4.2207229999999996</v>
      </c>
      <c r="AA363" s="10">
        <v>4.1663005999999996</v>
      </c>
      <c r="AB363" s="10">
        <v>4.1152139999999999</v>
      </c>
      <c r="AC363" s="10">
        <v>4.0673702</v>
      </c>
      <c r="AD363" s="10">
        <v>4.0225891999999996</v>
      </c>
      <c r="AE363" s="10">
        <v>3.9806892</v>
      </c>
      <c r="AF363" s="10">
        <v>3.9414886999999998</v>
      </c>
      <c r="AG363" s="10">
        <v>3.9048074000000002</v>
      </c>
      <c r="AH363" s="10">
        <v>3.8704721000000002</v>
      </c>
      <c r="AI363" s="10">
        <v>3.8383466999999998</v>
      </c>
      <c r="AJ363" s="10">
        <v>3.8083062999999999</v>
      </c>
      <c r="AK363" s="10">
        <v>3.7802251999999998</v>
      </c>
      <c r="AL363" s="10">
        <v>3.7539774000000001</v>
      </c>
      <c r="AM363" s="10">
        <v>3.729438</v>
      </c>
      <c r="AN363" s="10">
        <v>3.7064813000000001</v>
      </c>
      <c r="AO363" s="10">
        <v>3.6849813999999999</v>
      </c>
      <c r="AP363" s="10">
        <v>3.6648133000000001</v>
      </c>
      <c r="AQ363" s="10">
        <v>3.6458512000000001</v>
      </c>
      <c r="AR363" s="10">
        <v>3.6279694</v>
      </c>
      <c r="AS363" s="10">
        <v>3.6110427999999999</v>
      </c>
      <c r="AT363" s="10">
        <v>3.5949602000000001</v>
      </c>
      <c r="AU363" s="10">
        <v>3.5796744</v>
      </c>
      <c r="AV363" s="10">
        <v>3.5651567000000002</v>
      </c>
      <c r="AW363" s="10">
        <v>3.5513778</v>
      </c>
      <c r="AX363" s="10">
        <v>3.5383081000000001</v>
      </c>
      <c r="AY363" s="10">
        <v>3.525919</v>
      </c>
      <c r="AZ363" s="10">
        <v>3.5141808999999999</v>
      </c>
      <c r="BA363" s="10">
        <v>3.5030646999999999</v>
      </c>
      <c r="BB363" s="10">
        <v>3.4925413000000001</v>
      </c>
      <c r="BC363" s="10">
        <v>3.4825813999999999</v>
      </c>
      <c r="BD363" s="10">
        <v>3.4731557999999998</v>
      </c>
      <c r="BE363" s="10">
        <v>3.4642354000000002</v>
      </c>
      <c r="BF363" s="10">
        <v>3.4557935999999998</v>
      </c>
      <c r="BG363" s="10">
        <v>3.4478171999999998</v>
      </c>
      <c r="BH363" s="10">
        <v>3.4402982999999998</v>
      </c>
      <c r="BI363" s="10">
        <v>3.4332284</v>
      </c>
      <c r="BJ363" s="10">
        <v>3.4265990999999998</v>
      </c>
      <c r="BK363" s="10">
        <v>3.4204024</v>
      </c>
      <c r="BL363" s="10">
        <v>3.4146296999999999</v>
      </c>
      <c r="BM363" s="10">
        <v>3.4092728999999999</v>
      </c>
      <c r="BN363" s="10">
        <v>3.4043236000000001</v>
      </c>
      <c r="BO363" s="10">
        <v>3.3997736999999999</v>
      </c>
      <c r="BP363" s="10">
        <v>3.3956146</v>
      </c>
      <c r="BQ363" s="10">
        <v>3.3918382999999999</v>
      </c>
      <c r="BR363" s="10">
        <v>3.3767678000000001</v>
      </c>
      <c r="BS363" s="10">
        <v>3.3734823</v>
      </c>
      <c r="BU363" s="7">
        <v>3.83</v>
      </c>
      <c r="BV363" s="7">
        <v>3.82</v>
      </c>
      <c r="BW363" s="9">
        <v>80.164599999999993</v>
      </c>
    </row>
    <row r="364" spans="1:75" x14ac:dyDescent="0.25">
      <c r="A364" s="6">
        <f t="shared" si="35"/>
        <v>45062</v>
      </c>
      <c r="B364" s="13">
        <f t="shared" si="30"/>
        <v>5</v>
      </c>
      <c r="C364" s="13">
        <f t="shared" si="31"/>
        <v>2023</v>
      </c>
      <c r="D364">
        <f t="shared" si="32"/>
        <v>202305</v>
      </c>
      <c r="E364">
        <f t="shared" si="33"/>
        <v>2</v>
      </c>
      <c r="F364">
        <f t="shared" si="34"/>
        <v>202302</v>
      </c>
      <c r="G364" t="s">
        <v>551</v>
      </c>
      <c r="H364" s="9">
        <v>4.5</v>
      </c>
      <c r="I364" s="9">
        <v>4.4275000000000002</v>
      </c>
      <c r="J364" s="10">
        <v>4.4784819000000002</v>
      </c>
      <c r="K364" s="10">
        <v>4.6157943000000001</v>
      </c>
      <c r="L364" s="10">
        <v>4.7196904999999996</v>
      </c>
      <c r="M364" s="10">
        <v>4.7878667999999998</v>
      </c>
      <c r="N364" s="10">
        <v>4.8216679999999998</v>
      </c>
      <c r="O364" s="10">
        <v>4.8255581999999997</v>
      </c>
      <c r="P364" s="10">
        <v>4.8040273999999998</v>
      </c>
      <c r="Q364" s="10">
        <v>4.7632726999999999</v>
      </c>
      <c r="R364" s="10">
        <v>4.7094196000000004</v>
      </c>
      <c r="S364" s="10">
        <v>4.6479115999999996</v>
      </c>
      <c r="T364" s="10">
        <v>4.5830166999999999</v>
      </c>
      <c r="U364" s="10">
        <v>4.5174840999999999</v>
      </c>
      <c r="V364" s="10">
        <v>4.4532955000000003</v>
      </c>
      <c r="W364" s="10">
        <v>4.391051</v>
      </c>
      <c r="X364" s="10">
        <v>4.3309766999999999</v>
      </c>
      <c r="Y364" s="10">
        <v>4.2732960000000002</v>
      </c>
      <c r="Z364" s="10">
        <v>4.2182328</v>
      </c>
      <c r="AA364" s="10">
        <v>4.1660126000000002</v>
      </c>
      <c r="AB364" s="10">
        <v>4.116822</v>
      </c>
      <c r="AC364" s="10">
        <v>4.0706142999999999</v>
      </c>
      <c r="AD364" s="10">
        <v>4.0272544000000003</v>
      </c>
      <c r="AE364" s="10">
        <v>3.9866052000000001</v>
      </c>
      <c r="AF364" s="10">
        <v>3.9485298000000002</v>
      </c>
      <c r="AG364" s="10">
        <v>3.9128926000000002</v>
      </c>
      <c r="AH364" s="10">
        <v>3.8795568999999999</v>
      </c>
      <c r="AI364" s="10">
        <v>3.8483871000000001</v>
      </c>
      <c r="AJ364" s="10">
        <v>3.8192491</v>
      </c>
      <c r="AK364" s="10">
        <v>3.7920077000000001</v>
      </c>
      <c r="AL364" s="10">
        <v>3.7665275999999999</v>
      </c>
      <c r="AM364" s="10">
        <v>3.7426745000000001</v>
      </c>
      <c r="AN364" s="10">
        <v>3.7203132999999999</v>
      </c>
      <c r="AO364" s="10">
        <v>3.6993087</v>
      </c>
      <c r="AP364" s="10">
        <v>3.6795265000000001</v>
      </c>
      <c r="AQ364" s="10">
        <v>3.6608314000000002</v>
      </c>
      <c r="AR364" s="10">
        <v>3.6430883999999999</v>
      </c>
      <c r="AS364" s="10">
        <v>3.626163</v>
      </c>
      <c r="AT364" s="10">
        <v>3.6099334000000001</v>
      </c>
      <c r="AU364" s="10">
        <v>3.5943502000000001</v>
      </c>
      <c r="AV364" s="10">
        <v>3.5793887</v>
      </c>
      <c r="AW364" s="10">
        <v>3.5650236</v>
      </c>
      <c r="AX364" s="10">
        <v>3.5512296999999999</v>
      </c>
      <c r="AY364" s="10">
        <v>3.5379820999999998</v>
      </c>
      <c r="AZ364" s="10">
        <v>3.5252557000000002</v>
      </c>
      <c r="BA364" s="10">
        <v>3.5130252</v>
      </c>
      <c r="BB364" s="10">
        <v>3.5012658999999999</v>
      </c>
      <c r="BC364" s="10">
        <v>3.4899524</v>
      </c>
      <c r="BD364" s="10">
        <v>3.4790597000000001</v>
      </c>
      <c r="BE364" s="10">
        <v>3.4685627999999999</v>
      </c>
      <c r="BF364" s="10">
        <v>3.4584412000000002</v>
      </c>
      <c r="BG364" s="10">
        <v>3.4486967000000002</v>
      </c>
      <c r="BH364" s="10">
        <v>3.4393383000000002</v>
      </c>
      <c r="BI364" s="10">
        <v>3.4303745999999999</v>
      </c>
      <c r="BJ364" s="10">
        <v>3.4218142999999999</v>
      </c>
      <c r="BK364" s="10">
        <v>3.4136663999999999</v>
      </c>
      <c r="BL364" s="10">
        <v>3.4059395000000001</v>
      </c>
      <c r="BM364" s="10">
        <v>3.3986423000000001</v>
      </c>
      <c r="BN364" s="10">
        <v>3.3917837</v>
      </c>
      <c r="BO364" s="10">
        <v>3.3853724999999999</v>
      </c>
      <c r="BP364" s="10">
        <v>3.3794173000000001</v>
      </c>
      <c r="BQ364" s="10">
        <v>3.3739270000000001</v>
      </c>
      <c r="BR364" s="10">
        <v>3.3507163000000002</v>
      </c>
      <c r="BS364" s="10">
        <v>3.3432491</v>
      </c>
      <c r="BU364" s="7">
        <v>3.8</v>
      </c>
      <c r="BV364" s="7">
        <v>3.8</v>
      </c>
      <c r="BW364" s="9">
        <v>80.101600000000005</v>
      </c>
    </row>
    <row r="365" spans="1:75" x14ac:dyDescent="0.25">
      <c r="A365" s="6">
        <f t="shared" si="35"/>
        <v>45063</v>
      </c>
      <c r="B365" s="13">
        <f t="shared" si="30"/>
        <v>5</v>
      </c>
      <c r="C365" s="13">
        <f t="shared" si="31"/>
        <v>2023</v>
      </c>
      <c r="D365">
        <f t="shared" si="32"/>
        <v>202305</v>
      </c>
      <c r="E365">
        <f t="shared" si="33"/>
        <v>2</v>
      </c>
      <c r="F365">
        <f t="shared" si="34"/>
        <v>202302</v>
      </c>
      <c r="G365" t="s">
        <v>552</v>
      </c>
      <c r="H365" s="9">
        <v>4.5</v>
      </c>
      <c r="I365" s="9">
        <v>4.4273999999999996</v>
      </c>
      <c r="J365" s="10">
        <v>4.4753340000000001</v>
      </c>
      <c r="K365" s="10">
        <v>4.6178521000000003</v>
      </c>
      <c r="L365" s="10">
        <v>4.7247465999999996</v>
      </c>
      <c r="M365" s="10">
        <v>4.7938875999999997</v>
      </c>
      <c r="N365" s="10">
        <v>4.8284098000000002</v>
      </c>
      <c r="O365" s="10">
        <v>4.8339274999999997</v>
      </c>
      <c r="P365" s="10">
        <v>4.8160081999999997</v>
      </c>
      <c r="Q365" s="10">
        <v>4.7809911999999999</v>
      </c>
      <c r="R365" s="10">
        <v>4.7346665999999997</v>
      </c>
      <c r="S365" s="10">
        <v>4.6815601999999998</v>
      </c>
      <c r="T365" s="10">
        <v>4.6251366000000003</v>
      </c>
      <c r="U365" s="10">
        <v>4.5673363</v>
      </c>
      <c r="V365" s="10">
        <v>4.5091124000000002</v>
      </c>
      <c r="W365" s="10">
        <v>4.4509333</v>
      </c>
      <c r="X365" s="10">
        <v>4.3931803</v>
      </c>
      <c r="Y365" s="10">
        <v>4.3362325999999998</v>
      </c>
      <c r="Z365" s="10">
        <v>4.2804693</v>
      </c>
      <c r="AA365" s="10">
        <v>4.2262716999999999</v>
      </c>
      <c r="AB365" s="10">
        <v>4.1739923000000001</v>
      </c>
      <c r="AC365" s="10">
        <v>4.1238326000000001</v>
      </c>
      <c r="AD365" s="10">
        <v>4.0759426999999997</v>
      </c>
      <c r="AE365" s="10">
        <v>4.0304709000000001</v>
      </c>
      <c r="AF365" s="10">
        <v>3.9875655999999999</v>
      </c>
      <c r="AG365" s="10">
        <v>3.9473767999999998</v>
      </c>
      <c r="AH365" s="10">
        <v>3.910015</v>
      </c>
      <c r="AI365" s="10">
        <v>3.8753879000000002</v>
      </c>
      <c r="AJ365" s="10">
        <v>3.8433362999999998</v>
      </c>
      <c r="AK365" s="10">
        <v>3.8136994999999998</v>
      </c>
      <c r="AL365" s="10">
        <v>3.7863172999999999</v>
      </c>
      <c r="AM365" s="10">
        <v>3.7610301000000002</v>
      </c>
      <c r="AN365" s="10">
        <v>3.7376773999999999</v>
      </c>
      <c r="AO365" s="10">
        <v>3.7160989999999998</v>
      </c>
      <c r="AP365" s="10">
        <v>3.6961350999999998</v>
      </c>
      <c r="AQ365" s="10">
        <v>3.6776255</v>
      </c>
      <c r="AR365" s="10">
        <v>3.6604098</v>
      </c>
      <c r="AS365" s="10">
        <v>3.6443283000000002</v>
      </c>
      <c r="AT365" s="10">
        <v>3.6292346000000002</v>
      </c>
      <c r="AU365" s="10">
        <v>3.6150505000000002</v>
      </c>
      <c r="AV365" s="10">
        <v>3.6017191</v>
      </c>
      <c r="AW365" s="10">
        <v>3.5891826</v>
      </c>
      <c r="AX365" s="10">
        <v>3.5773837999999998</v>
      </c>
      <c r="AY365" s="10">
        <v>3.5662653999999998</v>
      </c>
      <c r="AZ365" s="10">
        <v>3.5557699999999999</v>
      </c>
      <c r="BA365" s="10">
        <v>3.5458400999999999</v>
      </c>
      <c r="BB365" s="10">
        <v>3.5364184999999999</v>
      </c>
      <c r="BC365" s="10">
        <v>3.5274478999999999</v>
      </c>
      <c r="BD365" s="10">
        <v>3.5188708000000002</v>
      </c>
      <c r="BE365" s="10">
        <v>3.5106299000000001</v>
      </c>
      <c r="BF365" s="10">
        <v>3.5026763999999999</v>
      </c>
      <c r="BG365" s="10">
        <v>3.4949992000000001</v>
      </c>
      <c r="BH365" s="10">
        <v>3.4875975000000001</v>
      </c>
      <c r="BI365" s="10">
        <v>3.4804708</v>
      </c>
      <c r="BJ365" s="10">
        <v>3.4736180999999999</v>
      </c>
      <c r="BK365" s="10">
        <v>3.4670390000000002</v>
      </c>
      <c r="BL365" s="10">
        <v>3.4607326</v>
      </c>
      <c r="BM365" s="10">
        <v>3.4546983</v>
      </c>
      <c r="BN365" s="10">
        <v>3.4489353</v>
      </c>
      <c r="BO365" s="10">
        <v>3.4434431000000001</v>
      </c>
      <c r="BP365" s="10">
        <v>3.4382207</v>
      </c>
      <c r="BQ365" s="10">
        <v>3.4332676000000002</v>
      </c>
      <c r="BR365" s="10">
        <v>3.4092796999999999</v>
      </c>
      <c r="BS365" s="10">
        <v>3.3955166999999999</v>
      </c>
      <c r="BU365" s="7">
        <v>3.87</v>
      </c>
      <c r="BV365" s="7">
        <v>3.84</v>
      </c>
      <c r="BW365" s="9">
        <v>80.177300000000002</v>
      </c>
    </row>
    <row r="366" spans="1:75" x14ac:dyDescent="0.25">
      <c r="A366" s="6">
        <f t="shared" si="35"/>
        <v>45064</v>
      </c>
      <c r="B366" s="13">
        <f t="shared" si="30"/>
        <v>5</v>
      </c>
      <c r="C366" s="13">
        <f t="shared" si="31"/>
        <v>2023</v>
      </c>
      <c r="D366">
        <f t="shared" si="32"/>
        <v>202305</v>
      </c>
      <c r="E366">
        <f t="shared" si="33"/>
        <v>2</v>
      </c>
      <c r="F366">
        <f t="shared" si="34"/>
        <v>202302</v>
      </c>
      <c r="G366" t="s">
        <v>553</v>
      </c>
      <c r="H366" s="9">
        <v>4.5</v>
      </c>
      <c r="I366" s="9">
        <v>4.4276</v>
      </c>
      <c r="J366" s="10">
        <v>4.4881712</v>
      </c>
      <c r="K366" s="10">
        <v>4.6444687</v>
      </c>
      <c r="L366" s="10">
        <v>4.7570413</v>
      </c>
      <c r="M366" s="10">
        <v>4.8303586000000003</v>
      </c>
      <c r="N366" s="10">
        <v>4.8714465000000002</v>
      </c>
      <c r="O366" s="10">
        <v>4.8856219000000003</v>
      </c>
      <c r="P366" s="10">
        <v>4.8775259999999996</v>
      </c>
      <c r="Q366" s="10">
        <v>4.8510287999999999</v>
      </c>
      <c r="R366" s="10">
        <v>4.8113744000000001</v>
      </c>
      <c r="S366" s="10">
        <v>4.7626925</v>
      </c>
      <c r="T366" s="10">
        <v>4.7080855000000001</v>
      </c>
      <c r="U366" s="10">
        <v>4.6497411</v>
      </c>
      <c r="V366" s="10">
        <v>4.5902301000000003</v>
      </c>
      <c r="W366" s="10">
        <v>4.5307380000000004</v>
      </c>
      <c r="X366" s="10">
        <v>4.4718951000000002</v>
      </c>
      <c r="Y366" s="10">
        <v>4.4143296999999997</v>
      </c>
      <c r="Z366" s="10">
        <v>4.3586695999999998</v>
      </c>
      <c r="AA366" s="10">
        <v>4.3055450999999998</v>
      </c>
      <c r="AB366" s="10">
        <v>4.2554853000000001</v>
      </c>
      <c r="AC366" s="10">
        <v>4.2085138999999998</v>
      </c>
      <c r="AD366" s="10">
        <v>4.1644946999999997</v>
      </c>
      <c r="AE366" s="10">
        <v>4.1232895999999997</v>
      </c>
      <c r="AF366" s="10">
        <v>4.0847607000000004</v>
      </c>
      <c r="AG366" s="10">
        <v>4.0487713999999997</v>
      </c>
      <c r="AH366" s="10">
        <v>4.0151833000000003</v>
      </c>
      <c r="AI366" s="10">
        <v>3.9838548999999999</v>
      </c>
      <c r="AJ366" s="10">
        <v>3.9546450000000002</v>
      </c>
      <c r="AK366" s="10">
        <v>3.9274114</v>
      </c>
      <c r="AL366" s="10">
        <v>3.9020119000000002</v>
      </c>
      <c r="AM366" s="10">
        <v>3.8783050999999999</v>
      </c>
      <c r="AN366" s="10">
        <v>3.8561486999999999</v>
      </c>
      <c r="AO366" s="10">
        <v>3.8354007999999999</v>
      </c>
      <c r="AP366" s="10">
        <v>3.8159196999999998</v>
      </c>
      <c r="AQ366" s="10">
        <v>3.7975634</v>
      </c>
      <c r="AR366" s="10">
        <v>3.7801898</v>
      </c>
      <c r="AS366" s="10">
        <v>3.7636571999999999</v>
      </c>
      <c r="AT366" s="10">
        <v>3.7478410000000002</v>
      </c>
      <c r="AU366" s="10">
        <v>3.7326923999999999</v>
      </c>
      <c r="AV366" s="10">
        <v>3.7181847000000001</v>
      </c>
      <c r="AW366" s="10">
        <v>3.7042904000000001</v>
      </c>
      <c r="AX366" s="10">
        <v>3.6909819000000001</v>
      </c>
      <c r="AY366" s="10">
        <v>3.6782322999999999</v>
      </c>
      <c r="AZ366" s="10">
        <v>3.6660140999999999</v>
      </c>
      <c r="BA366" s="10">
        <v>3.6542998999999998</v>
      </c>
      <c r="BB366" s="10">
        <v>3.6430625999999999</v>
      </c>
      <c r="BC366" s="10">
        <v>3.6322749000000001</v>
      </c>
      <c r="BD366" s="10">
        <v>3.6219092000000002</v>
      </c>
      <c r="BE366" s="10">
        <v>3.6119387000000001</v>
      </c>
      <c r="BF366" s="10">
        <v>3.6023404000000001</v>
      </c>
      <c r="BG366" s="10">
        <v>3.5931128000000001</v>
      </c>
      <c r="BH366" s="10">
        <v>3.5842602000000001</v>
      </c>
      <c r="BI366" s="10">
        <v>3.5757867000000001</v>
      </c>
      <c r="BJ366" s="10">
        <v>3.5676961999999999</v>
      </c>
      <c r="BK366" s="10">
        <v>3.5599932000000001</v>
      </c>
      <c r="BL366" s="10">
        <v>3.5526817999999998</v>
      </c>
      <c r="BM366" s="10">
        <v>3.5457659000000001</v>
      </c>
      <c r="BN366" s="10">
        <v>3.5392499000000002</v>
      </c>
      <c r="BO366" s="10">
        <v>3.5331380000000001</v>
      </c>
      <c r="BP366" s="10">
        <v>3.5274340999999998</v>
      </c>
      <c r="BQ366" s="10">
        <v>3.5221426</v>
      </c>
      <c r="BR366" s="10">
        <v>3.4990139</v>
      </c>
      <c r="BS366" s="10">
        <v>3.4901165000000001</v>
      </c>
      <c r="BU366" s="7">
        <v>3.97</v>
      </c>
      <c r="BV366" s="7">
        <v>3.97</v>
      </c>
      <c r="BW366" s="9">
        <v>80.108599999999996</v>
      </c>
    </row>
    <row r="367" spans="1:75" x14ac:dyDescent="0.25">
      <c r="A367" s="6">
        <f t="shared" si="35"/>
        <v>45065</v>
      </c>
      <c r="B367" s="13">
        <f t="shared" si="30"/>
        <v>5</v>
      </c>
      <c r="C367" s="13">
        <f t="shared" si="31"/>
        <v>2023</v>
      </c>
      <c r="D367">
        <f t="shared" si="32"/>
        <v>202305</v>
      </c>
      <c r="E367">
        <f t="shared" si="33"/>
        <v>2</v>
      </c>
      <c r="F367">
        <f t="shared" si="34"/>
        <v>202302</v>
      </c>
      <c r="G367" t="s">
        <v>554</v>
      </c>
      <c r="H367" s="9">
        <v>4.5</v>
      </c>
      <c r="I367" s="9">
        <v>4.4273999999999996</v>
      </c>
      <c r="J367" s="10">
        <v>4.4897755999999998</v>
      </c>
      <c r="K367" s="10">
        <v>4.6438819999999996</v>
      </c>
      <c r="L367" s="10">
        <v>4.7577623999999998</v>
      </c>
      <c r="M367" s="10">
        <v>4.8325279999999999</v>
      </c>
      <c r="N367" s="10">
        <v>4.8745513000000003</v>
      </c>
      <c r="O367" s="10">
        <v>4.8898216000000003</v>
      </c>
      <c r="P367" s="10">
        <v>4.8836094000000001</v>
      </c>
      <c r="Q367" s="10">
        <v>4.8605986000000003</v>
      </c>
      <c r="R367" s="10">
        <v>4.8254267999999998</v>
      </c>
      <c r="S367" s="10">
        <v>4.7820609000000003</v>
      </c>
      <c r="T367" s="10">
        <v>4.7337069999999999</v>
      </c>
      <c r="U367" s="10">
        <v>4.6826153000000001</v>
      </c>
      <c r="V367" s="10">
        <v>4.6303882999999999</v>
      </c>
      <c r="W367" s="10">
        <v>4.5777733999999999</v>
      </c>
      <c r="X367" s="10">
        <v>4.5252843</v>
      </c>
      <c r="Y367" s="10">
        <v>4.4734331000000003</v>
      </c>
      <c r="Z367" s="10">
        <v>4.4227315000000003</v>
      </c>
      <c r="AA367" s="10">
        <v>4.3736933000000002</v>
      </c>
      <c r="AB367" s="10">
        <v>4.3267626000000003</v>
      </c>
      <c r="AC367" s="10">
        <v>4.2820359000000003</v>
      </c>
      <c r="AD367" s="10">
        <v>4.2395003000000004</v>
      </c>
      <c r="AE367" s="10">
        <v>4.1991414000000002</v>
      </c>
      <c r="AF367" s="10">
        <v>4.1609445999999997</v>
      </c>
      <c r="AG367" s="10">
        <v>4.1248969999999998</v>
      </c>
      <c r="AH367" s="10">
        <v>4.0909684000000004</v>
      </c>
      <c r="AI367" s="10">
        <v>4.0590596000000003</v>
      </c>
      <c r="AJ367" s="10">
        <v>4.0290534999999998</v>
      </c>
      <c r="AK367" s="10">
        <v>4.0008318000000003</v>
      </c>
      <c r="AL367" s="10">
        <v>3.9742761</v>
      </c>
      <c r="AM367" s="10">
        <v>3.9492693000000001</v>
      </c>
      <c r="AN367" s="10">
        <v>3.9256931000000002</v>
      </c>
      <c r="AO367" s="10">
        <v>3.9034293999999998</v>
      </c>
      <c r="AP367" s="10">
        <v>3.8823606000000002</v>
      </c>
      <c r="AQ367" s="10">
        <v>3.8623688</v>
      </c>
      <c r="AR367" s="10">
        <v>3.8433356000000001</v>
      </c>
      <c r="AS367" s="10">
        <v>3.8251438000000002</v>
      </c>
      <c r="AT367" s="10">
        <v>3.8076889999999999</v>
      </c>
      <c r="AU367" s="10">
        <v>3.7909294</v>
      </c>
      <c r="AV367" s="10">
        <v>3.7748404999999998</v>
      </c>
      <c r="AW367" s="10">
        <v>3.7593974999999999</v>
      </c>
      <c r="AX367" s="10">
        <v>3.7445753000000002</v>
      </c>
      <c r="AY367" s="10">
        <v>3.7303495999999998</v>
      </c>
      <c r="AZ367" s="10">
        <v>3.7166953999999999</v>
      </c>
      <c r="BA367" s="10">
        <v>3.7035879</v>
      </c>
      <c r="BB367" s="10">
        <v>3.6910026</v>
      </c>
      <c r="BC367" s="10">
        <v>3.6789146000000001</v>
      </c>
      <c r="BD367" s="10">
        <v>3.6672989999999999</v>
      </c>
      <c r="BE367" s="10">
        <v>3.6561314</v>
      </c>
      <c r="BF367" s="10">
        <v>3.645391</v>
      </c>
      <c r="BG367" s="10">
        <v>3.6350761</v>
      </c>
      <c r="BH367" s="10">
        <v>3.6251899999999999</v>
      </c>
      <c r="BI367" s="10">
        <v>3.6157362000000002</v>
      </c>
      <c r="BJ367" s="10">
        <v>3.6067176999999999</v>
      </c>
      <c r="BK367" s="10">
        <v>3.5981383</v>
      </c>
      <c r="BL367" s="10">
        <v>3.590001</v>
      </c>
      <c r="BM367" s="10">
        <v>3.5823092999999999</v>
      </c>
      <c r="BN367" s="10">
        <v>3.5750665000000001</v>
      </c>
      <c r="BO367" s="10">
        <v>3.568276</v>
      </c>
      <c r="BP367" s="10">
        <v>3.561941</v>
      </c>
      <c r="BQ367" s="10">
        <v>3.5560651000000001</v>
      </c>
      <c r="BR367" s="10">
        <v>3.5303225</v>
      </c>
      <c r="BS367" s="10">
        <v>3.5200303000000002</v>
      </c>
      <c r="BU367" s="7">
        <v>3.96</v>
      </c>
      <c r="BV367" s="7">
        <v>4.01</v>
      </c>
      <c r="BW367" s="9">
        <v>80.198400000000007</v>
      </c>
    </row>
    <row r="368" spans="1:75" x14ac:dyDescent="0.25">
      <c r="A368" s="6">
        <f t="shared" si="35"/>
        <v>45068</v>
      </c>
      <c r="B368" s="13">
        <f t="shared" si="30"/>
        <v>5</v>
      </c>
      <c r="C368" s="13">
        <f t="shared" si="31"/>
        <v>2023</v>
      </c>
      <c r="D368">
        <f t="shared" si="32"/>
        <v>202305</v>
      </c>
      <c r="E368">
        <f t="shared" si="33"/>
        <v>2</v>
      </c>
      <c r="F368">
        <f t="shared" si="34"/>
        <v>202302</v>
      </c>
      <c r="G368" t="s">
        <v>555</v>
      </c>
      <c r="H368" s="9">
        <v>4.5</v>
      </c>
      <c r="I368" s="9">
        <v>4.4276999999999997</v>
      </c>
      <c r="J368" s="10">
        <v>4.5001042</v>
      </c>
      <c r="K368" s="10">
        <v>4.6692799999999997</v>
      </c>
      <c r="L368" s="10">
        <v>4.7893246999999999</v>
      </c>
      <c r="M368" s="10">
        <v>4.8659398999999999</v>
      </c>
      <c r="N368" s="10">
        <v>4.9103672999999999</v>
      </c>
      <c r="O368" s="10">
        <v>4.9300300999999997</v>
      </c>
      <c r="P368" s="10">
        <v>4.9300267</v>
      </c>
      <c r="Q368" s="10">
        <v>4.9148734999999997</v>
      </c>
      <c r="R368" s="10">
        <v>4.8886256000000001</v>
      </c>
      <c r="S368" s="10">
        <v>4.8547175999999999</v>
      </c>
      <c r="T368" s="10">
        <v>4.8157817999999999</v>
      </c>
      <c r="U368" s="10">
        <v>4.7735364000000002</v>
      </c>
      <c r="V368" s="10">
        <v>4.7290570000000001</v>
      </c>
      <c r="W368" s="10">
        <v>4.6829573</v>
      </c>
      <c r="X368" s="10">
        <v>4.6357561</v>
      </c>
      <c r="Y368" s="10">
        <v>4.5879702</v>
      </c>
      <c r="Z368" s="10">
        <v>4.5401164999999999</v>
      </c>
      <c r="AA368" s="10">
        <v>4.4927137999999998</v>
      </c>
      <c r="AB368" s="10">
        <v>4.4462282000000002</v>
      </c>
      <c r="AC368" s="10">
        <v>4.4008662000000003</v>
      </c>
      <c r="AD368" s="10">
        <v>4.3567527999999998</v>
      </c>
      <c r="AE368" s="10">
        <v>4.3140114000000001</v>
      </c>
      <c r="AF368" s="10">
        <v>4.2727653999999999</v>
      </c>
      <c r="AG368" s="10">
        <v>4.2331399000000003</v>
      </c>
      <c r="AH368" s="10">
        <v>4.1952299999999996</v>
      </c>
      <c r="AI368" s="10">
        <v>4.1590059000000004</v>
      </c>
      <c r="AJ368" s="10">
        <v>4.1244050999999997</v>
      </c>
      <c r="AK368" s="10">
        <v>4.0913633000000003</v>
      </c>
      <c r="AL368" s="10">
        <v>4.0598166000000004</v>
      </c>
      <c r="AM368" s="10">
        <v>4.0297020999999997</v>
      </c>
      <c r="AN368" s="10">
        <v>4.0009556999999996</v>
      </c>
      <c r="AO368" s="10">
        <v>3.9735133999999999</v>
      </c>
      <c r="AP368" s="10">
        <v>3.9473123999999999</v>
      </c>
      <c r="AQ368" s="10">
        <v>3.9222885999999999</v>
      </c>
      <c r="AR368" s="10">
        <v>3.8983780000000001</v>
      </c>
      <c r="AS368" s="10">
        <v>3.8755177000000001</v>
      </c>
      <c r="AT368" s="10">
        <v>3.8536492999999998</v>
      </c>
      <c r="AU368" s="10">
        <v>3.8327395000000002</v>
      </c>
      <c r="AV368" s="10">
        <v>3.8127626999999999</v>
      </c>
      <c r="AW368" s="10">
        <v>3.7936923999999999</v>
      </c>
      <c r="AX368" s="10">
        <v>3.7755022999999999</v>
      </c>
      <c r="AY368" s="10">
        <v>3.7581666999999999</v>
      </c>
      <c r="AZ368" s="10">
        <v>3.7416591000000001</v>
      </c>
      <c r="BA368" s="10">
        <v>3.7259532000000002</v>
      </c>
      <c r="BB368" s="10">
        <v>3.7110232000000001</v>
      </c>
      <c r="BC368" s="10">
        <v>3.6968428000000002</v>
      </c>
      <c r="BD368" s="10">
        <v>3.6833855999999998</v>
      </c>
      <c r="BE368" s="10">
        <v>3.6706257999999998</v>
      </c>
      <c r="BF368" s="10">
        <v>3.6585388000000001</v>
      </c>
      <c r="BG368" s="10">
        <v>3.6471092000000001</v>
      </c>
      <c r="BH368" s="10">
        <v>3.6363249</v>
      </c>
      <c r="BI368" s="10">
        <v>3.6261736999999998</v>
      </c>
      <c r="BJ368" s="10">
        <v>3.6166431000000001</v>
      </c>
      <c r="BK368" s="10">
        <v>3.6077213000000001</v>
      </c>
      <c r="BL368" s="10">
        <v>3.5993957999999999</v>
      </c>
      <c r="BM368" s="10">
        <v>3.5916543999999999</v>
      </c>
      <c r="BN368" s="10">
        <v>3.5844851000000002</v>
      </c>
      <c r="BO368" s="10">
        <v>3.5778753999999999</v>
      </c>
      <c r="BP368" s="10">
        <v>3.5718131</v>
      </c>
      <c r="BQ368" s="10">
        <v>3.5662862</v>
      </c>
      <c r="BR368" s="10">
        <v>3.5436483999999999</v>
      </c>
      <c r="BS368" s="10">
        <v>3.5370018999999999</v>
      </c>
      <c r="BU368" s="7">
        <v>4.04</v>
      </c>
      <c r="BV368" s="7">
        <v>4.05</v>
      </c>
      <c r="BW368" s="9">
        <v>80.036900000000003</v>
      </c>
    </row>
    <row r="369" spans="1:75" x14ac:dyDescent="0.25">
      <c r="A369" s="6">
        <f t="shared" si="35"/>
        <v>45069</v>
      </c>
      <c r="B369" s="13">
        <f t="shared" si="30"/>
        <v>5</v>
      </c>
      <c r="C369" s="13">
        <f t="shared" si="31"/>
        <v>2023</v>
      </c>
      <c r="D369">
        <f t="shared" si="32"/>
        <v>202305</v>
      </c>
      <c r="E369">
        <f t="shared" si="33"/>
        <v>2</v>
      </c>
      <c r="F369">
        <f t="shared" si="34"/>
        <v>202302</v>
      </c>
      <c r="G369" t="s">
        <v>556</v>
      </c>
      <c r="H369" s="9">
        <v>4.5</v>
      </c>
      <c r="I369" s="9">
        <v>4.4284999999999997</v>
      </c>
      <c r="J369" s="10">
        <v>4.5167405</v>
      </c>
      <c r="K369" s="10">
        <v>4.6962567000000002</v>
      </c>
      <c r="L369" s="10">
        <v>4.8282952999999997</v>
      </c>
      <c r="M369" s="10">
        <v>4.9189771999999996</v>
      </c>
      <c r="N369" s="10">
        <v>4.9759931000000002</v>
      </c>
      <c r="O369" s="10">
        <v>5.0048196999999996</v>
      </c>
      <c r="P369" s="10">
        <v>5.0094671999999996</v>
      </c>
      <c r="Q369" s="10">
        <v>4.9960846999999999</v>
      </c>
      <c r="R369" s="10">
        <v>4.9700601000000004</v>
      </c>
      <c r="S369" s="10">
        <v>4.9361654000000001</v>
      </c>
      <c r="T369" s="10">
        <v>4.8976647</v>
      </c>
      <c r="U369" s="10">
        <v>4.8562105000000004</v>
      </c>
      <c r="V369" s="10">
        <v>4.8126654000000002</v>
      </c>
      <c r="W369" s="10">
        <v>4.7675137000000003</v>
      </c>
      <c r="X369" s="10">
        <v>4.7211670000000003</v>
      </c>
      <c r="Y369" s="10">
        <v>4.6740351999999996</v>
      </c>
      <c r="Z369" s="10">
        <v>4.6265283000000004</v>
      </c>
      <c r="AA369" s="10">
        <v>4.5790578999999996</v>
      </c>
      <c r="AB369" s="10">
        <v>4.5320175999999996</v>
      </c>
      <c r="AC369" s="10">
        <v>4.4857000999999999</v>
      </c>
      <c r="AD369" s="10">
        <v>4.4403604999999997</v>
      </c>
      <c r="AE369" s="10">
        <v>4.3962522999999996</v>
      </c>
      <c r="AF369" s="10">
        <v>4.3536288000000001</v>
      </c>
      <c r="AG369" s="10">
        <v>4.3127449999999996</v>
      </c>
      <c r="AH369" s="10">
        <v>4.2738053000000003</v>
      </c>
      <c r="AI369" s="10">
        <v>4.2367983000000002</v>
      </c>
      <c r="AJ369" s="10">
        <v>4.2016540000000004</v>
      </c>
      <c r="AK369" s="10">
        <v>4.1683010999999999</v>
      </c>
      <c r="AL369" s="10">
        <v>4.1366686000000001</v>
      </c>
      <c r="AM369" s="10">
        <v>4.1066864000000001</v>
      </c>
      <c r="AN369" s="10">
        <v>4.0782834000000001</v>
      </c>
      <c r="AO369" s="10">
        <v>4.0513883999999996</v>
      </c>
      <c r="AP369" s="10">
        <v>4.0259312999999999</v>
      </c>
      <c r="AQ369" s="10">
        <v>4.0018409999999998</v>
      </c>
      <c r="AR369" s="10">
        <v>3.9790464999999999</v>
      </c>
      <c r="AS369" s="10">
        <v>3.9574775999999998</v>
      </c>
      <c r="AT369" s="10">
        <v>3.9370653999999998</v>
      </c>
      <c r="AU369" s="10">
        <v>3.9177545</v>
      </c>
      <c r="AV369" s="10">
        <v>3.8994952000000001</v>
      </c>
      <c r="AW369" s="10">
        <v>3.8822372000000001</v>
      </c>
      <c r="AX369" s="10">
        <v>3.8659298999999998</v>
      </c>
      <c r="AY369" s="10">
        <v>3.8505235</v>
      </c>
      <c r="AZ369" s="10">
        <v>3.8359678000000001</v>
      </c>
      <c r="BA369" s="10">
        <v>3.8222122000000001</v>
      </c>
      <c r="BB369" s="10">
        <v>3.8092069999999998</v>
      </c>
      <c r="BC369" s="10">
        <v>3.7969018000000001</v>
      </c>
      <c r="BD369" s="10">
        <v>3.7852461000000002</v>
      </c>
      <c r="BE369" s="10">
        <v>3.7741902000000001</v>
      </c>
      <c r="BF369" s="10">
        <v>3.7636889999999998</v>
      </c>
      <c r="BG369" s="10">
        <v>3.7537232</v>
      </c>
      <c r="BH369" s="10">
        <v>3.7442818999999998</v>
      </c>
      <c r="BI369" s="10">
        <v>3.7353537999999999</v>
      </c>
      <c r="BJ369" s="10">
        <v>3.7269274999999999</v>
      </c>
      <c r="BK369" s="10">
        <v>3.7189920999999999</v>
      </c>
      <c r="BL369" s="10">
        <v>3.7115361999999998</v>
      </c>
      <c r="BM369" s="10">
        <v>3.7045485</v>
      </c>
      <c r="BN369" s="10">
        <v>3.6980181000000001</v>
      </c>
      <c r="BO369" s="10">
        <v>3.6919335000000002</v>
      </c>
      <c r="BP369" s="10">
        <v>3.6862835</v>
      </c>
      <c r="BQ369" s="10">
        <v>3.681057</v>
      </c>
      <c r="BR369" s="10">
        <v>3.6580853000000002</v>
      </c>
      <c r="BS369" s="10">
        <v>3.6482820999999999</v>
      </c>
      <c r="BU369" s="7">
        <v>4.13</v>
      </c>
      <c r="BV369" s="7">
        <v>4.16</v>
      </c>
      <c r="BW369" s="9">
        <v>80.141800000000003</v>
      </c>
    </row>
    <row r="370" spans="1:75" x14ac:dyDescent="0.25">
      <c r="A370" s="6">
        <f t="shared" si="35"/>
        <v>45070</v>
      </c>
      <c r="B370" s="13">
        <f t="shared" si="30"/>
        <v>5</v>
      </c>
      <c r="C370" s="13">
        <f t="shared" si="31"/>
        <v>2023</v>
      </c>
      <c r="D370">
        <f t="shared" si="32"/>
        <v>202305</v>
      </c>
      <c r="E370">
        <f t="shared" si="33"/>
        <v>2</v>
      </c>
      <c r="F370">
        <f t="shared" si="34"/>
        <v>202302</v>
      </c>
      <c r="G370" t="s">
        <v>557</v>
      </c>
      <c r="H370" s="9">
        <v>4.5</v>
      </c>
      <c r="I370" s="9">
        <v>4.4276999999999997</v>
      </c>
      <c r="J370" s="10">
        <v>4.5720841999999999</v>
      </c>
      <c r="K370" s="10">
        <v>4.8253342000000004</v>
      </c>
      <c r="L370" s="10">
        <v>5.0253268999999996</v>
      </c>
      <c r="M370" s="10">
        <v>5.1721887000000004</v>
      </c>
      <c r="N370" s="10">
        <v>5.2714527999999996</v>
      </c>
      <c r="O370" s="10">
        <v>5.3294772000000004</v>
      </c>
      <c r="P370" s="10">
        <v>5.3532998000000003</v>
      </c>
      <c r="Q370" s="10">
        <v>5.3528979000000003</v>
      </c>
      <c r="R370" s="10">
        <v>5.3369096999999996</v>
      </c>
      <c r="S370" s="10">
        <v>5.3112228000000004</v>
      </c>
      <c r="T370" s="10">
        <v>5.2791090000000001</v>
      </c>
      <c r="U370" s="10">
        <v>5.2414671999999998</v>
      </c>
      <c r="V370" s="10">
        <v>5.1977285000000002</v>
      </c>
      <c r="W370" s="10">
        <v>5.1483805</v>
      </c>
      <c r="X370" s="10">
        <v>5.0943141000000001</v>
      </c>
      <c r="Y370" s="10">
        <v>5.0364186000000002</v>
      </c>
      <c r="Z370" s="10">
        <v>4.9755830000000003</v>
      </c>
      <c r="AA370" s="10">
        <v>4.9126985999999997</v>
      </c>
      <c r="AB370" s="10">
        <v>4.8486317000000003</v>
      </c>
      <c r="AC370" s="10">
        <v>4.7841196999999998</v>
      </c>
      <c r="AD370" s="10">
        <v>4.7198570999999996</v>
      </c>
      <c r="AE370" s="10">
        <v>4.656536</v>
      </c>
      <c r="AF370" s="10">
        <v>4.5948485000000003</v>
      </c>
      <c r="AG370" s="10">
        <v>4.5354891000000004</v>
      </c>
      <c r="AH370" s="10">
        <v>4.4790616999999999</v>
      </c>
      <c r="AI370" s="10">
        <v>4.4256456999999996</v>
      </c>
      <c r="AJ370" s="10">
        <v>4.3751287999999997</v>
      </c>
      <c r="AK370" s="10">
        <v>4.3273963000000002</v>
      </c>
      <c r="AL370" s="10">
        <v>4.2823339999999996</v>
      </c>
      <c r="AM370" s="10">
        <v>4.2398287999999997</v>
      </c>
      <c r="AN370" s="10">
        <v>4.1997663999999997</v>
      </c>
      <c r="AO370" s="10">
        <v>4.1620324000000002</v>
      </c>
      <c r="AP370" s="10">
        <v>4.1265137999999997</v>
      </c>
      <c r="AQ370" s="10">
        <v>4.0930961999999997</v>
      </c>
      <c r="AR370" s="10">
        <v>4.0616652999999996</v>
      </c>
      <c r="AS370" s="10">
        <v>4.0321081000000003</v>
      </c>
      <c r="AT370" s="10">
        <v>4.0043132000000004</v>
      </c>
      <c r="AU370" s="10">
        <v>3.9781863999999998</v>
      </c>
      <c r="AV370" s="10">
        <v>3.9536399000000002</v>
      </c>
      <c r="AW370" s="10">
        <v>3.9305848999999999</v>
      </c>
      <c r="AX370" s="10">
        <v>3.9089328999999999</v>
      </c>
      <c r="AY370" s="10">
        <v>3.8885958999999999</v>
      </c>
      <c r="AZ370" s="10">
        <v>3.8694852000000002</v>
      </c>
      <c r="BA370" s="10">
        <v>3.8515123</v>
      </c>
      <c r="BB370" s="10">
        <v>3.8345891000000001</v>
      </c>
      <c r="BC370" s="10">
        <v>3.8186271000000001</v>
      </c>
      <c r="BD370" s="10">
        <v>3.8035377000000001</v>
      </c>
      <c r="BE370" s="10">
        <v>3.7892328000000002</v>
      </c>
      <c r="BF370" s="10">
        <v>3.7756344999999998</v>
      </c>
      <c r="BG370" s="10">
        <v>3.7627120000000001</v>
      </c>
      <c r="BH370" s="10">
        <v>3.7504477000000001</v>
      </c>
      <c r="BI370" s="10">
        <v>3.7388238999999999</v>
      </c>
      <c r="BJ370" s="10">
        <v>3.7278226000000001</v>
      </c>
      <c r="BK370" s="10">
        <v>3.7174263999999999</v>
      </c>
      <c r="BL370" s="10">
        <v>3.7076172999999999</v>
      </c>
      <c r="BM370" s="10">
        <v>3.6983777</v>
      </c>
      <c r="BN370" s="10">
        <v>3.6896898</v>
      </c>
      <c r="BO370" s="10">
        <v>3.6815359999999999</v>
      </c>
      <c r="BP370" s="10">
        <v>3.6738982999999998</v>
      </c>
      <c r="BQ370" s="10">
        <v>3.6667592</v>
      </c>
      <c r="BR370" s="10">
        <v>3.6336949999999999</v>
      </c>
      <c r="BS370" s="10">
        <v>3.6159159999999999</v>
      </c>
      <c r="BU370" s="7">
        <v>4.38</v>
      </c>
      <c r="BV370" s="7">
        <v>4.22</v>
      </c>
      <c r="BW370" s="9">
        <v>79.888800000000003</v>
      </c>
    </row>
    <row r="371" spans="1:75" x14ac:dyDescent="0.25">
      <c r="A371" s="6">
        <f t="shared" si="35"/>
        <v>45071</v>
      </c>
      <c r="B371" s="13">
        <f t="shared" si="30"/>
        <v>5</v>
      </c>
      <c r="C371" s="13">
        <f t="shared" si="31"/>
        <v>2023</v>
      </c>
      <c r="D371">
        <f t="shared" si="32"/>
        <v>202305</v>
      </c>
      <c r="E371">
        <f t="shared" si="33"/>
        <v>2</v>
      </c>
      <c r="F371">
        <f t="shared" si="34"/>
        <v>202302</v>
      </c>
      <c r="G371" t="s">
        <v>558</v>
      </c>
      <c r="H371" s="9">
        <v>4.5</v>
      </c>
      <c r="I371" s="9">
        <v>4.4278000000000004</v>
      </c>
      <c r="J371" s="10">
        <v>4.6085362999999999</v>
      </c>
      <c r="K371" s="10">
        <v>4.8701740999999998</v>
      </c>
      <c r="L371" s="10">
        <v>5.0924737999999996</v>
      </c>
      <c r="M371" s="10">
        <v>5.2696472999999999</v>
      </c>
      <c r="N371" s="10">
        <v>5.4007307000000004</v>
      </c>
      <c r="O371" s="10">
        <v>5.4864170999999997</v>
      </c>
      <c r="P371" s="10">
        <v>5.5325490000000004</v>
      </c>
      <c r="Q371" s="10">
        <v>5.5475953000000002</v>
      </c>
      <c r="R371" s="10">
        <v>5.5412419999999996</v>
      </c>
      <c r="S371" s="10">
        <v>5.5206197000000001</v>
      </c>
      <c r="T371" s="10">
        <v>5.4900978</v>
      </c>
      <c r="U371" s="10">
        <v>5.4517829999999998</v>
      </c>
      <c r="V371" s="10">
        <v>5.4058574999999998</v>
      </c>
      <c r="W371" s="10">
        <v>5.3533080000000002</v>
      </c>
      <c r="X371" s="10">
        <v>5.2956107000000001</v>
      </c>
      <c r="Y371" s="10">
        <v>5.2342405000000003</v>
      </c>
      <c r="Z371" s="10">
        <v>5.1706719999999997</v>
      </c>
      <c r="AA371" s="10">
        <v>5.1063824000000002</v>
      </c>
      <c r="AB371" s="10">
        <v>5.0426966999999996</v>
      </c>
      <c r="AC371" s="10">
        <v>4.9801729999999997</v>
      </c>
      <c r="AD371" s="10">
        <v>4.9191269000000002</v>
      </c>
      <c r="AE371" s="10">
        <v>4.8598714999999997</v>
      </c>
      <c r="AF371" s="10">
        <v>4.8027199999999999</v>
      </c>
      <c r="AG371" s="10">
        <v>4.7479874999999998</v>
      </c>
      <c r="AH371" s="10">
        <v>4.6959331999999998</v>
      </c>
      <c r="AI371" s="10">
        <v>4.6465243999999997</v>
      </c>
      <c r="AJ371" s="10">
        <v>4.5996325000000002</v>
      </c>
      <c r="AK371" s="10">
        <v>4.5551272000000003</v>
      </c>
      <c r="AL371" s="10">
        <v>4.5128779999999997</v>
      </c>
      <c r="AM371" s="10">
        <v>4.4727562000000001</v>
      </c>
      <c r="AN371" s="10">
        <v>4.4346313999999998</v>
      </c>
      <c r="AO371" s="10">
        <v>4.3983733999999997</v>
      </c>
      <c r="AP371" s="10">
        <v>4.3638531</v>
      </c>
      <c r="AQ371" s="10">
        <v>4.3309403</v>
      </c>
      <c r="AR371" s="10">
        <v>4.2995048000000002</v>
      </c>
      <c r="AS371" s="10">
        <v>4.2694175000000003</v>
      </c>
      <c r="AT371" s="10">
        <v>4.2405606000000002</v>
      </c>
      <c r="AU371" s="10">
        <v>4.2128771</v>
      </c>
      <c r="AV371" s="10">
        <v>4.1863294</v>
      </c>
      <c r="AW371" s="10">
        <v>4.1608789000000002</v>
      </c>
      <c r="AX371" s="10">
        <v>4.1364872000000004</v>
      </c>
      <c r="AY371" s="10">
        <v>4.1131164</v>
      </c>
      <c r="AZ371" s="10">
        <v>4.0907282</v>
      </c>
      <c r="BA371" s="10">
        <v>4.0692839999999997</v>
      </c>
      <c r="BB371" s="10">
        <v>4.0487460000000004</v>
      </c>
      <c r="BC371" s="10">
        <v>4.0290756999999999</v>
      </c>
      <c r="BD371" s="10">
        <v>4.0102348000000001</v>
      </c>
      <c r="BE371" s="10">
        <v>3.9921853999999999</v>
      </c>
      <c r="BF371" s="10">
        <v>3.9748926999999998</v>
      </c>
      <c r="BG371" s="10">
        <v>3.9583387000000001</v>
      </c>
      <c r="BH371" s="10">
        <v>3.9425105</v>
      </c>
      <c r="BI371" s="10">
        <v>3.9273946</v>
      </c>
      <c r="BJ371" s="10">
        <v>3.9129775000000002</v>
      </c>
      <c r="BK371" s="10">
        <v>3.8992461</v>
      </c>
      <c r="BL371" s="10">
        <v>3.8861870999999999</v>
      </c>
      <c r="BM371" s="10">
        <v>3.8737868999999998</v>
      </c>
      <c r="BN371" s="10">
        <v>3.8620326</v>
      </c>
      <c r="BO371" s="10">
        <v>3.8509106000000002</v>
      </c>
      <c r="BP371" s="10">
        <v>3.8404075999999998</v>
      </c>
      <c r="BQ371" s="10">
        <v>3.8305104999999999</v>
      </c>
      <c r="BR371" s="10">
        <v>3.7831845999999998</v>
      </c>
      <c r="BS371" s="10">
        <v>3.7548130999999998</v>
      </c>
      <c r="BU371" s="7">
        <v>4.55</v>
      </c>
      <c r="BV371" s="7">
        <v>4.38</v>
      </c>
      <c r="BW371" s="9">
        <v>79.972499999999997</v>
      </c>
    </row>
    <row r="372" spans="1:75" x14ac:dyDescent="0.25">
      <c r="A372" s="6">
        <f t="shared" si="35"/>
        <v>45072</v>
      </c>
      <c r="B372" s="13">
        <f t="shared" si="30"/>
        <v>5</v>
      </c>
      <c r="C372" s="13">
        <f t="shared" si="31"/>
        <v>2023</v>
      </c>
      <c r="D372">
        <f t="shared" si="32"/>
        <v>202305</v>
      </c>
      <c r="E372">
        <f t="shared" si="33"/>
        <v>2</v>
      </c>
      <c r="F372">
        <f t="shared" si="34"/>
        <v>202302</v>
      </c>
      <c r="G372" t="s">
        <v>559</v>
      </c>
      <c r="H372" s="9">
        <v>4.5</v>
      </c>
      <c r="I372" s="9">
        <v>4.4280999999999997</v>
      </c>
      <c r="J372" s="10">
        <v>4.5793505999999997</v>
      </c>
      <c r="K372" s="10">
        <v>4.8288376</v>
      </c>
      <c r="L372" s="10">
        <v>5.0367296000000001</v>
      </c>
      <c r="M372" s="10">
        <v>5.2031090999999998</v>
      </c>
      <c r="N372" s="10">
        <v>5.3296557</v>
      </c>
      <c r="O372" s="10">
        <v>5.4166566999999999</v>
      </c>
      <c r="P372" s="10">
        <v>5.4672983000000004</v>
      </c>
      <c r="Q372" s="10">
        <v>5.4881444000000004</v>
      </c>
      <c r="R372" s="10">
        <v>5.4871064000000001</v>
      </c>
      <c r="S372" s="10">
        <v>5.4706315999999999</v>
      </c>
      <c r="T372" s="10">
        <v>5.4429436999999998</v>
      </c>
      <c r="U372" s="10">
        <v>5.4063841999999998</v>
      </c>
      <c r="V372" s="10">
        <v>5.3618120999999999</v>
      </c>
      <c r="W372" s="10">
        <v>5.3104541000000003</v>
      </c>
      <c r="X372" s="10">
        <v>5.2537896000000002</v>
      </c>
      <c r="Y372" s="10">
        <v>5.1932964999999998</v>
      </c>
      <c r="Z372" s="10">
        <v>5.1304521999999997</v>
      </c>
      <c r="AA372" s="10">
        <v>5.0667365999999996</v>
      </c>
      <c r="AB372" s="10">
        <v>5.003482</v>
      </c>
      <c r="AC372" s="10">
        <v>4.9412763999999996</v>
      </c>
      <c r="AD372" s="10">
        <v>4.8804720000000001</v>
      </c>
      <c r="AE372" s="10">
        <v>4.8214189999999997</v>
      </c>
      <c r="AF372" s="10">
        <v>4.7644674</v>
      </c>
      <c r="AG372" s="10">
        <v>4.7099696</v>
      </c>
      <c r="AH372" s="10">
        <v>4.6582090000000003</v>
      </c>
      <c r="AI372" s="10">
        <v>4.6091455999999997</v>
      </c>
      <c r="AJ372" s="10">
        <v>4.5626426000000002</v>
      </c>
      <c r="AK372" s="10">
        <v>4.5185613</v>
      </c>
      <c r="AL372" s="10">
        <v>4.4767631000000003</v>
      </c>
      <c r="AM372" s="10">
        <v>4.4371109999999998</v>
      </c>
      <c r="AN372" s="10">
        <v>4.3994663999999997</v>
      </c>
      <c r="AO372" s="10">
        <v>4.3636907999999996</v>
      </c>
      <c r="AP372" s="10">
        <v>4.3296469999999996</v>
      </c>
      <c r="AQ372" s="10">
        <v>4.2971965000000001</v>
      </c>
      <c r="AR372" s="10">
        <v>4.2662008</v>
      </c>
      <c r="AS372" s="10">
        <v>4.2365225999999998</v>
      </c>
      <c r="AT372" s="10">
        <v>4.2080383000000001</v>
      </c>
      <c r="AU372" s="10">
        <v>4.1806885999999999</v>
      </c>
      <c r="AV372" s="10">
        <v>4.1544334999999997</v>
      </c>
      <c r="AW372" s="10">
        <v>4.1292318999999997</v>
      </c>
      <c r="AX372" s="10">
        <v>4.1050424999999997</v>
      </c>
      <c r="AY372" s="10">
        <v>4.0818253000000002</v>
      </c>
      <c r="AZ372" s="10">
        <v>4.059539</v>
      </c>
      <c r="BA372" s="10">
        <v>4.0381425000000002</v>
      </c>
      <c r="BB372" s="10">
        <v>4.0175955999999999</v>
      </c>
      <c r="BC372" s="10">
        <v>3.9978571999999999</v>
      </c>
      <c r="BD372" s="10">
        <v>3.9788863000000001</v>
      </c>
      <c r="BE372" s="10">
        <v>3.9606423999999998</v>
      </c>
      <c r="BF372" s="10">
        <v>3.9430895000000001</v>
      </c>
      <c r="BG372" s="10">
        <v>3.9262144000000001</v>
      </c>
      <c r="BH372" s="10">
        <v>3.9100103000000002</v>
      </c>
      <c r="BI372" s="10">
        <v>3.8944698999999998</v>
      </c>
      <c r="BJ372" s="10">
        <v>3.8795861</v>
      </c>
      <c r="BK372" s="10">
        <v>3.8653521</v>
      </c>
      <c r="BL372" s="10">
        <v>3.8517606999999998</v>
      </c>
      <c r="BM372" s="10">
        <v>3.8388048000000001</v>
      </c>
      <c r="BN372" s="10">
        <v>3.8264775000000002</v>
      </c>
      <c r="BO372" s="10">
        <v>3.8147717000000001</v>
      </c>
      <c r="BP372" s="10">
        <v>3.8036802999999999</v>
      </c>
      <c r="BQ372" s="10">
        <v>3.7931963</v>
      </c>
      <c r="BR372" s="10">
        <v>3.7426134000000002</v>
      </c>
      <c r="BS372" s="10">
        <v>3.711878</v>
      </c>
      <c r="BU372" s="7">
        <v>4.4800000000000004</v>
      </c>
      <c r="BV372" s="7">
        <v>4.33</v>
      </c>
      <c r="BW372" s="9">
        <v>79.962800000000001</v>
      </c>
    </row>
    <row r="373" spans="1:75" x14ac:dyDescent="0.25">
      <c r="A373" s="6">
        <f t="shared" si="35"/>
        <v>45075</v>
      </c>
      <c r="B373" s="13">
        <f t="shared" si="30"/>
        <v>5</v>
      </c>
      <c r="C373" s="13">
        <f t="shared" si="31"/>
        <v>2023</v>
      </c>
      <c r="D373">
        <f t="shared" si="32"/>
        <v>202305</v>
      </c>
      <c r="E373">
        <f t="shared" si="33"/>
        <v>2</v>
      </c>
      <c r="F373">
        <f t="shared" si="34"/>
        <v>202302</v>
      </c>
      <c r="G373" t="s">
        <v>560</v>
      </c>
      <c r="H373" s="9">
        <v>4.5</v>
      </c>
      <c r="I373" s="9" t="e">
        <v>#N/A</v>
      </c>
      <c r="J373" s="10" t="e">
        <v>#N/A</v>
      </c>
      <c r="K373" s="10" t="e">
        <v>#N/A</v>
      </c>
      <c r="L373" s="10" t="e">
        <v>#N/A</v>
      </c>
      <c r="M373" s="10" t="e">
        <v>#N/A</v>
      </c>
      <c r="N373" s="10" t="e">
        <v>#N/A</v>
      </c>
      <c r="O373" s="10" t="e">
        <v>#N/A</v>
      </c>
      <c r="P373" s="10" t="e">
        <v>#N/A</v>
      </c>
      <c r="Q373" s="10" t="e">
        <v>#N/A</v>
      </c>
      <c r="R373" s="10" t="e">
        <v>#N/A</v>
      </c>
      <c r="S373" s="10" t="e">
        <v>#N/A</v>
      </c>
      <c r="T373" s="10" t="e">
        <v>#N/A</v>
      </c>
      <c r="U373" s="10" t="e">
        <v>#N/A</v>
      </c>
      <c r="V373" s="10" t="e">
        <v>#N/A</v>
      </c>
      <c r="W373" s="10" t="e">
        <v>#N/A</v>
      </c>
      <c r="X373" s="10" t="e">
        <v>#N/A</v>
      </c>
      <c r="Y373" s="10" t="e">
        <v>#N/A</v>
      </c>
      <c r="Z373" s="10" t="e">
        <v>#N/A</v>
      </c>
      <c r="AA373" s="10" t="e">
        <v>#N/A</v>
      </c>
      <c r="AB373" s="10" t="e">
        <v>#N/A</v>
      </c>
      <c r="AC373" s="10" t="e">
        <v>#N/A</v>
      </c>
      <c r="AD373" s="10" t="e">
        <v>#N/A</v>
      </c>
      <c r="AE373" s="10" t="e">
        <v>#N/A</v>
      </c>
      <c r="AF373" s="10" t="e">
        <v>#N/A</v>
      </c>
      <c r="AG373" s="10" t="e">
        <v>#N/A</v>
      </c>
      <c r="AH373" s="10" t="e">
        <v>#N/A</v>
      </c>
      <c r="AI373" s="10" t="e">
        <v>#N/A</v>
      </c>
      <c r="AJ373" s="10" t="e">
        <v>#N/A</v>
      </c>
      <c r="AK373" s="10" t="e">
        <v>#N/A</v>
      </c>
      <c r="AL373" s="10" t="e">
        <v>#N/A</v>
      </c>
      <c r="AM373" s="10" t="e">
        <v>#N/A</v>
      </c>
      <c r="AN373" s="10" t="e">
        <v>#N/A</v>
      </c>
      <c r="AO373" s="10" t="e">
        <v>#N/A</v>
      </c>
      <c r="AP373" s="10" t="e">
        <v>#N/A</v>
      </c>
      <c r="AQ373" s="10" t="e">
        <v>#N/A</v>
      </c>
      <c r="AR373" s="10" t="e">
        <v>#N/A</v>
      </c>
      <c r="AS373" s="10" t="e">
        <v>#N/A</v>
      </c>
      <c r="AT373" s="10" t="e">
        <v>#N/A</v>
      </c>
      <c r="AU373" s="10" t="e">
        <v>#N/A</v>
      </c>
      <c r="AV373" s="10" t="e">
        <v>#N/A</v>
      </c>
      <c r="AW373" s="10" t="e">
        <v>#N/A</v>
      </c>
      <c r="AX373" s="10" t="e">
        <v>#N/A</v>
      </c>
      <c r="AY373" s="10" t="e">
        <v>#N/A</v>
      </c>
      <c r="AZ373" s="10" t="e">
        <v>#N/A</v>
      </c>
      <c r="BA373" s="10" t="e">
        <v>#N/A</v>
      </c>
      <c r="BB373" s="10" t="e">
        <v>#N/A</v>
      </c>
      <c r="BC373" s="10" t="e">
        <v>#N/A</v>
      </c>
      <c r="BD373" s="10" t="e">
        <v>#N/A</v>
      </c>
      <c r="BE373" s="10" t="e">
        <v>#N/A</v>
      </c>
      <c r="BF373" s="10" t="e">
        <v>#N/A</v>
      </c>
      <c r="BG373" s="10" t="e">
        <v>#N/A</v>
      </c>
      <c r="BH373" s="10" t="e">
        <v>#N/A</v>
      </c>
      <c r="BI373" s="10" t="e">
        <v>#N/A</v>
      </c>
      <c r="BJ373" s="10" t="e">
        <v>#N/A</v>
      </c>
      <c r="BK373" s="10" t="e">
        <v>#N/A</v>
      </c>
      <c r="BL373" s="10" t="e">
        <v>#N/A</v>
      </c>
      <c r="BM373" s="10" t="e">
        <v>#N/A</v>
      </c>
      <c r="BN373" s="10" t="e">
        <v>#N/A</v>
      </c>
      <c r="BO373" s="10" t="e">
        <v>#N/A</v>
      </c>
      <c r="BP373" s="10" t="e">
        <v>#N/A</v>
      </c>
      <c r="BQ373" s="10" t="e">
        <v>#N/A</v>
      </c>
      <c r="BR373" s="10" t="e">
        <v>#N/A</v>
      </c>
      <c r="BS373" s="10" t="e">
        <v>#N/A</v>
      </c>
      <c r="BU373" s="7">
        <v>4.51</v>
      </c>
      <c r="BV373" s="7" t="e">
        <v>#N/A</v>
      </c>
      <c r="BW373" s="9" t="e">
        <v>#N/A</v>
      </c>
    </row>
    <row r="374" spans="1:75" x14ac:dyDescent="0.25">
      <c r="A374" s="6">
        <f t="shared" si="35"/>
        <v>45076</v>
      </c>
      <c r="B374" s="13">
        <f t="shared" si="30"/>
        <v>5</v>
      </c>
      <c r="C374" s="13">
        <f t="shared" si="31"/>
        <v>2023</v>
      </c>
      <c r="D374">
        <f t="shared" si="32"/>
        <v>202305</v>
      </c>
      <c r="E374">
        <f t="shared" si="33"/>
        <v>2</v>
      </c>
      <c r="F374">
        <f t="shared" si="34"/>
        <v>202302</v>
      </c>
      <c r="G374" t="s">
        <v>561</v>
      </c>
      <c r="H374" s="9">
        <v>4.5</v>
      </c>
      <c r="I374" s="9">
        <v>4.4278000000000004</v>
      </c>
      <c r="J374" s="10">
        <v>4.6270404000000003</v>
      </c>
      <c r="K374" s="10">
        <v>4.8567339</v>
      </c>
      <c r="L374" s="10">
        <v>5.0534809999999997</v>
      </c>
      <c r="M374" s="10">
        <v>5.2135047999999999</v>
      </c>
      <c r="N374" s="10">
        <v>5.3349415999999996</v>
      </c>
      <c r="O374" s="10">
        <v>5.4170420999999997</v>
      </c>
      <c r="P374" s="10">
        <v>5.4626687</v>
      </c>
      <c r="Q374" s="10">
        <v>5.4795578999999996</v>
      </c>
      <c r="R374" s="10">
        <v>5.4751352999999998</v>
      </c>
      <c r="S374" s="10">
        <v>5.4559350000000002</v>
      </c>
      <c r="T374" s="10">
        <v>5.4258264</v>
      </c>
      <c r="U374" s="10">
        <v>5.3864830000000001</v>
      </c>
      <c r="V374" s="10">
        <v>5.3382266999999999</v>
      </c>
      <c r="W374" s="10">
        <v>5.2823285999999996</v>
      </c>
      <c r="X374" s="10">
        <v>5.2204220000000001</v>
      </c>
      <c r="Y374" s="10">
        <v>5.1541385000000002</v>
      </c>
      <c r="Z374" s="10">
        <v>5.0851094000000003</v>
      </c>
      <c r="AA374" s="10">
        <v>5.0149682000000002</v>
      </c>
      <c r="AB374" s="10">
        <v>4.9452347999999997</v>
      </c>
      <c r="AC374" s="10">
        <v>4.8767291000000004</v>
      </c>
      <c r="AD374" s="10">
        <v>4.8100028000000004</v>
      </c>
      <c r="AE374" s="10">
        <v>4.7456047000000003</v>
      </c>
      <c r="AF374" s="10">
        <v>4.6840836000000001</v>
      </c>
      <c r="AG374" s="10">
        <v>4.6259905000000003</v>
      </c>
      <c r="AH374" s="10">
        <v>4.5717546000000002</v>
      </c>
      <c r="AI374" s="10">
        <v>4.5212766999999996</v>
      </c>
      <c r="AJ374" s="10">
        <v>4.4743136000000003</v>
      </c>
      <c r="AK374" s="10">
        <v>4.4306204999999999</v>
      </c>
      <c r="AL374" s="10">
        <v>4.3899526</v>
      </c>
      <c r="AM374" s="10">
        <v>4.3520664</v>
      </c>
      <c r="AN374" s="10">
        <v>4.3167169999999997</v>
      </c>
      <c r="AO374" s="10">
        <v>4.2836599</v>
      </c>
      <c r="AP374" s="10">
        <v>4.2526514999999998</v>
      </c>
      <c r="AQ374" s="10">
        <v>4.2234468999999999</v>
      </c>
      <c r="AR374" s="10">
        <v>4.1958016000000002</v>
      </c>
      <c r="AS374" s="10">
        <v>4.1694718999999996</v>
      </c>
      <c r="AT374" s="10">
        <v>4.1442364999999999</v>
      </c>
      <c r="AU374" s="10">
        <v>4.1200001000000004</v>
      </c>
      <c r="AV374" s="10">
        <v>4.0967105000000004</v>
      </c>
      <c r="AW374" s="10">
        <v>4.0743149000000001</v>
      </c>
      <c r="AX374" s="10">
        <v>4.0527601000000004</v>
      </c>
      <c r="AY374" s="10">
        <v>4.0319941000000004</v>
      </c>
      <c r="AZ374" s="10">
        <v>4.0119638999999996</v>
      </c>
      <c r="BA374" s="10">
        <v>3.9926165</v>
      </c>
      <c r="BB374" s="10">
        <v>3.9738997</v>
      </c>
      <c r="BC374" s="10">
        <v>3.9557606000000001</v>
      </c>
      <c r="BD374" s="10">
        <v>3.9381461</v>
      </c>
      <c r="BE374" s="10">
        <v>3.9210042000000001</v>
      </c>
      <c r="BF374" s="10">
        <v>3.9042892</v>
      </c>
      <c r="BG374" s="10">
        <v>3.8879956</v>
      </c>
      <c r="BH374" s="10">
        <v>3.8721320000000001</v>
      </c>
      <c r="BI374" s="10">
        <v>3.8567062999999999</v>
      </c>
      <c r="BJ374" s="10">
        <v>3.8417262999999999</v>
      </c>
      <c r="BK374" s="10">
        <v>3.8272005999999998</v>
      </c>
      <c r="BL374" s="10">
        <v>3.8131370000000002</v>
      </c>
      <c r="BM374" s="10">
        <v>3.7995435999999998</v>
      </c>
      <c r="BN374" s="10">
        <v>3.7864285999999998</v>
      </c>
      <c r="BO374" s="10">
        <v>3.7738002000000002</v>
      </c>
      <c r="BP374" s="10">
        <v>3.7616660999999998</v>
      </c>
      <c r="BQ374" s="10">
        <v>3.7500349000000002</v>
      </c>
      <c r="BR374" s="10">
        <v>3.6908710999999998</v>
      </c>
      <c r="BS374" s="10">
        <v>3.6494754</v>
      </c>
      <c r="BU374" s="7">
        <v>4.4400000000000004</v>
      </c>
      <c r="BV374" s="7">
        <v>4.24</v>
      </c>
      <c r="BW374" s="9">
        <v>80.470299999999995</v>
      </c>
    </row>
    <row r="375" spans="1:75" x14ac:dyDescent="0.25">
      <c r="A375" s="6">
        <f t="shared" si="35"/>
        <v>45077</v>
      </c>
      <c r="B375" s="13">
        <f t="shared" si="30"/>
        <v>5</v>
      </c>
      <c r="C375" s="13">
        <f t="shared" si="31"/>
        <v>2023</v>
      </c>
      <c r="D375">
        <f t="shared" si="32"/>
        <v>202305</v>
      </c>
      <c r="E375">
        <f t="shared" si="33"/>
        <v>2</v>
      </c>
      <c r="F375">
        <f t="shared" si="34"/>
        <v>202302</v>
      </c>
      <c r="G375" t="s">
        <v>562</v>
      </c>
      <c r="H375" s="9">
        <v>4.5</v>
      </c>
      <c r="I375" s="9">
        <v>4.4278000000000004</v>
      </c>
      <c r="J375" s="10">
        <v>4.6248699000000002</v>
      </c>
      <c r="K375" s="10">
        <v>4.8309588999999997</v>
      </c>
      <c r="L375" s="10">
        <v>5.0053302000000004</v>
      </c>
      <c r="M375" s="10">
        <v>5.1428824999999998</v>
      </c>
      <c r="N375" s="10">
        <v>5.2422477000000001</v>
      </c>
      <c r="O375" s="10">
        <v>5.3040345000000002</v>
      </c>
      <c r="P375" s="10">
        <v>5.3318146999999998</v>
      </c>
      <c r="Q375" s="10">
        <v>5.3337092999999998</v>
      </c>
      <c r="R375" s="10">
        <v>5.3172271999999996</v>
      </c>
      <c r="S375" s="10">
        <v>5.2889821000000001</v>
      </c>
      <c r="T375" s="10">
        <v>5.2524839999999999</v>
      </c>
      <c r="U375" s="10">
        <v>5.2091129</v>
      </c>
      <c r="V375" s="10">
        <v>5.1592494999999996</v>
      </c>
      <c r="W375" s="10">
        <v>5.1038690000000004</v>
      </c>
      <c r="X375" s="10">
        <v>5.0441703000000002</v>
      </c>
      <c r="Y375" s="10">
        <v>4.9813505999999999</v>
      </c>
      <c r="Z375" s="10">
        <v>4.9166065999999997</v>
      </c>
      <c r="AA375" s="10">
        <v>4.8511375000000001</v>
      </c>
      <c r="AB375" s="10">
        <v>4.7860547000000002</v>
      </c>
      <c r="AC375" s="10">
        <v>4.7219841000000002</v>
      </c>
      <c r="AD375" s="10">
        <v>4.6593834000000003</v>
      </c>
      <c r="AE375" s="10">
        <v>4.5987079</v>
      </c>
      <c r="AF375" s="10">
        <v>4.5404128000000004</v>
      </c>
      <c r="AG375" s="10">
        <v>4.4849553999999996</v>
      </c>
      <c r="AH375" s="10">
        <v>4.4327148000000003</v>
      </c>
      <c r="AI375" s="10">
        <v>4.3836588000000001</v>
      </c>
      <c r="AJ375" s="10">
        <v>4.3376191000000004</v>
      </c>
      <c r="AK375" s="10">
        <v>4.2944255</v>
      </c>
      <c r="AL375" s="10">
        <v>4.2539081999999997</v>
      </c>
      <c r="AM375" s="10">
        <v>4.2158984999999998</v>
      </c>
      <c r="AN375" s="10">
        <v>4.1802264999999998</v>
      </c>
      <c r="AO375" s="10">
        <v>4.1467222000000001</v>
      </c>
      <c r="AP375" s="10">
        <v>4.1152170000000003</v>
      </c>
      <c r="AQ375" s="10">
        <v>4.0855408000000004</v>
      </c>
      <c r="AR375" s="10">
        <v>4.0575238999999996</v>
      </c>
      <c r="AS375" s="10">
        <v>4.0309973000000001</v>
      </c>
      <c r="AT375" s="10">
        <v>4.0058059000000004</v>
      </c>
      <c r="AU375" s="10">
        <v>3.9818650999999998</v>
      </c>
      <c r="AV375" s="10">
        <v>3.9591129</v>
      </c>
      <c r="AW375" s="10">
        <v>3.9374866000000002</v>
      </c>
      <c r="AX375" s="10">
        <v>3.9169231999999998</v>
      </c>
      <c r="AY375" s="10">
        <v>3.8973607000000001</v>
      </c>
      <c r="AZ375" s="10">
        <v>3.8787362999999999</v>
      </c>
      <c r="BA375" s="10">
        <v>3.8609871999999998</v>
      </c>
      <c r="BB375" s="10">
        <v>3.8440512999999998</v>
      </c>
      <c r="BC375" s="10">
        <v>3.8278656999999998</v>
      </c>
      <c r="BD375" s="10">
        <v>3.8123678000000001</v>
      </c>
      <c r="BE375" s="10">
        <v>3.7974953</v>
      </c>
      <c r="BF375" s="10">
        <v>3.7831931000000001</v>
      </c>
      <c r="BG375" s="10">
        <v>3.7694437000000001</v>
      </c>
      <c r="BH375" s="10">
        <v>3.7562413000000001</v>
      </c>
      <c r="BI375" s="10">
        <v>3.7435797000000002</v>
      </c>
      <c r="BJ375" s="10">
        <v>3.7314528999999999</v>
      </c>
      <c r="BK375" s="10">
        <v>3.7198549000000001</v>
      </c>
      <c r="BL375" s="10">
        <v>3.7087797</v>
      </c>
      <c r="BM375" s="10">
        <v>3.6982211</v>
      </c>
      <c r="BN375" s="10">
        <v>3.6881732999999999</v>
      </c>
      <c r="BO375" s="10">
        <v>3.6786302000000002</v>
      </c>
      <c r="BP375" s="10">
        <v>3.6695856</v>
      </c>
      <c r="BQ375" s="10">
        <v>3.6610336999999999</v>
      </c>
      <c r="BR375" s="10">
        <v>3.6196842999999999</v>
      </c>
      <c r="BS375" s="10">
        <v>3.5942775999999999</v>
      </c>
      <c r="BU375" s="7">
        <v>4.32</v>
      </c>
      <c r="BV375" s="7">
        <v>4.18</v>
      </c>
      <c r="BW375" s="9">
        <v>80.671700000000001</v>
      </c>
    </row>
    <row r="376" spans="1:75" x14ac:dyDescent="0.25">
      <c r="A376" s="6">
        <f t="shared" si="35"/>
        <v>45078</v>
      </c>
      <c r="B376" s="13">
        <f t="shared" si="30"/>
        <v>6</v>
      </c>
      <c r="C376" s="13">
        <f t="shared" si="31"/>
        <v>2023</v>
      </c>
      <c r="D376">
        <f t="shared" si="32"/>
        <v>202306</v>
      </c>
      <c r="E376">
        <f t="shared" si="33"/>
        <v>2</v>
      </c>
      <c r="F376">
        <f t="shared" si="34"/>
        <v>202302</v>
      </c>
      <c r="G376" t="s">
        <v>563</v>
      </c>
      <c r="H376" s="9">
        <v>4.5</v>
      </c>
      <c r="I376" s="9">
        <v>4.4278000000000004</v>
      </c>
      <c r="J376" s="10">
        <v>4.6260114999999997</v>
      </c>
      <c r="K376" s="10">
        <v>4.8308758000000003</v>
      </c>
      <c r="L376" s="10">
        <v>5.0071912999999997</v>
      </c>
      <c r="M376" s="10">
        <v>5.1444225000000001</v>
      </c>
      <c r="N376" s="10">
        <v>5.2421074000000001</v>
      </c>
      <c r="O376" s="10">
        <v>5.3024782999999998</v>
      </c>
      <c r="P376" s="10">
        <v>5.3287208000000001</v>
      </c>
      <c r="Q376" s="10">
        <v>5.3285913000000003</v>
      </c>
      <c r="R376" s="10">
        <v>5.3096693000000004</v>
      </c>
      <c r="S376" s="10">
        <v>5.2783021000000003</v>
      </c>
      <c r="T376" s="10">
        <v>5.2380835000000001</v>
      </c>
      <c r="U376" s="10">
        <v>5.1909581999999999</v>
      </c>
      <c r="V376" s="10">
        <v>5.1374209000000004</v>
      </c>
      <c r="W376" s="10">
        <v>5.0785670999999999</v>
      </c>
      <c r="X376" s="10">
        <v>5.0158215000000004</v>
      </c>
      <c r="Y376" s="10">
        <v>4.9506071</v>
      </c>
      <c r="Z376" s="10">
        <v>4.8843467</v>
      </c>
      <c r="AA376" s="10">
        <v>4.8184657</v>
      </c>
      <c r="AB376" s="10">
        <v>4.7542257000000001</v>
      </c>
      <c r="AC376" s="10">
        <v>4.6920633</v>
      </c>
      <c r="AD376" s="10">
        <v>4.6321538000000002</v>
      </c>
      <c r="AE376" s="10">
        <v>4.5746700000000002</v>
      </c>
      <c r="AF376" s="10">
        <v>4.5197849000000003</v>
      </c>
      <c r="AG376" s="10">
        <v>4.4676735000000001</v>
      </c>
      <c r="AH376" s="10">
        <v>4.4184621000000002</v>
      </c>
      <c r="AI376" s="10">
        <v>4.3720499999999998</v>
      </c>
      <c r="AJ376" s="10">
        <v>4.3282689999999997</v>
      </c>
      <c r="AK376" s="10">
        <v>4.2869495000000004</v>
      </c>
      <c r="AL376" s="10">
        <v>4.2479217</v>
      </c>
      <c r="AM376" s="10">
        <v>4.2110171999999997</v>
      </c>
      <c r="AN376" s="10">
        <v>4.1760663999999998</v>
      </c>
      <c r="AO376" s="10">
        <v>4.1428995000000004</v>
      </c>
      <c r="AP376" s="10">
        <v>4.1113483000000004</v>
      </c>
      <c r="AQ376" s="10">
        <v>4.0812429000000003</v>
      </c>
      <c r="AR376" s="10">
        <v>4.0524138000000001</v>
      </c>
      <c r="AS376" s="10">
        <v>4.0246924000000002</v>
      </c>
      <c r="AT376" s="10">
        <v>3.9979311000000002</v>
      </c>
      <c r="AU376" s="10">
        <v>3.9720787</v>
      </c>
      <c r="AV376" s="10">
        <v>3.9471116999999998</v>
      </c>
      <c r="AW376" s="10">
        <v>3.9230057</v>
      </c>
      <c r="AX376" s="10">
        <v>3.8997361000000001</v>
      </c>
      <c r="AY376" s="10">
        <v>3.8772795000000002</v>
      </c>
      <c r="AZ376" s="10">
        <v>3.8556115000000002</v>
      </c>
      <c r="BA376" s="10">
        <v>3.8347074999999999</v>
      </c>
      <c r="BB376" s="10">
        <v>3.8145440000000002</v>
      </c>
      <c r="BC376" s="10">
        <v>3.7950965000000001</v>
      </c>
      <c r="BD376" s="10">
        <v>3.7763407999999998</v>
      </c>
      <c r="BE376" s="10">
        <v>3.7582531000000001</v>
      </c>
      <c r="BF376" s="10">
        <v>3.7408122000000001</v>
      </c>
      <c r="BG376" s="10">
        <v>3.7240107999999998</v>
      </c>
      <c r="BH376" s="10">
        <v>3.7078462999999999</v>
      </c>
      <c r="BI376" s="10">
        <v>3.6923153000000002</v>
      </c>
      <c r="BJ376" s="10">
        <v>3.6774144</v>
      </c>
      <c r="BK376" s="10">
        <v>3.6631407999999999</v>
      </c>
      <c r="BL376" s="10">
        <v>3.6494913000000002</v>
      </c>
      <c r="BM376" s="10">
        <v>3.6364624000000001</v>
      </c>
      <c r="BN376" s="10">
        <v>3.6240513000000001</v>
      </c>
      <c r="BO376" s="10">
        <v>3.6122548000000001</v>
      </c>
      <c r="BP376" s="10">
        <v>3.6010694999999999</v>
      </c>
      <c r="BQ376" s="10">
        <v>3.5904924999999999</v>
      </c>
      <c r="BR376" s="10">
        <v>3.5393884</v>
      </c>
      <c r="BS376" s="10">
        <v>3.5079275000000001</v>
      </c>
      <c r="BU376" s="7">
        <v>4.29</v>
      </c>
      <c r="BV376" s="7">
        <v>4.13</v>
      </c>
      <c r="BW376" s="9">
        <v>81.188400000000001</v>
      </c>
    </row>
    <row r="377" spans="1:75" x14ac:dyDescent="0.25">
      <c r="A377" s="6">
        <f t="shared" si="35"/>
        <v>45079</v>
      </c>
      <c r="B377" s="13">
        <f t="shared" si="30"/>
        <v>6</v>
      </c>
      <c r="C377" s="13">
        <f t="shared" si="31"/>
        <v>2023</v>
      </c>
      <c r="D377">
        <f t="shared" si="32"/>
        <v>202306</v>
      </c>
      <c r="E377">
        <f t="shared" si="33"/>
        <v>2</v>
      </c>
      <c r="F377">
        <f t="shared" si="34"/>
        <v>202302</v>
      </c>
      <c r="G377" t="s">
        <v>564</v>
      </c>
      <c r="H377" s="9">
        <v>4.5</v>
      </c>
      <c r="I377" s="9">
        <v>4.4280999999999997</v>
      </c>
      <c r="J377" s="10">
        <v>4.6507766000000004</v>
      </c>
      <c r="K377" s="10">
        <v>4.8543368999999998</v>
      </c>
      <c r="L377" s="10">
        <v>5.0354042999999997</v>
      </c>
      <c r="M377" s="10">
        <v>5.1781040999999997</v>
      </c>
      <c r="N377" s="10">
        <v>5.2809299999999997</v>
      </c>
      <c r="O377" s="10">
        <v>5.3452147999999999</v>
      </c>
      <c r="P377" s="10">
        <v>5.3749018</v>
      </c>
      <c r="Q377" s="10">
        <v>5.3765361</v>
      </c>
      <c r="R377" s="10">
        <v>5.3578479999999997</v>
      </c>
      <c r="S377" s="10">
        <v>5.3251761999999996</v>
      </c>
      <c r="T377" s="10">
        <v>5.2829094999999997</v>
      </c>
      <c r="U377" s="10">
        <v>5.2337043999999997</v>
      </c>
      <c r="V377" s="10">
        <v>5.1794637999999997</v>
      </c>
      <c r="W377" s="10">
        <v>5.1214915000000003</v>
      </c>
      <c r="X377" s="10">
        <v>5.0609349999999997</v>
      </c>
      <c r="Y377" s="10">
        <v>4.9989398999999999</v>
      </c>
      <c r="Z377" s="10">
        <v>4.9366515</v>
      </c>
      <c r="AA377" s="10">
        <v>4.8752176</v>
      </c>
      <c r="AB377" s="10">
        <v>4.8156239999999997</v>
      </c>
      <c r="AC377" s="10">
        <v>4.7581170000000004</v>
      </c>
      <c r="AD377" s="10">
        <v>4.7027302000000004</v>
      </c>
      <c r="AE377" s="10">
        <v>4.6494954999999996</v>
      </c>
      <c r="AF377" s="10">
        <v>4.5984445999999997</v>
      </c>
      <c r="AG377" s="10">
        <v>4.5496112000000002</v>
      </c>
      <c r="AH377" s="10">
        <v>4.5030030999999999</v>
      </c>
      <c r="AI377" s="10">
        <v>4.4585226000000002</v>
      </c>
      <c r="AJ377" s="10">
        <v>4.4160443999999996</v>
      </c>
      <c r="AK377" s="10">
        <v>4.3754416999999997</v>
      </c>
      <c r="AL377" s="10">
        <v>4.3365876999999999</v>
      </c>
      <c r="AM377" s="10">
        <v>4.2993569999999997</v>
      </c>
      <c r="AN377" s="10">
        <v>4.2636228999999997</v>
      </c>
      <c r="AO377" s="10">
        <v>4.2292585999999996</v>
      </c>
      <c r="AP377" s="10">
        <v>4.1961385</v>
      </c>
      <c r="AQ377" s="10">
        <v>4.1641360000000001</v>
      </c>
      <c r="AR377" s="10">
        <v>4.1331243999999998</v>
      </c>
      <c r="AS377" s="10">
        <v>4.1029780000000002</v>
      </c>
      <c r="AT377" s="10">
        <v>4.0735887000000002</v>
      </c>
      <c r="AU377" s="10">
        <v>4.0449289999999998</v>
      </c>
      <c r="AV377" s="10">
        <v>4.0169953999999999</v>
      </c>
      <c r="AW377" s="10">
        <v>3.9897828</v>
      </c>
      <c r="AX377" s="10">
        <v>3.9632865000000002</v>
      </c>
      <c r="AY377" s="10">
        <v>3.9375027999999999</v>
      </c>
      <c r="AZ377" s="10">
        <v>3.9124265999999999</v>
      </c>
      <c r="BA377" s="10">
        <v>3.8880533000000002</v>
      </c>
      <c r="BB377" s="10">
        <v>3.864379</v>
      </c>
      <c r="BC377" s="10">
        <v>3.8413987999999999</v>
      </c>
      <c r="BD377" s="10">
        <v>3.8191080999999998</v>
      </c>
      <c r="BE377" s="10">
        <v>3.7975028000000002</v>
      </c>
      <c r="BF377" s="10">
        <v>3.7765803</v>
      </c>
      <c r="BG377" s="10">
        <v>3.7563472</v>
      </c>
      <c r="BH377" s="10">
        <v>3.7368131</v>
      </c>
      <c r="BI377" s="10">
        <v>3.7179872999999999</v>
      </c>
      <c r="BJ377" s="10">
        <v>3.6998788</v>
      </c>
      <c r="BK377" s="10">
        <v>3.6824973999999999</v>
      </c>
      <c r="BL377" s="10">
        <v>3.6658521999999998</v>
      </c>
      <c r="BM377" s="10">
        <v>3.6499522999999998</v>
      </c>
      <c r="BN377" s="10">
        <v>3.6348074000000001</v>
      </c>
      <c r="BO377" s="10">
        <v>3.6204266000000001</v>
      </c>
      <c r="BP377" s="10">
        <v>3.6068191999999999</v>
      </c>
      <c r="BQ377" s="10">
        <v>3.5939947000000001</v>
      </c>
      <c r="BR377" s="10">
        <v>3.5332525000000001</v>
      </c>
      <c r="BS377" s="10">
        <v>3.4984058999999998</v>
      </c>
      <c r="BU377" s="7">
        <v>4.3600000000000003</v>
      </c>
      <c r="BV377" s="7">
        <v>4.1500000000000004</v>
      </c>
      <c r="BW377" s="9">
        <v>80.882300000000001</v>
      </c>
    </row>
    <row r="378" spans="1:75" x14ac:dyDescent="0.25">
      <c r="A378" s="6">
        <f t="shared" si="35"/>
        <v>45082</v>
      </c>
      <c r="B378" s="13">
        <f t="shared" si="30"/>
        <v>6</v>
      </c>
      <c r="C378" s="13">
        <f t="shared" si="31"/>
        <v>2023</v>
      </c>
      <c r="D378">
        <f t="shared" si="32"/>
        <v>202306</v>
      </c>
      <c r="E378">
        <f t="shared" si="33"/>
        <v>2</v>
      </c>
      <c r="F378">
        <f t="shared" si="34"/>
        <v>202302</v>
      </c>
      <c r="G378" t="s">
        <v>565</v>
      </c>
      <c r="H378" s="9">
        <v>4.5</v>
      </c>
      <c r="I378" s="9">
        <v>4.4279999999999999</v>
      </c>
      <c r="J378" s="10">
        <v>4.6972586999999999</v>
      </c>
      <c r="K378" s="10">
        <v>4.8749729000000004</v>
      </c>
      <c r="L378" s="10">
        <v>5.0482335999999997</v>
      </c>
      <c r="M378" s="10">
        <v>5.1936011999999998</v>
      </c>
      <c r="N378" s="10">
        <v>5.3012600000000001</v>
      </c>
      <c r="O378" s="10">
        <v>5.3700406999999997</v>
      </c>
      <c r="P378" s="10">
        <v>5.4036556999999998</v>
      </c>
      <c r="Q378" s="10">
        <v>5.4107950999999996</v>
      </c>
      <c r="R378" s="10">
        <v>5.3998115000000002</v>
      </c>
      <c r="S378" s="10">
        <v>5.3773210999999996</v>
      </c>
      <c r="T378" s="10">
        <v>5.3467963999999997</v>
      </c>
      <c r="U378" s="10">
        <v>5.3102871</v>
      </c>
      <c r="V378" s="10">
        <v>5.2689816</v>
      </c>
      <c r="W378" s="10">
        <v>5.2236509</v>
      </c>
      <c r="X378" s="10">
        <v>5.1750109000000002</v>
      </c>
      <c r="Y378" s="10">
        <v>5.1237754000000004</v>
      </c>
      <c r="Z378" s="10">
        <v>5.0706585000000004</v>
      </c>
      <c r="AA378" s="10">
        <v>5.0163757999999996</v>
      </c>
      <c r="AB378" s="10">
        <v>4.9615850000000004</v>
      </c>
      <c r="AC378" s="10">
        <v>4.9066811000000001</v>
      </c>
      <c r="AD378" s="10">
        <v>4.8519851999999997</v>
      </c>
      <c r="AE378" s="10">
        <v>4.7978167000000003</v>
      </c>
      <c r="AF378" s="10">
        <v>4.7444946999999997</v>
      </c>
      <c r="AG378" s="10">
        <v>4.6923402999999997</v>
      </c>
      <c r="AH378" s="10">
        <v>4.6416215000000003</v>
      </c>
      <c r="AI378" s="10">
        <v>4.5923803000000003</v>
      </c>
      <c r="AJ378" s="10">
        <v>4.5445981</v>
      </c>
      <c r="AK378" s="10">
        <v>4.4982543000000001</v>
      </c>
      <c r="AL378" s="10">
        <v>4.4533285999999999</v>
      </c>
      <c r="AM378" s="10">
        <v>4.4098021999999997</v>
      </c>
      <c r="AN378" s="10">
        <v>4.3676547000000001</v>
      </c>
      <c r="AO378" s="10">
        <v>4.3268658000000002</v>
      </c>
      <c r="AP378" s="10">
        <v>4.2874166999999996</v>
      </c>
      <c r="AQ378" s="10">
        <v>4.2492869000000004</v>
      </c>
      <c r="AR378" s="10">
        <v>4.2124562000000001</v>
      </c>
      <c r="AS378" s="10">
        <v>4.1769056000000004</v>
      </c>
      <c r="AT378" s="10">
        <v>4.1426147999999996</v>
      </c>
      <c r="AU378" s="10">
        <v>4.1095638000000001</v>
      </c>
      <c r="AV378" s="10">
        <v>4.0777334999999999</v>
      </c>
      <c r="AW378" s="10">
        <v>4.047104</v>
      </c>
      <c r="AX378" s="10">
        <v>4.0176550999999998</v>
      </c>
      <c r="AY378" s="10">
        <v>3.9893678000000001</v>
      </c>
      <c r="AZ378" s="10">
        <v>3.9622220000000001</v>
      </c>
      <c r="BA378" s="10">
        <v>3.9361978</v>
      </c>
      <c r="BB378" s="10">
        <v>3.911276</v>
      </c>
      <c r="BC378" s="10">
        <v>3.8874366999999999</v>
      </c>
      <c r="BD378" s="10">
        <v>3.8646598000000001</v>
      </c>
      <c r="BE378" s="10">
        <v>3.8429261000000001</v>
      </c>
      <c r="BF378" s="10">
        <v>3.8222155999999998</v>
      </c>
      <c r="BG378" s="10">
        <v>3.8025074999999999</v>
      </c>
      <c r="BH378" s="10">
        <v>3.7837812</v>
      </c>
      <c r="BI378" s="10">
        <v>3.7660157000000001</v>
      </c>
      <c r="BJ378" s="10">
        <v>3.7491900999999999</v>
      </c>
      <c r="BK378" s="10">
        <v>3.7332836</v>
      </c>
      <c r="BL378" s="10">
        <v>3.7182754999999998</v>
      </c>
      <c r="BM378" s="10">
        <v>3.7041445</v>
      </c>
      <c r="BN378" s="10">
        <v>3.6908702</v>
      </c>
      <c r="BO378" s="10">
        <v>3.6784314999999999</v>
      </c>
      <c r="BP378" s="10">
        <v>3.6668074000000002</v>
      </c>
      <c r="BQ378" s="10">
        <v>3.6559775000000001</v>
      </c>
      <c r="BR378" s="10">
        <v>3.6064094</v>
      </c>
      <c r="BS378" s="10">
        <v>3.5796025</v>
      </c>
      <c r="BU378" s="7">
        <v>4.46</v>
      </c>
      <c r="BV378" s="7">
        <v>4.22</v>
      </c>
      <c r="BW378" s="9">
        <v>80.542299999999997</v>
      </c>
    </row>
    <row r="379" spans="1:75" x14ac:dyDescent="0.25">
      <c r="A379" s="6">
        <f t="shared" si="35"/>
        <v>45083</v>
      </c>
      <c r="B379" s="13">
        <f t="shared" si="30"/>
        <v>6</v>
      </c>
      <c r="C379" s="13">
        <f t="shared" si="31"/>
        <v>2023</v>
      </c>
      <c r="D379">
        <f t="shared" si="32"/>
        <v>202306</v>
      </c>
      <c r="E379">
        <f t="shared" si="33"/>
        <v>2</v>
      </c>
      <c r="F379">
        <f t="shared" si="34"/>
        <v>202302</v>
      </c>
      <c r="G379" t="s">
        <v>566</v>
      </c>
      <c r="H379" s="9">
        <v>4.5</v>
      </c>
      <c r="I379" s="9">
        <v>4.4279000000000002</v>
      </c>
      <c r="J379" s="10">
        <v>4.7025842000000004</v>
      </c>
      <c r="K379" s="10">
        <v>4.8720581999999997</v>
      </c>
      <c r="L379" s="10">
        <v>5.0403855000000002</v>
      </c>
      <c r="M379" s="10">
        <v>5.1803046000000004</v>
      </c>
      <c r="N379" s="10">
        <v>5.2815428999999998</v>
      </c>
      <c r="O379" s="10">
        <v>5.3447706999999998</v>
      </c>
      <c r="P379" s="10">
        <v>5.3755379000000003</v>
      </c>
      <c r="Q379" s="10">
        <v>5.3836757000000004</v>
      </c>
      <c r="R379" s="10">
        <v>5.3771214000000001</v>
      </c>
      <c r="S379" s="10">
        <v>5.3611051999999999</v>
      </c>
      <c r="T379" s="10">
        <v>5.3377135999999998</v>
      </c>
      <c r="U379" s="10">
        <v>5.3074165999999998</v>
      </c>
      <c r="V379" s="10">
        <v>5.269863</v>
      </c>
      <c r="W379" s="10">
        <v>5.2258338999999996</v>
      </c>
      <c r="X379" s="10">
        <v>5.1764960000000002</v>
      </c>
      <c r="Y379" s="10">
        <v>5.1230143000000004</v>
      </c>
      <c r="Z379" s="10">
        <v>5.0665535000000004</v>
      </c>
      <c r="AA379" s="10">
        <v>5.0082806</v>
      </c>
      <c r="AB379" s="10">
        <v>4.9492535999999996</v>
      </c>
      <c r="AC379" s="10">
        <v>4.8900360000000003</v>
      </c>
      <c r="AD379" s="10">
        <v>4.8310500000000003</v>
      </c>
      <c r="AE379" s="10">
        <v>4.7727157</v>
      </c>
      <c r="AF379" s="10">
        <v>4.7154531999999998</v>
      </c>
      <c r="AG379" s="10">
        <v>4.6596846999999997</v>
      </c>
      <c r="AH379" s="10">
        <v>4.6057610000000002</v>
      </c>
      <c r="AI379" s="10">
        <v>4.5537276999999996</v>
      </c>
      <c r="AJ379" s="10">
        <v>4.5035476000000001</v>
      </c>
      <c r="AK379" s="10">
        <v>4.4551821</v>
      </c>
      <c r="AL379" s="10">
        <v>4.4085922000000002</v>
      </c>
      <c r="AM379" s="10">
        <v>4.3637410000000001</v>
      </c>
      <c r="AN379" s="10">
        <v>4.3205895999999999</v>
      </c>
      <c r="AO379" s="10">
        <v>4.2790993000000004</v>
      </c>
      <c r="AP379" s="10">
        <v>4.2392327999999999</v>
      </c>
      <c r="AQ379" s="10">
        <v>4.2009515999999998</v>
      </c>
      <c r="AR379" s="10">
        <v>4.1642168000000002</v>
      </c>
      <c r="AS379" s="10">
        <v>4.1289911999999998</v>
      </c>
      <c r="AT379" s="10">
        <v>4.0952355999999996</v>
      </c>
      <c r="AU379" s="10">
        <v>4.0629086000000001</v>
      </c>
      <c r="AV379" s="10">
        <v>4.0319688999999999</v>
      </c>
      <c r="AW379" s="10">
        <v>4.0023742000000002</v>
      </c>
      <c r="AX379" s="10">
        <v>3.9740823000000001</v>
      </c>
      <c r="AY379" s="10">
        <v>3.9470518999999999</v>
      </c>
      <c r="AZ379" s="10">
        <v>3.9212406999999998</v>
      </c>
      <c r="BA379" s="10">
        <v>3.8966064999999999</v>
      </c>
      <c r="BB379" s="10">
        <v>3.8731078999999999</v>
      </c>
      <c r="BC379" s="10">
        <v>3.8507026</v>
      </c>
      <c r="BD379" s="10">
        <v>3.8293485</v>
      </c>
      <c r="BE379" s="10">
        <v>3.8090042</v>
      </c>
      <c r="BF379" s="10">
        <v>3.7896295000000002</v>
      </c>
      <c r="BG379" s="10">
        <v>3.7711947000000001</v>
      </c>
      <c r="BH379" s="10">
        <v>3.7536735000000001</v>
      </c>
      <c r="BI379" s="10">
        <v>3.7370394999999998</v>
      </c>
      <c r="BJ379" s="10">
        <v>3.7212657999999998</v>
      </c>
      <c r="BK379" s="10">
        <v>3.7063263000000002</v>
      </c>
      <c r="BL379" s="10">
        <v>3.6921944</v>
      </c>
      <c r="BM379" s="10">
        <v>3.6788435000000002</v>
      </c>
      <c r="BN379" s="10">
        <v>3.6662471999999999</v>
      </c>
      <c r="BO379" s="10">
        <v>3.654379</v>
      </c>
      <c r="BP379" s="10">
        <v>3.6432123000000001</v>
      </c>
      <c r="BQ379" s="10">
        <v>3.6327208</v>
      </c>
      <c r="BR379" s="10">
        <v>3.5828323000000002</v>
      </c>
      <c r="BS379" s="10">
        <v>3.5528236999999998</v>
      </c>
      <c r="BU379" s="7">
        <v>4.46</v>
      </c>
      <c r="BV379" s="7">
        <v>4.1900000000000004</v>
      </c>
      <c r="BW379" s="9">
        <v>80.626400000000004</v>
      </c>
    </row>
    <row r="380" spans="1:75" x14ac:dyDescent="0.25">
      <c r="A380" s="6">
        <f t="shared" si="35"/>
        <v>45084</v>
      </c>
      <c r="B380" s="13">
        <f t="shared" si="30"/>
        <v>6</v>
      </c>
      <c r="C380" s="13">
        <f t="shared" si="31"/>
        <v>2023</v>
      </c>
      <c r="D380">
        <f t="shared" si="32"/>
        <v>202306</v>
      </c>
      <c r="E380">
        <f t="shared" si="33"/>
        <v>2</v>
      </c>
      <c r="F380">
        <f t="shared" si="34"/>
        <v>202302</v>
      </c>
      <c r="G380" t="s">
        <v>567</v>
      </c>
      <c r="H380" s="9">
        <v>4.5</v>
      </c>
      <c r="I380" s="9">
        <v>4.4278000000000004</v>
      </c>
      <c r="J380" s="10">
        <v>4.7127824</v>
      </c>
      <c r="K380" s="10">
        <v>4.8775411999999996</v>
      </c>
      <c r="L380" s="10">
        <v>5.0538612000000001</v>
      </c>
      <c r="M380" s="10">
        <v>5.2087602999999998</v>
      </c>
      <c r="N380" s="10">
        <v>5.3260958</v>
      </c>
      <c r="O380" s="10">
        <v>5.4045490999999997</v>
      </c>
      <c r="P380" s="10">
        <v>5.4480167000000002</v>
      </c>
      <c r="Q380" s="10">
        <v>5.4659778000000001</v>
      </c>
      <c r="R380" s="10">
        <v>5.4671624999999997</v>
      </c>
      <c r="S380" s="10">
        <v>5.4577429999999998</v>
      </c>
      <c r="T380" s="10">
        <v>5.4402467000000003</v>
      </c>
      <c r="U380" s="10">
        <v>5.4151055000000001</v>
      </c>
      <c r="V380" s="10">
        <v>5.3810447000000003</v>
      </c>
      <c r="W380" s="10">
        <v>5.3386817999999998</v>
      </c>
      <c r="X380" s="10">
        <v>5.2893030000000003</v>
      </c>
      <c r="Y380" s="10">
        <v>5.2341929</v>
      </c>
      <c r="Z380" s="10">
        <v>5.1746359999999996</v>
      </c>
      <c r="AA380" s="10">
        <v>5.1119187999999998</v>
      </c>
      <c r="AB380" s="10">
        <v>5.0472691000000003</v>
      </c>
      <c r="AC380" s="10">
        <v>4.9815937999999997</v>
      </c>
      <c r="AD380" s="10">
        <v>4.9156890000000004</v>
      </c>
      <c r="AE380" s="10">
        <v>4.8503486000000002</v>
      </c>
      <c r="AF380" s="10">
        <v>4.7863663000000001</v>
      </c>
      <c r="AG380" s="10">
        <v>4.7245384000000001</v>
      </c>
      <c r="AH380" s="10">
        <v>4.6655471000000004</v>
      </c>
      <c r="AI380" s="10">
        <v>4.6094739999999996</v>
      </c>
      <c r="AJ380" s="10">
        <v>4.5562012999999997</v>
      </c>
      <c r="AK380" s="10">
        <v>4.5056092999999997</v>
      </c>
      <c r="AL380" s="10">
        <v>4.4575779999999998</v>
      </c>
      <c r="AM380" s="10">
        <v>4.4119894999999998</v>
      </c>
      <c r="AN380" s="10">
        <v>4.3687240000000003</v>
      </c>
      <c r="AO380" s="10">
        <v>4.3276617000000002</v>
      </c>
      <c r="AP380" s="10">
        <v>4.2886844999999996</v>
      </c>
      <c r="AQ380" s="10">
        <v>4.2516724999999997</v>
      </c>
      <c r="AR380" s="10">
        <v>4.2165062999999998</v>
      </c>
      <c r="AS380" s="10">
        <v>4.1830673000000003</v>
      </c>
      <c r="AT380" s="10">
        <v>4.1512424000000001</v>
      </c>
      <c r="AU380" s="10">
        <v>4.1209499000000003</v>
      </c>
      <c r="AV380" s="10">
        <v>4.0921186000000001</v>
      </c>
      <c r="AW380" s="10">
        <v>4.0646763000000004</v>
      </c>
      <c r="AX380" s="10">
        <v>4.0385508000000003</v>
      </c>
      <c r="AY380" s="10">
        <v>4.0136709000000002</v>
      </c>
      <c r="AZ380" s="10">
        <v>3.9899643999999999</v>
      </c>
      <c r="BA380" s="10">
        <v>3.9673592000000002</v>
      </c>
      <c r="BB380" s="10">
        <v>3.9457838999999999</v>
      </c>
      <c r="BC380" s="10">
        <v>3.9251665</v>
      </c>
      <c r="BD380" s="10">
        <v>3.9054348999999999</v>
      </c>
      <c r="BE380" s="10">
        <v>3.8865175999999999</v>
      </c>
      <c r="BF380" s="10">
        <v>3.8683513999999999</v>
      </c>
      <c r="BG380" s="10">
        <v>3.8509123999999999</v>
      </c>
      <c r="BH380" s="10">
        <v>3.8341878</v>
      </c>
      <c r="BI380" s="10">
        <v>3.8181645</v>
      </c>
      <c r="BJ380" s="10">
        <v>3.8028293</v>
      </c>
      <c r="BK380" s="10">
        <v>3.7881694000000001</v>
      </c>
      <c r="BL380" s="10">
        <v>3.7741717000000001</v>
      </c>
      <c r="BM380" s="10">
        <v>3.7608231000000001</v>
      </c>
      <c r="BN380" s="10">
        <v>3.7481106999999998</v>
      </c>
      <c r="BO380" s="10">
        <v>3.7360215000000001</v>
      </c>
      <c r="BP380" s="10">
        <v>3.7245422000000001</v>
      </c>
      <c r="BQ380" s="10">
        <v>3.7136600999999998</v>
      </c>
      <c r="BR380" s="10">
        <v>3.6602423000000002</v>
      </c>
      <c r="BS380" s="10">
        <v>3.6254428000000001</v>
      </c>
      <c r="BU380" s="7">
        <v>4.58</v>
      </c>
      <c r="BV380" s="7">
        <v>4.26</v>
      </c>
      <c r="BW380" s="9">
        <v>81.026600000000002</v>
      </c>
    </row>
    <row r="381" spans="1:75" x14ac:dyDescent="0.25">
      <c r="A381" s="6">
        <f t="shared" si="35"/>
        <v>45085</v>
      </c>
      <c r="B381" s="13">
        <f t="shared" si="30"/>
        <v>6</v>
      </c>
      <c r="C381" s="13">
        <f t="shared" si="31"/>
        <v>2023</v>
      </c>
      <c r="D381">
        <f t="shared" si="32"/>
        <v>202306</v>
      </c>
      <c r="E381">
        <f t="shared" si="33"/>
        <v>2</v>
      </c>
      <c r="F381">
        <f t="shared" si="34"/>
        <v>202302</v>
      </c>
      <c r="G381" t="s">
        <v>568</v>
      </c>
      <c r="H381" s="9">
        <v>4.5</v>
      </c>
      <c r="I381" s="9">
        <v>4.4279000000000002</v>
      </c>
      <c r="J381" s="10">
        <v>4.7223316999999998</v>
      </c>
      <c r="K381" s="10">
        <v>4.8731600000000004</v>
      </c>
      <c r="L381" s="10">
        <v>5.0388161</v>
      </c>
      <c r="M381" s="10">
        <v>5.1847088000000001</v>
      </c>
      <c r="N381" s="10">
        <v>5.2940398000000002</v>
      </c>
      <c r="O381" s="10">
        <v>5.3653162999999999</v>
      </c>
      <c r="P381" s="10">
        <v>5.4025515000000004</v>
      </c>
      <c r="Q381" s="10">
        <v>5.4142656000000002</v>
      </c>
      <c r="R381" s="10">
        <v>5.4079810999999998</v>
      </c>
      <c r="S381" s="10">
        <v>5.3894076999999996</v>
      </c>
      <c r="T381" s="10">
        <v>5.3612748000000003</v>
      </c>
      <c r="U381" s="10">
        <v>5.3251165</v>
      </c>
      <c r="V381" s="10">
        <v>5.2815032000000004</v>
      </c>
      <c r="W381" s="10">
        <v>5.2315281000000002</v>
      </c>
      <c r="X381" s="10">
        <v>5.1765536000000001</v>
      </c>
      <c r="Y381" s="10">
        <v>5.1179404999999996</v>
      </c>
      <c r="Z381" s="10">
        <v>5.0570494000000004</v>
      </c>
      <c r="AA381" s="10">
        <v>4.9952429</v>
      </c>
      <c r="AB381" s="10">
        <v>4.9337568999999997</v>
      </c>
      <c r="AC381" s="10">
        <v>4.8731875000000002</v>
      </c>
      <c r="AD381" s="10">
        <v>4.8139291000000002</v>
      </c>
      <c r="AE381" s="10">
        <v>4.7563732999999999</v>
      </c>
      <c r="AF381" s="10">
        <v>4.7009122000000003</v>
      </c>
      <c r="AG381" s="10">
        <v>4.6479397000000002</v>
      </c>
      <c r="AH381" s="10">
        <v>4.5977724000000002</v>
      </c>
      <c r="AI381" s="10">
        <v>4.5503593999999996</v>
      </c>
      <c r="AJ381" s="10">
        <v>4.5055398000000002</v>
      </c>
      <c r="AK381" s="10">
        <v>4.4631509999999999</v>
      </c>
      <c r="AL381" s="10">
        <v>4.4230302999999997</v>
      </c>
      <c r="AM381" s="10">
        <v>4.3850167999999998</v>
      </c>
      <c r="AN381" s="10">
        <v>4.3489477000000001</v>
      </c>
      <c r="AO381" s="10">
        <v>4.3146607000000001</v>
      </c>
      <c r="AP381" s="10">
        <v>4.2819944999999997</v>
      </c>
      <c r="AQ381" s="10">
        <v>4.2507865000000002</v>
      </c>
      <c r="AR381" s="10">
        <v>4.2208743000000002</v>
      </c>
      <c r="AS381" s="10">
        <v>4.1920966000000002</v>
      </c>
      <c r="AT381" s="10">
        <v>4.1643103999999997</v>
      </c>
      <c r="AU381" s="10">
        <v>4.1374586000000004</v>
      </c>
      <c r="AV381" s="10">
        <v>4.1115089999999999</v>
      </c>
      <c r="AW381" s="10">
        <v>4.0864282999999997</v>
      </c>
      <c r="AX381" s="10">
        <v>4.0621831000000004</v>
      </c>
      <c r="AY381" s="10">
        <v>4.0387411000000002</v>
      </c>
      <c r="AZ381" s="10">
        <v>4.0160691000000002</v>
      </c>
      <c r="BA381" s="10">
        <v>3.9941336999999999</v>
      </c>
      <c r="BB381" s="10">
        <v>3.9729025</v>
      </c>
      <c r="BC381" s="10">
        <v>3.9523424</v>
      </c>
      <c r="BD381" s="10">
        <v>3.93242</v>
      </c>
      <c r="BE381" s="10">
        <v>3.9131029000000002</v>
      </c>
      <c r="BF381" s="10">
        <v>3.8943633000000002</v>
      </c>
      <c r="BG381" s="10">
        <v>3.8761982000000001</v>
      </c>
      <c r="BH381" s="10">
        <v>3.8586117</v>
      </c>
      <c r="BI381" s="10">
        <v>3.8416073000000002</v>
      </c>
      <c r="BJ381" s="10">
        <v>3.8251886000000002</v>
      </c>
      <c r="BK381" s="10">
        <v>3.8093596999999999</v>
      </c>
      <c r="BL381" s="10">
        <v>3.7941242000000002</v>
      </c>
      <c r="BM381" s="10">
        <v>3.7794856999999999</v>
      </c>
      <c r="BN381" s="10">
        <v>3.7654481999999998</v>
      </c>
      <c r="BO381" s="10">
        <v>3.7520155000000002</v>
      </c>
      <c r="BP381" s="10">
        <v>3.7391909999999999</v>
      </c>
      <c r="BQ381" s="10">
        <v>3.7269789000000002</v>
      </c>
      <c r="BR381" s="10">
        <v>3.6663638000000001</v>
      </c>
      <c r="BS381" s="10">
        <v>3.6262308000000001</v>
      </c>
      <c r="BU381" s="7">
        <v>4.51</v>
      </c>
      <c r="BV381" s="7">
        <v>4.25</v>
      </c>
      <c r="BW381" s="9">
        <v>81.253299999999996</v>
      </c>
    </row>
    <row r="382" spans="1:75" x14ac:dyDescent="0.25">
      <c r="A382" s="6">
        <f t="shared" si="35"/>
        <v>45086</v>
      </c>
      <c r="B382" s="13">
        <f t="shared" si="30"/>
        <v>6</v>
      </c>
      <c r="C382" s="13">
        <f t="shared" si="31"/>
        <v>2023</v>
      </c>
      <c r="D382">
        <f t="shared" si="32"/>
        <v>202306</v>
      </c>
      <c r="E382">
        <f t="shared" si="33"/>
        <v>2</v>
      </c>
      <c r="F382">
        <f t="shared" si="34"/>
        <v>202302</v>
      </c>
      <c r="G382" t="s">
        <v>569</v>
      </c>
      <c r="H382" s="9">
        <v>4.5</v>
      </c>
      <c r="I382" s="9">
        <v>4.4280999999999997</v>
      </c>
      <c r="J382" s="10">
        <v>4.739554</v>
      </c>
      <c r="K382" s="10">
        <v>4.8975831000000003</v>
      </c>
      <c r="L382" s="10">
        <v>5.0690841000000004</v>
      </c>
      <c r="M382" s="10">
        <v>5.2209497999999996</v>
      </c>
      <c r="N382" s="10">
        <v>5.3360861999999996</v>
      </c>
      <c r="O382" s="10">
        <v>5.4116226000000003</v>
      </c>
      <c r="P382" s="10">
        <v>5.4519485000000003</v>
      </c>
      <c r="Q382" s="10">
        <v>5.4647474000000003</v>
      </c>
      <c r="R382" s="10">
        <v>5.4585186999999999</v>
      </c>
      <c r="S382" s="10">
        <v>5.4393577999999998</v>
      </c>
      <c r="T382" s="10">
        <v>5.410749</v>
      </c>
      <c r="U382" s="10">
        <v>5.3744136999999998</v>
      </c>
      <c r="V382" s="10">
        <v>5.3314728000000002</v>
      </c>
      <c r="W382" s="10">
        <v>5.2829920000000001</v>
      </c>
      <c r="X382" s="10">
        <v>5.2300450999999999</v>
      </c>
      <c r="Y382" s="10">
        <v>5.1737042000000004</v>
      </c>
      <c r="Z382" s="10">
        <v>5.1150412999999997</v>
      </c>
      <c r="AA382" s="10">
        <v>5.0551301999999998</v>
      </c>
      <c r="AB382" s="10">
        <v>4.9949479999999999</v>
      </c>
      <c r="AC382" s="10">
        <v>4.9350304999999999</v>
      </c>
      <c r="AD382" s="10">
        <v>4.8757878999999997</v>
      </c>
      <c r="AE382" s="10">
        <v>4.8176283</v>
      </c>
      <c r="AF382" s="10">
        <v>4.7609598000000002</v>
      </c>
      <c r="AG382" s="10">
        <v>4.7061926999999999</v>
      </c>
      <c r="AH382" s="10">
        <v>4.6536591999999999</v>
      </c>
      <c r="AI382" s="10">
        <v>4.6033581000000003</v>
      </c>
      <c r="AJ382" s="10">
        <v>4.5551975000000002</v>
      </c>
      <c r="AK382" s="10">
        <v>4.5090836000000003</v>
      </c>
      <c r="AL382" s="10">
        <v>4.4649232000000003</v>
      </c>
      <c r="AM382" s="10">
        <v>4.4226239999999999</v>
      </c>
      <c r="AN382" s="10">
        <v>4.3820927000000003</v>
      </c>
      <c r="AO382" s="10">
        <v>4.3432357000000001</v>
      </c>
      <c r="AP382" s="10">
        <v>4.3059608999999996</v>
      </c>
      <c r="AQ382" s="10">
        <v>4.2701748999999998</v>
      </c>
      <c r="AR382" s="10">
        <v>4.2357842999999997</v>
      </c>
      <c r="AS382" s="10">
        <v>4.2026966999999997</v>
      </c>
      <c r="AT382" s="10">
        <v>4.1708270000000001</v>
      </c>
      <c r="AU382" s="10">
        <v>4.1401253000000002</v>
      </c>
      <c r="AV382" s="10">
        <v>4.1105529000000001</v>
      </c>
      <c r="AW382" s="10">
        <v>4.0820699999999999</v>
      </c>
      <c r="AX382" s="10">
        <v>4.0546366000000003</v>
      </c>
      <c r="AY382" s="10">
        <v>4.0282140000000002</v>
      </c>
      <c r="AZ382" s="10">
        <v>4.0027622999999997</v>
      </c>
      <c r="BA382" s="10">
        <v>3.9782418000000002</v>
      </c>
      <c r="BB382" s="10">
        <v>3.9546133999999999</v>
      </c>
      <c r="BC382" s="10">
        <v>3.9318374</v>
      </c>
      <c r="BD382" s="10">
        <v>3.9098741000000001</v>
      </c>
      <c r="BE382" s="10">
        <v>3.8886843999999998</v>
      </c>
      <c r="BF382" s="10">
        <v>3.8682337000000002</v>
      </c>
      <c r="BG382" s="10">
        <v>3.8485102000000002</v>
      </c>
      <c r="BH382" s="10">
        <v>3.8295086999999999</v>
      </c>
      <c r="BI382" s="10">
        <v>3.8112237000000002</v>
      </c>
      <c r="BJ382" s="10">
        <v>3.7936494999999999</v>
      </c>
      <c r="BK382" s="10">
        <v>3.7767811</v>
      </c>
      <c r="BL382" s="10">
        <v>3.7606128999999999</v>
      </c>
      <c r="BM382" s="10">
        <v>3.7451392000000001</v>
      </c>
      <c r="BN382" s="10">
        <v>3.7303549999999999</v>
      </c>
      <c r="BO382" s="10">
        <v>3.7162546999999999</v>
      </c>
      <c r="BP382" s="10">
        <v>3.7028325999999998</v>
      </c>
      <c r="BQ382" s="10">
        <v>3.6900835999999999</v>
      </c>
      <c r="BR382" s="10">
        <v>3.6272997</v>
      </c>
      <c r="BS382" s="10">
        <v>3.5866481000000001</v>
      </c>
      <c r="BU382" s="7">
        <v>4.5199999999999996</v>
      </c>
      <c r="BV382" s="7">
        <v>4.24</v>
      </c>
      <c r="BW382" s="9">
        <v>81.549099999999996</v>
      </c>
    </row>
    <row r="383" spans="1:75" x14ac:dyDescent="0.25">
      <c r="A383" s="6">
        <f t="shared" si="35"/>
        <v>45089</v>
      </c>
      <c r="B383" s="13">
        <f t="shared" si="30"/>
        <v>6</v>
      </c>
      <c r="C383" s="13">
        <f t="shared" si="31"/>
        <v>2023</v>
      </c>
      <c r="D383">
        <f t="shared" si="32"/>
        <v>202306</v>
      </c>
      <c r="E383">
        <f t="shared" si="33"/>
        <v>2</v>
      </c>
      <c r="F383">
        <f t="shared" si="34"/>
        <v>202302</v>
      </c>
      <c r="G383" t="s">
        <v>570</v>
      </c>
      <c r="H383" s="9">
        <v>4.5</v>
      </c>
      <c r="I383" s="9">
        <v>4.4283000000000001</v>
      </c>
      <c r="J383" s="10">
        <v>4.7511956</v>
      </c>
      <c r="K383" s="10">
        <v>4.9249593000000003</v>
      </c>
      <c r="L383" s="10">
        <v>5.1035300000000001</v>
      </c>
      <c r="M383" s="10">
        <v>5.2581749999999996</v>
      </c>
      <c r="N383" s="10">
        <v>5.3733351999999996</v>
      </c>
      <c r="O383" s="10">
        <v>5.4484852999999998</v>
      </c>
      <c r="P383" s="10">
        <v>5.4897564000000001</v>
      </c>
      <c r="Q383" s="10">
        <v>5.5072217999999999</v>
      </c>
      <c r="R383" s="10">
        <v>5.5093541999999998</v>
      </c>
      <c r="S383" s="10">
        <v>5.5018558000000004</v>
      </c>
      <c r="T383" s="10">
        <v>5.4869310000000002</v>
      </c>
      <c r="U383" s="10">
        <v>5.4651259999999997</v>
      </c>
      <c r="V383" s="10">
        <v>5.4352695999999998</v>
      </c>
      <c r="W383" s="10">
        <v>5.3978659000000002</v>
      </c>
      <c r="X383" s="10">
        <v>5.3540504000000002</v>
      </c>
      <c r="Y383" s="10">
        <v>5.3049572999999999</v>
      </c>
      <c r="Z383" s="10">
        <v>5.2517208000000002</v>
      </c>
      <c r="AA383" s="10">
        <v>5.1954767999999998</v>
      </c>
      <c r="AB383" s="10">
        <v>5.1372891999999997</v>
      </c>
      <c r="AC383" s="10">
        <v>5.0778965999999999</v>
      </c>
      <c r="AD383" s="10">
        <v>5.0179453000000001</v>
      </c>
      <c r="AE383" s="10">
        <v>4.9580795000000002</v>
      </c>
      <c r="AF383" s="10">
        <v>4.8989434000000003</v>
      </c>
      <c r="AG383" s="10">
        <v>4.8411834999999996</v>
      </c>
      <c r="AH383" s="10">
        <v>4.7853389000000002</v>
      </c>
      <c r="AI383" s="10">
        <v>4.7314859</v>
      </c>
      <c r="AJ383" s="10">
        <v>4.6795745999999996</v>
      </c>
      <c r="AK383" s="10">
        <v>4.6295533999999998</v>
      </c>
      <c r="AL383" s="10">
        <v>4.5813705999999996</v>
      </c>
      <c r="AM383" s="10">
        <v>4.5349763999999997</v>
      </c>
      <c r="AN383" s="10">
        <v>4.4903192000000001</v>
      </c>
      <c r="AO383" s="10">
        <v>4.4473472999999997</v>
      </c>
      <c r="AP383" s="10">
        <v>4.4060107999999998</v>
      </c>
      <c r="AQ383" s="10">
        <v>4.3662580999999996</v>
      </c>
      <c r="AR383" s="10">
        <v>4.3280377000000003</v>
      </c>
      <c r="AS383" s="10">
        <v>4.2912996000000003</v>
      </c>
      <c r="AT383" s="10">
        <v>4.2559943000000002</v>
      </c>
      <c r="AU383" s="10">
        <v>4.2220829000000002</v>
      </c>
      <c r="AV383" s="10">
        <v>4.1895300999999998</v>
      </c>
      <c r="AW383" s="10">
        <v>4.1582996000000003</v>
      </c>
      <c r="AX383" s="10">
        <v>4.1283551000000003</v>
      </c>
      <c r="AY383" s="10">
        <v>4.0996611999999999</v>
      </c>
      <c r="AZ383" s="10">
        <v>4.0721816999999998</v>
      </c>
      <c r="BA383" s="10">
        <v>4.0458803000000003</v>
      </c>
      <c r="BB383" s="10">
        <v>4.0207215999999999</v>
      </c>
      <c r="BC383" s="10">
        <v>3.9966694</v>
      </c>
      <c r="BD383" s="10">
        <v>3.9736872999999999</v>
      </c>
      <c r="BE383" s="10">
        <v>3.9517400999999999</v>
      </c>
      <c r="BF383" s="10">
        <v>3.9307932000000001</v>
      </c>
      <c r="BG383" s="10">
        <v>3.9108222000000001</v>
      </c>
      <c r="BH383" s="10">
        <v>3.8918067000000001</v>
      </c>
      <c r="BI383" s="10">
        <v>3.8737256000000002</v>
      </c>
      <c r="BJ383" s="10">
        <v>3.8565575999999999</v>
      </c>
      <c r="BK383" s="10">
        <v>3.8402824</v>
      </c>
      <c r="BL383" s="10">
        <v>3.8248788</v>
      </c>
      <c r="BM383" s="10">
        <v>3.8103256000000001</v>
      </c>
      <c r="BN383" s="10">
        <v>3.7966025000000001</v>
      </c>
      <c r="BO383" s="10">
        <v>3.7836881999999998</v>
      </c>
      <c r="BP383" s="10">
        <v>3.7715616999999999</v>
      </c>
      <c r="BQ383" s="10">
        <v>3.7602025000000001</v>
      </c>
      <c r="BR383" s="10">
        <v>3.7069527999999998</v>
      </c>
      <c r="BS383" s="10">
        <v>3.6758565000000001</v>
      </c>
      <c r="BU383" s="7">
        <v>4.6399999999999997</v>
      </c>
      <c r="BV383" s="7">
        <v>4.34</v>
      </c>
      <c r="BW383" s="9">
        <v>81.204999999999998</v>
      </c>
    </row>
    <row r="384" spans="1:75" x14ac:dyDescent="0.25">
      <c r="A384" s="6">
        <f t="shared" si="35"/>
        <v>45090</v>
      </c>
      <c r="B384" s="13">
        <f t="shared" si="30"/>
        <v>6</v>
      </c>
      <c r="C384" s="13">
        <f t="shared" si="31"/>
        <v>2023</v>
      </c>
      <c r="D384">
        <f t="shared" si="32"/>
        <v>202306</v>
      </c>
      <c r="E384">
        <f t="shared" si="33"/>
        <v>2</v>
      </c>
      <c r="F384">
        <f t="shared" si="34"/>
        <v>202302</v>
      </c>
      <c r="G384" t="s">
        <v>571</v>
      </c>
      <c r="H384" s="9">
        <v>4.5</v>
      </c>
      <c r="I384" s="9">
        <v>4.4280999999999997</v>
      </c>
      <c r="J384" s="10">
        <v>4.7594592000000002</v>
      </c>
      <c r="K384" s="10">
        <v>4.9449018000000002</v>
      </c>
      <c r="L384" s="10">
        <v>5.1505869999999998</v>
      </c>
      <c r="M384" s="10">
        <v>5.3468910999999997</v>
      </c>
      <c r="N384" s="10">
        <v>5.5119259999999999</v>
      </c>
      <c r="O384" s="10">
        <v>5.6381255000000001</v>
      </c>
      <c r="P384" s="10">
        <v>5.7244010000000003</v>
      </c>
      <c r="Q384" s="10">
        <v>5.7774108999999996</v>
      </c>
      <c r="R384" s="10">
        <v>5.8055627999999997</v>
      </c>
      <c r="S384" s="10">
        <v>5.8169791000000002</v>
      </c>
      <c r="T384" s="10">
        <v>5.8163334999999998</v>
      </c>
      <c r="U384" s="10">
        <v>5.8054702999999996</v>
      </c>
      <c r="V384" s="10">
        <v>5.7840954</v>
      </c>
      <c r="W384" s="10">
        <v>5.7529976999999999</v>
      </c>
      <c r="X384" s="10">
        <v>5.7134109999999998</v>
      </c>
      <c r="Y384" s="10">
        <v>5.6665678000000002</v>
      </c>
      <c r="Z384" s="10">
        <v>5.6137005999999996</v>
      </c>
      <c r="AA384" s="10">
        <v>5.5560435999999997</v>
      </c>
      <c r="AB384" s="10">
        <v>5.4947612000000001</v>
      </c>
      <c r="AC384" s="10">
        <v>5.4307017000000002</v>
      </c>
      <c r="AD384" s="10">
        <v>5.3646246</v>
      </c>
      <c r="AE384" s="10">
        <v>5.2972868999999996</v>
      </c>
      <c r="AF384" s="10">
        <v>5.2294456</v>
      </c>
      <c r="AG384" s="10">
        <v>5.1618599999999999</v>
      </c>
      <c r="AH384" s="10">
        <v>5.0951868999999999</v>
      </c>
      <c r="AI384" s="10">
        <v>5.0296406999999999</v>
      </c>
      <c r="AJ384" s="10">
        <v>4.9653159000000002</v>
      </c>
      <c r="AK384" s="10">
        <v>4.9023047000000002</v>
      </c>
      <c r="AL384" s="10">
        <v>4.8406994000000001</v>
      </c>
      <c r="AM384" s="10">
        <v>4.7805945000000003</v>
      </c>
      <c r="AN384" s="10">
        <v>4.7220820999999997</v>
      </c>
      <c r="AO384" s="10">
        <v>4.6652547999999996</v>
      </c>
      <c r="AP384" s="10">
        <v>4.6102068000000003</v>
      </c>
      <c r="AQ384" s="10">
        <v>4.5570304000000004</v>
      </c>
      <c r="AR384" s="10">
        <v>4.5058180999999999</v>
      </c>
      <c r="AS384" s="10">
        <v>4.456664</v>
      </c>
      <c r="AT384" s="10">
        <v>4.4096415999999996</v>
      </c>
      <c r="AU384" s="10">
        <v>4.3647220000000004</v>
      </c>
      <c r="AV384" s="10">
        <v>4.3218436999999996</v>
      </c>
      <c r="AW384" s="10">
        <v>4.2809432999999997</v>
      </c>
      <c r="AX384" s="10">
        <v>4.2419579000000001</v>
      </c>
      <c r="AY384" s="10">
        <v>4.2048256999999998</v>
      </c>
      <c r="AZ384" s="10">
        <v>4.1694836000000004</v>
      </c>
      <c r="BA384" s="10">
        <v>4.1358683999999997</v>
      </c>
      <c r="BB384" s="10">
        <v>4.1039184000000004</v>
      </c>
      <c r="BC384" s="10">
        <v>4.0735704999999998</v>
      </c>
      <c r="BD384" s="10">
        <v>4.0447616999999996</v>
      </c>
      <c r="BE384" s="10">
        <v>4.0174300000000001</v>
      </c>
      <c r="BF384" s="10">
        <v>3.9915137999999999</v>
      </c>
      <c r="BG384" s="10">
        <v>3.9669576000000002</v>
      </c>
      <c r="BH384" s="10">
        <v>3.9437091</v>
      </c>
      <c r="BI384" s="10">
        <v>3.9217149</v>
      </c>
      <c r="BJ384" s="10">
        <v>3.9009216000000002</v>
      </c>
      <c r="BK384" s="10">
        <v>3.8812766999999999</v>
      </c>
      <c r="BL384" s="10">
        <v>3.8627269000000002</v>
      </c>
      <c r="BM384" s="10">
        <v>3.8452188999999999</v>
      </c>
      <c r="BN384" s="10">
        <v>3.8287000999999998</v>
      </c>
      <c r="BO384" s="10">
        <v>3.8131170999999999</v>
      </c>
      <c r="BP384" s="10">
        <v>3.7984167000000002</v>
      </c>
      <c r="BQ384" s="10">
        <v>3.7845463000000001</v>
      </c>
      <c r="BR384" s="10">
        <v>3.7168432999999999</v>
      </c>
      <c r="BS384" s="10">
        <v>3.6721841</v>
      </c>
      <c r="BU384" s="7">
        <v>4.88</v>
      </c>
      <c r="BV384" s="7">
        <v>4.43</v>
      </c>
      <c r="BW384" s="9">
        <v>81.585800000000006</v>
      </c>
    </row>
    <row r="385" spans="1:75" x14ac:dyDescent="0.25">
      <c r="A385" s="6">
        <f t="shared" si="35"/>
        <v>45091</v>
      </c>
      <c r="B385" s="13">
        <f t="shared" si="30"/>
        <v>6</v>
      </c>
      <c r="C385" s="13">
        <f t="shared" si="31"/>
        <v>2023</v>
      </c>
      <c r="D385">
        <f t="shared" si="32"/>
        <v>202306</v>
      </c>
      <c r="E385">
        <f t="shared" si="33"/>
        <v>2</v>
      </c>
      <c r="F385">
        <f t="shared" si="34"/>
        <v>202302</v>
      </c>
      <c r="G385" t="s">
        <v>572</v>
      </c>
      <c r="H385" s="9">
        <v>4.5</v>
      </c>
      <c r="I385" s="9">
        <v>4.4283000000000001</v>
      </c>
      <c r="J385" s="10">
        <v>4.7511789999999996</v>
      </c>
      <c r="K385" s="10">
        <v>4.9443672000000003</v>
      </c>
      <c r="L385" s="10">
        <v>5.1410805000000002</v>
      </c>
      <c r="M385" s="10">
        <v>5.3190597000000004</v>
      </c>
      <c r="N385" s="10">
        <v>5.4632886000000003</v>
      </c>
      <c r="O385" s="10">
        <v>5.5704120000000001</v>
      </c>
      <c r="P385" s="10">
        <v>5.641375</v>
      </c>
      <c r="Q385" s="10">
        <v>5.6832019999999996</v>
      </c>
      <c r="R385" s="10">
        <v>5.7038472000000002</v>
      </c>
      <c r="S385" s="10">
        <v>5.7101237999999999</v>
      </c>
      <c r="T385" s="10">
        <v>5.7053922000000004</v>
      </c>
      <c r="U385" s="10">
        <v>5.690747</v>
      </c>
      <c r="V385" s="10">
        <v>5.6655601999999998</v>
      </c>
      <c r="W385" s="10">
        <v>5.6305405999999998</v>
      </c>
      <c r="X385" s="10">
        <v>5.5868985999999996</v>
      </c>
      <c r="Y385" s="10">
        <v>5.5358437</v>
      </c>
      <c r="Z385" s="10">
        <v>5.4785846999999999</v>
      </c>
      <c r="AA385" s="10">
        <v>5.4163328000000002</v>
      </c>
      <c r="AB385" s="10">
        <v>5.3502818000000003</v>
      </c>
      <c r="AC385" s="10">
        <v>5.2815384999999999</v>
      </c>
      <c r="AD385" s="10">
        <v>5.2111818999999997</v>
      </c>
      <c r="AE385" s="10">
        <v>5.1402884999999996</v>
      </c>
      <c r="AF385" s="10">
        <v>5.0699347000000001</v>
      </c>
      <c r="AG385" s="10">
        <v>5.0011995000000002</v>
      </c>
      <c r="AH385" s="10">
        <v>4.9350185</v>
      </c>
      <c r="AI385" s="10">
        <v>4.8715701999999999</v>
      </c>
      <c r="AJ385" s="10">
        <v>4.8107809000000001</v>
      </c>
      <c r="AK385" s="10">
        <v>4.7525747999999997</v>
      </c>
      <c r="AL385" s="10">
        <v>4.6968760999999999</v>
      </c>
      <c r="AM385" s="10">
        <v>4.6436108999999997</v>
      </c>
      <c r="AN385" s="10">
        <v>4.5927033000000002</v>
      </c>
      <c r="AO385" s="10">
        <v>4.5440778000000002</v>
      </c>
      <c r="AP385" s="10">
        <v>4.4976601</v>
      </c>
      <c r="AQ385" s="10">
        <v>4.4533747000000004</v>
      </c>
      <c r="AR385" s="10">
        <v>4.4111457999999999</v>
      </c>
      <c r="AS385" s="10">
        <v>4.3708992999999996</v>
      </c>
      <c r="AT385" s="10">
        <v>4.3325570999999998</v>
      </c>
      <c r="AU385" s="10">
        <v>4.2960295000000004</v>
      </c>
      <c r="AV385" s="10">
        <v>4.2612245</v>
      </c>
      <c r="AW385" s="10">
        <v>4.2280486000000002</v>
      </c>
      <c r="AX385" s="10">
        <v>4.1964087000000001</v>
      </c>
      <c r="AY385" s="10">
        <v>4.1662125000000003</v>
      </c>
      <c r="AZ385" s="10">
        <v>4.1373669</v>
      </c>
      <c r="BA385" s="10">
        <v>4.1097786000000003</v>
      </c>
      <c r="BB385" s="10">
        <v>4.0833554000000003</v>
      </c>
      <c r="BC385" s="10">
        <v>4.0580040000000004</v>
      </c>
      <c r="BD385" s="10">
        <v>4.0336312999999997</v>
      </c>
      <c r="BE385" s="10">
        <v>4.0101449999999996</v>
      </c>
      <c r="BF385" s="10">
        <v>3.9874638</v>
      </c>
      <c r="BG385" s="10">
        <v>3.96556</v>
      </c>
      <c r="BH385" s="10">
        <v>3.9444208999999999</v>
      </c>
      <c r="BI385" s="10">
        <v>3.9240333000000001</v>
      </c>
      <c r="BJ385" s="10">
        <v>3.9043839</v>
      </c>
      <c r="BK385" s="10">
        <v>3.8854603000000001</v>
      </c>
      <c r="BL385" s="10">
        <v>3.8672491999999998</v>
      </c>
      <c r="BM385" s="10">
        <v>3.8497371999999999</v>
      </c>
      <c r="BN385" s="10">
        <v>3.8329119999999999</v>
      </c>
      <c r="BO385" s="10">
        <v>3.8167601000000002</v>
      </c>
      <c r="BP385" s="10">
        <v>3.8012684999999999</v>
      </c>
      <c r="BQ385" s="10">
        <v>3.7864244999999999</v>
      </c>
      <c r="BR385" s="10">
        <v>3.7103817000000001</v>
      </c>
      <c r="BS385" s="10">
        <v>3.6553173000000001</v>
      </c>
      <c r="BU385" s="7">
        <v>4.8</v>
      </c>
      <c r="BV385" s="7">
        <v>4.37</v>
      </c>
      <c r="BW385" s="9">
        <v>81.937100000000001</v>
      </c>
    </row>
    <row r="386" spans="1:75" x14ac:dyDescent="0.25">
      <c r="A386" s="6">
        <f t="shared" si="35"/>
        <v>45092</v>
      </c>
      <c r="B386" s="13">
        <f t="shared" si="30"/>
        <v>6</v>
      </c>
      <c r="C386" s="13">
        <f t="shared" si="31"/>
        <v>2023</v>
      </c>
      <c r="D386">
        <f t="shared" si="32"/>
        <v>202306</v>
      </c>
      <c r="E386">
        <f t="shared" si="33"/>
        <v>2</v>
      </c>
      <c r="F386">
        <f t="shared" si="34"/>
        <v>202302</v>
      </c>
      <c r="G386" t="s">
        <v>573</v>
      </c>
      <c r="H386" s="9">
        <v>4.5</v>
      </c>
      <c r="I386" s="9">
        <v>4.4283999999999999</v>
      </c>
      <c r="J386" s="10">
        <v>4.7519935000000002</v>
      </c>
      <c r="K386" s="10">
        <v>4.9570881</v>
      </c>
      <c r="L386" s="10">
        <v>5.1674943999999998</v>
      </c>
      <c r="M386" s="10">
        <v>5.3598178000000001</v>
      </c>
      <c r="N386" s="10">
        <v>5.5155117000000002</v>
      </c>
      <c r="O386" s="10">
        <v>5.6300147000000003</v>
      </c>
      <c r="P386" s="10">
        <v>5.7053484000000001</v>
      </c>
      <c r="Q386" s="10">
        <v>5.7497138999999997</v>
      </c>
      <c r="R386" s="10">
        <v>5.7716178999999999</v>
      </c>
      <c r="S386" s="10">
        <v>5.7780795999999999</v>
      </c>
      <c r="T386" s="10">
        <v>5.7723903999999999</v>
      </c>
      <c r="U386" s="10">
        <v>5.7559858000000004</v>
      </c>
      <c r="V386" s="10">
        <v>5.7283860999999998</v>
      </c>
      <c r="W386" s="10">
        <v>5.6905083000000003</v>
      </c>
      <c r="X386" s="10">
        <v>5.6439284000000001</v>
      </c>
      <c r="Y386" s="10">
        <v>5.5902215000000002</v>
      </c>
      <c r="Z386" s="10">
        <v>5.5309625999999996</v>
      </c>
      <c r="AA386" s="10">
        <v>5.4677284000000004</v>
      </c>
      <c r="AB386" s="10">
        <v>5.4019922999999999</v>
      </c>
      <c r="AC386" s="10">
        <v>5.3347058000000001</v>
      </c>
      <c r="AD386" s="10">
        <v>5.2666566000000001</v>
      </c>
      <c r="AE386" s="10">
        <v>5.1986296999999997</v>
      </c>
      <c r="AF386" s="10">
        <v>5.1314104</v>
      </c>
      <c r="AG386" s="10">
        <v>5.0657861999999998</v>
      </c>
      <c r="AH386" s="10">
        <v>5.0024240000000004</v>
      </c>
      <c r="AI386" s="10">
        <v>4.9414151999999998</v>
      </c>
      <c r="AJ386" s="10">
        <v>4.8826780999999997</v>
      </c>
      <c r="AK386" s="10">
        <v>4.8261288999999996</v>
      </c>
      <c r="AL386" s="10">
        <v>4.7716835</v>
      </c>
      <c r="AM386" s="10">
        <v>4.7192603000000002</v>
      </c>
      <c r="AN386" s="10">
        <v>4.6687754000000004</v>
      </c>
      <c r="AO386" s="10">
        <v>4.6201448999999997</v>
      </c>
      <c r="AP386" s="10">
        <v>4.5732869999999997</v>
      </c>
      <c r="AQ386" s="10">
        <v>4.5281177000000001</v>
      </c>
      <c r="AR386" s="10">
        <v>4.4845534999999996</v>
      </c>
      <c r="AS386" s="10">
        <v>4.4425121000000001</v>
      </c>
      <c r="AT386" s="10">
        <v>4.4019148000000001</v>
      </c>
      <c r="AU386" s="10">
        <v>4.3627039999999999</v>
      </c>
      <c r="AV386" s="10">
        <v>4.3248294999999999</v>
      </c>
      <c r="AW386" s="10">
        <v>4.2882398000000004</v>
      </c>
      <c r="AX386" s="10">
        <v>4.2528832000000003</v>
      </c>
      <c r="AY386" s="10">
        <v>4.2187093999999998</v>
      </c>
      <c r="AZ386" s="10">
        <v>4.1856669999999996</v>
      </c>
      <c r="BA386" s="10">
        <v>4.1537043000000002</v>
      </c>
      <c r="BB386" s="10">
        <v>4.1227710000000002</v>
      </c>
      <c r="BC386" s="10">
        <v>4.0928157000000001</v>
      </c>
      <c r="BD386" s="10">
        <v>4.0637866999999996</v>
      </c>
      <c r="BE386" s="10">
        <v>4.0356337</v>
      </c>
      <c r="BF386" s="10">
        <v>4.0083120000000001</v>
      </c>
      <c r="BG386" s="10">
        <v>3.9818069</v>
      </c>
      <c r="BH386" s="10">
        <v>3.9561133000000002</v>
      </c>
      <c r="BI386" s="10">
        <v>3.9312247999999999</v>
      </c>
      <c r="BJ386" s="10">
        <v>3.9071351000000001</v>
      </c>
      <c r="BK386" s="10">
        <v>3.8838389000000002</v>
      </c>
      <c r="BL386" s="10">
        <v>3.8613300000000002</v>
      </c>
      <c r="BM386" s="10">
        <v>3.8396020000000002</v>
      </c>
      <c r="BN386" s="10">
        <v>3.8186496000000001</v>
      </c>
      <c r="BO386" s="10">
        <v>3.7984665999999998</v>
      </c>
      <c r="BP386" s="10">
        <v>3.7790466999999999</v>
      </c>
      <c r="BQ386" s="10">
        <v>3.7603844</v>
      </c>
      <c r="BR386" s="10">
        <v>3.6639252</v>
      </c>
      <c r="BS386" s="10">
        <v>3.5928772000000002</v>
      </c>
      <c r="BU386" s="7">
        <v>4.8899999999999997</v>
      </c>
      <c r="BV386" s="7">
        <v>4.37</v>
      </c>
      <c r="BW386" s="9">
        <v>82.054299999999998</v>
      </c>
    </row>
    <row r="387" spans="1:75" x14ac:dyDescent="0.25">
      <c r="A387" s="6">
        <f t="shared" si="35"/>
        <v>45093</v>
      </c>
      <c r="B387" s="13">
        <f t="shared" si="30"/>
        <v>6</v>
      </c>
      <c r="C387" s="13">
        <f t="shared" si="31"/>
        <v>2023</v>
      </c>
      <c r="D387">
        <f t="shared" si="32"/>
        <v>202306</v>
      </c>
      <c r="E387">
        <f t="shared" si="33"/>
        <v>2</v>
      </c>
      <c r="F387">
        <f t="shared" si="34"/>
        <v>202302</v>
      </c>
      <c r="G387" t="s">
        <v>574</v>
      </c>
      <c r="H387" s="9">
        <v>4.5</v>
      </c>
      <c r="I387" s="9">
        <v>4.4279000000000002</v>
      </c>
      <c r="J387" s="10">
        <v>4.7688848000000004</v>
      </c>
      <c r="K387" s="10">
        <v>4.9715197</v>
      </c>
      <c r="L387" s="10">
        <v>5.1806796999999998</v>
      </c>
      <c r="M387" s="10">
        <v>5.3753574000000004</v>
      </c>
      <c r="N387" s="10">
        <v>5.5364718999999996</v>
      </c>
      <c r="O387" s="10">
        <v>5.6572839000000004</v>
      </c>
      <c r="P387" s="10">
        <v>5.7389697999999996</v>
      </c>
      <c r="Q387" s="10">
        <v>5.7870574000000001</v>
      </c>
      <c r="R387" s="10">
        <v>5.8099112999999996</v>
      </c>
      <c r="S387" s="10">
        <v>5.8147641999999999</v>
      </c>
      <c r="T387" s="10">
        <v>5.8066136999999998</v>
      </c>
      <c r="U387" s="10">
        <v>5.7882603000000001</v>
      </c>
      <c r="V387" s="10">
        <v>5.7615335999999999</v>
      </c>
      <c r="W387" s="10">
        <v>5.7274478000000002</v>
      </c>
      <c r="X387" s="10">
        <v>5.6868002000000004</v>
      </c>
      <c r="Y387" s="10">
        <v>5.6403865</v>
      </c>
      <c r="Z387" s="10">
        <v>5.5890024</v>
      </c>
      <c r="AA387" s="10">
        <v>5.5334453999999997</v>
      </c>
      <c r="AB387" s="10">
        <v>5.4745175000000001</v>
      </c>
      <c r="AC387" s="10">
        <v>5.4130510999999997</v>
      </c>
      <c r="AD387" s="10">
        <v>5.3498893000000001</v>
      </c>
      <c r="AE387" s="10">
        <v>5.2858730999999999</v>
      </c>
      <c r="AF387" s="10">
        <v>5.2218435000000003</v>
      </c>
      <c r="AG387" s="10">
        <v>5.1586436000000004</v>
      </c>
      <c r="AH387" s="10">
        <v>5.0969838999999997</v>
      </c>
      <c r="AI387" s="10">
        <v>5.0369980999999999</v>
      </c>
      <c r="AJ387" s="10">
        <v>4.9786628000000004</v>
      </c>
      <c r="AK387" s="10">
        <v>4.9219527999999997</v>
      </c>
      <c r="AL387" s="10">
        <v>4.8668426</v>
      </c>
      <c r="AM387" s="10">
        <v>4.8133090000000003</v>
      </c>
      <c r="AN387" s="10">
        <v>4.7613266999999997</v>
      </c>
      <c r="AO387" s="10">
        <v>4.7108701999999996</v>
      </c>
      <c r="AP387" s="10">
        <v>4.6619162999999997</v>
      </c>
      <c r="AQ387" s="10">
        <v>4.6144394999999996</v>
      </c>
      <c r="AR387" s="10">
        <v>4.5684148000000002</v>
      </c>
      <c r="AS387" s="10">
        <v>4.5238183999999997</v>
      </c>
      <c r="AT387" s="10">
        <v>4.4806227999999999</v>
      </c>
      <c r="AU387" s="10">
        <v>4.4387895999999998</v>
      </c>
      <c r="AV387" s="10">
        <v>4.3982789999999996</v>
      </c>
      <c r="AW387" s="10">
        <v>4.3590496999999999</v>
      </c>
      <c r="AX387" s="10">
        <v>4.3210603000000001</v>
      </c>
      <c r="AY387" s="10">
        <v>4.2842710000000004</v>
      </c>
      <c r="AZ387" s="10">
        <v>4.2486404000000002</v>
      </c>
      <c r="BA387" s="10">
        <v>4.2141273999999997</v>
      </c>
      <c r="BB387" s="10">
        <v>4.1806919000000002</v>
      </c>
      <c r="BC387" s="10">
        <v>4.1482928000000001</v>
      </c>
      <c r="BD387" s="10">
        <v>4.1168886999999996</v>
      </c>
      <c r="BE387" s="10">
        <v>4.0864396000000003</v>
      </c>
      <c r="BF387" s="10">
        <v>4.0569094999999997</v>
      </c>
      <c r="BG387" s="10">
        <v>4.0282844999999998</v>
      </c>
      <c r="BH387" s="10">
        <v>4.0005579999999998</v>
      </c>
      <c r="BI387" s="10">
        <v>3.9737227000000002</v>
      </c>
      <c r="BJ387" s="10">
        <v>3.9477707999999998</v>
      </c>
      <c r="BK387" s="10">
        <v>3.9226956999999998</v>
      </c>
      <c r="BL387" s="10">
        <v>3.8984899999999998</v>
      </c>
      <c r="BM387" s="10">
        <v>3.8751462000000001</v>
      </c>
      <c r="BN387" s="10">
        <v>3.8526574999999998</v>
      </c>
      <c r="BO387" s="10">
        <v>3.8310164000000002</v>
      </c>
      <c r="BP387" s="10">
        <v>3.8102155</v>
      </c>
      <c r="BQ387" s="10">
        <v>3.7902480000000001</v>
      </c>
      <c r="BR387" s="10">
        <v>3.6874302999999999</v>
      </c>
      <c r="BS387" s="10">
        <v>3.6121455999999998</v>
      </c>
      <c r="BU387" s="7">
        <v>4.92</v>
      </c>
      <c r="BV387" s="7">
        <v>4.4000000000000004</v>
      </c>
      <c r="BW387" s="9">
        <v>82.386300000000006</v>
      </c>
    </row>
    <row r="388" spans="1:75" x14ac:dyDescent="0.25">
      <c r="A388" s="6">
        <f t="shared" si="35"/>
        <v>45096</v>
      </c>
      <c r="B388" s="13">
        <f t="shared" si="30"/>
        <v>6</v>
      </c>
      <c r="C388" s="13">
        <f t="shared" si="31"/>
        <v>2023</v>
      </c>
      <c r="D388">
        <f t="shared" si="32"/>
        <v>202306</v>
      </c>
      <c r="E388">
        <f t="shared" si="33"/>
        <v>2</v>
      </c>
      <c r="F388">
        <f t="shared" si="34"/>
        <v>202302</v>
      </c>
      <c r="G388" t="s">
        <v>575</v>
      </c>
      <c r="H388" s="9">
        <v>4.5</v>
      </c>
      <c r="I388" s="9">
        <v>4.4279999999999999</v>
      </c>
      <c r="J388" s="10">
        <v>4.7901543000000002</v>
      </c>
      <c r="K388" s="10">
        <v>5.0099689999999999</v>
      </c>
      <c r="L388" s="10">
        <v>5.2259130000000003</v>
      </c>
      <c r="M388" s="10">
        <v>5.4230119999999999</v>
      </c>
      <c r="N388" s="10">
        <v>5.5856304000000003</v>
      </c>
      <c r="O388" s="10">
        <v>5.7095995000000004</v>
      </c>
      <c r="P388" s="10">
        <v>5.7969726000000001</v>
      </c>
      <c r="Q388" s="10">
        <v>5.8552688000000002</v>
      </c>
      <c r="R388" s="10">
        <v>5.8927307999999998</v>
      </c>
      <c r="S388" s="10">
        <v>5.9161897000000003</v>
      </c>
      <c r="T388" s="10">
        <v>5.9286370000000002</v>
      </c>
      <c r="U388" s="10">
        <v>5.9309282999999997</v>
      </c>
      <c r="V388" s="10">
        <v>5.9214511999999999</v>
      </c>
      <c r="W388" s="10">
        <v>5.9006292</v>
      </c>
      <c r="X388" s="10">
        <v>5.8696837999999998</v>
      </c>
      <c r="Y388" s="10">
        <v>5.8298354999999997</v>
      </c>
      <c r="Z388" s="10">
        <v>5.7823048999999997</v>
      </c>
      <c r="AA388" s="10">
        <v>5.7283137999999996</v>
      </c>
      <c r="AB388" s="10">
        <v>5.6690657</v>
      </c>
      <c r="AC388" s="10">
        <v>5.6056846</v>
      </c>
      <c r="AD388" s="10">
        <v>5.5392739000000004</v>
      </c>
      <c r="AE388" s="10">
        <v>5.4709346999999999</v>
      </c>
      <c r="AF388" s="10">
        <v>5.4017681</v>
      </c>
      <c r="AG388" s="10">
        <v>5.3328777000000001</v>
      </c>
      <c r="AH388" s="10">
        <v>5.2652026999999997</v>
      </c>
      <c r="AI388" s="10">
        <v>5.1989682999999998</v>
      </c>
      <c r="AJ388" s="10">
        <v>5.1342049999999997</v>
      </c>
      <c r="AK388" s="10">
        <v>5.0709410999999998</v>
      </c>
      <c r="AL388" s="10">
        <v>5.0092046000000003</v>
      </c>
      <c r="AM388" s="10">
        <v>4.9490261000000002</v>
      </c>
      <c r="AN388" s="10">
        <v>4.8904335999999997</v>
      </c>
      <c r="AO388" s="10">
        <v>4.8334555999999997</v>
      </c>
      <c r="AP388" s="10">
        <v>4.7781221</v>
      </c>
      <c r="AQ388" s="10">
        <v>4.7244615999999997</v>
      </c>
      <c r="AR388" s="10">
        <v>4.6725023999999999</v>
      </c>
      <c r="AS388" s="10">
        <v>4.6222744999999996</v>
      </c>
      <c r="AT388" s="10">
        <v>4.5737949999999996</v>
      </c>
      <c r="AU388" s="10">
        <v>4.5270302999999998</v>
      </c>
      <c r="AV388" s="10">
        <v>4.4819347</v>
      </c>
      <c r="AW388" s="10">
        <v>4.4384607000000003</v>
      </c>
      <c r="AX388" s="10">
        <v>4.3965611000000004</v>
      </c>
      <c r="AY388" s="10">
        <v>4.3561899999999998</v>
      </c>
      <c r="AZ388" s="10">
        <v>4.3173000000000004</v>
      </c>
      <c r="BA388" s="10">
        <v>4.2798438000000001</v>
      </c>
      <c r="BB388" s="10">
        <v>4.2437756000000002</v>
      </c>
      <c r="BC388" s="10">
        <v>4.2090478999999998</v>
      </c>
      <c r="BD388" s="10">
        <v>4.1756136000000001</v>
      </c>
      <c r="BE388" s="10">
        <v>4.1434265999999997</v>
      </c>
      <c r="BF388" s="10">
        <v>4.1124425999999996</v>
      </c>
      <c r="BG388" s="10">
        <v>4.0826327999999998</v>
      </c>
      <c r="BH388" s="10">
        <v>4.0539750000000003</v>
      </c>
      <c r="BI388" s="10">
        <v>4.0264458000000003</v>
      </c>
      <c r="BJ388" s="10">
        <v>4.0000216000000002</v>
      </c>
      <c r="BK388" s="10">
        <v>3.9746801999999999</v>
      </c>
      <c r="BL388" s="10">
        <v>3.9503981000000001</v>
      </c>
      <c r="BM388" s="10">
        <v>3.9271520999999998</v>
      </c>
      <c r="BN388" s="10">
        <v>3.9049195000000001</v>
      </c>
      <c r="BO388" s="10">
        <v>3.8836770999999999</v>
      </c>
      <c r="BP388" s="10">
        <v>3.8634015000000002</v>
      </c>
      <c r="BQ388" s="10">
        <v>3.8440702</v>
      </c>
      <c r="BR388" s="10">
        <v>3.7466275000000002</v>
      </c>
      <c r="BS388" s="10">
        <v>3.6774344999999999</v>
      </c>
      <c r="BU388" s="7">
        <v>5.08</v>
      </c>
      <c r="BV388" s="7">
        <v>4.49</v>
      </c>
      <c r="BW388" s="9">
        <v>82.396900000000002</v>
      </c>
    </row>
    <row r="389" spans="1:75" x14ac:dyDescent="0.25">
      <c r="A389" s="6">
        <f t="shared" si="35"/>
        <v>45097</v>
      </c>
      <c r="B389" s="13">
        <f t="shared" si="30"/>
        <v>6</v>
      </c>
      <c r="C389" s="13">
        <f t="shared" si="31"/>
        <v>2023</v>
      </c>
      <c r="D389">
        <f t="shared" si="32"/>
        <v>202306</v>
      </c>
      <c r="E389">
        <f t="shared" si="33"/>
        <v>2</v>
      </c>
      <c r="F389">
        <f t="shared" si="34"/>
        <v>202302</v>
      </c>
      <c r="G389" t="s">
        <v>576</v>
      </c>
      <c r="H389" s="9">
        <v>4.5</v>
      </c>
      <c r="I389" s="9">
        <v>4.4280999999999997</v>
      </c>
      <c r="J389" s="10">
        <v>4.7880649000000002</v>
      </c>
      <c r="K389" s="10">
        <v>5.0111616999999997</v>
      </c>
      <c r="L389" s="10">
        <v>5.2226540999999997</v>
      </c>
      <c r="M389" s="10">
        <v>5.4086863999999997</v>
      </c>
      <c r="N389" s="10">
        <v>5.5572596000000001</v>
      </c>
      <c r="O389" s="10">
        <v>5.6672766000000001</v>
      </c>
      <c r="P389" s="10">
        <v>5.7421765000000002</v>
      </c>
      <c r="Q389" s="10">
        <v>5.7895960999999998</v>
      </c>
      <c r="R389" s="10">
        <v>5.8165313000000003</v>
      </c>
      <c r="S389" s="10">
        <v>5.8288979999999997</v>
      </c>
      <c r="T389" s="10">
        <v>5.8296380000000001</v>
      </c>
      <c r="U389" s="10">
        <v>5.8194007000000001</v>
      </c>
      <c r="V389" s="10">
        <v>5.7972666999999998</v>
      </c>
      <c r="W389" s="10">
        <v>5.7640286999999999</v>
      </c>
      <c r="X389" s="10">
        <v>5.7210726000000003</v>
      </c>
      <c r="Y389" s="10">
        <v>5.6697835000000003</v>
      </c>
      <c r="Z389" s="10">
        <v>5.6115459999999997</v>
      </c>
      <c r="AA389" s="10">
        <v>5.5477467000000003</v>
      </c>
      <c r="AB389" s="10">
        <v>5.4797210999999999</v>
      </c>
      <c r="AC389" s="10">
        <v>5.4085754000000001</v>
      </c>
      <c r="AD389" s="10">
        <v>5.3353520999999997</v>
      </c>
      <c r="AE389" s="10">
        <v>5.2610912000000001</v>
      </c>
      <c r="AF389" s="10">
        <v>5.1868327000000001</v>
      </c>
      <c r="AG389" s="10">
        <v>5.1136191000000002</v>
      </c>
      <c r="AH389" s="10">
        <v>5.0423336000000001</v>
      </c>
      <c r="AI389" s="10">
        <v>4.9731674000000003</v>
      </c>
      <c r="AJ389" s="10">
        <v>4.9061234000000002</v>
      </c>
      <c r="AK389" s="10">
        <v>4.8412018999999997</v>
      </c>
      <c r="AL389" s="10">
        <v>4.7784032999999999</v>
      </c>
      <c r="AM389" s="10">
        <v>4.7177302000000001</v>
      </c>
      <c r="AN389" s="10">
        <v>4.6591829999999996</v>
      </c>
      <c r="AO389" s="10">
        <v>4.6027621999999999</v>
      </c>
      <c r="AP389" s="10">
        <v>4.5484703</v>
      </c>
      <c r="AQ389" s="10">
        <v>4.4963077</v>
      </c>
      <c r="AR389" s="10">
        <v>4.4462751000000003</v>
      </c>
      <c r="AS389" s="10">
        <v>4.3983746999999997</v>
      </c>
      <c r="AT389" s="10">
        <v>4.3525967000000003</v>
      </c>
      <c r="AU389" s="10">
        <v>4.3088753999999998</v>
      </c>
      <c r="AV389" s="10">
        <v>4.2671279999999996</v>
      </c>
      <c r="AW389" s="10">
        <v>4.2272701000000001</v>
      </c>
      <c r="AX389" s="10">
        <v>4.1892173000000001</v>
      </c>
      <c r="AY389" s="10">
        <v>4.1528865000000001</v>
      </c>
      <c r="AZ389" s="10">
        <v>4.1181935999999997</v>
      </c>
      <c r="BA389" s="10">
        <v>4.0850540000000004</v>
      </c>
      <c r="BB389" s="10">
        <v>4.0533847999999999</v>
      </c>
      <c r="BC389" s="10">
        <v>4.0231015000000001</v>
      </c>
      <c r="BD389" s="10">
        <v>3.9941201</v>
      </c>
      <c r="BE389" s="10">
        <v>3.9663572</v>
      </c>
      <c r="BF389" s="10">
        <v>3.9397353000000002</v>
      </c>
      <c r="BG389" s="10">
        <v>3.9142100000000002</v>
      </c>
      <c r="BH389" s="10">
        <v>3.8897479000000001</v>
      </c>
      <c r="BI389" s="10">
        <v>3.8663145999999999</v>
      </c>
      <c r="BJ389" s="10">
        <v>3.8438754999999998</v>
      </c>
      <c r="BK389" s="10">
        <v>3.8223973999999998</v>
      </c>
      <c r="BL389" s="10">
        <v>3.8018456</v>
      </c>
      <c r="BM389" s="10">
        <v>3.7821859999999998</v>
      </c>
      <c r="BN389" s="10">
        <v>3.7633847999999999</v>
      </c>
      <c r="BO389" s="10">
        <v>3.7454078000000002</v>
      </c>
      <c r="BP389" s="10">
        <v>3.7282207000000001</v>
      </c>
      <c r="BQ389" s="10">
        <v>3.7117897000000002</v>
      </c>
      <c r="BR389" s="10">
        <v>3.6278063999999999</v>
      </c>
      <c r="BS389" s="10">
        <v>3.5663507999999999</v>
      </c>
      <c r="BU389" s="7">
        <v>4.9400000000000004</v>
      </c>
      <c r="BV389" s="7">
        <v>4.33</v>
      </c>
      <c r="BW389" s="9">
        <v>82.137500000000003</v>
      </c>
    </row>
    <row r="390" spans="1:75" x14ac:dyDescent="0.25">
      <c r="A390" s="6">
        <f t="shared" si="35"/>
        <v>45098</v>
      </c>
      <c r="B390" s="13">
        <f t="shared" si="30"/>
        <v>6</v>
      </c>
      <c r="C390" s="13">
        <f t="shared" si="31"/>
        <v>2023</v>
      </c>
      <c r="D390">
        <f t="shared" si="32"/>
        <v>202306</v>
      </c>
      <c r="E390">
        <f t="shared" si="33"/>
        <v>2</v>
      </c>
      <c r="F390">
        <f t="shared" si="34"/>
        <v>202302</v>
      </c>
      <c r="G390" t="s">
        <v>577</v>
      </c>
      <c r="H390" s="9">
        <v>4.5</v>
      </c>
      <c r="I390" s="9">
        <v>4.4287999999999998</v>
      </c>
      <c r="J390" s="10">
        <v>4.8531620999999996</v>
      </c>
      <c r="K390" s="10">
        <v>5.1189578999999998</v>
      </c>
      <c r="L390" s="10">
        <v>5.3675807999999998</v>
      </c>
      <c r="M390" s="10">
        <v>5.5812431</v>
      </c>
      <c r="N390" s="10">
        <v>5.7429872</v>
      </c>
      <c r="O390" s="10">
        <v>5.8551757999999996</v>
      </c>
      <c r="P390" s="10">
        <v>5.9257853000000003</v>
      </c>
      <c r="Q390" s="10">
        <v>5.9664875999999998</v>
      </c>
      <c r="R390" s="10">
        <v>5.9868760999999999</v>
      </c>
      <c r="S390" s="10">
        <v>5.9936761000000001</v>
      </c>
      <c r="T390" s="10">
        <v>5.9895376999999996</v>
      </c>
      <c r="U390" s="10">
        <v>5.9746489</v>
      </c>
      <c r="V390" s="10">
        <v>5.9468889000000003</v>
      </c>
      <c r="W390" s="10">
        <v>5.9069136000000002</v>
      </c>
      <c r="X390" s="10">
        <v>5.8563514000000003</v>
      </c>
      <c r="Y390" s="10">
        <v>5.7968289999999998</v>
      </c>
      <c r="Z390" s="10">
        <v>5.7299730000000002</v>
      </c>
      <c r="AA390" s="10">
        <v>5.6574124000000001</v>
      </c>
      <c r="AB390" s="10">
        <v>5.5807253000000001</v>
      </c>
      <c r="AC390" s="10">
        <v>5.5012156000000001</v>
      </c>
      <c r="AD390" s="10">
        <v>5.4200936000000004</v>
      </c>
      <c r="AE390" s="10">
        <v>5.3385667000000003</v>
      </c>
      <c r="AF390" s="10">
        <v>5.2578421999999998</v>
      </c>
      <c r="AG390" s="10">
        <v>5.1791304</v>
      </c>
      <c r="AH390" s="10">
        <v>5.1034777</v>
      </c>
      <c r="AI390" s="10">
        <v>5.0310639000000004</v>
      </c>
      <c r="AJ390" s="10">
        <v>4.9617806</v>
      </c>
      <c r="AK390" s="10">
        <v>4.8955168999999996</v>
      </c>
      <c r="AL390" s="10">
        <v>4.8321616000000001</v>
      </c>
      <c r="AM390" s="10">
        <v>4.7716061999999999</v>
      </c>
      <c r="AN390" s="10">
        <v>4.7137396999999996</v>
      </c>
      <c r="AO390" s="10">
        <v>4.6584512</v>
      </c>
      <c r="AP390" s="10">
        <v>4.6056318999999997</v>
      </c>
      <c r="AQ390" s="10">
        <v>4.5551709000000002</v>
      </c>
      <c r="AR390" s="10">
        <v>4.5069574000000001</v>
      </c>
      <c r="AS390" s="10">
        <v>4.4608822999999997</v>
      </c>
      <c r="AT390" s="10">
        <v>4.4168370000000001</v>
      </c>
      <c r="AU390" s="10">
        <v>4.3747227999999998</v>
      </c>
      <c r="AV390" s="10">
        <v>4.3344456999999998</v>
      </c>
      <c r="AW390" s="10">
        <v>4.2959101999999998</v>
      </c>
      <c r="AX390" s="10">
        <v>4.2590206999999998</v>
      </c>
      <c r="AY390" s="10">
        <v>4.2236832</v>
      </c>
      <c r="AZ390" s="10">
        <v>4.1898020999999996</v>
      </c>
      <c r="BA390" s="10">
        <v>4.1572820000000004</v>
      </c>
      <c r="BB390" s="10">
        <v>4.1260285999999997</v>
      </c>
      <c r="BC390" s="10">
        <v>4.0959466000000004</v>
      </c>
      <c r="BD390" s="10">
        <v>4.0669404</v>
      </c>
      <c r="BE390" s="10">
        <v>4.0389159000000001</v>
      </c>
      <c r="BF390" s="10">
        <v>4.0117896999999996</v>
      </c>
      <c r="BG390" s="10">
        <v>3.9855331999999999</v>
      </c>
      <c r="BH390" s="10">
        <v>3.9601332</v>
      </c>
      <c r="BI390" s="10">
        <v>3.9355758000000001</v>
      </c>
      <c r="BJ390" s="10">
        <v>3.9118472</v>
      </c>
      <c r="BK390" s="10">
        <v>3.8889342</v>
      </c>
      <c r="BL390" s="10">
        <v>3.8668228999999998</v>
      </c>
      <c r="BM390" s="10">
        <v>3.8454994999999998</v>
      </c>
      <c r="BN390" s="10">
        <v>3.8249507999999999</v>
      </c>
      <c r="BO390" s="10">
        <v>3.8051629</v>
      </c>
      <c r="BP390" s="10">
        <v>3.7861221</v>
      </c>
      <c r="BQ390" s="10">
        <v>3.7678151</v>
      </c>
      <c r="BR390" s="10">
        <v>3.6727360999999998</v>
      </c>
      <c r="BS390" s="10">
        <v>3.6013760000000001</v>
      </c>
      <c r="BU390" s="7">
        <v>5.05</v>
      </c>
      <c r="BV390" s="7">
        <v>4.4000000000000004</v>
      </c>
      <c r="BW390" s="9">
        <v>81.922499999999999</v>
      </c>
    </row>
    <row r="391" spans="1:75" x14ac:dyDescent="0.25">
      <c r="A391" s="6">
        <f t="shared" si="35"/>
        <v>45099</v>
      </c>
      <c r="B391" s="13">
        <f t="shared" si="30"/>
        <v>6</v>
      </c>
      <c r="C391" s="13">
        <f t="shared" si="31"/>
        <v>2023</v>
      </c>
      <c r="D391">
        <f t="shared" si="32"/>
        <v>202306</v>
      </c>
      <c r="E391">
        <f t="shared" si="33"/>
        <v>2</v>
      </c>
      <c r="F391">
        <f t="shared" si="34"/>
        <v>202302</v>
      </c>
      <c r="G391" t="s">
        <v>578</v>
      </c>
      <c r="H391" s="9">
        <v>5</v>
      </c>
      <c r="I391" s="9">
        <v>4.9273999999999996</v>
      </c>
      <c r="J391" s="10">
        <v>5.0184316999999998</v>
      </c>
      <c r="K391" s="10">
        <v>5.3017059</v>
      </c>
      <c r="L391" s="10">
        <v>5.5582096999999999</v>
      </c>
      <c r="M391" s="10">
        <v>5.7701000999999996</v>
      </c>
      <c r="N391" s="10">
        <v>5.9221719000000004</v>
      </c>
      <c r="O391" s="10">
        <v>6.0179983000000004</v>
      </c>
      <c r="P391" s="10">
        <v>6.0676838000000002</v>
      </c>
      <c r="Q391" s="10">
        <v>6.0850888999999997</v>
      </c>
      <c r="R391" s="10">
        <v>6.0813265000000003</v>
      </c>
      <c r="S391" s="10">
        <v>6.0640882999999999</v>
      </c>
      <c r="T391" s="10">
        <v>6.0365351</v>
      </c>
      <c r="U391" s="10">
        <v>5.9995367000000002</v>
      </c>
      <c r="V391" s="10">
        <v>5.9515156999999999</v>
      </c>
      <c r="W391" s="10">
        <v>5.8931683000000001</v>
      </c>
      <c r="X391" s="10">
        <v>5.8262041</v>
      </c>
      <c r="Y391" s="10">
        <v>5.7523312000000004</v>
      </c>
      <c r="Z391" s="10">
        <v>5.6732575000000001</v>
      </c>
      <c r="AA391" s="10">
        <v>5.5906937000000001</v>
      </c>
      <c r="AB391" s="10">
        <v>5.5062464000000002</v>
      </c>
      <c r="AC391" s="10">
        <v>5.4210015</v>
      </c>
      <c r="AD391" s="10">
        <v>5.3358822999999997</v>
      </c>
      <c r="AE391" s="10">
        <v>5.2518085000000001</v>
      </c>
      <c r="AF391" s="10">
        <v>5.1697002999999997</v>
      </c>
      <c r="AG391" s="10">
        <v>5.0904805</v>
      </c>
      <c r="AH391" s="10">
        <v>5.0149204999999997</v>
      </c>
      <c r="AI391" s="10">
        <v>4.9430677000000003</v>
      </c>
      <c r="AJ391" s="10">
        <v>4.8747514000000001</v>
      </c>
      <c r="AK391" s="10">
        <v>4.8097985999999997</v>
      </c>
      <c r="AL391" s="10">
        <v>4.7480361000000002</v>
      </c>
      <c r="AM391" s="10">
        <v>4.6892934000000004</v>
      </c>
      <c r="AN391" s="10">
        <v>4.6333972000000001</v>
      </c>
      <c r="AO391" s="10">
        <v>4.5801746999999997</v>
      </c>
      <c r="AP391" s="10">
        <v>4.5294547999999999</v>
      </c>
      <c r="AQ391" s="10">
        <v>4.4810648000000004</v>
      </c>
      <c r="AR391" s="10">
        <v>4.4348315999999999</v>
      </c>
      <c r="AS391" s="10">
        <v>4.3905842000000002</v>
      </c>
      <c r="AT391" s="10">
        <v>4.3481639000000003</v>
      </c>
      <c r="AU391" s="10">
        <v>4.3074753000000001</v>
      </c>
      <c r="AV391" s="10">
        <v>4.2684414000000004</v>
      </c>
      <c r="AW391" s="10">
        <v>4.2309842</v>
      </c>
      <c r="AX391" s="10">
        <v>4.1950253999999996</v>
      </c>
      <c r="AY391" s="10">
        <v>4.1604881999999996</v>
      </c>
      <c r="AZ391" s="10">
        <v>4.1272943</v>
      </c>
      <c r="BA391" s="10">
        <v>4.0953657999999997</v>
      </c>
      <c r="BB391" s="10">
        <v>4.0646256999999997</v>
      </c>
      <c r="BC391" s="10">
        <v>4.0349956999999996</v>
      </c>
      <c r="BD391" s="10">
        <v>4.0063978999999996</v>
      </c>
      <c r="BE391" s="10">
        <v>3.9787552000000002</v>
      </c>
      <c r="BF391" s="10">
        <v>3.9519997999999998</v>
      </c>
      <c r="BG391" s="10">
        <v>3.9261086000000001</v>
      </c>
      <c r="BH391" s="10">
        <v>3.9010722000000002</v>
      </c>
      <c r="BI391" s="10">
        <v>3.8768802</v>
      </c>
      <c r="BJ391" s="10">
        <v>3.8535219999999999</v>
      </c>
      <c r="BK391" s="10">
        <v>3.8309880000000001</v>
      </c>
      <c r="BL391" s="10">
        <v>3.8092679</v>
      </c>
      <c r="BM391" s="10">
        <v>3.7883510999999999</v>
      </c>
      <c r="BN391" s="10">
        <v>3.7682281</v>
      </c>
      <c r="BO391" s="10">
        <v>3.7488883</v>
      </c>
      <c r="BP391" s="10">
        <v>3.7303215000000001</v>
      </c>
      <c r="BQ391" s="10">
        <v>3.7125178000000001</v>
      </c>
      <c r="BR391" s="10">
        <v>3.6211112999999999</v>
      </c>
      <c r="BS391" s="10">
        <v>3.5543814999999999</v>
      </c>
      <c r="BU391" s="7">
        <v>5.07</v>
      </c>
      <c r="BV391" s="7">
        <v>4.3600000000000003</v>
      </c>
      <c r="BW391" s="9">
        <v>82.052499999999995</v>
      </c>
    </row>
    <row r="392" spans="1:75" x14ac:dyDescent="0.25">
      <c r="A392" s="6">
        <f t="shared" si="35"/>
        <v>45100</v>
      </c>
      <c r="B392" s="13">
        <f t="shared" si="30"/>
        <v>6</v>
      </c>
      <c r="C392" s="13">
        <f t="shared" si="31"/>
        <v>2023</v>
      </c>
      <c r="D392">
        <f t="shared" si="32"/>
        <v>202306</v>
      </c>
      <c r="E392">
        <f t="shared" si="33"/>
        <v>2</v>
      </c>
      <c r="F392">
        <f t="shared" si="34"/>
        <v>202302</v>
      </c>
      <c r="G392" t="s">
        <v>579</v>
      </c>
      <c r="H392" s="9">
        <v>5</v>
      </c>
      <c r="I392" s="9">
        <v>4.9279999999999999</v>
      </c>
      <c r="J392" s="10">
        <v>5.0257110999999997</v>
      </c>
      <c r="K392" s="10">
        <v>5.3197337999999998</v>
      </c>
      <c r="L392" s="10">
        <v>5.5872204999999999</v>
      </c>
      <c r="M392" s="10">
        <v>5.8138847</v>
      </c>
      <c r="N392" s="10">
        <v>5.9844176999999998</v>
      </c>
      <c r="O392" s="10">
        <v>6.0964200000000002</v>
      </c>
      <c r="P392" s="10">
        <v>6.1577707000000004</v>
      </c>
      <c r="Q392" s="10">
        <v>6.1788471999999999</v>
      </c>
      <c r="R392" s="10">
        <v>6.1714074999999999</v>
      </c>
      <c r="S392" s="10">
        <v>6.1443335000000001</v>
      </c>
      <c r="T392" s="10">
        <v>6.1037552000000002</v>
      </c>
      <c r="U392" s="10">
        <v>6.0535540000000001</v>
      </c>
      <c r="V392" s="10">
        <v>5.9967779999999999</v>
      </c>
      <c r="W392" s="10">
        <v>5.9347384999999999</v>
      </c>
      <c r="X392" s="10">
        <v>5.8682198000000003</v>
      </c>
      <c r="Y392" s="10">
        <v>5.7980039999999997</v>
      </c>
      <c r="Z392" s="10">
        <v>5.7248728</v>
      </c>
      <c r="AA392" s="10">
        <v>5.6496108999999999</v>
      </c>
      <c r="AB392" s="10">
        <v>5.5729667000000003</v>
      </c>
      <c r="AC392" s="10">
        <v>5.4955341999999998</v>
      </c>
      <c r="AD392" s="10">
        <v>5.4178655999999998</v>
      </c>
      <c r="AE392" s="10">
        <v>5.3405101000000004</v>
      </c>
      <c r="AF392" s="10">
        <v>5.2640168999999997</v>
      </c>
      <c r="AG392" s="10">
        <v>5.1889381999999999</v>
      </c>
      <c r="AH392" s="10">
        <v>5.1157389000000002</v>
      </c>
      <c r="AI392" s="10">
        <v>5.0445124999999997</v>
      </c>
      <c r="AJ392" s="10">
        <v>4.9752521999999999</v>
      </c>
      <c r="AK392" s="10">
        <v>4.9079487999999998</v>
      </c>
      <c r="AL392" s="10">
        <v>4.8425931000000002</v>
      </c>
      <c r="AM392" s="10">
        <v>4.7791784000000002</v>
      </c>
      <c r="AN392" s="10">
        <v>4.7176954999999996</v>
      </c>
      <c r="AO392" s="10">
        <v>4.6581352999999996</v>
      </c>
      <c r="AP392" s="10">
        <v>4.6004906999999999</v>
      </c>
      <c r="AQ392" s="10">
        <v>4.5447528999999998</v>
      </c>
      <c r="AR392" s="10">
        <v>4.4909125999999997</v>
      </c>
      <c r="AS392" s="10">
        <v>4.4389628999999999</v>
      </c>
      <c r="AT392" s="10">
        <v>4.3888876999999997</v>
      </c>
      <c r="AU392" s="10">
        <v>4.3406400999999999</v>
      </c>
      <c r="AV392" s="10">
        <v>4.2941662999999997</v>
      </c>
      <c r="AW392" s="10">
        <v>4.2494110000000003</v>
      </c>
      <c r="AX392" s="10">
        <v>4.2063188</v>
      </c>
      <c r="AY392" s="10">
        <v>4.1648358999999999</v>
      </c>
      <c r="AZ392" s="10">
        <v>4.1249067999999998</v>
      </c>
      <c r="BA392" s="10">
        <v>4.0864761999999999</v>
      </c>
      <c r="BB392" s="10">
        <v>4.0494902000000002</v>
      </c>
      <c r="BC392" s="10">
        <v>4.0138935</v>
      </c>
      <c r="BD392" s="10">
        <v>3.9796307999999998</v>
      </c>
      <c r="BE392" s="10">
        <v>3.9466481</v>
      </c>
      <c r="BF392" s="10">
        <v>3.9148949000000002</v>
      </c>
      <c r="BG392" s="10">
        <v>3.8843424999999998</v>
      </c>
      <c r="BH392" s="10">
        <v>3.8549690000000001</v>
      </c>
      <c r="BI392" s="10">
        <v>3.8267516000000001</v>
      </c>
      <c r="BJ392" s="10">
        <v>3.7996672999999999</v>
      </c>
      <c r="BK392" s="10">
        <v>3.7736944000000001</v>
      </c>
      <c r="BL392" s="10">
        <v>3.7488100000000002</v>
      </c>
      <c r="BM392" s="10">
        <v>3.7249911999999998</v>
      </c>
      <c r="BN392" s="10">
        <v>3.7022160999999998</v>
      </c>
      <c r="BO392" s="10">
        <v>3.6804619999999999</v>
      </c>
      <c r="BP392" s="10">
        <v>3.6597059000000001</v>
      </c>
      <c r="BQ392" s="10">
        <v>3.639926</v>
      </c>
      <c r="BR392" s="10">
        <v>3.5406460000000002</v>
      </c>
      <c r="BS392" s="10">
        <v>3.4718553999999999</v>
      </c>
      <c r="BU392" s="7">
        <v>5.18</v>
      </c>
      <c r="BV392" s="7">
        <v>4.33</v>
      </c>
      <c r="BW392" s="9">
        <v>82.216499999999996</v>
      </c>
    </row>
    <row r="393" spans="1:75" x14ac:dyDescent="0.25">
      <c r="A393" s="6">
        <f t="shared" si="35"/>
        <v>45103</v>
      </c>
      <c r="B393" s="13">
        <f t="shared" ref="B393:B456" si="36">MONTH(A393)</f>
        <v>6</v>
      </c>
      <c r="C393" s="13">
        <f t="shared" ref="C393:C456" si="37">YEAR(A393)</f>
        <v>2023</v>
      </c>
      <c r="D393">
        <f t="shared" ref="D393:D456" si="38">C393*100+B393</f>
        <v>202306</v>
      </c>
      <c r="E393">
        <f t="shared" ref="E393:E456" si="39">IF(B393&lt;4,1,IF(B393&lt;7,2,IF(B393&lt;10,3,4)))</f>
        <v>2</v>
      </c>
      <c r="F393">
        <f t="shared" ref="F393:F456" si="40">C393*100+E393</f>
        <v>202302</v>
      </c>
      <c r="G393" t="s">
        <v>580</v>
      </c>
      <c r="H393" s="9">
        <v>5</v>
      </c>
      <c r="I393" s="9">
        <v>4.9282000000000004</v>
      </c>
      <c r="J393" s="10">
        <v>5.0439873000000004</v>
      </c>
      <c r="K393" s="10">
        <v>5.3469679000000001</v>
      </c>
      <c r="L393" s="10">
        <v>5.6100529999999997</v>
      </c>
      <c r="M393" s="10">
        <v>5.8230791000000002</v>
      </c>
      <c r="N393" s="10">
        <v>5.9774538000000002</v>
      </c>
      <c r="O393" s="10">
        <v>6.0761738999999997</v>
      </c>
      <c r="P393" s="10">
        <v>6.1298304999999997</v>
      </c>
      <c r="Q393" s="10">
        <v>6.1517204000000003</v>
      </c>
      <c r="R393" s="10">
        <v>6.1528495999999997</v>
      </c>
      <c r="S393" s="10">
        <v>6.1406606000000004</v>
      </c>
      <c r="T393" s="10">
        <v>6.1181562999999999</v>
      </c>
      <c r="U393" s="10">
        <v>6.0863386999999998</v>
      </c>
      <c r="V393" s="10">
        <v>6.0442121000000002</v>
      </c>
      <c r="W393" s="10">
        <v>5.9923506</v>
      </c>
      <c r="X393" s="10">
        <v>5.9319696999999998</v>
      </c>
      <c r="Y393" s="10">
        <v>5.8642830999999997</v>
      </c>
      <c r="Z393" s="10">
        <v>5.7905043000000003</v>
      </c>
      <c r="AA393" s="10">
        <v>5.7118494000000002</v>
      </c>
      <c r="AB393" s="10">
        <v>5.6295066</v>
      </c>
      <c r="AC393" s="10">
        <v>5.5445346000000004</v>
      </c>
      <c r="AD393" s="10">
        <v>5.4579538999999997</v>
      </c>
      <c r="AE393" s="10">
        <v>5.3707818999999999</v>
      </c>
      <c r="AF393" s="10">
        <v>5.2840360000000004</v>
      </c>
      <c r="AG393" s="10">
        <v>5.1987366000000002</v>
      </c>
      <c r="AH393" s="10">
        <v>5.1157456999999997</v>
      </c>
      <c r="AI393" s="10">
        <v>5.0352382999999996</v>
      </c>
      <c r="AJ393" s="10">
        <v>4.9572031000000001</v>
      </c>
      <c r="AK393" s="10">
        <v>4.8816259000000004</v>
      </c>
      <c r="AL393" s="10">
        <v>4.8084926000000001</v>
      </c>
      <c r="AM393" s="10">
        <v>4.7377915000000002</v>
      </c>
      <c r="AN393" s="10">
        <v>4.6695083999999998</v>
      </c>
      <c r="AO393" s="10">
        <v>4.6036294</v>
      </c>
      <c r="AP393" s="10">
        <v>4.5401426999999996</v>
      </c>
      <c r="AQ393" s="10">
        <v>4.4790342000000001</v>
      </c>
      <c r="AR393" s="10">
        <v>4.4202899000000002</v>
      </c>
      <c r="AS393" s="10">
        <v>4.3638979999999998</v>
      </c>
      <c r="AT393" s="10">
        <v>4.3098346999999997</v>
      </c>
      <c r="AU393" s="10">
        <v>4.2580334000000004</v>
      </c>
      <c r="AV393" s="10">
        <v>4.2084177</v>
      </c>
      <c r="AW393" s="10">
        <v>4.1609091999999999</v>
      </c>
      <c r="AX393" s="10">
        <v>4.1154295999999997</v>
      </c>
      <c r="AY393" s="10">
        <v>4.0719021</v>
      </c>
      <c r="AZ393" s="10">
        <v>4.0302484999999999</v>
      </c>
      <c r="BA393" s="10">
        <v>3.9903906</v>
      </c>
      <c r="BB393" s="10">
        <v>3.9522515999999999</v>
      </c>
      <c r="BC393" s="10">
        <v>3.9157532000000002</v>
      </c>
      <c r="BD393" s="10">
        <v>3.8808170999999998</v>
      </c>
      <c r="BE393" s="10">
        <v>3.8473666</v>
      </c>
      <c r="BF393" s="10">
        <v>3.8153286</v>
      </c>
      <c r="BG393" s="10">
        <v>3.7846579</v>
      </c>
      <c r="BH393" s="10">
        <v>3.7553196999999998</v>
      </c>
      <c r="BI393" s="10">
        <v>3.7272780999999999</v>
      </c>
      <c r="BJ393" s="10">
        <v>3.7004974000000002</v>
      </c>
      <c r="BK393" s="10">
        <v>3.6749426000000001</v>
      </c>
      <c r="BL393" s="10">
        <v>3.6505779999999999</v>
      </c>
      <c r="BM393" s="10">
        <v>3.6273677000000002</v>
      </c>
      <c r="BN393" s="10">
        <v>3.6052767999999999</v>
      </c>
      <c r="BO393" s="10">
        <v>3.5842695999999998</v>
      </c>
      <c r="BP393" s="10">
        <v>3.5643102</v>
      </c>
      <c r="BQ393" s="10">
        <v>3.5453636999999998</v>
      </c>
      <c r="BR393" s="10">
        <v>3.4512797000000002</v>
      </c>
      <c r="BS393" s="10">
        <v>3.3866594000000001</v>
      </c>
      <c r="BU393" s="7">
        <v>5.14</v>
      </c>
      <c r="BV393" s="7">
        <v>4.29</v>
      </c>
      <c r="BW393" s="9">
        <v>82.183999999999997</v>
      </c>
    </row>
    <row r="394" spans="1:75" x14ac:dyDescent="0.25">
      <c r="A394" s="6">
        <f t="shared" si="35"/>
        <v>45104</v>
      </c>
      <c r="B394" s="13">
        <f t="shared" si="36"/>
        <v>6</v>
      </c>
      <c r="C394" s="13">
        <f t="shared" si="37"/>
        <v>2023</v>
      </c>
      <c r="D394">
        <f t="shared" si="38"/>
        <v>202306</v>
      </c>
      <c r="E394">
        <f t="shared" si="39"/>
        <v>2</v>
      </c>
      <c r="F394">
        <f t="shared" si="40"/>
        <v>202302</v>
      </c>
      <c r="G394" t="s">
        <v>581</v>
      </c>
      <c r="H394" s="9">
        <v>5</v>
      </c>
      <c r="I394" s="9">
        <v>4.9280999999999997</v>
      </c>
      <c r="J394" s="10">
        <v>5.0583659000000001</v>
      </c>
      <c r="K394" s="10">
        <v>5.3694154000000003</v>
      </c>
      <c r="L394" s="10">
        <v>5.6332015999999996</v>
      </c>
      <c r="M394" s="10">
        <v>5.8464226000000004</v>
      </c>
      <c r="N394" s="10">
        <v>6.0038209</v>
      </c>
      <c r="O394" s="10">
        <v>6.1087994999999999</v>
      </c>
      <c r="P394" s="10">
        <v>6.1708759999999998</v>
      </c>
      <c r="Q394" s="10">
        <v>6.2038985999999996</v>
      </c>
      <c r="R394" s="10">
        <v>6.2187904999999999</v>
      </c>
      <c r="S394" s="10">
        <v>6.2225096000000004</v>
      </c>
      <c r="T394" s="10">
        <v>6.2174911000000002</v>
      </c>
      <c r="U394" s="10">
        <v>6.2034694000000004</v>
      </c>
      <c r="V394" s="10">
        <v>6.1774950999999998</v>
      </c>
      <c r="W394" s="10">
        <v>6.1397377000000004</v>
      </c>
      <c r="X394" s="10">
        <v>6.0914878000000003</v>
      </c>
      <c r="Y394" s="10">
        <v>6.0340349</v>
      </c>
      <c r="Z394" s="10">
        <v>5.9686678999999998</v>
      </c>
      <c r="AA394" s="10">
        <v>5.8966782000000002</v>
      </c>
      <c r="AB394" s="10">
        <v>5.8193410999999999</v>
      </c>
      <c r="AC394" s="10">
        <v>5.7378688999999996</v>
      </c>
      <c r="AD394" s="10">
        <v>5.6534580999999999</v>
      </c>
      <c r="AE394" s="10">
        <v>5.5673028000000002</v>
      </c>
      <c r="AF394" s="10">
        <v>5.4805967000000004</v>
      </c>
      <c r="AG394" s="10">
        <v>5.3945366000000003</v>
      </c>
      <c r="AH394" s="10">
        <v>5.3101430000000001</v>
      </c>
      <c r="AI394" s="10">
        <v>5.2276711999999996</v>
      </c>
      <c r="AJ394" s="10">
        <v>5.1471682000000003</v>
      </c>
      <c r="AK394" s="10">
        <v>5.0686781999999999</v>
      </c>
      <c r="AL394" s="10">
        <v>4.9922453000000004</v>
      </c>
      <c r="AM394" s="10">
        <v>4.9179164999999996</v>
      </c>
      <c r="AN394" s="10">
        <v>4.8457357999999999</v>
      </c>
      <c r="AO394" s="10">
        <v>4.7757478000000004</v>
      </c>
      <c r="AP394" s="10">
        <v>4.707999</v>
      </c>
      <c r="AQ394" s="10">
        <v>4.6425337000000004</v>
      </c>
      <c r="AR394" s="10">
        <v>4.5793963</v>
      </c>
      <c r="AS394" s="10">
        <v>4.5186335</v>
      </c>
      <c r="AT394" s="10">
        <v>4.4602744999999997</v>
      </c>
      <c r="AU394" s="10">
        <v>4.4042684999999997</v>
      </c>
      <c r="AV394" s="10">
        <v>4.3505393999999997</v>
      </c>
      <c r="AW394" s="10">
        <v>4.2990092000000004</v>
      </c>
      <c r="AX394" s="10">
        <v>4.2496</v>
      </c>
      <c r="AY394" s="10">
        <v>4.2022357000000001</v>
      </c>
      <c r="AZ394" s="10">
        <v>4.1568382000000001</v>
      </c>
      <c r="BA394" s="10">
        <v>4.1133299000000001</v>
      </c>
      <c r="BB394" s="10">
        <v>4.0716343000000004</v>
      </c>
      <c r="BC394" s="10">
        <v>4.0316736000000004</v>
      </c>
      <c r="BD394" s="10">
        <v>3.9933700999999999</v>
      </c>
      <c r="BE394" s="10">
        <v>3.9566473000000002</v>
      </c>
      <c r="BF394" s="10">
        <v>3.9214321000000001</v>
      </c>
      <c r="BG394" s="10">
        <v>3.8876743</v>
      </c>
      <c r="BH394" s="10">
        <v>3.8553318999999999</v>
      </c>
      <c r="BI394" s="10">
        <v>3.8243616999999999</v>
      </c>
      <c r="BJ394" s="10">
        <v>3.7947204999999999</v>
      </c>
      <c r="BK394" s="10">
        <v>3.7663660999999999</v>
      </c>
      <c r="BL394" s="10">
        <v>3.7392555000000001</v>
      </c>
      <c r="BM394" s="10">
        <v>3.7133454000000001</v>
      </c>
      <c r="BN394" s="10">
        <v>3.6885938</v>
      </c>
      <c r="BO394" s="10">
        <v>3.6649573000000002</v>
      </c>
      <c r="BP394" s="10">
        <v>3.6423930000000002</v>
      </c>
      <c r="BQ394" s="10">
        <v>3.6208585000000002</v>
      </c>
      <c r="BR394" s="10">
        <v>3.5114865000000002</v>
      </c>
      <c r="BS394" s="10">
        <v>3.4321416999999999</v>
      </c>
      <c r="BU394" s="7">
        <v>5.26</v>
      </c>
      <c r="BV394" s="7">
        <v>4.37</v>
      </c>
      <c r="BW394" s="9">
        <v>82.278899999999993</v>
      </c>
    </row>
    <row r="395" spans="1:75" x14ac:dyDescent="0.25">
      <c r="A395" s="6">
        <f t="shared" si="35"/>
        <v>45105</v>
      </c>
      <c r="B395" s="13">
        <f t="shared" si="36"/>
        <v>6</v>
      </c>
      <c r="C395" s="13">
        <f t="shared" si="37"/>
        <v>2023</v>
      </c>
      <c r="D395">
        <f t="shared" si="38"/>
        <v>202306</v>
      </c>
      <c r="E395">
        <f t="shared" si="39"/>
        <v>2</v>
      </c>
      <c r="F395">
        <f t="shared" si="40"/>
        <v>202302</v>
      </c>
      <c r="G395" t="s">
        <v>582</v>
      </c>
      <c r="H395" s="9">
        <v>5</v>
      </c>
      <c r="I395" s="9">
        <v>4.9279000000000002</v>
      </c>
      <c r="J395" s="10">
        <v>5.0585715999999996</v>
      </c>
      <c r="K395" s="10">
        <v>5.3608229999999999</v>
      </c>
      <c r="L395" s="10">
        <v>5.6102018999999999</v>
      </c>
      <c r="M395" s="10">
        <v>5.8070307999999997</v>
      </c>
      <c r="N395" s="10">
        <v>5.9468275000000004</v>
      </c>
      <c r="O395" s="10">
        <v>6.0349440999999997</v>
      </c>
      <c r="P395" s="10">
        <v>6.0820239999999997</v>
      </c>
      <c r="Q395" s="10">
        <v>6.1024688999999999</v>
      </c>
      <c r="R395" s="10">
        <v>6.1068800000000003</v>
      </c>
      <c r="S395" s="10">
        <v>6.1015230999999996</v>
      </c>
      <c r="T395" s="10">
        <v>6.0881002999999998</v>
      </c>
      <c r="U395" s="10">
        <v>6.0657265000000002</v>
      </c>
      <c r="V395" s="10">
        <v>6.0309812999999997</v>
      </c>
      <c r="W395" s="10">
        <v>5.9840578999999998</v>
      </c>
      <c r="X395" s="10">
        <v>5.9263857</v>
      </c>
      <c r="Y395" s="10">
        <v>5.8593923999999999</v>
      </c>
      <c r="Z395" s="10">
        <v>5.7845053999999996</v>
      </c>
      <c r="AA395" s="10">
        <v>5.7031546999999998</v>
      </c>
      <c r="AB395" s="10">
        <v>5.6167806000000002</v>
      </c>
      <c r="AC395" s="10">
        <v>5.5268964</v>
      </c>
      <c r="AD395" s="10">
        <v>5.4350440999999998</v>
      </c>
      <c r="AE395" s="10">
        <v>5.3427629000000003</v>
      </c>
      <c r="AF395" s="10">
        <v>5.2515916999999996</v>
      </c>
      <c r="AG395" s="10">
        <v>5.1630726999999998</v>
      </c>
      <c r="AH395" s="10">
        <v>5.0785353000000004</v>
      </c>
      <c r="AI395" s="10">
        <v>4.9981790999999998</v>
      </c>
      <c r="AJ395" s="10">
        <v>4.9218283999999999</v>
      </c>
      <c r="AK395" s="10">
        <v>4.8493038000000004</v>
      </c>
      <c r="AL395" s="10">
        <v>4.7804266000000002</v>
      </c>
      <c r="AM395" s="10">
        <v>4.7150201000000003</v>
      </c>
      <c r="AN395" s="10">
        <v>4.6529052999999996</v>
      </c>
      <c r="AO395" s="10">
        <v>4.5939036</v>
      </c>
      <c r="AP395" s="10">
        <v>4.5378379999999998</v>
      </c>
      <c r="AQ395" s="10">
        <v>4.4845297000000004</v>
      </c>
      <c r="AR395" s="10">
        <v>4.4337999999999997</v>
      </c>
      <c r="AS395" s="10">
        <v>4.3854718999999998</v>
      </c>
      <c r="AT395" s="10">
        <v>4.3393746999999996</v>
      </c>
      <c r="AU395" s="10">
        <v>4.2953767000000003</v>
      </c>
      <c r="AV395" s="10">
        <v>4.2533596999999999</v>
      </c>
      <c r="AW395" s="10">
        <v>4.2132038999999999</v>
      </c>
      <c r="AX395" s="10">
        <v>4.1747896000000004</v>
      </c>
      <c r="AY395" s="10">
        <v>4.1379985000000001</v>
      </c>
      <c r="AZ395" s="10">
        <v>4.1027108999999999</v>
      </c>
      <c r="BA395" s="10">
        <v>4.0688069999999996</v>
      </c>
      <c r="BB395" s="10">
        <v>4.0361684000000002</v>
      </c>
      <c r="BC395" s="10">
        <v>4.0046755000000003</v>
      </c>
      <c r="BD395" s="10">
        <v>3.9742085999999999</v>
      </c>
      <c r="BE395" s="10">
        <v>3.9446492000000002</v>
      </c>
      <c r="BF395" s="10">
        <v>3.9158954000000001</v>
      </c>
      <c r="BG395" s="10">
        <v>3.8879229</v>
      </c>
      <c r="BH395" s="10">
        <v>3.8607301999999999</v>
      </c>
      <c r="BI395" s="10">
        <v>3.8343147000000002</v>
      </c>
      <c r="BJ395" s="10">
        <v>3.8086736000000001</v>
      </c>
      <c r="BK395" s="10">
        <v>3.7838053</v>
      </c>
      <c r="BL395" s="10">
        <v>3.7597073000000001</v>
      </c>
      <c r="BM395" s="10">
        <v>3.7363767999999999</v>
      </c>
      <c r="BN395" s="10">
        <v>3.7138122</v>
      </c>
      <c r="BO395" s="10">
        <v>3.6920109000000001</v>
      </c>
      <c r="BP395" s="10">
        <v>3.6709703</v>
      </c>
      <c r="BQ395" s="10">
        <v>3.6506886000000001</v>
      </c>
      <c r="BR395" s="10">
        <v>3.5445441999999998</v>
      </c>
      <c r="BS395" s="10">
        <v>3.4635560999999999</v>
      </c>
      <c r="BU395" s="7">
        <v>5.13</v>
      </c>
      <c r="BV395" s="7">
        <v>4.3099999999999996</v>
      </c>
      <c r="BW395" s="9">
        <v>81.715999999999994</v>
      </c>
    </row>
    <row r="396" spans="1:75" x14ac:dyDescent="0.25">
      <c r="A396" s="6">
        <f t="shared" si="35"/>
        <v>45106</v>
      </c>
      <c r="B396" s="13">
        <f t="shared" si="36"/>
        <v>6</v>
      </c>
      <c r="C396" s="13">
        <f t="shared" si="37"/>
        <v>2023</v>
      </c>
      <c r="D396">
        <f t="shared" si="38"/>
        <v>202306</v>
      </c>
      <c r="E396">
        <f t="shared" si="39"/>
        <v>2</v>
      </c>
      <c r="F396">
        <f t="shared" si="40"/>
        <v>202302</v>
      </c>
      <c r="G396" t="s">
        <v>583</v>
      </c>
      <c r="H396" s="9">
        <v>5</v>
      </c>
      <c r="I396" s="9">
        <v>4.9283999999999999</v>
      </c>
      <c r="J396" s="10">
        <v>5.0661291000000004</v>
      </c>
      <c r="K396" s="10">
        <v>5.3860064000000003</v>
      </c>
      <c r="L396" s="10">
        <v>5.6457873999999997</v>
      </c>
      <c r="M396" s="10">
        <v>5.8513595</v>
      </c>
      <c r="N396" s="10">
        <v>6.0008385999999998</v>
      </c>
      <c r="O396" s="10">
        <v>6.0987651999999999</v>
      </c>
      <c r="P396" s="10">
        <v>6.1551042000000002</v>
      </c>
      <c r="Q396" s="10">
        <v>6.1837637000000001</v>
      </c>
      <c r="R396" s="10">
        <v>6.1957075000000001</v>
      </c>
      <c r="S396" s="10">
        <v>6.1963451000000003</v>
      </c>
      <c r="T396" s="10">
        <v>6.1873893999999998</v>
      </c>
      <c r="U396" s="10">
        <v>6.1683577999999999</v>
      </c>
      <c r="V396" s="10">
        <v>6.1362129999999997</v>
      </c>
      <c r="W396" s="10">
        <v>6.0912750000000004</v>
      </c>
      <c r="X396" s="10">
        <v>6.0352686999999996</v>
      </c>
      <c r="Y396" s="10">
        <v>5.9699179000000004</v>
      </c>
      <c r="Z396" s="10">
        <v>5.8969464</v>
      </c>
      <c r="AA396" s="10">
        <v>5.8180804999999998</v>
      </c>
      <c r="AB396" s="10">
        <v>5.7349823999999998</v>
      </c>
      <c r="AC396" s="10">
        <v>5.6489997000000001</v>
      </c>
      <c r="AD396" s="10">
        <v>5.5613823</v>
      </c>
      <c r="AE396" s="10">
        <v>5.4733771999999998</v>
      </c>
      <c r="AF396" s="10">
        <v>5.3862310999999998</v>
      </c>
      <c r="AG396" s="10">
        <v>5.3011939999999997</v>
      </c>
      <c r="AH396" s="10">
        <v>5.2193272000000004</v>
      </c>
      <c r="AI396" s="10">
        <v>5.1407869000000002</v>
      </c>
      <c r="AJ396" s="10">
        <v>5.0654567000000004</v>
      </c>
      <c r="AK396" s="10">
        <v>4.9932173000000004</v>
      </c>
      <c r="AL396" s="10">
        <v>4.9239497999999999</v>
      </c>
      <c r="AM396" s="10">
        <v>4.8575375000000003</v>
      </c>
      <c r="AN396" s="10">
        <v>4.7938611</v>
      </c>
      <c r="AO396" s="10">
        <v>4.7328017999999998</v>
      </c>
      <c r="AP396" s="10">
        <v>4.6742428</v>
      </c>
      <c r="AQ396" s="10">
        <v>4.6180649000000003</v>
      </c>
      <c r="AR396" s="10">
        <v>4.5641492000000001</v>
      </c>
      <c r="AS396" s="10">
        <v>4.5123788999999999</v>
      </c>
      <c r="AT396" s="10">
        <v>4.4626405</v>
      </c>
      <c r="AU396" s="10">
        <v>4.4148459000000004</v>
      </c>
      <c r="AV396" s="10">
        <v>4.3689156000000002</v>
      </c>
      <c r="AW396" s="10">
        <v>4.3247682000000003</v>
      </c>
      <c r="AX396" s="10">
        <v>4.2823224</v>
      </c>
      <c r="AY396" s="10">
        <v>4.2414985999999999</v>
      </c>
      <c r="AZ396" s="10">
        <v>4.2022155000000003</v>
      </c>
      <c r="BA396" s="10">
        <v>4.1643920000000003</v>
      </c>
      <c r="BB396" s="10">
        <v>4.1279481999999996</v>
      </c>
      <c r="BC396" s="10">
        <v>4.0928028999999997</v>
      </c>
      <c r="BD396" s="10">
        <v>4.0588750999999998</v>
      </c>
      <c r="BE396" s="10">
        <v>4.0260847000000002</v>
      </c>
      <c r="BF396" s="10">
        <v>3.9943605</v>
      </c>
      <c r="BG396" s="10">
        <v>3.9636746999999999</v>
      </c>
      <c r="BH396" s="10">
        <v>3.9340125000000001</v>
      </c>
      <c r="BI396" s="10">
        <v>3.9053581999999998</v>
      </c>
      <c r="BJ396" s="10">
        <v>3.8776958000000001</v>
      </c>
      <c r="BK396" s="10">
        <v>3.8510106</v>
      </c>
      <c r="BL396" s="10">
        <v>3.8252868000000002</v>
      </c>
      <c r="BM396" s="10">
        <v>3.8005087</v>
      </c>
      <c r="BN396" s="10">
        <v>3.7766613000000002</v>
      </c>
      <c r="BO396" s="10">
        <v>3.7537288000000002</v>
      </c>
      <c r="BP396" s="10">
        <v>3.7316956999999999</v>
      </c>
      <c r="BQ396" s="10">
        <v>3.7105467999999999</v>
      </c>
      <c r="BR396" s="10">
        <v>3.6013337000000001</v>
      </c>
      <c r="BS396" s="10">
        <v>3.519936</v>
      </c>
      <c r="BU396" s="7">
        <v>5.22</v>
      </c>
      <c r="BV396" s="7">
        <v>4.3899999999999997</v>
      </c>
      <c r="BW396" s="9">
        <v>81.784000000000006</v>
      </c>
    </row>
    <row r="397" spans="1:75" x14ac:dyDescent="0.25">
      <c r="A397" s="6">
        <f t="shared" si="35"/>
        <v>45107</v>
      </c>
      <c r="B397" s="13">
        <f t="shared" si="36"/>
        <v>6</v>
      </c>
      <c r="C397" s="13">
        <f t="shared" si="37"/>
        <v>2023</v>
      </c>
      <c r="D397">
        <f t="shared" si="38"/>
        <v>202306</v>
      </c>
      <c r="E397">
        <f t="shared" si="39"/>
        <v>2</v>
      </c>
      <c r="F397">
        <f t="shared" si="40"/>
        <v>202302</v>
      </c>
      <c r="G397" t="s">
        <v>584</v>
      </c>
      <c r="H397" s="9">
        <v>5</v>
      </c>
      <c r="I397" s="9">
        <v>4.9286000000000003</v>
      </c>
      <c r="J397" s="10">
        <v>5.0694828999999997</v>
      </c>
      <c r="K397" s="10">
        <v>5.3921178999999997</v>
      </c>
      <c r="L397" s="10">
        <v>5.6582828999999997</v>
      </c>
      <c r="M397" s="10">
        <v>5.8671533</v>
      </c>
      <c r="N397" s="10">
        <v>6.0163092000000002</v>
      </c>
      <c r="O397" s="10">
        <v>6.1133316000000004</v>
      </c>
      <c r="P397" s="10">
        <v>6.1701398000000003</v>
      </c>
      <c r="Q397" s="10">
        <v>6.1973649000000002</v>
      </c>
      <c r="R397" s="10">
        <v>6.2058362000000002</v>
      </c>
      <c r="S397" s="10">
        <v>6.2017116000000003</v>
      </c>
      <c r="T397" s="10">
        <v>6.1878897999999998</v>
      </c>
      <c r="U397" s="10">
        <v>6.1652158000000004</v>
      </c>
      <c r="V397" s="10">
        <v>6.1328214000000001</v>
      </c>
      <c r="W397" s="10">
        <v>6.0911068999999998</v>
      </c>
      <c r="X397" s="10">
        <v>6.0410164000000002</v>
      </c>
      <c r="Y397" s="10">
        <v>5.9834928999999999</v>
      </c>
      <c r="Z397" s="10">
        <v>5.9194787</v>
      </c>
      <c r="AA397" s="10">
        <v>5.8499186999999999</v>
      </c>
      <c r="AB397" s="10">
        <v>5.7757816000000002</v>
      </c>
      <c r="AC397" s="10">
        <v>5.6981700000000002</v>
      </c>
      <c r="AD397" s="10">
        <v>5.6182321999999996</v>
      </c>
      <c r="AE397" s="10">
        <v>5.5371136999999999</v>
      </c>
      <c r="AF397" s="10">
        <v>5.4559600000000001</v>
      </c>
      <c r="AG397" s="10">
        <v>5.3759193999999999</v>
      </c>
      <c r="AH397" s="10">
        <v>5.2979599000000004</v>
      </c>
      <c r="AI397" s="10">
        <v>5.2222663000000002</v>
      </c>
      <c r="AJ397" s="10">
        <v>5.1488095999999999</v>
      </c>
      <c r="AK397" s="10">
        <v>5.0775584</v>
      </c>
      <c r="AL397" s="10">
        <v>5.0084812000000003</v>
      </c>
      <c r="AM397" s="10">
        <v>4.9415490999999996</v>
      </c>
      <c r="AN397" s="10">
        <v>4.8767304999999999</v>
      </c>
      <c r="AO397" s="10">
        <v>4.8139941999999998</v>
      </c>
      <c r="AP397" s="10">
        <v>4.7533111000000003</v>
      </c>
      <c r="AQ397" s="10">
        <v>4.6946497000000003</v>
      </c>
      <c r="AR397" s="10">
        <v>4.6379786999999997</v>
      </c>
      <c r="AS397" s="10">
        <v>4.5832689999999996</v>
      </c>
      <c r="AT397" s="10">
        <v>4.5304833000000002</v>
      </c>
      <c r="AU397" s="10">
        <v>4.4795582999999999</v>
      </c>
      <c r="AV397" s="10">
        <v>4.4304255000000001</v>
      </c>
      <c r="AW397" s="10">
        <v>4.3830144000000004</v>
      </c>
      <c r="AX397" s="10">
        <v>4.3372546999999999</v>
      </c>
      <c r="AY397" s="10">
        <v>4.2930776000000002</v>
      </c>
      <c r="AZ397" s="10">
        <v>4.2504128000000003</v>
      </c>
      <c r="BA397" s="10">
        <v>4.2091900000000004</v>
      </c>
      <c r="BB397" s="10">
        <v>4.1693401999999997</v>
      </c>
      <c r="BC397" s="10">
        <v>4.1307932000000003</v>
      </c>
      <c r="BD397" s="10">
        <v>4.0934787999999998</v>
      </c>
      <c r="BE397" s="10">
        <v>4.057328</v>
      </c>
      <c r="BF397" s="10">
        <v>4.0222794999999998</v>
      </c>
      <c r="BG397" s="10">
        <v>3.9883125000000001</v>
      </c>
      <c r="BH397" s="10">
        <v>3.9554181000000002</v>
      </c>
      <c r="BI397" s="10">
        <v>3.9235864</v>
      </c>
      <c r="BJ397" s="10">
        <v>3.8928075</v>
      </c>
      <c r="BK397" s="10">
        <v>3.8630726000000002</v>
      </c>
      <c r="BL397" s="10">
        <v>3.8343717000000002</v>
      </c>
      <c r="BM397" s="10">
        <v>3.8066949000000001</v>
      </c>
      <c r="BN397" s="10">
        <v>3.7800335</v>
      </c>
      <c r="BO397" s="10">
        <v>3.7543774999999999</v>
      </c>
      <c r="BP397" s="10">
        <v>3.7297169999999999</v>
      </c>
      <c r="BQ397" s="10">
        <v>3.7060431</v>
      </c>
      <c r="BR397" s="10">
        <v>3.5839919999999998</v>
      </c>
      <c r="BS397" s="10">
        <v>3.4939065</v>
      </c>
      <c r="BU397" s="7">
        <v>5.27</v>
      </c>
      <c r="BV397" s="7">
        <v>4.3899999999999997</v>
      </c>
      <c r="BW397" s="9">
        <v>82.333100000000002</v>
      </c>
    </row>
    <row r="398" spans="1:75" x14ac:dyDescent="0.25">
      <c r="A398" s="6">
        <f t="shared" ref="A398:A461" si="41">+A393+7</f>
        <v>45110</v>
      </c>
      <c r="B398" s="13">
        <f t="shared" si="36"/>
        <v>7</v>
      </c>
      <c r="C398" s="13">
        <f t="shared" si="37"/>
        <v>2023</v>
      </c>
      <c r="D398">
        <f t="shared" si="38"/>
        <v>202307</v>
      </c>
      <c r="E398">
        <f t="shared" si="39"/>
        <v>3</v>
      </c>
      <c r="F398">
        <f t="shared" si="40"/>
        <v>202303</v>
      </c>
      <c r="G398" t="s">
        <v>585</v>
      </c>
      <c r="H398" s="9">
        <v>5</v>
      </c>
      <c r="I398" s="9">
        <v>4.9290000000000003</v>
      </c>
      <c r="J398" s="10">
        <v>5.0874923000000001</v>
      </c>
      <c r="K398" s="10">
        <v>5.4278352999999999</v>
      </c>
      <c r="L398" s="10">
        <v>5.6921501000000001</v>
      </c>
      <c r="M398" s="10">
        <v>5.8947832</v>
      </c>
      <c r="N398" s="10">
        <v>6.0430877000000001</v>
      </c>
      <c r="O398" s="10">
        <v>6.1427161999999997</v>
      </c>
      <c r="P398" s="10">
        <v>6.2030953999999996</v>
      </c>
      <c r="Q398" s="10">
        <v>6.2369795000000003</v>
      </c>
      <c r="R398" s="10">
        <v>6.2544013999999999</v>
      </c>
      <c r="S398" s="10">
        <v>6.2617615000000004</v>
      </c>
      <c r="T398" s="10">
        <v>6.2612475999999999</v>
      </c>
      <c r="U398" s="10">
        <v>6.2526181999999997</v>
      </c>
      <c r="V398" s="10">
        <v>6.2331390999999998</v>
      </c>
      <c r="W398" s="10">
        <v>6.2027020999999998</v>
      </c>
      <c r="X398" s="10">
        <v>6.1621695000000001</v>
      </c>
      <c r="Y398" s="10">
        <v>6.1124023999999997</v>
      </c>
      <c r="Z398" s="10">
        <v>6.0542615</v>
      </c>
      <c r="AA398" s="10">
        <v>5.9886097999999999</v>
      </c>
      <c r="AB398" s="10">
        <v>5.9163782999999999</v>
      </c>
      <c r="AC398" s="10">
        <v>5.8388575999999999</v>
      </c>
      <c r="AD398" s="10">
        <v>5.7574560999999997</v>
      </c>
      <c r="AE398" s="10">
        <v>5.6735794000000004</v>
      </c>
      <c r="AF398" s="10">
        <v>5.5886331</v>
      </c>
      <c r="AG398" s="10">
        <v>5.5040256999999997</v>
      </c>
      <c r="AH398" s="10">
        <v>5.4209588999999996</v>
      </c>
      <c r="AI398" s="10">
        <v>5.3397334000000001</v>
      </c>
      <c r="AJ398" s="10">
        <v>5.2604049000000002</v>
      </c>
      <c r="AK398" s="10">
        <v>5.1830257</v>
      </c>
      <c r="AL398" s="10">
        <v>5.1076484999999998</v>
      </c>
      <c r="AM398" s="10">
        <v>5.0343283999999997</v>
      </c>
      <c r="AN398" s="10">
        <v>4.9631181</v>
      </c>
      <c r="AO398" s="10">
        <v>4.8940701999999998</v>
      </c>
      <c r="AP398" s="10">
        <v>4.8272399000000004</v>
      </c>
      <c r="AQ398" s="10">
        <v>4.7626796000000002</v>
      </c>
      <c r="AR398" s="10">
        <v>4.7004422999999997</v>
      </c>
      <c r="AS398" s="10">
        <v>4.6405827000000004</v>
      </c>
      <c r="AT398" s="10">
        <v>4.5831324000000002</v>
      </c>
      <c r="AU398" s="10">
        <v>4.5280288000000004</v>
      </c>
      <c r="AV398" s="10">
        <v>4.4751852999999997</v>
      </c>
      <c r="AW398" s="10">
        <v>4.4245134000000004</v>
      </c>
      <c r="AX398" s="10">
        <v>4.3759246000000003</v>
      </c>
      <c r="AY398" s="10">
        <v>4.3293322999999999</v>
      </c>
      <c r="AZ398" s="10">
        <v>4.2846479999999998</v>
      </c>
      <c r="BA398" s="10">
        <v>4.2417832999999998</v>
      </c>
      <c r="BB398" s="10">
        <v>4.2006513999999999</v>
      </c>
      <c r="BC398" s="10">
        <v>4.1611639</v>
      </c>
      <c r="BD398" s="10">
        <v>4.1232325000000003</v>
      </c>
      <c r="BE398" s="10">
        <v>4.0867703000000004</v>
      </c>
      <c r="BF398" s="10">
        <v>4.0516956999999998</v>
      </c>
      <c r="BG398" s="10">
        <v>4.0179638000000004</v>
      </c>
      <c r="BH398" s="10">
        <v>3.9855431000000001</v>
      </c>
      <c r="BI398" s="10">
        <v>3.9544011999999999</v>
      </c>
      <c r="BJ398" s="10">
        <v>3.9245052999999999</v>
      </c>
      <c r="BK398" s="10">
        <v>3.8958238999999999</v>
      </c>
      <c r="BL398" s="10">
        <v>3.8683245999999998</v>
      </c>
      <c r="BM398" s="10">
        <v>3.8419745999999999</v>
      </c>
      <c r="BN398" s="10">
        <v>3.8167426</v>
      </c>
      <c r="BO398" s="10">
        <v>3.7925958</v>
      </c>
      <c r="BP398" s="10">
        <v>3.7695018</v>
      </c>
      <c r="BQ398" s="10">
        <v>3.7474289000000001</v>
      </c>
      <c r="BR398" s="10">
        <v>3.6348866000000002</v>
      </c>
      <c r="BS398" s="10">
        <v>3.5525829</v>
      </c>
      <c r="BU398" s="7">
        <v>5.35</v>
      </c>
      <c r="BV398" s="7">
        <v>4.45</v>
      </c>
      <c r="BW398" s="9">
        <v>82.145300000000006</v>
      </c>
    </row>
    <row r="399" spans="1:75" x14ac:dyDescent="0.25">
      <c r="A399" s="6">
        <f t="shared" si="41"/>
        <v>45111</v>
      </c>
      <c r="B399" s="13">
        <f t="shared" si="36"/>
        <v>7</v>
      </c>
      <c r="C399" s="13">
        <f t="shared" si="37"/>
        <v>2023</v>
      </c>
      <c r="D399">
        <f t="shared" si="38"/>
        <v>202307</v>
      </c>
      <c r="E399">
        <f t="shared" si="39"/>
        <v>3</v>
      </c>
      <c r="F399">
        <f t="shared" si="40"/>
        <v>202303</v>
      </c>
      <c r="G399" t="s">
        <v>586</v>
      </c>
      <c r="H399" s="9">
        <v>5</v>
      </c>
      <c r="I399" s="9">
        <v>4.9291</v>
      </c>
      <c r="J399" s="10">
        <v>5.1014745000000001</v>
      </c>
      <c r="K399" s="10">
        <v>5.4341184</v>
      </c>
      <c r="L399" s="10">
        <v>5.6939773000000002</v>
      </c>
      <c r="M399" s="10">
        <v>5.8954819000000001</v>
      </c>
      <c r="N399" s="10">
        <v>6.0435701999999996</v>
      </c>
      <c r="O399" s="10">
        <v>6.1442106000000001</v>
      </c>
      <c r="P399" s="10">
        <v>6.2060656999999999</v>
      </c>
      <c r="Q399" s="10">
        <v>6.2410268000000002</v>
      </c>
      <c r="R399" s="10">
        <v>6.2590821999999999</v>
      </c>
      <c r="S399" s="10">
        <v>6.2663655</v>
      </c>
      <c r="T399" s="10">
        <v>6.2651317000000004</v>
      </c>
      <c r="U399" s="10">
        <v>6.2551136999999999</v>
      </c>
      <c r="V399" s="10">
        <v>6.2337213</v>
      </c>
      <c r="W399" s="10">
        <v>6.2009841999999997</v>
      </c>
      <c r="X399" s="10">
        <v>6.1578708999999998</v>
      </c>
      <c r="Y399" s="10">
        <v>6.1053487999999998</v>
      </c>
      <c r="Z399" s="10">
        <v>6.0443850000000001</v>
      </c>
      <c r="AA399" s="10">
        <v>5.9759485999999997</v>
      </c>
      <c r="AB399" s="10">
        <v>5.9010553000000003</v>
      </c>
      <c r="AC399" s="10">
        <v>5.8210242000000001</v>
      </c>
      <c r="AD399" s="10">
        <v>5.7372950999999999</v>
      </c>
      <c r="AE399" s="10">
        <v>5.6513051000000001</v>
      </c>
      <c r="AF399" s="10">
        <v>5.5644910000000003</v>
      </c>
      <c r="AG399" s="10">
        <v>5.4782931000000001</v>
      </c>
      <c r="AH399" s="10">
        <v>5.3939364999999997</v>
      </c>
      <c r="AI399" s="10">
        <v>5.3117124999999996</v>
      </c>
      <c r="AJ399" s="10">
        <v>5.2316571999999999</v>
      </c>
      <c r="AK399" s="10">
        <v>5.1538038999999998</v>
      </c>
      <c r="AL399" s="10">
        <v>5.0781859000000003</v>
      </c>
      <c r="AM399" s="10">
        <v>5.0048393000000004</v>
      </c>
      <c r="AN399" s="10">
        <v>4.9337974999999998</v>
      </c>
      <c r="AO399" s="10">
        <v>4.8650938000000004</v>
      </c>
      <c r="AP399" s="10">
        <v>4.7987641999999999</v>
      </c>
      <c r="AQ399" s="10">
        <v>4.7348420999999998</v>
      </c>
      <c r="AR399" s="10">
        <v>4.6733609999999999</v>
      </c>
      <c r="AS399" s="10">
        <v>4.6143565999999998</v>
      </c>
      <c r="AT399" s="10">
        <v>4.5578455</v>
      </c>
      <c r="AU399" s="10">
        <v>4.5037525</v>
      </c>
      <c r="AV399" s="10">
        <v>4.4519735000000003</v>
      </c>
      <c r="AW399" s="10">
        <v>4.4024027999999999</v>
      </c>
      <c r="AX399" s="10">
        <v>4.3549344000000003</v>
      </c>
      <c r="AY399" s="10">
        <v>4.3094643000000001</v>
      </c>
      <c r="AZ399" s="10">
        <v>4.2658866</v>
      </c>
      <c r="BA399" s="10">
        <v>4.2240954999999998</v>
      </c>
      <c r="BB399" s="10">
        <v>4.1839867999999996</v>
      </c>
      <c r="BC399" s="10">
        <v>4.1454545999999999</v>
      </c>
      <c r="BD399" s="10">
        <v>4.1083933000000004</v>
      </c>
      <c r="BE399" s="10">
        <v>4.0726985000000004</v>
      </c>
      <c r="BF399" s="10">
        <v>4.0382747999999999</v>
      </c>
      <c r="BG399" s="10">
        <v>4.0050768999999997</v>
      </c>
      <c r="BH399" s="10">
        <v>3.9730759999999998</v>
      </c>
      <c r="BI399" s="10">
        <v>3.9422421000000001</v>
      </c>
      <c r="BJ399" s="10">
        <v>3.9125451999999998</v>
      </c>
      <c r="BK399" s="10">
        <v>3.8839565999999999</v>
      </c>
      <c r="BL399" s="10">
        <v>3.8564460999999999</v>
      </c>
      <c r="BM399" s="10">
        <v>3.8299839000000002</v>
      </c>
      <c r="BN399" s="10">
        <v>3.8045410999999998</v>
      </c>
      <c r="BO399" s="10">
        <v>3.7800878</v>
      </c>
      <c r="BP399" s="10">
        <v>3.7565938999999999</v>
      </c>
      <c r="BQ399" s="10">
        <v>3.7340306000000001</v>
      </c>
      <c r="BR399" s="10">
        <v>3.6169848</v>
      </c>
      <c r="BS399" s="10">
        <v>3.5287723</v>
      </c>
      <c r="BU399" s="7">
        <v>5.31</v>
      </c>
      <c r="BV399" s="7">
        <v>4.42</v>
      </c>
      <c r="BW399" s="9">
        <v>82.331000000000003</v>
      </c>
    </row>
    <row r="400" spans="1:75" x14ac:dyDescent="0.25">
      <c r="A400" s="6">
        <f t="shared" si="41"/>
        <v>45112</v>
      </c>
      <c r="B400" s="13">
        <f t="shared" si="36"/>
        <v>7</v>
      </c>
      <c r="C400" s="13">
        <f t="shared" si="37"/>
        <v>2023</v>
      </c>
      <c r="D400">
        <f t="shared" si="38"/>
        <v>202307</v>
      </c>
      <c r="E400">
        <f t="shared" si="39"/>
        <v>3</v>
      </c>
      <c r="F400">
        <f t="shared" si="40"/>
        <v>202303</v>
      </c>
      <c r="G400" t="s">
        <v>587</v>
      </c>
      <c r="H400" s="9">
        <v>5</v>
      </c>
      <c r="I400" s="9">
        <v>4.93</v>
      </c>
      <c r="J400" s="10">
        <v>5.1302327999999999</v>
      </c>
      <c r="K400" s="10">
        <v>5.4444324000000002</v>
      </c>
      <c r="L400" s="10">
        <v>5.7050475</v>
      </c>
      <c r="M400" s="10">
        <v>5.9186540000000001</v>
      </c>
      <c r="N400" s="10">
        <v>6.0837371999999998</v>
      </c>
      <c r="O400" s="10">
        <v>6.2023669000000003</v>
      </c>
      <c r="P400" s="10">
        <v>6.2818797999999996</v>
      </c>
      <c r="Q400" s="10">
        <v>6.3335933000000004</v>
      </c>
      <c r="R400" s="10">
        <v>6.3674733000000003</v>
      </c>
      <c r="S400" s="10">
        <v>6.3894098000000001</v>
      </c>
      <c r="T400" s="10">
        <v>6.4014838999999997</v>
      </c>
      <c r="U400" s="10">
        <v>6.4028561000000002</v>
      </c>
      <c r="V400" s="10">
        <v>6.3901072000000001</v>
      </c>
      <c r="W400" s="10">
        <v>6.3633258000000001</v>
      </c>
      <c r="X400" s="10">
        <v>6.3238142000000002</v>
      </c>
      <c r="Y400" s="10">
        <v>6.2728738999999996</v>
      </c>
      <c r="Z400" s="10">
        <v>6.2118058999999999</v>
      </c>
      <c r="AA400" s="10">
        <v>6.1419135000000002</v>
      </c>
      <c r="AB400" s="10">
        <v>6.0645366999999997</v>
      </c>
      <c r="AC400" s="10">
        <v>5.9812354000000001</v>
      </c>
      <c r="AD400" s="10">
        <v>5.8936501999999997</v>
      </c>
      <c r="AE400" s="10">
        <v>5.8034185999999996</v>
      </c>
      <c r="AF400" s="10">
        <v>5.7121782000000003</v>
      </c>
      <c r="AG400" s="10">
        <v>5.6215697000000002</v>
      </c>
      <c r="AH400" s="10">
        <v>5.5330319000000001</v>
      </c>
      <c r="AI400" s="10">
        <v>5.4469336999999998</v>
      </c>
      <c r="AJ400" s="10">
        <v>5.3632884000000001</v>
      </c>
      <c r="AK400" s="10">
        <v>5.2821058000000001</v>
      </c>
      <c r="AL400" s="10">
        <v>5.2033959000000003</v>
      </c>
      <c r="AM400" s="10">
        <v>5.1271713999999999</v>
      </c>
      <c r="AN400" s="10">
        <v>5.0534425000000001</v>
      </c>
      <c r="AO400" s="10">
        <v>4.9822191</v>
      </c>
      <c r="AP400" s="10">
        <v>4.9135140000000002</v>
      </c>
      <c r="AQ400" s="10">
        <v>4.8473369999999996</v>
      </c>
      <c r="AR400" s="10">
        <v>4.7836984999999999</v>
      </c>
      <c r="AS400" s="10">
        <v>4.7226108</v>
      </c>
      <c r="AT400" s="10">
        <v>4.6640683999999997</v>
      </c>
      <c r="AU400" s="10">
        <v>4.6079888999999996</v>
      </c>
      <c r="AV400" s="10">
        <v>4.5542686999999997</v>
      </c>
      <c r="AW400" s="10">
        <v>4.502802</v>
      </c>
      <c r="AX400" s="10">
        <v>4.4534833000000003</v>
      </c>
      <c r="AY400" s="10">
        <v>4.4062086000000003</v>
      </c>
      <c r="AZ400" s="10">
        <v>4.3608725000000002</v>
      </c>
      <c r="BA400" s="10">
        <v>4.3173691999999999</v>
      </c>
      <c r="BB400" s="10">
        <v>4.2755948999999998</v>
      </c>
      <c r="BC400" s="10">
        <v>4.2354440000000002</v>
      </c>
      <c r="BD400" s="10">
        <v>4.1968110000000003</v>
      </c>
      <c r="BE400" s="10">
        <v>4.1595918000000003</v>
      </c>
      <c r="BF400" s="10">
        <v>4.1236924000000004</v>
      </c>
      <c r="BG400" s="10">
        <v>4.0890696000000002</v>
      </c>
      <c r="BH400" s="10">
        <v>4.0556954000000003</v>
      </c>
      <c r="BI400" s="10">
        <v>4.0235405999999996</v>
      </c>
      <c r="BJ400" s="10">
        <v>3.9925758999999998</v>
      </c>
      <c r="BK400" s="10">
        <v>3.9627734000000001</v>
      </c>
      <c r="BL400" s="10">
        <v>3.9341037999999999</v>
      </c>
      <c r="BM400" s="10">
        <v>3.9065379999999998</v>
      </c>
      <c r="BN400" s="10">
        <v>3.8800479000000001</v>
      </c>
      <c r="BO400" s="10">
        <v>3.8546043000000001</v>
      </c>
      <c r="BP400" s="10">
        <v>3.8301780999999999</v>
      </c>
      <c r="BQ400" s="10">
        <v>3.8067410000000002</v>
      </c>
      <c r="BR400" s="10">
        <v>3.6855755000000001</v>
      </c>
      <c r="BS400" s="10">
        <v>3.5946136000000002</v>
      </c>
      <c r="BU400" s="7">
        <v>5.38</v>
      </c>
      <c r="BV400" s="7">
        <v>4.51</v>
      </c>
      <c r="BW400" s="9">
        <v>82.4666</v>
      </c>
    </row>
    <row r="401" spans="1:75" x14ac:dyDescent="0.25">
      <c r="A401" s="6">
        <f t="shared" si="41"/>
        <v>45113</v>
      </c>
      <c r="B401" s="13">
        <f t="shared" si="36"/>
        <v>7</v>
      </c>
      <c r="C401" s="13">
        <f t="shared" si="37"/>
        <v>2023</v>
      </c>
      <c r="D401">
        <f t="shared" si="38"/>
        <v>202307</v>
      </c>
      <c r="E401">
        <f t="shared" si="39"/>
        <v>3</v>
      </c>
      <c r="F401">
        <f t="shared" si="40"/>
        <v>202303</v>
      </c>
      <c r="G401" t="s">
        <v>588</v>
      </c>
      <c r="H401" s="9">
        <v>5</v>
      </c>
      <c r="I401" s="9">
        <v>4.9295999999999998</v>
      </c>
      <c r="J401" s="10">
        <v>5.1545728000000004</v>
      </c>
      <c r="K401" s="10">
        <v>5.4857246000000002</v>
      </c>
      <c r="L401" s="10">
        <v>5.7584429000000004</v>
      </c>
      <c r="M401" s="10">
        <v>5.9865116</v>
      </c>
      <c r="N401" s="10">
        <v>6.1706057000000003</v>
      </c>
      <c r="O401" s="10">
        <v>6.3088357000000004</v>
      </c>
      <c r="P401" s="10">
        <v>6.4056974000000002</v>
      </c>
      <c r="Q401" s="10">
        <v>6.4680569999999999</v>
      </c>
      <c r="R401" s="10">
        <v>6.5048586999999998</v>
      </c>
      <c r="S401" s="10">
        <v>6.5222398000000004</v>
      </c>
      <c r="T401" s="10">
        <v>6.5243235999999998</v>
      </c>
      <c r="U401" s="10">
        <v>6.5123705000000003</v>
      </c>
      <c r="V401" s="10">
        <v>6.4858302999999999</v>
      </c>
      <c r="W401" s="10">
        <v>6.4457902000000002</v>
      </c>
      <c r="X401" s="10">
        <v>6.3940315999999999</v>
      </c>
      <c r="Y401" s="10">
        <v>6.3323352000000002</v>
      </c>
      <c r="Z401" s="10">
        <v>6.2624813000000001</v>
      </c>
      <c r="AA401" s="10">
        <v>6.1862523999999999</v>
      </c>
      <c r="AB401" s="10">
        <v>6.1053547999999997</v>
      </c>
      <c r="AC401" s="10">
        <v>6.0211132000000003</v>
      </c>
      <c r="AD401" s="10">
        <v>5.9347344</v>
      </c>
      <c r="AE401" s="10">
        <v>5.8474215999999997</v>
      </c>
      <c r="AF401" s="10">
        <v>5.7603783000000002</v>
      </c>
      <c r="AG401" s="10">
        <v>5.674811</v>
      </c>
      <c r="AH401" s="10">
        <v>5.5917519000000002</v>
      </c>
      <c r="AI401" s="10">
        <v>5.5113988000000003</v>
      </c>
      <c r="AJ401" s="10">
        <v>5.4336985999999996</v>
      </c>
      <c r="AK401" s="10">
        <v>5.3585950999999996</v>
      </c>
      <c r="AL401" s="10">
        <v>5.2860323999999999</v>
      </c>
      <c r="AM401" s="10">
        <v>5.2159569000000001</v>
      </c>
      <c r="AN401" s="10">
        <v>5.1483127</v>
      </c>
      <c r="AO401" s="10">
        <v>5.0830438999999998</v>
      </c>
      <c r="AP401" s="10">
        <v>5.0200968000000001</v>
      </c>
      <c r="AQ401" s="10">
        <v>4.9594155000000004</v>
      </c>
      <c r="AR401" s="10">
        <v>4.9009441999999996</v>
      </c>
      <c r="AS401" s="10">
        <v>4.8446290999999997</v>
      </c>
      <c r="AT401" s="10">
        <v>4.7904109000000004</v>
      </c>
      <c r="AU401" s="10">
        <v>4.7382153999999996</v>
      </c>
      <c r="AV401" s="10">
        <v>4.6879660999999997</v>
      </c>
      <c r="AW401" s="10">
        <v>4.6395846000000001</v>
      </c>
      <c r="AX401" s="10">
        <v>4.5929925000000003</v>
      </c>
      <c r="AY401" s="10">
        <v>4.5481132000000004</v>
      </c>
      <c r="AZ401" s="10">
        <v>4.5048684000000003</v>
      </c>
      <c r="BA401" s="10">
        <v>4.4631797999999998</v>
      </c>
      <c r="BB401" s="10">
        <v>4.4229706000000002</v>
      </c>
      <c r="BC401" s="10">
        <v>4.3841625999999998</v>
      </c>
      <c r="BD401" s="10">
        <v>4.3466775999999996</v>
      </c>
      <c r="BE401" s="10">
        <v>4.3104386000000003</v>
      </c>
      <c r="BF401" s="10">
        <v>4.2753766000000004</v>
      </c>
      <c r="BG401" s="10">
        <v>4.2414630999999998</v>
      </c>
      <c r="BH401" s="10">
        <v>4.2086820999999999</v>
      </c>
      <c r="BI401" s="10">
        <v>4.1770161000000003</v>
      </c>
      <c r="BJ401" s="10">
        <v>4.1464480000000004</v>
      </c>
      <c r="BK401" s="10">
        <v>4.1169614000000001</v>
      </c>
      <c r="BL401" s="10">
        <v>4.0885391999999996</v>
      </c>
      <c r="BM401" s="10">
        <v>4.0611641000000001</v>
      </c>
      <c r="BN401" s="10">
        <v>4.0348198000000002</v>
      </c>
      <c r="BO401" s="10">
        <v>4.0094890999999997</v>
      </c>
      <c r="BP401" s="10">
        <v>3.9851546999999998</v>
      </c>
      <c r="BQ401" s="10">
        <v>3.9618004</v>
      </c>
      <c r="BR401" s="10">
        <v>3.8413034000000001</v>
      </c>
      <c r="BS401" s="10">
        <v>3.7518286999999999</v>
      </c>
      <c r="BU401" s="7">
        <v>5.49</v>
      </c>
      <c r="BV401" s="7">
        <v>4.6500000000000004</v>
      </c>
      <c r="BW401" s="9">
        <v>82.418800000000005</v>
      </c>
    </row>
    <row r="402" spans="1:75" x14ac:dyDescent="0.25">
      <c r="A402" s="6">
        <f t="shared" si="41"/>
        <v>45114</v>
      </c>
      <c r="B402" s="13">
        <f t="shared" si="36"/>
        <v>7</v>
      </c>
      <c r="C402" s="13">
        <f t="shared" si="37"/>
        <v>2023</v>
      </c>
      <c r="D402">
        <f t="shared" si="38"/>
        <v>202307</v>
      </c>
      <c r="E402">
        <f t="shared" si="39"/>
        <v>3</v>
      </c>
      <c r="F402">
        <f t="shared" si="40"/>
        <v>202303</v>
      </c>
      <c r="G402" t="s">
        <v>589</v>
      </c>
      <c r="H402" s="9">
        <v>5</v>
      </c>
      <c r="I402" s="9">
        <v>4.9297000000000004</v>
      </c>
      <c r="J402" s="10">
        <v>5.1599602999999998</v>
      </c>
      <c r="K402" s="10">
        <v>5.4797631999999998</v>
      </c>
      <c r="L402" s="10">
        <v>5.7394812999999996</v>
      </c>
      <c r="M402" s="10">
        <v>5.9499779999999998</v>
      </c>
      <c r="N402" s="10">
        <v>6.1130686000000001</v>
      </c>
      <c r="O402" s="10">
        <v>6.2298178999999996</v>
      </c>
      <c r="P402" s="10">
        <v>6.3068966</v>
      </c>
      <c r="Q402" s="10">
        <v>6.3538226</v>
      </c>
      <c r="R402" s="10">
        <v>6.3797635000000001</v>
      </c>
      <c r="S402" s="10">
        <v>6.3905047000000001</v>
      </c>
      <c r="T402" s="10">
        <v>6.3888715999999999</v>
      </c>
      <c r="U402" s="10">
        <v>6.3755696999999998</v>
      </c>
      <c r="V402" s="10">
        <v>6.3493931000000003</v>
      </c>
      <c r="W402" s="10">
        <v>6.3110863999999998</v>
      </c>
      <c r="X402" s="10">
        <v>6.2621782000000001</v>
      </c>
      <c r="Y402" s="10">
        <v>6.2041956000000003</v>
      </c>
      <c r="Z402" s="10">
        <v>6.1386653999999998</v>
      </c>
      <c r="AA402" s="10">
        <v>6.0671169000000003</v>
      </c>
      <c r="AB402" s="10">
        <v>5.9910294000000004</v>
      </c>
      <c r="AC402" s="10">
        <v>5.9116381999999996</v>
      </c>
      <c r="AD402" s="10">
        <v>5.8301036000000002</v>
      </c>
      <c r="AE402" s="10">
        <v>5.7475832000000002</v>
      </c>
      <c r="AF402" s="10">
        <v>5.6652344000000001</v>
      </c>
      <c r="AG402" s="10">
        <v>5.5842175000000003</v>
      </c>
      <c r="AH402" s="10">
        <v>5.5055091000000003</v>
      </c>
      <c r="AI402" s="10">
        <v>5.4292866999999996</v>
      </c>
      <c r="AJ402" s="10">
        <v>5.3555102999999997</v>
      </c>
      <c r="AK402" s="10">
        <v>5.2841369</v>
      </c>
      <c r="AL402" s="10">
        <v>5.2151237000000004</v>
      </c>
      <c r="AM402" s="10">
        <v>5.1484306000000002</v>
      </c>
      <c r="AN402" s="10">
        <v>5.0840145999999997</v>
      </c>
      <c r="AO402" s="10">
        <v>5.0218331999999997</v>
      </c>
      <c r="AP402" s="10">
        <v>4.9618457999999999</v>
      </c>
      <c r="AQ402" s="10">
        <v>4.9040096999999996</v>
      </c>
      <c r="AR402" s="10">
        <v>4.8482824999999998</v>
      </c>
      <c r="AS402" s="10">
        <v>4.7946232999999996</v>
      </c>
      <c r="AT402" s="10">
        <v>4.7429845000000004</v>
      </c>
      <c r="AU402" s="10">
        <v>4.693295</v>
      </c>
      <c r="AV402" s="10">
        <v>4.6454794000000001</v>
      </c>
      <c r="AW402" s="10">
        <v>4.5994603999999999</v>
      </c>
      <c r="AX402" s="10">
        <v>4.5551607000000001</v>
      </c>
      <c r="AY402" s="10">
        <v>4.5125048000000003</v>
      </c>
      <c r="AZ402" s="10">
        <v>4.4714153999999997</v>
      </c>
      <c r="BA402" s="10">
        <v>4.4318153000000002</v>
      </c>
      <c r="BB402" s="10">
        <v>4.3936288000000001</v>
      </c>
      <c r="BC402" s="10">
        <v>4.3567787999999998</v>
      </c>
      <c r="BD402" s="10">
        <v>4.3211880000000003</v>
      </c>
      <c r="BE402" s="10">
        <v>4.2867807999999998</v>
      </c>
      <c r="BF402" s="10">
        <v>4.2534891000000004</v>
      </c>
      <c r="BG402" s="10">
        <v>4.2212863</v>
      </c>
      <c r="BH402" s="10">
        <v>4.1901577000000003</v>
      </c>
      <c r="BI402" s="10">
        <v>4.1600878999999997</v>
      </c>
      <c r="BJ402" s="10">
        <v>4.1310612000000004</v>
      </c>
      <c r="BK402" s="10">
        <v>4.1030632000000002</v>
      </c>
      <c r="BL402" s="10">
        <v>4.0760784000000001</v>
      </c>
      <c r="BM402" s="10">
        <v>4.0500911000000004</v>
      </c>
      <c r="BN402" s="10">
        <v>4.0250868999999998</v>
      </c>
      <c r="BO402" s="10">
        <v>4.0010503000000002</v>
      </c>
      <c r="BP402" s="10">
        <v>3.9779656999999999</v>
      </c>
      <c r="BQ402" s="10">
        <v>3.9558184000000001</v>
      </c>
      <c r="BR402" s="10">
        <v>3.8418261</v>
      </c>
      <c r="BS402" s="10">
        <v>3.7581264000000001</v>
      </c>
      <c r="BU402" s="7">
        <v>5.38</v>
      </c>
      <c r="BV402" s="7">
        <v>4.6399999999999997</v>
      </c>
      <c r="BW402" s="9">
        <v>82.839399999999998</v>
      </c>
    </row>
    <row r="403" spans="1:75" x14ac:dyDescent="0.25">
      <c r="A403" s="6">
        <f t="shared" si="41"/>
        <v>45117</v>
      </c>
      <c r="B403" s="13">
        <f t="shared" si="36"/>
        <v>7</v>
      </c>
      <c r="C403" s="13">
        <f t="shared" si="37"/>
        <v>2023</v>
      </c>
      <c r="D403">
        <f t="shared" si="38"/>
        <v>202307</v>
      </c>
      <c r="E403">
        <f t="shared" si="39"/>
        <v>3</v>
      </c>
      <c r="F403">
        <f t="shared" si="40"/>
        <v>202303</v>
      </c>
      <c r="G403" t="s">
        <v>590</v>
      </c>
      <c r="H403" s="9">
        <v>5</v>
      </c>
      <c r="I403" s="9">
        <v>4.9302000000000001</v>
      </c>
      <c r="J403" s="10">
        <v>5.2004456000000001</v>
      </c>
      <c r="K403" s="10">
        <v>5.4935185000000004</v>
      </c>
      <c r="L403" s="10">
        <v>5.7409172999999996</v>
      </c>
      <c r="M403" s="10">
        <v>5.9474163000000004</v>
      </c>
      <c r="N403" s="10">
        <v>6.1118262999999997</v>
      </c>
      <c r="O403" s="10">
        <v>6.2334651000000001</v>
      </c>
      <c r="P403" s="10">
        <v>6.3158460999999999</v>
      </c>
      <c r="Q403" s="10">
        <v>6.3677587999999998</v>
      </c>
      <c r="R403" s="10">
        <v>6.3972600000000002</v>
      </c>
      <c r="S403" s="10">
        <v>6.4109983000000001</v>
      </c>
      <c r="T403" s="10">
        <v>6.4121756999999997</v>
      </c>
      <c r="U403" s="10">
        <v>6.4018185000000001</v>
      </c>
      <c r="V403" s="10">
        <v>6.3789509999999998</v>
      </c>
      <c r="W403" s="10">
        <v>6.3442248000000001</v>
      </c>
      <c r="X403" s="10">
        <v>6.2989258000000001</v>
      </c>
      <c r="Y403" s="10">
        <v>6.2443390000000001</v>
      </c>
      <c r="Z403" s="10">
        <v>6.1817485999999997</v>
      </c>
      <c r="AA403" s="10">
        <v>6.1124416000000004</v>
      </c>
      <c r="AB403" s="10">
        <v>6.0377010000000002</v>
      </c>
      <c r="AC403" s="10">
        <v>5.9588030999999999</v>
      </c>
      <c r="AD403" s="10">
        <v>5.8770246999999998</v>
      </c>
      <c r="AE403" s="10">
        <v>5.7936401000000002</v>
      </c>
      <c r="AF403" s="10">
        <v>5.7099231000000001</v>
      </c>
      <c r="AG403" s="10">
        <v>5.6271509000000002</v>
      </c>
      <c r="AH403" s="10">
        <v>5.546405</v>
      </c>
      <c r="AI403" s="10">
        <v>5.4679177000000001</v>
      </c>
      <c r="AJ403" s="10">
        <v>5.3916896999999997</v>
      </c>
      <c r="AK403" s="10">
        <v>5.3177187999999997</v>
      </c>
      <c r="AL403" s="10">
        <v>5.2460031000000003</v>
      </c>
      <c r="AM403" s="10">
        <v>5.1765431</v>
      </c>
      <c r="AN403" s="10">
        <v>5.1093365999999998</v>
      </c>
      <c r="AO403" s="10">
        <v>5.0443819000000003</v>
      </c>
      <c r="AP403" s="10">
        <v>4.9816791</v>
      </c>
      <c r="AQ403" s="10">
        <v>4.9212264000000001</v>
      </c>
      <c r="AR403" s="10">
        <v>4.8630218999999997</v>
      </c>
      <c r="AS403" s="10">
        <v>4.8070658999999996</v>
      </c>
      <c r="AT403" s="10">
        <v>4.7533437000000003</v>
      </c>
      <c r="AU403" s="10">
        <v>4.7017853000000001</v>
      </c>
      <c r="AV403" s="10">
        <v>4.6523070000000004</v>
      </c>
      <c r="AW403" s="10">
        <v>4.6048233999999999</v>
      </c>
      <c r="AX403" s="10">
        <v>4.5592490000000003</v>
      </c>
      <c r="AY403" s="10">
        <v>4.5155000999999997</v>
      </c>
      <c r="AZ403" s="10">
        <v>4.4734911999999998</v>
      </c>
      <c r="BA403" s="10">
        <v>4.4331370000000003</v>
      </c>
      <c r="BB403" s="10">
        <v>4.3943535000000002</v>
      </c>
      <c r="BC403" s="10">
        <v>4.3570555000000004</v>
      </c>
      <c r="BD403" s="10">
        <v>4.3211575</v>
      </c>
      <c r="BE403" s="10">
        <v>4.2865755999999999</v>
      </c>
      <c r="BF403" s="10">
        <v>4.2532319000000003</v>
      </c>
      <c r="BG403" s="10">
        <v>4.2210878999999997</v>
      </c>
      <c r="BH403" s="10">
        <v>4.1901194999999998</v>
      </c>
      <c r="BI403" s="10">
        <v>4.1603018</v>
      </c>
      <c r="BJ403" s="10">
        <v>4.1316094000000003</v>
      </c>
      <c r="BK403" s="10">
        <v>4.1040184999999996</v>
      </c>
      <c r="BL403" s="10">
        <v>4.0775037999999997</v>
      </c>
      <c r="BM403" s="10">
        <v>4.0520402000000004</v>
      </c>
      <c r="BN403" s="10">
        <v>4.0276037000000002</v>
      </c>
      <c r="BO403" s="10">
        <v>4.0041691000000004</v>
      </c>
      <c r="BP403" s="10">
        <v>3.9817114999999998</v>
      </c>
      <c r="BQ403" s="10">
        <v>3.9602065</v>
      </c>
      <c r="BR403" s="10">
        <v>3.8499590000000001</v>
      </c>
      <c r="BS403" s="10">
        <v>3.7687952</v>
      </c>
      <c r="BU403" s="7">
        <v>5.38</v>
      </c>
      <c r="BV403" s="7">
        <v>4.6399999999999997</v>
      </c>
      <c r="BW403" s="9">
        <v>82.671099999999996</v>
      </c>
    </row>
    <row r="404" spans="1:75" x14ac:dyDescent="0.25">
      <c r="A404" s="6">
        <f t="shared" si="41"/>
        <v>45118</v>
      </c>
      <c r="B404" s="13">
        <f t="shared" si="36"/>
        <v>7</v>
      </c>
      <c r="C404" s="13">
        <f t="shared" si="37"/>
        <v>2023</v>
      </c>
      <c r="D404">
        <f t="shared" si="38"/>
        <v>202307</v>
      </c>
      <c r="E404">
        <f t="shared" si="39"/>
        <v>3</v>
      </c>
      <c r="F404">
        <f t="shared" si="40"/>
        <v>202303</v>
      </c>
      <c r="G404" t="s">
        <v>591</v>
      </c>
      <c r="H404" s="9">
        <v>5</v>
      </c>
      <c r="I404" s="9">
        <v>4.9298999999999999</v>
      </c>
      <c r="J404" s="10">
        <v>5.2256802000000002</v>
      </c>
      <c r="K404" s="10">
        <v>5.5175815000000004</v>
      </c>
      <c r="L404" s="10">
        <v>5.7641524999999998</v>
      </c>
      <c r="M404" s="10">
        <v>5.9672593999999997</v>
      </c>
      <c r="N404" s="10">
        <v>6.1256493000000001</v>
      </c>
      <c r="O404" s="10">
        <v>6.2427713999999996</v>
      </c>
      <c r="P404" s="10">
        <v>6.3247024999999999</v>
      </c>
      <c r="Q404" s="10">
        <v>6.3808851999999998</v>
      </c>
      <c r="R404" s="10">
        <v>6.4193860999999997</v>
      </c>
      <c r="S404" s="10">
        <v>6.4451799999999997</v>
      </c>
      <c r="T404" s="10">
        <v>6.4599804000000001</v>
      </c>
      <c r="U404" s="10">
        <v>6.4628185</v>
      </c>
      <c r="V404" s="10">
        <v>6.4502839999999999</v>
      </c>
      <c r="W404" s="10">
        <v>6.4226546000000004</v>
      </c>
      <c r="X404" s="10">
        <v>6.3814684000000002</v>
      </c>
      <c r="Y404" s="10">
        <v>6.3282623999999998</v>
      </c>
      <c r="Z404" s="10">
        <v>6.2645730999999998</v>
      </c>
      <c r="AA404" s="10">
        <v>6.1919393999999999</v>
      </c>
      <c r="AB404" s="10">
        <v>6.1119174999999997</v>
      </c>
      <c r="AC404" s="10">
        <v>6.0261861000000003</v>
      </c>
      <c r="AD404" s="10">
        <v>5.9364742000000001</v>
      </c>
      <c r="AE404" s="10">
        <v>5.8445081999999999</v>
      </c>
      <c r="AF404" s="10">
        <v>5.7520141000000002</v>
      </c>
      <c r="AG404" s="10">
        <v>5.6607213999999999</v>
      </c>
      <c r="AH404" s="10">
        <v>5.5720925000000001</v>
      </c>
      <c r="AI404" s="10">
        <v>5.4864252999999996</v>
      </c>
      <c r="AJ404" s="10">
        <v>5.4036996999999998</v>
      </c>
      <c r="AK404" s="10">
        <v>5.3238922999999998</v>
      </c>
      <c r="AL404" s="10">
        <v>5.2469799999999998</v>
      </c>
      <c r="AM404" s="10">
        <v>5.1729422999999999</v>
      </c>
      <c r="AN404" s="10">
        <v>5.101756</v>
      </c>
      <c r="AO404" s="10">
        <v>5.0333981999999997</v>
      </c>
      <c r="AP404" s="10">
        <v>4.9678481000000003</v>
      </c>
      <c r="AQ404" s="10">
        <v>4.9050826000000001</v>
      </c>
      <c r="AR404" s="10">
        <v>4.8450788999999999</v>
      </c>
      <c r="AS404" s="10">
        <v>4.7878160000000003</v>
      </c>
      <c r="AT404" s="10">
        <v>4.7332583000000001</v>
      </c>
      <c r="AU404" s="10">
        <v>4.6813018</v>
      </c>
      <c r="AV404" s="10">
        <v>4.6318216999999997</v>
      </c>
      <c r="AW404" s="10">
        <v>4.5846910999999997</v>
      </c>
      <c r="AX404" s="10">
        <v>4.5397831000000002</v>
      </c>
      <c r="AY404" s="10">
        <v>4.4969728</v>
      </c>
      <c r="AZ404" s="10">
        <v>4.4561333999999997</v>
      </c>
      <c r="BA404" s="10">
        <v>4.4171379999999996</v>
      </c>
      <c r="BB404" s="10">
        <v>4.3798615999999999</v>
      </c>
      <c r="BC404" s="10">
        <v>4.3441774000000004</v>
      </c>
      <c r="BD404" s="10">
        <v>4.3099587000000001</v>
      </c>
      <c r="BE404" s="10">
        <v>4.2770802000000003</v>
      </c>
      <c r="BF404" s="10">
        <v>4.2454283000000004</v>
      </c>
      <c r="BG404" s="10">
        <v>4.2149527000000004</v>
      </c>
      <c r="BH404" s="10">
        <v>4.1856235000000002</v>
      </c>
      <c r="BI404" s="10">
        <v>4.1574099000000002</v>
      </c>
      <c r="BJ404" s="10">
        <v>4.1302808999999998</v>
      </c>
      <c r="BK404" s="10">
        <v>4.1042066000000004</v>
      </c>
      <c r="BL404" s="10">
        <v>4.0791560999999996</v>
      </c>
      <c r="BM404" s="10">
        <v>4.0550984999999997</v>
      </c>
      <c r="BN404" s="10">
        <v>4.0320039000000003</v>
      </c>
      <c r="BO404" s="10">
        <v>4.0098412999999997</v>
      </c>
      <c r="BP404" s="10">
        <v>3.9885799</v>
      </c>
      <c r="BQ404" s="10">
        <v>3.9681896000000001</v>
      </c>
      <c r="BR404" s="10">
        <v>3.8628933000000001</v>
      </c>
      <c r="BS404" s="10">
        <v>3.7841222000000001</v>
      </c>
      <c r="BU404" s="7">
        <v>5.41</v>
      </c>
      <c r="BV404" s="7">
        <v>4.6500000000000004</v>
      </c>
      <c r="BW404" s="9">
        <v>83.007199999999997</v>
      </c>
    </row>
    <row r="405" spans="1:75" x14ac:dyDescent="0.25">
      <c r="A405" s="6">
        <f t="shared" si="41"/>
        <v>45119</v>
      </c>
      <c r="B405" s="13">
        <f t="shared" si="36"/>
        <v>7</v>
      </c>
      <c r="C405" s="13">
        <f t="shared" si="37"/>
        <v>2023</v>
      </c>
      <c r="D405">
        <f t="shared" si="38"/>
        <v>202307</v>
      </c>
      <c r="E405">
        <f t="shared" si="39"/>
        <v>3</v>
      </c>
      <c r="F405">
        <f t="shared" si="40"/>
        <v>202303</v>
      </c>
      <c r="G405" t="s">
        <v>592</v>
      </c>
      <c r="H405" s="9">
        <v>5</v>
      </c>
      <c r="I405" s="9">
        <v>4.9298000000000002</v>
      </c>
      <c r="J405" s="10">
        <v>5.2227781000000002</v>
      </c>
      <c r="K405" s="10">
        <v>5.4827925000000004</v>
      </c>
      <c r="L405" s="10">
        <v>5.6999598000000002</v>
      </c>
      <c r="M405" s="10">
        <v>5.8714434999999998</v>
      </c>
      <c r="N405" s="10">
        <v>5.9969701000000004</v>
      </c>
      <c r="O405" s="10">
        <v>6.0829882</v>
      </c>
      <c r="P405" s="10">
        <v>6.1380951000000001</v>
      </c>
      <c r="Q405" s="10">
        <v>6.1720005000000002</v>
      </c>
      <c r="R405" s="10">
        <v>6.1918699999999998</v>
      </c>
      <c r="S405" s="10">
        <v>6.2013303000000004</v>
      </c>
      <c r="T405" s="10">
        <v>6.2011792999999997</v>
      </c>
      <c r="U405" s="10">
        <v>6.1904250000000003</v>
      </c>
      <c r="V405" s="10">
        <v>6.1663243999999997</v>
      </c>
      <c r="W405" s="10">
        <v>6.1291900000000004</v>
      </c>
      <c r="X405" s="10">
        <v>6.0803687000000002</v>
      </c>
      <c r="Y405" s="10">
        <v>6.0212060000000003</v>
      </c>
      <c r="Z405" s="10">
        <v>5.9530471</v>
      </c>
      <c r="AA405" s="10">
        <v>5.8772394999999999</v>
      </c>
      <c r="AB405" s="10">
        <v>5.7951752000000001</v>
      </c>
      <c r="AC405" s="10">
        <v>5.7085105</v>
      </c>
      <c r="AD405" s="10">
        <v>5.6189983000000003</v>
      </c>
      <c r="AE405" s="10">
        <v>5.5283882000000002</v>
      </c>
      <c r="AF405" s="10">
        <v>5.4384297999999998</v>
      </c>
      <c r="AG405" s="10">
        <v>5.3508760999999998</v>
      </c>
      <c r="AH405" s="10">
        <v>5.2672428</v>
      </c>
      <c r="AI405" s="10">
        <v>5.1877861000000003</v>
      </c>
      <c r="AJ405" s="10">
        <v>5.1123430000000001</v>
      </c>
      <c r="AK405" s="10">
        <v>5.0407469999999996</v>
      </c>
      <c r="AL405" s="10">
        <v>4.9728320999999998</v>
      </c>
      <c r="AM405" s="10">
        <v>4.9084344</v>
      </c>
      <c r="AN405" s="10">
        <v>4.8473877999999999</v>
      </c>
      <c r="AO405" s="10">
        <v>4.7895263000000003</v>
      </c>
      <c r="AP405" s="10">
        <v>4.7346858999999997</v>
      </c>
      <c r="AQ405" s="10">
        <v>4.6827005000000002</v>
      </c>
      <c r="AR405" s="10">
        <v>4.6334040999999999</v>
      </c>
      <c r="AS405" s="10">
        <v>4.5866327</v>
      </c>
      <c r="AT405" s="10">
        <v>4.542224</v>
      </c>
      <c r="AU405" s="10">
        <v>4.5000344999999999</v>
      </c>
      <c r="AV405" s="10">
        <v>4.4599279999999997</v>
      </c>
      <c r="AW405" s="10">
        <v>4.4217665999999998</v>
      </c>
      <c r="AX405" s="10">
        <v>4.3854126000000004</v>
      </c>
      <c r="AY405" s="10">
        <v>4.3507294999999999</v>
      </c>
      <c r="AZ405" s="10">
        <v>4.3175796000000002</v>
      </c>
      <c r="BA405" s="10">
        <v>4.2858251000000003</v>
      </c>
      <c r="BB405" s="10">
        <v>4.2553295000000002</v>
      </c>
      <c r="BC405" s="10">
        <v>4.2259551000000002</v>
      </c>
      <c r="BD405" s="10">
        <v>4.1975642000000004</v>
      </c>
      <c r="BE405" s="10">
        <v>4.1700201999999997</v>
      </c>
      <c r="BF405" s="10">
        <v>4.1432061999999998</v>
      </c>
      <c r="BG405" s="10">
        <v>4.1170974999999999</v>
      </c>
      <c r="BH405" s="10">
        <v>4.0916953999999999</v>
      </c>
      <c r="BI405" s="10">
        <v>4.0670006000000001</v>
      </c>
      <c r="BJ405" s="10">
        <v>4.0430136000000001</v>
      </c>
      <c r="BK405" s="10">
        <v>4.0197358999999997</v>
      </c>
      <c r="BL405" s="10">
        <v>3.9971679</v>
      </c>
      <c r="BM405" s="10">
        <v>3.9753104000000001</v>
      </c>
      <c r="BN405" s="10">
        <v>3.9541647000000002</v>
      </c>
      <c r="BO405" s="10">
        <v>3.9337312999999998</v>
      </c>
      <c r="BP405" s="10">
        <v>3.9140109999999999</v>
      </c>
      <c r="BQ405" s="10">
        <v>3.8950049</v>
      </c>
      <c r="BR405" s="10">
        <v>3.7957055</v>
      </c>
      <c r="BS405" s="10">
        <v>3.7204470999999999</v>
      </c>
      <c r="BU405" s="7">
        <v>5.22</v>
      </c>
      <c r="BV405" s="7">
        <v>4.51</v>
      </c>
      <c r="BW405" s="9">
        <v>82.994100000000003</v>
      </c>
    </row>
    <row r="406" spans="1:75" x14ac:dyDescent="0.25">
      <c r="A406" s="6">
        <f t="shared" si="41"/>
        <v>45120</v>
      </c>
      <c r="B406" s="13">
        <f t="shared" si="36"/>
        <v>7</v>
      </c>
      <c r="C406" s="13">
        <f t="shared" si="37"/>
        <v>2023</v>
      </c>
      <c r="D406">
        <f t="shared" si="38"/>
        <v>202307</v>
      </c>
      <c r="E406">
        <f t="shared" si="39"/>
        <v>3</v>
      </c>
      <c r="F406">
        <f t="shared" si="40"/>
        <v>202303</v>
      </c>
      <c r="G406" t="s">
        <v>593</v>
      </c>
      <c r="H406" s="9">
        <v>5</v>
      </c>
      <c r="I406" s="9">
        <v>4.93</v>
      </c>
      <c r="J406" s="10">
        <v>5.2363919000000001</v>
      </c>
      <c r="K406" s="10">
        <v>5.4840518999999999</v>
      </c>
      <c r="L406" s="10">
        <v>5.6887074999999996</v>
      </c>
      <c r="M406" s="10">
        <v>5.8473883000000004</v>
      </c>
      <c r="N406" s="10">
        <v>5.9608372999999997</v>
      </c>
      <c r="O406" s="10">
        <v>6.0346073999999996</v>
      </c>
      <c r="P406" s="10">
        <v>6.077312</v>
      </c>
      <c r="Q406" s="10">
        <v>6.0969119999999997</v>
      </c>
      <c r="R406" s="10">
        <v>6.1004699999999996</v>
      </c>
      <c r="S406" s="10">
        <v>6.0916876999999996</v>
      </c>
      <c r="T406" s="10">
        <v>6.0722981000000003</v>
      </c>
      <c r="U406" s="10">
        <v>6.0425877000000003</v>
      </c>
      <c r="V406" s="10">
        <v>6.0014865999999998</v>
      </c>
      <c r="W406" s="10">
        <v>5.9497385999999999</v>
      </c>
      <c r="X406" s="10">
        <v>5.8888477999999997</v>
      </c>
      <c r="Y406" s="10">
        <v>5.8203167999999996</v>
      </c>
      <c r="Z406" s="10">
        <v>5.7456481999999998</v>
      </c>
      <c r="AA406" s="10">
        <v>5.6663468999999997</v>
      </c>
      <c r="AB406" s="10">
        <v>5.5838710999999996</v>
      </c>
      <c r="AC406" s="10">
        <v>5.4994518000000001</v>
      </c>
      <c r="AD406" s="10">
        <v>5.4142504999999996</v>
      </c>
      <c r="AE406" s="10">
        <v>5.3294256000000004</v>
      </c>
      <c r="AF406" s="10">
        <v>5.2461354</v>
      </c>
      <c r="AG406" s="10">
        <v>5.1655414999999998</v>
      </c>
      <c r="AH406" s="10">
        <v>5.0886224000000002</v>
      </c>
      <c r="AI406" s="10">
        <v>5.0154803000000001</v>
      </c>
      <c r="AJ406" s="10">
        <v>4.9459533999999996</v>
      </c>
      <c r="AK406" s="10">
        <v>4.8798770999999999</v>
      </c>
      <c r="AL406" s="10">
        <v>4.8170869999999999</v>
      </c>
      <c r="AM406" s="10">
        <v>4.7574208999999996</v>
      </c>
      <c r="AN406" s="10">
        <v>4.7007143999999998</v>
      </c>
      <c r="AO406" s="10">
        <v>4.6468031999999999</v>
      </c>
      <c r="AP406" s="10">
        <v>4.5955247999999997</v>
      </c>
      <c r="AQ406" s="10">
        <v>4.5467148999999996</v>
      </c>
      <c r="AR406" s="10">
        <v>4.5002094000000001</v>
      </c>
      <c r="AS406" s="10">
        <v>4.4558457000000002</v>
      </c>
      <c r="AT406" s="10">
        <v>4.4134697000000003</v>
      </c>
      <c r="AU406" s="10">
        <v>4.3729725000000004</v>
      </c>
      <c r="AV406" s="10">
        <v>4.3342592</v>
      </c>
      <c r="AW406" s="10">
        <v>4.2972332</v>
      </c>
      <c r="AX406" s="10">
        <v>4.2617982000000003</v>
      </c>
      <c r="AY406" s="10">
        <v>4.2278592000000002</v>
      </c>
      <c r="AZ406" s="10">
        <v>4.1953195000000001</v>
      </c>
      <c r="BA406" s="10">
        <v>4.1640829999999998</v>
      </c>
      <c r="BB406" s="10">
        <v>4.1340544000000001</v>
      </c>
      <c r="BC406" s="10">
        <v>4.1051374000000003</v>
      </c>
      <c r="BD406" s="10">
        <v>4.0772355999999998</v>
      </c>
      <c r="BE406" s="10">
        <v>4.0502538000000001</v>
      </c>
      <c r="BF406" s="10">
        <v>4.0241088999999999</v>
      </c>
      <c r="BG406" s="10">
        <v>3.9987765999999998</v>
      </c>
      <c r="BH406" s="10">
        <v>3.9742495999999998</v>
      </c>
      <c r="BI406" s="10">
        <v>3.9505199000000002</v>
      </c>
      <c r="BJ406" s="10">
        <v>3.9275791999999998</v>
      </c>
      <c r="BK406" s="10">
        <v>3.9054202999999998</v>
      </c>
      <c r="BL406" s="10">
        <v>3.8840351000000002</v>
      </c>
      <c r="BM406" s="10">
        <v>3.8634154000000001</v>
      </c>
      <c r="BN406" s="10">
        <v>3.8435538999999999</v>
      </c>
      <c r="BO406" s="10">
        <v>3.8244425</v>
      </c>
      <c r="BP406" s="10">
        <v>3.8060730999999999</v>
      </c>
      <c r="BQ406" s="10">
        <v>3.7884384</v>
      </c>
      <c r="BR406" s="10">
        <v>3.6975978</v>
      </c>
      <c r="BS406" s="10">
        <v>3.6311271999999999</v>
      </c>
      <c r="BU406" s="7">
        <v>5.1100000000000003</v>
      </c>
      <c r="BV406" s="7">
        <v>4.41</v>
      </c>
      <c r="BW406" s="9">
        <v>83.326899999999995</v>
      </c>
    </row>
    <row r="407" spans="1:75" x14ac:dyDescent="0.25">
      <c r="A407" s="6">
        <f t="shared" si="41"/>
        <v>45121</v>
      </c>
      <c r="B407" s="13">
        <f t="shared" si="36"/>
        <v>7</v>
      </c>
      <c r="C407" s="13">
        <f t="shared" si="37"/>
        <v>2023</v>
      </c>
      <c r="D407">
        <f t="shared" si="38"/>
        <v>202307</v>
      </c>
      <c r="E407">
        <f t="shared" si="39"/>
        <v>3</v>
      </c>
      <c r="F407">
        <f t="shared" si="40"/>
        <v>202303</v>
      </c>
      <c r="G407" t="s">
        <v>594</v>
      </c>
      <c r="H407" s="9">
        <v>5</v>
      </c>
      <c r="I407" s="9">
        <v>4.93</v>
      </c>
      <c r="J407" s="10">
        <v>5.2606982000000002</v>
      </c>
      <c r="K407" s="10">
        <v>5.5164610999999999</v>
      </c>
      <c r="L407" s="10">
        <v>5.7362041000000001</v>
      </c>
      <c r="M407" s="10">
        <v>5.9079835999999997</v>
      </c>
      <c r="N407" s="10">
        <v>6.0307743</v>
      </c>
      <c r="O407" s="10">
        <v>6.1125876000000003</v>
      </c>
      <c r="P407" s="10">
        <v>6.1638251999999998</v>
      </c>
      <c r="Q407" s="10">
        <v>6.1937445999999996</v>
      </c>
      <c r="R407" s="10">
        <v>6.2083405000000003</v>
      </c>
      <c r="S407" s="10">
        <v>6.2099922000000003</v>
      </c>
      <c r="T407" s="10">
        <v>6.1992396999999997</v>
      </c>
      <c r="U407" s="10">
        <v>6.1758743000000003</v>
      </c>
      <c r="V407" s="10">
        <v>6.1389377999999999</v>
      </c>
      <c r="W407" s="10">
        <v>6.0895320000000002</v>
      </c>
      <c r="X407" s="10">
        <v>6.0294923999999996</v>
      </c>
      <c r="Y407" s="10">
        <v>5.9606531</v>
      </c>
      <c r="Z407" s="10">
        <v>5.8848476999999999</v>
      </c>
      <c r="AA407" s="10">
        <v>5.8039126999999997</v>
      </c>
      <c r="AB407" s="10">
        <v>5.7195951999999997</v>
      </c>
      <c r="AC407" s="10">
        <v>5.6331989</v>
      </c>
      <c r="AD407" s="10">
        <v>5.5458885999999996</v>
      </c>
      <c r="AE407" s="10">
        <v>5.4588261999999999</v>
      </c>
      <c r="AF407" s="10">
        <v>5.3731736000000003</v>
      </c>
      <c r="AG407" s="10">
        <v>5.2900955999999999</v>
      </c>
      <c r="AH407" s="10">
        <v>5.2105565</v>
      </c>
      <c r="AI407" s="10">
        <v>5.1346489999999996</v>
      </c>
      <c r="AJ407" s="10">
        <v>5.0622277999999996</v>
      </c>
      <c r="AK407" s="10">
        <v>4.9931448999999999</v>
      </c>
      <c r="AL407" s="10">
        <v>4.9272523000000001</v>
      </c>
      <c r="AM407" s="10">
        <v>4.8644046000000003</v>
      </c>
      <c r="AN407" s="10">
        <v>4.8044539000000004</v>
      </c>
      <c r="AO407" s="10">
        <v>4.7472523000000004</v>
      </c>
      <c r="AP407" s="10">
        <v>4.6926543000000001</v>
      </c>
      <c r="AQ407" s="10">
        <v>4.6405118999999999</v>
      </c>
      <c r="AR407" s="10">
        <v>4.5906776000000002</v>
      </c>
      <c r="AS407" s="10">
        <v>4.5430052999999999</v>
      </c>
      <c r="AT407" s="10">
        <v>4.4973554</v>
      </c>
      <c r="AU407" s="10">
        <v>4.4536233000000003</v>
      </c>
      <c r="AV407" s="10">
        <v>4.4117154999999997</v>
      </c>
      <c r="AW407" s="10">
        <v>4.3715371999999997</v>
      </c>
      <c r="AX407" s="10">
        <v>4.3329934000000003</v>
      </c>
      <c r="AY407" s="10">
        <v>4.2959906999999999</v>
      </c>
      <c r="AZ407" s="10">
        <v>4.2604341999999997</v>
      </c>
      <c r="BA407" s="10">
        <v>4.2262291000000003</v>
      </c>
      <c r="BB407" s="10">
        <v>4.1932818000000003</v>
      </c>
      <c r="BC407" s="10">
        <v>4.1614974</v>
      </c>
      <c r="BD407" s="10">
        <v>4.1307812000000004</v>
      </c>
      <c r="BE407" s="10">
        <v>4.1010396</v>
      </c>
      <c r="BF407" s="10">
        <v>4.0721908999999998</v>
      </c>
      <c r="BG407" s="10">
        <v>4.0442128999999998</v>
      </c>
      <c r="BH407" s="10">
        <v>4.0171001999999998</v>
      </c>
      <c r="BI407" s="10">
        <v>3.9908467000000001</v>
      </c>
      <c r="BJ407" s="10">
        <v>3.9654460999999999</v>
      </c>
      <c r="BK407" s="10">
        <v>3.9408932000000001</v>
      </c>
      <c r="BL407" s="10">
        <v>3.9171817999999998</v>
      </c>
      <c r="BM407" s="10">
        <v>3.8943056999999999</v>
      </c>
      <c r="BN407" s="10">
        <v>3.8722595000000002</v>
      </c>
      <c r="BO407" s="10">
        <v>3.8510371999999999</v>
      </c>
      <c r="BP407" s="10">
        <v>3.8306325999999999</v>
      </c>
      <c r="BQ407" s="10">
        <v>3.8110403000000002</v>
      </c>
      <c r="BR407" s="10">
        <v>3.7100946000000001</v>
      </c>
      <c r="BS407" s="10">
        <v>3.6361956000000002</v>
      </c>
      <c r="BU407" s="7">
        <v>5.19</v>
      </c>
      <c r="BV407" s="7">
        <v>4.4400000000000004</v>
      </c>
      <c r="BW407" s="9">
        <v>83.194800000000001</v>
      </c>
    </row>
    <row r="408" spans="1:75" x14ac:dyDescent="0.25">
      <c r="A408" s="6">
        <f t="shared" si="41"/>
        <v>45124</v>
      </c>
      <c r="B408" s="13">
        <f t="shared" si="36"/>
        <v>7</v>
      </c>
      <c r="C408" s="13">
        <f t="shared" si="37"/>
        <v>2023</v>
      </c>
      <c r="D408">
        <f t="shared" si="38"/>
        <v>202307</v>
      </c>
      <c r="E408">
        <f t="shared" si="39"/>
        <v>3</v>
      </c>
      <c r="F408">
        <f t="shared" si="40"/>
        <v>202303</v>
      </c>
      <c r="G408" t="s">
        <v>595</v>
      </c>
      <c r="H408" s="9">
        <v>5</v>
      </c>
      <c r="I408" s="9">
        <v>4.9298999999999999</v>
      </c>
      <c r="J408" s="10">
        <v>5.3162123000000001</v>
      </c>
      <c r="K408" s="10">
        <v>5.5152603999999998</v>
      </c>
      <c r="L408" s="10">
        <v>5.7107527999999999</v>
      </c>
      <c r="M408" s="10">
        <v>5.8687809</v>
      </c>
      <c r="N408" s="10">
        <v>5.9794514999999997</v>
      </c>
      <c r="O408" s="10">
        <v>6.0501415999999999</v>
      </c>
      <c r="P408" s="10">
        <v>6.0911624</v>
      </c>
      <c r="Q408" s="10">
        <v>6.1124651999999999</v>
      </c>
      <c r="R408" s="10">
        <v>6.1199202000000001</v>
      </c>
      <c r="S408" s="10">
        <v>6.1165570999999996</v>
      </c>
      <c r="T408" s="10">
        <v>6.1028973999999998</v>
      </c>
      <c r="U408" s="10">
        <v>6.0784741999999996</v>
      </c>
      <c r="V408" s="10">
        <v>6.0414475000000003</v>
      </c>
      <c r="W408" s="10">
        <v>5.9926174999999997</v>
      </c>
      <c r="X408" s="10">
        <v>5.9336846999999997</v>
      </c>
      <c r="Y408" s="10">
        <v>5.8663482</v>
      </c>
      <c r="Z408" s="10">
        <v>5.7923064999999996</v>
      </c>
      <c r="AA408" s="10">
        <v>5.7132610000000001</v>
      </c>
      <c r="AB408" s="10">
        <v>5.6308341999999998</v>
      </c>
      <c r="AC408" s="10">
        <v>5.5462598999999999</v>
      </c>
      <c r="AD408" s="10">
        <v>5.4606507000000004</v>
      </c>
      <c r="AE408" s="10">
        <v>5.3751157999999997</v>
      </c>
      <c r="AF408" s="10">
        <v>5.2907647000000004</v>
      </c>
      <c r="AG408" s="10">
        <v>5.2087098000000003</v>
      </c>
      <c r="AH408" s="10">
        <v>5.1298776999999998</v>
      </c>
      <c r="AI408" s="10">
        <v>5.0543870999999996</v>
      </c>
      <c r="AJ408" s="10">
        <v>4.9821369999999998</v>
      </c>
      <c r="AK408" s="10">
        <v>4.9130232999999999</v>
      </c>
      <c r="AL408" s="10">
        <v>4.8469422</v>
      </c>
      <c r="AM408" s="10">
        <v>4.7837924000000003</v>
      </c>
      <c r="AN408" s="10">
        <v>4.7234699999999998</v>
      </c>
      <c r="AO408" s="10">
        <v>4.6658713000000001</v>
      </c>
      <c r="AP408" s="10">
        <v>4.6108947000000002</v>
      </c>
      <c r="AQ408" s="10">
        <v>4.5584363999999997</v>
      </c>
      <c r="AR408" s="10">
        <v>4.5083928000000002</v>
      </c>
      <c r="AS408" s="10">
        <v>4.4606621000000004</v>
      </c>
      <c r="AT408" s="10">
        <v>4.4151420000000003</v>
      </c>
      <c r="AU408" s="10">
        <v>4.3717354999999998</v>
      </c>
      <c r="AV408" s="10">
        <v>4.3303488000000003</v>
      </c>
      <c r="AW408" s="10">
        <v>4.2908866999999997</v>
      </c>
      <c r="AX408" s="10">
        <v>4.2532537000000001</v>
      </c>
      <c r="AY408" s="10">
        <v>4.2173560999999999</v>
      </c>
      <c r="AZ408" s="10">
        <v>4.1830984000000004</v>
      </c>
      <c r="BA408" s="10">
        <v>4.1503854000000002</v>
      </c>
      <c r="BB408" s="10">
        <v>4.1191231999999998</v>
      </c>
      <c r="BC408" s="10">
        <v>4.0892163999999998</v>
      </c>
      <c r="BD408" s="10">
        <v>4.0605699</v>
      </c>
      <c r="BE408" s="10">
        <v>4.0330895</v>
      </c>
      <c r="BF408" s="10">
        <v>4.0066886000000004</v>
      </c>
      <c r="BG408" s="10">
        <v>3.9813266999999999</v>
      </c>
      <c r="BH408" s="10">
        <v>3.9569795000000001</v>
      </c>
      <c r="BI408" s="10">
        <v>3.9336221</v>
      </c>
      <c r="BJ408" s="10">
        <v>3.9112292000000002</v>
      </c>
      <c r="BK408" s="10">
        <v>3.8897767000000001</v>
      </c>
      <c r="BL408" s="10">
        <v>3.8692394999999999</v>
      </c>
      <c r="BM408" s="10">
        <v>3.8495925999999998</v>
      </c>
      <c r="BN408" s="10">
        <v>3.8308116999999999</v>
      </c>
      <c r="BO408" s="10">
        <v>3.8128717000000001</v>
      </c>
      <c r="BP408" s="10">
        <v>3.7957477000000002</v>
      </c>
      <c r="BQ408" s="10">
        <v>3.7794151999999999</v>
      </c>
      <c r="BR408" s="10">
        <v>3.6969192</v>
      </c>
      <c r="BS408" s="10">
        <v>3.6383128999999998</v>
      </c>
      <c r="BU408" s="7">
        <v>5.15</v>
      </c>
      <c r="BV408" s="7">
        <v>4.43</v>
      </c>
      <c r="BW408" s="9">
        <v>83.081400000000002</v>
      </c>
    </row>
    <row r="409" spans="1:75" x14ac:dyDescent="0.25">
      <c r="A409" s="6">
        <f t="shared" si="41"/>
        <v>45125</v>
      </c>
      <c r="B409" s="13">
        <f t="shared" si="36"/>
        <v>7</v>
      </c>
      <c r="C409" s="13">
        <f t="shared" si="37"/>
        <v>2023</v>
      </c>
      <c r="D409">
        <f t="shared" si="38"/>
        <v>202307</v>
      </c>
      <c r="E409">
        <f t="shared" si="39"/>
        <v>3</v>
      </c>
      <c r="F409">
        <f t="shared" si="40"/>
        <v>202303</v>
      </c>
      <c r="G409" t="s">
        <v>596</v>
      </c>
      <c r="H409" s="9">
        <v>5</v>
      </c>
      <c r="I409" s="9">
        <v>4.9301000000000004</v>
      </c>
      <c r="J409" s="10">
        <v>5.3211047999999996</v>
      </c>
      <c r="K409" s="10">
        <v>5.5070774</v>
      </c>
      <c r="L409" s="10">
        <v>5.6970972</v>
      </c>
      <c r="M409" s="10">
        <v>5.8502884000000002</v>
      </c>
      <c r="N409" s="10">
        <v>5.9526462999999996</v>
      </c>
      <c r="O409" s="10">
        <v>6.0126410000000003</v>
      </c>
      <c r="P409" s="10">
        <v>6.0418051999999998</v>
      </c>
      <c r="Q409" s="10">
        <v>6.0511572999999999</v>
      </c>
      <c r="R409" s="10">
        <v>6.0476932999999997</v>
      </c>
      <c r="S409" s="10">
        <v>6.0347187</v>
      </c>
      <c r="T409" s="10">
        <v>6.0132212000000003</v>
      </c>
      <c r="U409" s="10">
        <v>5.9826554999999999</v>
      </c>
      <c r="V409" s="10">
        <v>5.9413838999999999</v>
      </c>
      <c r="W409" s="10">
        <v>5.8900237000000004</v>
      </c>
      <c r="X409" s="10">
        <v>5.8299314000000004</v>
      </c>
      <c r="Y409" s="10">
        <v>5.7624617999999996</v>
      </c>
      <c r="Z409" s="10">
        <v>5.6889690000000002</v>
      </c>
      <c r="AA409" s="10">
        <v>5.6108101000000001</v>
      </c>
      <c r="AB409" s="10">
        <v>5.5293166999999999</v>
      </c>
      <c r="AC409" s="10">
        <v>5.4456775000000004</v>
      </c>
      <c r="AD409" s="10">
        <v>5.3610289</v>
      </c>
      <c r="AE409" s="10">
        <v>5.2765044000000003</v>
      </c>
      <c r="AF409" s="10">
        <v>5.1932372000000004</v>
      </c>
      <c r="AG409" s="10">
        <v>5.1123637000000004</v>
      </c>
      <c r="AH409" s="10">
        <v>5.0348296000000001</v>
      </c>
      <c r="AI409" s="10">
        <v>4.9607517000000003</v>
      </c>
      <c r="AJ409" s="10">
        <v>4.8900208000000003</v>
      </c>
      <c r="AK409" s="10">
        <v>4.8225251</v>
      </c>
      <c r="AL409" s="10">
        <v>4.7581528999999998</v>
      </c>
      <c r="AM409" s="10">
        <v>4.6967948000000002</v>
      </c>
      <c r="AN409" s="10">
        <v>4.6383390999999996</v>
      </c>
      <c r="AO409" s="10">
        <v>4.5826741999999996</v>
      </c>
      <c r="AP409" s="10">
        <v>4.5296903999999998</v>
      </c>
      <c r="AQ409" s="10">
        <v>4.4792763000000004</v>
      </c>
      <c r="AR409" s="10">
        <v>4.4313202</v>
      </c>
      <c r="AS409" s="10">
        <v>4.3857122999999998</v>
      </c>
      <c r="AT409" s="10">
        <v>4.3423413000000002</v>
      </c>
      <c r="AU409" s="10">
        <v>4.3010963999999996</v>
      </c>
      <c r="AV409" s="10">
        <v>4.2618682999999997</v>
      </c>
      <c r="AW409" s="10">
        <v>4.2245466</v>
      </c>
      <c r="AX409" s="10">
        <v>4.1890204999999998</v>
      </c>
      <c r="AY409" s="10">
        <v>4.1551809000000004</v>
      </c>
      <c r="AZ409" s="10">
        <v>4.1229170999999996</v>
      </c>
      <c r="BA409" s="10">
        <v>4.0921187000000003</v>
      </c>
      <c r="BB409" s="10">
        <v>4.0626762000000003</v>
      </c>
      <c r="BC409" s="10">
        <v>4.0344791999999998</v>
      </c>
      <c r="BD409" s="10">
        <v>4.0074171999999999</v>
      </c>
      <c r="BE409" s="10">
        <v>3.9813806999999999</v>
      </c>
      <c r="BF409" s="10">
        <v>3.9562716999999998</v>
      </c>
      <c r="BG409" s="10">
        <v>3.9320525000000002</v>
      </c>
      <c r="BH409" s="10">
        <v>3.9087046999999999</v>
      </c>
      <c r="BI409" s="10">
        <v>3.8862092000000001</v>
      </c>
      <c r="BJ409" s="10">
        <v>3.8645467</v>
      </c>
      <c r="BK409" s="10">
        <v>3.8436989000000001</v>
      </c>
      <c r="BL409" s="10">
        <v>3.8236463999999999</v>
      </c>
      <c r="BM409" s="10">
        <v>3.8043702000000001</v>
      </c>
      <c r="BN409" s="10">
        <v>3.7858516999999998</v>
      </c>
      <c r="BO409" s="10">
        <v>3.7680717000000001</v>
      </c>
      <c r="BP409" s="10">
        <v>3.7510113</v>
      </c>
      <c r="BQ409" s="10">
        <v>3.7346517000000001</v>
      </c>
      <c r="BR409" s="10">
        <v>3.6504386000000002</v>
      </c>
      <c r="BS409" s="10">
        <v>3.5884619999999998</v>
      </c>
      <c r="BU409" s="7">
        <v>5.09</v>
      </c>
      <c r="BV409" s="7">
        <v>4.3499999999999996</v>
      </c>
      <c r="BW409" s="9">
        <v>83.070800000000006</v>
      </c>
    </row>
    <row r="410" spans="1:75" x14ac:dyDescent="0.25">
      <c r="A410" s="6">
        <f t="shared" si="41"/>
        <v>45126</v>
      </c>
      <c r="B410" s="13">
        <f t="shared" si="36"/>
        <v>7</v>
      </c>
      <c r="C410" s="13">
        <f t="shared" si="37"/>
        <v>2023</v>
      </c>
      <c r="D410">
        <f t="shared" si="38"/>
        <v>202307</v>
      </c>
      <c r="E410">
        <f t="shared" si="39"/>
        <v>3</v>
      </c>
      <c r="F410">
        <f t="shared" si="40"/>
        <v>202303</v>
      </c>
      <c r="G410" t="s">
        <v>597</v>
      </c>
      <c r="H410" s="9">
        <v>5</v>
      </c>
      <c r="I410" s="9">
        <v>4.9302999999999999</v>
      </c>
      <c r="J410" s="10">
        <v>5.2782926999999997</v>
      </c>
      <c r="K410" s="10">
        <v>5.4190056000000002</v>
      </c>
      <c r="L410" s="10">
        <v>5.5680547999999996</v>
      </c>
      <c r="M410" s="10">
        <v>5.6856029000000001</v>
      </c>
      <c r="N410" s="10">
        <v>5.7582978999999996</v>
      </c>
      <c r="O410" s="10">
        <v>5.7938365999999997</v>
      </c>
      <c r="P410" s="10">
        <v>5.8031768000000001</v>
      </c>
      <c r="Q410" s="10">
        <v>5.7964735999999997</v>
      </c>
      <c r="R410" s="10">
        <v>5.7802448999999996</v>
      </c>
      <c r="S410" s="10">
        <v>5.7572679999999998</v>
      </c>
      <c r="T410" s="10">
        <v>5.7278080999999998</v>
      </c>
      <c r="U410" s="10">
        <v>5.6908557999999996</v>
      </c>
      <c r="V410" s="10">
        <v>5.6439972999999997</v>
      </c>
      <c r="W410" s="10">
        <v>5.5876352999999996</v>
      </c>
      <c r="X410" s="10">
        <v>5.5231177000000002</v>
      </c>
      <c r="Y410" s="10">
        <v>5.4517901999999996</v>
      </c>
      <c r="Z410" s="10">
        <v>5.3749982999999997</v>
      </c>
      <c r="AA410" s="10">
        <v>5.2940902999999997</v>
      </c>
      <c r="AB410" s="10">
        <v>5.2103976000000003</v>
      </c>
      <c r="AC410" s="10">
        <v>5.1251720000000001</v>
      </c>
      <c r="AD410" s="10">
        <v>5.0396403000000003</v>
      </c>
      <c r="AE410" s="10">
        <v>4.9550260000000002</v>
      </c>
      <c r="AF410" s="10">
        <v>4.8725529999999999</v>
      </c>
      <c r="AG410" s="10">
        <v>4.7934479999999997</v>
      </c>
      <c r="AH410" s="10">
        <v>4.7187574999999997</v>
      </c>
      <c r="AI410" s="10">
        <v>4.6485751000000004</v>
      </c>
      <c r="AJ410" s="10">
        <v>4.5826770000000003</v>
      </c>
      <c r="AK410" s="10">
        <v>4.5208367999999997</v>
      </c>
      <c r="AL410" s="10">
        <v>4.4628283</v>
      </c>
      <c r="AM410" s="10">
        <v>4.4084272000000002</v>
      </c>
      <c r="AN410" s="10">
        <v>4.3574073000000002</v>
      </c>
      <c r="AO410" s="10">
        <v>4.3095423999999998</v>
      </c>
      <c r="AP410" s="10">
        <v>4.2646081000000002</v>
      </c>
      <c r="AQ410" s="10">
        <v>4.2223781999999996</v>
      </c>
      <c r="AR410" s="10">
        <v>4.1826267000000001</v>
      </c>
      <c r="AS410" s="10">
        <v>4.1451288000000002</v>
      </c>
      <c r="AT410" s="10">
        <v>4.1096722999999997</v>
      </c>
      <c r="AU410" s="10">
        <v>4.0761113</v>
      </c>
      <c r="AV410" s="10">
        <v>4.0443214000000003</v>
      </c>
      <c r="AW410" s="10">
        <v>4.0141770000000001</v>
      </c>
      <c r="AX410" s="10">
        <v>3.9855526000000001</v>
      </c>
      <c r="AY410" s="10">
        <v>3.9583238000000001</v>
      </c>
      <c r="AZ410" s="10">
        <v>3.9323649000000001</v>
      </c>
      <c r="BA410" s="10">
        <v>3.9075506999999998</v>
      </c>
      <c r="BB410" s="10">
        <v>3.8837564000000002</v>
      </c>
      <c r="BC410" s="10">
        <v>3.8608565000000001</v>
      </c>
      <c r="BD410" s="10">
        <v>3.8387258000000002</v>
      </c>
      <c r="BE410" s="10">
        <v>3.8172394000000001</v>
      </c>
      <c r="BF410" s="10">
        <v>3.7962913999999999</v>
      </c>
      <c r="BG410" s="10">
        <v>3.7758612</v>
      </c>
      <c r="BH410" s="10">
        <v>3.7559528000000002</v>
      </c>
      <c r="BI410" s="10">
        <v>3.7365691999999999</v>
      </c>
      <c r="BJ410" s="10">
        <v>3.7177136000000002</v>
      </c>
      <c r="BK410" s="10">
        <v>3.6993898000000001</v>
      </c>
      <c r="BL410" s="10">
        <v>3.6816010000000001</v>
      </c>
      <c r="BM410" s="10">
        <v>3.6643501999999999</v>
      </c>
      <c r="BN410" s="10">
        <v>3.6476413000000001</v>
      </c>
      <c r="BO410" s="10">
        <v>3.6314774999999999</v>
      </c>
      <c r="BP410" s="10">
        <v>3.6158619000000001</v>
      </c>
      <c r="BQ410" s="10">
        <v>3.6007981999999998</v>
      </c>
      <c r="BR410" s="10">
        <v>3.5220387999999998</v>
      </c>
      <c r="BS410" s="10">
        <v>3.4630546</v>
      </c>
      <c r="BU410" s="7">
        <v>4.8499999999999996</v>
      </c>
      <c r="BV410" s="7">
        <v>4.18</v>
      </c>
      <c r="BW410" s="9">
        <v>82.092299999999994</v>
      </c>
    </row>
    <row r="411" spans="1:75" x14ac:dyDescent="0.25">
      <c r="A411" s="6">
        <f t="shared" si="41"/>
        <v>45127</v>
      </c>
      <c r="B411" s="13">
        <f t="shared" si="36"/>
        <v>7</v>
      </c>
      <c r="C411" s="13">
        <f t="shared" si="37"/>
        <v>2023</v>
      </c>
      <c r="D411">
        <f t="shared" si="38"/>
        <v>202307</v>
      </c>
      <c r="E411">
        <f t="shared" si="39"/>
        <v>3</v>
      </c>
      <c r="F411">
        <f t="shared" si="40"/>
        <v>202303</v>
      </c>
      <c r="G411" t="s">
        <v>598</v>
      </c>
      <c r="H411" s="9">
        <v>5</v>
      </c>
      <c r="I411" s="9">
        <v>4.9305000000000003</v>
      </c>
      <c r="J411" s="10">
        <v>5.3082858000000002</v>
      </c>
      <c r="K411" s="10">
        <v>5.4405748000000003</v>
      </c>
      <c r="L411" s="10">
        <v>5.5921079999999996</v>
      </c>
      <c r="M411" s="10">
        <v>5.7178471999999996</v>
      </c>
      <c r="N411" s="10">
        <v>5.8027414999999998</v>
      </c>
      <c r="O411" s="10">
        <v>5.8515443999999999</v>
      </c>
      <c r="P411" s="10">
        <v>5.8732369999999996</v>
      </c>
      <c r="Q411" s="10">
        <v>5.8752054999999999</v>
      </c>
      <c r="R411" s="10">
        <v>5.8634766999999997</v>
      </c>
      <c r="S411" s="10">
        <v>5.8411606999999997</v>
      </c>
      <c r="T411" s="10">
        <v>5.8098777000000004</v>
      </c>
      <c r="U411" s="10">
        <v>5.7702</v>
      </c>
      <c r="V411" s="10">
        <v>5.7219487000000004</v>
      </c>
      <c r="W411" s="10">
        <v>5.6659392000000004</v>
      </c>
      <c r="X411" s="10">
        <v>5.6033995000000001</v>
      </c>
      <c r="Y411" s="10">
        <v>5.5355556000000004</v>
      </c>
      <c r="Z411" s="10">
        <v>5.4636334</v>
      </c>
      <c r="AA411" s="10">
        <v>5.3888613999999997</v>
      </c>
      <c r="AB411" s="10">
        <v>5.3124096999999999</v>
      </c>
      <c r="AC411" s="10">
        <v>5.2351631000000003</v>
      </c>
      <c r="AD411" s="10">
        <v>5.1579180999999998</v>
      </c>
      <c r="AE411" s="10">
        <v>5.0814681000000004</v>
      </c>
      <c r="AF411" s="10">
        <v>5.0066066999999999</v>
      </c>
      <c r="AG411" s="10">
        <v>4.9341302000000002</v>
      </c>
      <c r="AH411" s="10">
        <v>4.8647087000000004</v>
      </c>
      <c r="AI411" s="10">
        <v>4.7984106000000004</v>
      </c>
      <c r="AJ411" s="10">
        <v>4.7351235999999997</v>
      </c>
      <c r="AK411" s="10">
        <v>4.6747331000000001</v>
      </c>
      <c r="AL411" s="10">
        <v>4.6171242000000001</v>
      </c>
      <c r="AM411" s="10">
        <v>4.5621846000000001</v>
      </c>
      <c r="AN411" s="10">
        <v>4.5097994999999997</v>
      </c>
      <c r="AO411" s="10">
        <v>4.4598544000000002</v>
      </c>
      <c r="AP411" s="10">
        <v>4.4122366</v>
      </c>
      <c r="AQ411" s="10">
        <v>4.3668313999999997</v>
      </c>
      <c r="AR411" s="10">
        <v>4.3235245999999998</v>
      </c>
      <c r="AS411" s="10">
        <v>4.2822031000000003</v>
      </c>
      <c r="AT411" s="10">
        <v>4.2427562999999999</v>
      </c>
      <c r="AU411" s="10">
        <v>4.2050912</v>
      </c>
      <c r="AV411" s="10">
        <v>4.1691203999999997</v>
      </c>
      <c r="AW411" s="10">
        <v>4.1347556000000001</v>
      </c>
      <c r="AX411" s="10">
        <v>4.1019084000000001</v>
      </c>
      <c r="AY411" s="10">
        <v>4.0704912999999996</v>
      </c>
      <c r="AZ411" s="10">
        <v>4.0404162000000001</v>
      </c>
      <c r="BA411" s="10">
        <v>4.0115943999999999</v>
      </c>
      <c r="BB411" s="10">
        <v>3.9839389000000001</v>
      </c>
      <c r="BC411" s="10">
        <v>3.9573610000000001</v>
      </c>
      <c r="BD411" s="10">
        <v>3.9317726</v>
      </c>
      <c r="BE411" s="10">
        <v>3.9070860999999999</v>
      </c>
      <c r="BF411" s="10">
        <v>3.8832247999999998</v>
      </c>
      <c r="BG411" s="10">
        <v>3.8601622</v>
      </c>
      <c r="BH411" s="10">
        <v>3.8378868000000002</v>
      </c>
      <c r="BI411" s="10">
        <v>3.8163862000000002</v>
      </c>
      <c r="BJ411" s="10">
        <v>3.7956481000000002</v>
      </c>
      <c r="BK411" s="10">
        <v>3.7756609000000001</v>
      </c>
      <c r="BL411" s="10">
        <v>3.7564122000000002</v>
      </c>
      <c r="BM411" s="10">
        <v>3.7378895999999999</v>
      </c>
      <c r="BN411" s="10">
        <v>3.7200815</v>
      </c>
      <c r="BO411" s="10">
        <v>3.7029755999999998</v>
      </c>
      <c r="BP411" s="10">
        <v>3.6865595</v>
      </c>
      <c r="BQ411" s="10">
        <v>3.6708216</v>
      </c>
      <c r="BR411" s="10">
        <v>3.5901296</v>
      </c>
      <c r="BS411" s="10">
        <v>3.5318773000000001</v>
      </c>
      <c r="BU411" s="7">
        <v>4.9800000000000004</v>
      </c>
      <c r="BV411" s="7">
        <v>4.28</v>
      </c>
      <c r="BW411" s="9">
        <v>82.030799999999999</v>
      </c>
    </row>
    <row r="412" spans="1:75" x14ac:dyDescent="0.25">
      <c r="A412" s="6">
        <f t="shared" si="41"/>
        <v>45128</v>
      </c>
      <c r="B412" s="13">
        <f t="shared" si="36"/>
        <v>7</v>
      </c>
      <c r="C412" s="13">
        <f t="shared" si="37"/>
        <v>2023</v>
      </c>
      <c r="D412">
        <f t="shared" si="38"/>
        <v>202307</v>
      </c>
      <c r="E412">
        <f t="shared" si="39"/>
        <v>3</v>
      </c>
      <c r="F412">
        <f t="shared" si="40"/>
        <v>202303</v>
      </c>
      <c r="G412" t="s">
        <v>599</v>
      </c>
      <c r="H412" s="9">
        <v>5</v>
      </c>
      <c r="I412" s="9">
        <v>4.9306000000000001</v>
      </c>
      <c r="J412" s="10">
        <v>5.3034561</v>
      </c>
      <c r="K412" s="10">
        <v>5.4435868000000003</v>
      </c>
      <c r="L412" s="10">
        <v>5.5994302999999999</v>
      </c>
      <c r="M412" s="10">
        <v>5.7237140999999996</v>
      </c>
      <c r="N412" s="10">
        <v>5.8017634999999999</v>
      </c>
      <c r="O412" s="10">
        <v>5.8413249</v>
      </c>
      <c r="P412" s="10">
        <v>5.8540663000000004</v>
      </c>
      <c r="Q412" s="10">
        <v>5.8501491000000003</v>
      </c>
      <c r="R412" s="10">
        <v>5.8363284999999996</v>
      </c>
      <c r="S412" s="10">
        <v>5.8155652</v>
      </c>
      <c r="T412" s="10">
        <v>5.7884424000000001</v>
      </c>
      <c r="U412" s="10">
        <v>5.7543407999999996</v>
      </c>
      <c r="V412" s="10">
        <v>5.7112084999999997</v>
      </c>
      <c r="W412" s="10">
        <v>5.6593654999999998</v>
      </c>
      <c r="X412" s="10">
        <v>5.6000261</v>
      </c>
      <c r="Y412" s="10">
        <v>5.5344034999999998</v>
      </c>
      <c r="Z412" s="10">
        <v>5.4637102999999998</v>
      </c>
      <c r="AA412" s="10">
        <v>5.3891616999999998</v>
      </c>
      <c r="AB412" s="10">
        <v>5.3119497000000004</v>
      </c>
      <c r="AC412" s="10">
        <v>5.2331592999999996</v>
      </c>
      <c r="AD412" s="10">
        <v>5.1538446999999996</v>
      </c>
      <c r="AE412" s="10">
        <v>5.0750567999999996</v>
      </c>
      <c r="AF412" s="10">
        <v>4.9978468999999999</v>
      </c>
      <c r="AG412" s="10">
        <v>4.9232687000000004</v>
      </c>
      <c r="AH412" s="10">
        <v>4.8521919000000002</v>
      </c>
      <c r="AI412" s="10">
        <v>4.7846840999999998</v>
      </c>
      <c r="AJ412" s="10">
        <v>4.7205943000000001</v>
      </c>
      <c r="AK412" s="10">
        <v>4.6597691000000001</v>
      </c>
      <c r="AL412" s="10">
        <v>4.602055</v>
      </c>
      <c r="AM412" s="10">
        <v>4.5473007000000001</v>
      </c>
      <c r="AN412" s="10">
        <v>4.4953529999999997</v>
      </c>
      <c r="AO412" s="10">
        <v>4.4460585999999997</v>
      </c>
      <c r="AP412" s="10">
        <v>4.3992658999999996</v>
      </c>
      <c r="AQ412" s="10">
        <v>4.3548216999999996</v>
      </c>
      <c r="AR412" s="10">
        <v>4.3125727999999999</v>
      </c>
      <c r="AS412" s="10">
        <v>4.2723674999999997</v>
      </c>
      <c r="AT412" s="10">
        <v>4.2340606000000003</v>
      </c>
      <c r="AU412" s="10">
        <v>4.1975414999999998</v>
      </c>
      <c r="AV412" s="10">
        <v>4.1627105000000002</v>
      </c>
      <c r="AW412" s="10">
        <v>4.1294665999999998</v>
      </c>
      <c r="AX412" s="10">
        <v>4.097709</v>
      </c>
      <c r="AY412" s="10">
        <v>4.0673377999999998</v>
      </c>
      <c r="AZ412" s="10">
        <v>4.0382521000000002</v>
      </c>
      <c r="BA412" s="10">
        <v>4.010351</v>
      </c>
      <c r="BB412" s="10">
        <v>3.9835346999999999</v>
      </c>
      <c r="BC412" s="10">
        <v>3.9577021999999999</v>
      </c>
      <c r="BD412" s="10">
        <v>3.9327527999999998</v>
      </c>
      <c r="BE412" s="10">
        <v>3.9085865000000002</v>
      </c>
      <c r="BF412" s="10">
        <v>3.8851171</v>
      </c>
      <c r="BG412" s="10">
        <v>3.8623232000000001</v>
      </c>
      <c r="BH412" s="10">
        <v>3.8402020000000001</v>
      </c>
      <c r="BI412" s="10">
        <v>3.8187498999999998</v>
      </c>
      <c r="BJ412" s="10">
        <v>3.7979634999999998</v>
      </c>
      <c r="BK412" s="10">
        <v>3.7778399</v>
      </c>
      <c r="BL412" s="10">
        <v>3.7583755999999999</v>
      </c>
      <c r="BM412" s="10">
        <v>3.7395670000000001</v>
      </c>
      <c r="BN412" s="10">
        <v>3.7214113000000002</v>
      </c>
      <c r="BO412" s="10">
        <v>3.7039048999999999</v>
      </c>
      <c r="BP412" s="10">
        <v>3.6870444999999998</v>
      </c>
      <c r="BQ412" s="10">
        <v>3.6708270000000001</v>
      </c>
      <c r="BR412" s="10">
        <v>3.5868489000000001</v>
      </c>
      <c r="BS412" s="10">
        <v>3.5252631000000001</v>
      </c>
      <c r="BU412" s="7">
        <v>4.93</v>
      </c>
      <c r="BV412" s="7">
        <v>4.2699999999999996</v>
      </c>
      <c r="BW412" s="9">
        <v>82.157799999999995</v>
      </c>
    </row>
    <row r="413" spans="1:75" x14ac:dyDescent="0.25">
      <c r="A413" s="6">
        <f t="shared" si="41"/>
        <v>45131</v>
      </c>
      <c r="B413" s="13">
        <f t="shared" si="36"/>
        <v>7</v>
      </c>
      <c r="C413" s="13">
        <f t="shared" si="37"/>
        <v>2023</v>
      </c>
      <c r="D413">
        <f t="shared" si="38"/>
        <v>202307</v>
      </c>
      <c r="E413">
        <f t="shared" si="39"/>
        <v>3</v>
      </c>
      <c r="F413">
        <f t="shared" si="40"/>
        <v>202303</v>
      </c>
      <c r="G413" t="s">
        <v>600</v>
      </c>
      <c r="H413" s="9">
        <v>5</v>
      </c>
      <c r="I413" s="9">
        <v>4.9309000000000003</v>
      </c>
      <c r="J413" s="10">
        <v>5.2863958999999996</v>
      </c>
      <c r="K413" s="10">
        <v>5.4274138000000001</v>
      </c>
      <c r="L413" s="10">
        <v>5.5761957000000004</v>
      </c>
      <c r="M413" s="10">
        <v>5.6936137999999996</v>
      </c>
      <c r="N413" s="10">
        <v>5.7675374000000001</v>
      </c>
      <c r="O413" s="10">
        <v>5.8039873999999996</v>
      </c>
      <c r="P413" s="10">
        <v>5.814724</v>
      </c>
      <c r="Q413" s="10">
        <v>5.8101500000000001</v>
      </c>
      <c r="R413" s="10">
        <v>5.7966125999999996</v>
      </c>
      <c r="S413" s="10">
        <v>5.7774193</v>
      </c>
      <c r="T413" s="10">
        <v>5.7532196999999998</v>
      </c>
      <c r="U413" s="10">
        <v>5.7232051000000004</v>
      </c>
      <c r="V413" s="10">
        <v>5.6844830999999996</v>
      </c>
      <c r="W413" s="10">
        <v>5.6370857000000001</v>
      </c>
      <c r="X413" s="10">
        <v>5.5820818000000001</v>
      </c>
      <c r="Y413" s="10">
        <v>5.5205387999999997</v>
      </c>
      <c r="Z413" s="10">
        <v>5.4535233999999999</v>
      </c>
      <c r="AA413" s="10">
        <v>5.3821051999999998</v>
      </c>
      <c r="AB413" s="10">
        <v>5.3073502000000001</v>
      </c>
      <c r="AC413" s="10">
        <v>5.2303194</v>
      </c>
      <c r="AD413" s="10">
        <v>5.1520748999999997</v>
      </c>
      <c r="AE413" s="10">
        <v>5.0736762000000004</v>
      </c>
      <c r="AF413" s="10">
        <v>4.9961827999999997</v>
      </c>
      <c r="AG413" s="10">
        <v>4.9206567000000003</v>
      </c>
      <c r="AH413" s="10">
        <v>4.8479863999999999</v>
      </c>
      <c r="AI413" s="10">
        <v>4.7783053999999998</v>
      </c>
      <c r="AJ413" s="10">
        <v>4.7115413000000004</v>
      </c>
      <c r="AK413" s="10">
        <v>4.6476192999999997</v>
      </c>
      <c r="AL413" s="10">
        <v>4.5864646000000002</v>
      </c>
      <c r="AM413" s="10">
        <v>4.5280047999999997</v>
      </c>
      <c r="AN413" s="10">
        <v>4.4721650000000004</v>
      </c>
      <c r="AO413" s="10">
        <v>4.4188706</v>
      </c>
      <c r="AP413" s="10">
        <v>4.3680488999999998</v>
      </c>
      <c r="AQ413" s="10">
        <v>4.3196253000000002</v>
      </c>
      <c r="AR413" s="10">
        <v>4.2735250999999996</v>
      </c>
      <c r="AS413" s="10">
        <v>4.2296754999999999</v>
      </c>
      <c r="AT413" s="10">
        <v>4.1879987999999999</v>
      </c>
      <c r="AU413" s="10">
        <v>4.1484037999999996</v>
      </c>
      <c r="AV413" s="10">
        <v>4.1107969000000004</v>
      </c>
      <c r="AW413" s="10">
        <v>4.0750833000000002</v>
      </c>
      <c r="AX413" s="10">
        <v>4.0411679999999999</v>
      </c>
      <c r="AY413" s="10">
        <v>4.0089572999999996</v>
      </c>
      <c r="AZ413" s="10">
        <v>3.9783563000000002</v>
      </c>
      <c r="BA413" s="10">
        <v>3.9492701000000001</v>
      </c>
      <c r="BB413" s="10">
        <v>3.9216050999999998</v>
      </c>
      <c r="BC413" s="10">
        <v>3.8952662999999998</v>
      </c>
      <c r="BD413" s="10">
        <v>3.8701588999999998</v>
      </c>
      <c r="BE413" s="10">
        <v>3.8461889999999999</v>
      </c>
      <c r="BF413" s="10">
        <v>3.8232699999999999</v>
      </c>
      <c r="BG413" s="10">
        <v>3.8013583999999998</v>
      </c>
      <c r="BH413" s="10">
        <v>3.7804262999999998</v>
      </c>
      <c r="BI413" s="10">
        <v>3.7604449</v>
      </c>
      <c r="BJ413" s="10">
        <v>3.7413854</v>
      </c>
      <c r="BK413" s="10">
        <v>3.7232197</v>
      </c>
      <c r="BL413" s="10">
        <v>3.7059191999999999</v>
      </c>
      <c r="BM413" s="10">
        <v>3.6894550000000002</v>
      </c>
      <c r="BN413" s="10">
        <v>3.6737991000000001</v>
      </c>
      <c r="BO413" s="10">
        <v>3.6589228</v>
      </c>
      <c r="BP413" s="10">
        <v>3.6447972000000002</v>
      </c>
      <c r="BQ413" s="10">
        <v>3.6313944</v>
      </c>
      <c r="BR413" s="10">
        <v>3.5649549999999999</v>
      </c>
      <c r="BS413" s="10">
        <v>3.5198100000000001</v>
      </c>
      <c r="BU413" s="7">
        <v>4.9400000000000004</v>
      </c>
      <c r="BV413" s="7">
        <v>4.26</v>
      </c>
      <c r="BW413" s="9">
        <v>82.095500000000001</v>
      </c>
    </row>
    <row r="414" spans="1:75" x14ac:dyDescent="0.25">
      <c r="A414" s="6">
        <f t="shared" si="41"/>
        <v>45132</v>
      </c>
      <c r="B414" s="13">
        <f t="shared" si="36"/>
        <v>7</v>
      </c>
      <c r="C414" s="13">
        <f t="shared" si="37"/>
        <v>2023</v>
      </c>
      <c r="D414">
        <f t="shared" si="38"/>
        <v>202307</v>
      </c>
      <c r="E414">
        <f t="shared" si="39"/>
        <v>3</v>
      </c>
      <c r="F414">
        <f t="shared" si="40"/>
        <v>202303</v>
      </c>
      <c r="G414" t="s">
        <v>601</v>
      </c>
      <c r="H414" s="9">
        <v>5</v>
      </c>
      <c r="I414" s="9">
        <v>4.9307999999999996</v>
      </c>
      <c r="J414" s="10">
        <v>5.2975652000000002</v>
      </c>
      <c r="K414" s="10">
        <v>5.4357331999999996</v>
      </c>
      <c r="L414" s="10">
        <v>5.5795579000000002</v>
      </c>
      <c r="M414" s="10">
        <v>5.6934956000000003</v>
      </c>
      <c r="N414" s="10">
        <v>5.7666709999999997</v>
      </c>
      <c r="O414" s="10">
        <v>5.8064594999999999</v>
      </c>
      <c r="P414" s="10">
        <v>5.8233375000000001</v>
      </c>
      <c r="Q414" s="10">
        <v>5.8261830000000003</v>
      </c>
      <c r="R414" s="10">
        <v>5.8204713999999997</v>
      </c>
      <c r="S414" s="10">
        <v>5.8085341000000001</v>
      </c>
      <c r="T414" s="10">
        <v>5.7904286999999997</v>
      </c>
      <c r="U414" s="10">
        <v>5.7649575999999998</v>
      </c>
      <c r="V414" s="10">
        <v>5.7292632000000001</v>
      </c>
      <c r="W414" s="10">
        <v>5.6834693999999999</v>
      </c>
      <c r="X414" s="10">
        <v>5.6287156999999999</v>
      </c>
      <c r="Y414" s="10">
        <v>5.5661396999999999</v>
      </c>
      <c r="Z414" s="10">
        <v>5.4968788000000002</v>
      </c>
      <c r="AA414" s="10">
        <v>5.4220728999999999</v>
      </c>
      <c r="AB414" s="10">
        <v>5.3428848000000002</v>
      </c>
      <c r="AC414" s="10">
        <v>5.2606355999999996</v>
      </c>
      <c r="AD414" s="10">
        <v>5.1767108000000004</v>
      </c>
      <c r="AE414" s="10">
        <v>5.0924931000000004</v>
      </c>
      <c r="AF414" s="10">
        <v>5.0093651000000001</v>
      </c>
      <c r="AG414" s="10">
        <v>4.9287124000000002</v>
      </c>
      <c r="AH414" s="10">
        <v>4.8516890999999998</v>
      </c>
      <c r="AI414" s="10">
        <v>4.7784399999999998</v>
      </c>
      <c r="AJ414" s="10">
        <v>4.7088339000000001</v>
      </c>
      <c r="AK414" s="10">
        <v>4.6427373000000003</v>
      </c>
      <c r="AL414" s="10">
        <v>4.5800165000000002</v>
      </c>
      <c r="AM414" s="10">
        <v>4.5205403000000004</v>
      </c>
      <c r="AN414" s="10">
        <v>4.464175</v>
      </c>
      <c r="AO414" s="10">
        <v>4.4107871999999997</v>
      </c>
      <c r="AP414" s="10">
        <v>4.3602455000000004</v>
      </c>
      <c r="AQ414" s="10">
        <v>4.3124162999999998</v>
      </c>
      <c r="AR414" s="10">
        <v>4.2671663000000004</v>
      </c>
      <c r="AS414" s="10">
        <v>4.2243637999999999</v>
      </c>
      <c r="AT414" s="10">
        <v>4.1838766999999999</v>
      </c>
      <c r="AU414" s="10">
        <v>4.1455801000000001</v>
      </c>
      <c r="AV414" s="10">
        <v>4.1093526999999996</v>
      </c>
      <c r="AW414" s="10">
        <v>4.0750719000000002</v>
      </c>
      <c r="AX414" s="10">
        <v>4.0426152999999996</v>
      </c>
      <c r="AY414" s="10">
        <v>4.0118613999999999</v>
      </c>
      <c r="AZ414" s="10">
        <v>3.9826877999999999</v>
      </c>
      <c r="BA414" s="10">
        <v>3.9549718999999999</v>
      </c>
      <c r="BB414" s="10">
        <v>3.9285923999999999</v>
      </c>
      <c r="BC414" s="10">
        <v>3.9034266</v>
      </c>
      <c r="BD414" s="10">
        <v>3.8793522999999999</v>
      </c>
      <c r="BE414" s="10">
        <v>3.8562476999999999</v>
      </c>
      <c r="BF414" s="10">
        <v>3.8340051000000002</v>
      </c>
      <c r="BG414" s="10">
        <v>3.8125870000000002</v>
      </c>
      <c r="BH414" s="10">
        <v>3.7919782</v>
      </c>
      <c r="BI414" s="10">
        <v>3.7721629999999999</v>
      </c>
      <c r="BJ414" s="10">
        <v>3.7531253000000002</v>
      </c>
      <c r="BK414" s="10">
        <v>3.7348501000000001</v>
      </c>
      <c r="BL414" s="10">
        <v>3.7173215000000002</v>
      </c>
      <c r="BM414" s="10">
        <v>3.7005235999999999</v>
      </c>
      <c r="BN414" s="10">
        <v>3.6844412000000002</v>
      </c>
      <c r="BO414" s="10">
        <v>3.6690583999999999</v>
      </c>
      <c r="BP414" s="10">
        <v>3.6543595</v>
      </c>
      <c r="BQ414" s="10">
        <v>3.6403292</v>
      </c>
      <c r="BR414" s="10">
        <v>3.5694376999999999</v>
      </c>
      <c r="BS414" s="10">
        <v>3.5194698999999998</v>
      </c>
      <c r="BU414" s="7">
        <v>4.97</v>
      </c>
      <c r="BV414" s="7">
        <v>4.2699999999999996</v>
      </c>
      <c r="BW414" s="9">
        <v>82.358900000000006</v>
      </c>
    </row>
    <row r="415" spans="1:75" x14ac:dyDescent="0.25">
      <c r="A415" s="6">
        <f t="shared" si="41"/>
        <v>45133</v>
      </c>
      <c r="B415" s="13">
        <f t="shared" si="36"/>
        <v>7</v>
      </c>
      <c r="C415" s="13">
        <f t="shared" si="37"/>
        <v>2023</v>
      </c>
      <c r="D415">
        <f t="shared" si="38"/>
        <v>202307</v>
      </c>
      <c r="E415">
        <f t="shared" si="39"/>
        <v>3</v>
      </c>
      <c r="F415">
        <f t="shared" si="40"/>
        <v>202303</v>
      </c>
      <c r="G415" t="s">
        <v>602</v>
      </c>
      <c r="H415" s="9">
        <v>5</v>
      </c>
      <c r="I415" s="9">
        <v>4.931</v>
      </c>
      <c r="J415" s="10">
        <v>5.2951411999999998</v>
      </c>
      <c r="K415" s="10">
        <v>5.4518398000000001</v>
      </c>
      <c r="L415" s="10">
        <v>5.6117033000000003</v>
      </c>
      <c r="M415" s="10">
        <v>5.7417543000000002</v>
      </c>
      <c r="N415" s="10">
        <v>5.8311260000000003</v>
      </c>
      <c r="O415" s="10">
        <v>5.8859712999999996</v>
      </c>
      <c r="P415" s="10">
        <v>5.9145028999999996</v>
      </c>
      <c r="Q415" s="10">
        <v>5.9247179000000001</v>
      </c>
      <c r="R415" s="10">
        <v>5.9225935999999999</v>
      </c>
      <c r="S415" s="10">
        <v>5.9114056000000001</v>
      </c>
      <c r="T415" s="10">
        <v>5.8925023000000003</v>
      </c>
      <c r="U415" s="10">
        <v>5.8657557999999996</v>
      </c>
      <c r="V415" s="10">
        <v>5.8303241999999997</v>
      </c>
      <c r="W415" s="10">
        <v>5.7865849000000003</v>
      </c>
      <c r="X415" s="10">
        <v>5.7353103000000001</v>
      </c>
      <c r="Y415" s="10">
        <v>5.6772714999999998</v>
      </c>
      <c r="Z415" s="10">
        <v>5.6132391000000004</v>
      </c>
      <c r="AA415" s="10">
        <v>5.5439860000000003</v>
      </c>
      <c r="AB415" s="10">
        <v>5.4703267000000002</v>
      </c>
      <c r="AC415" s="10">
        <v>5.3933226000000003</v>
      </c>
      <c r="AD415" s="10">
        <v>5.3141249000000004</v>
      </c>
      <c r="AE415" s="10">
        <v>5.2338822</v>
      </c>
      <c r="AF415" s="10">
        <v>5.1537430000000004</v>
      </c>
      <c r="AG415" s="10">
        <v>5.0748585999999998</v>
      </c>
      <c r="AH415" s="10">
        <v>4.9982366999999996</v>
      </c>
      <c r="AI415" s="10">
        <v>4.9241264999999999</v>
      </c>
      <c r="AJ415" s="10">
        <v>4.8525254999999996</v>
      </c>
      <c r="AK415" s="10">
        <v>4.7834285000000003</v>
      </c>
      <c r="AL415" s="10">
        <v>4.7168302000000004</v>
      </c>
      <c r="AM415" s="10">
        <v>4.6527278000000001</v>
      </c>
      <c r="AN415" s="10">
        <v>4.5911162000000001</v>
      </c>
      <c r="AO415" s="10">
        <v>4.5319902000000001</v>
      </c>
      <c r="AP415" s="10">
        <v>4.4753468999999999</v>
      </c>
      <c r="AQ415" s="10">
        <v>4.4211811000000001</v>
      </c>
      <c r="AR415" s="10">
        <v>4.3694877999999999</v>
      </c>
      <c r="AS415" s="10">
        <v>4.3202638000000002</v>
      </c>
      <c r="AT415" s="10">
        <v>4.2734893999999999</v>
      </c>
      <c r="AU415" s="10">
        <v>4.2290728</v>
      </c>
      <c r="AV415" s="10">
        <v>4.1869019999999999</v>
      </c>
      <c r="AW415" s="10">
        <v>4.1468632000000003</v>
      </c>
      <c r="AX415" s="10">
        <v>4.1088429</v>
      </c>
      <c r="AY415" s="10">
        <v>4.0727289999999998</v>
      </c>
      <c r="AZ415" s="10">
        <v>4.0384076999999996</v>
      </c>
      <c r="BA415" s="10">
        <v>4.0057656000000001</v>
      </c>
      <c r="BB415" s="10">
        <v>3.9746904000000001</v>
      </c>
      <c r="BC415" s="10">
        <v>3.9450685000000001</v>
      </c>
      <c r="BD415" s="10">
        <v>3.9167865000000002</v>
      </c>
      <c r="BE415" s="10">
        <v>3.8897319000000001</v>
      </c>
      <c r="BF415" s="10">
        <v>3.8638034000000001</v>
      </c>
      <c r="BG415" s="10">
        <v>3.8389536</v>
      </c>
      <c r="BH415" s="10">
        <v>3.8151506999999998</v>
      </c>
      <c r="BI415" s="10">
        <v>3.7923623000000002</v>
      </c>
      <c r="BJ415" s="10">
        <v>3.7705557999999999</v>
      </c>
      <c r="BK415" s="10">
        <v>3.7496993000000001</v>
      </c>
      <c r="BL415" s="10">
        <v>3.7297603000000001</v>
      </c>
      <c r="BM415" s="10">
        <v>3.7107063</v>
      </c>
      <c r="BN415" s="10">
        <v>3.6925055000000002</v>
      </c>
      <c r="BO415" s="10">
        <v>3.6751252999999999</v>
      </c>
      <c r="BP415" s="10">
        <v>3.6585331999999999</v>
      </c>
      <c r="BQ415" s="10">
        <v>3.6426973</v>
      </c>
      <c r="BR415" s="10">
        <v>3.5623665</v>
      </c>
      <c r="BS415" s="10">
        <v>3.5048954000000001</v>
      </c>
      <c r="BU415" s="7">
        <v>5.03</v>
      </c>
      <c r="BV415" s="7">
        <v>4.29</v>
      </c>
      <c r="BW415" s="9">
        <v>82.732100000000003</v>
      </c>
    </row>
    <row r="416" spans="1:75" x14ac:dyDescent="0.25">
      <c r="A416" s="6">
        <f t="shared" si="41"/>
        <v>45134</v>
      </c>
      <c r="B416" s="13">
        <f t="shared" si="36"/>
        <v>7</v>
      </c>
      <c r="C416" s="13">
        <f t="shared" si="37"/>
        <v>2023</v>
      </c>
      <c r="D416">
        <f t="shared" si="38"/>
        <v>202307</v>
      </c>
      <c r="E416">
        <f t="shared" si="39"/>
        <v>3</v>
      </c>
      <c r="F416">
        <f t="shared" si="40"/>
        <v>202303</v>
      </c>
      <c r="G416" t="s">
        <v>603</v>
      </c>
      <c r="H416" s="9">
        <v>5</v>
      </c>
      <c r="I416" s="9">
        <v>4.931</v>
      </c>
      <c r="J416" s="10">
        <v>5.2750924000000001</v>
      </c>
      <c r="K416" s="10">
        <v>5.4269422</v>
      </c>
      <c r="L416" s="10">
        <v>5.5775949999999996</v>
      </c>
      <c r="M416" s="10">
        <v>5.6951131999999998</v>
      </c>
      <c r="N416" s="10">
        <v>5.7714559999999997</v>
      </c>
      <c r="O416" s="10">
        <v>5.8147029999999997</v>
      </c>
      <c r="P416" s="10">
        <v>5.8351335999999998</v>
      </c>
      <c r="Q416" s="10">
        <v>5.8401449000000003</v>
      </c>
      <c r="R416" s="10">
        <v>5.8346947</v>
      </c>
      <c r="S416" s="10">
        <v>5.8207125</v>
      </c>
      <c r="T416" s="10">
        <v>5.7988840000000001</v>
      </c>
      <c r="U416" s="10">
        <v>5.7688950999999999</v>
      </c>
      <c r="V416" s="10">
        <v>5.7298359000000003</v>
      </c>
      <c r="W416" s="10">
        <v>5.6823180000000004</v>
      </c>
      <c r="X416" s="10">
        <v>5.6275329000000003</v>
      </c>
      <c r="Y416" s="10">
        <v>5.5666707000000004</v>
      </c>
      <c r="Z416" s="10">
        <v>5.5009212999999999</v>
      </c>
      <c r="AA416" s="10">
        <v>5.4314771000000004</v>
      </c>
      <c r="AB416" s="10">
        <v>5.3594884</v>
      </c>
      <c r="AC416" s="10">
        <v>5.2859024999999997</v>
      </c>
      <c r="AD416" s="10">
        <v>5.2116047999999999</v>
      </c>
      <c r="AE416" s="10">
        <v>5.1374776999999998</v>
      </c>
      <c r="AF416" s="10">
        <v>5.0644039000000003</v>
      </c>
      <c r="AG416" s="10">
        <v>4.9932685000000001</v>
      </c>
      <c r="AH416" s="10">
        <v>4.9248222999999998</v>
      </c>
      <c r="AI416" s="10">
        <v>4.8591727999999996</v>
      </c>
      <c r="AJ416" s="10">
        <v>4.7962343000000001</v>
      </c>
      <c r="AK416" s="10">
        <v>4.7359188999999997</v>
      </c>
      <c r="AL416" s="10">
        <v>4.6781383999999999</v>
      </c>
      <c r="AM416" s="10">
        <v>4.6228071000000002</v>
      </c>
      <c r="AN416" s="10">
        <v>4.5698368</v>
      </c>
      <c r="AO416" s="10">
        <v>4.5191397999999996</v>
      </c>
      <c r="AP416" s="10">
        <v>4.4706298000000002</v>
      </c>
      <c r="AQ416" s="10">
        <v>4.4242191000000002</v>
      </c>
      <c r="AR416" s="10">
        <v>4.3798199000000002</v>
      </c>
      <c r="AS416" s="10">
        <v>4.3373457999999996</v>
      </c>
      <c r="AT416" s="10">
        <v>4.2967101000000003</v>
      </c>
      <c r="AU416" s="10">
        <v>4.2578309000000001</v>
      </c>
      <c r="AV416" s="10">
        <v>4.2206291</v>
      </c>
      <c r="AW416" s="10">
        <v>4.1850240000000003</v>
      </c>
      <c r="AX416" s="10">
        <v>4.1509349999999996</v>
      </c>
      <c r="AY416" s="10">
        <v>4.1182828999999996</v>
      </c>
      <c r="AZ416" s="10">
        <v>4.0869872000000003</v>
      </c>
      <c r="BA416" s="10">
        <v>4.0569671999999999</v>
      </c>
      <c r="BB416" s="10">
        <v>4.0281437000000002</v>
      </c>
      <c r="BC416" s="10">
        <v>4.0004359999999997</v>
      </c>
      <c r="BD416" s="10">
        <v>3.9737638999999998</v>
      </c>
      <c r="BE416" s="10">
        <v>3.9480477</v>
      </c>
      <c r="BF416" s="10">
        <v>3.9232170000000002</v>
      </c>
      <c r="BG416" s="10">
        <v>3.8992456999999998</v>
      </c>
      <c r="BH416" s="10">
        <v>3.8761206000000001</v>
      </c>
      <c r="BI416" s="10">
        <v>3.8538275999999998</v>
      </c>
      <c r="BJ416" s="10">
        <v>3.8323527999999998</v>
      </c>
      <c r="BK416" s="10">
        <v>3.8116829999999999</v>
      </c>
      <c r="BL416" s="10">
        <v>3.7918042000000001</v>
      </c>
      <c r="BM416" s="10">
        <v>3.7727024999999998</v>
      </c>
      <c r="BN416" s="10">
        <v>3.7543646000000002</v>
      </c>
      <c r="BO416" s="10">
        <v>3.7367764999999999</v>
      </c>
      <c r="BP416" s="10">
        <v>3.7199244</v>
      </c>
      <c r="BQ416" s="10">
        <v>3.7037949000000001</v>
      </c>
      <c r="BR416" s="10">
        <v>3.621534</v>
      </c>
      <c r="BS416" s="10">
        <v>3.5625224000000002</v>
      </c>
      <c r="BU416" s="7">
        <v>5.0199999999999996</v>
      </c>
      <c r="BV416" s="7">
        <v>4.3099999999999996</v>
      </c>
      <c r="BW416" s="9">
        <v>82.528499999999994</v>
      </c>
    </row>
    <row r="417" spans="1:75" x14ac:dyDescent="0.25">
      <c r="A417" s="6">
        <f t="shared" si="41"/>
        <v>45135</v>
      </c>
      <c r="B417" s="13">
        <f t="shared" si="36"/>
        <v>7</v>
      </c>
      <c r="C417" s="13">
        <f t="shared" si="37"/>
        <v>2023</v>
      </c>
      <c r="D417">
        <f t="shared" si="38"/>
        <v>202307</v>
      </c>
      <c r="E417">
        <f t="shared" si="39"/>
        <v>3</v>
      </c>
      <c r="F417">
        <f t="shared" si="40"/>
        <v>202303</v>
      </c>
      <c r="G417" t="s">
        <v>604</v>
      </c>
      <c r="H417" s="9">
        <v>5</v>
      </c>
      <c r="I417" s="9">
        <v>4.9314999999999998</v>
      </c>
      <c r="J417" s="10">
        <v>5.2761015000000002</v>
      </c>
      <c r="K417" s="10">
        <v>5.4176323999999996</v>
      </c>
      <c r="L417" s="10">
        <v>5.5555976999999999</v>
      </c>
      <c r="M417" s="10">
        <v>5.6608128999999998</v>
      </c>
      <c r="N417" s="10">
        <v>5.7267028</v>
      </c>
      <c r="O417" s="10">
        <v>5.7625162000000003</v>
      </c>
      <c r="P417" s="10">
        <v>5.7785548999999996</v>
      </c>
      <c r="Q417" s="10">
        <v>5.7823842000000001</v>
      </c>
      <c r="R417" s="10">
        <v>5.7782855</v>
      </c>
      <c r="S417" s="10">
        <v>5.7677925999999999</v>
      </c>
      <c r="T417" s="10">
        <v>5.7507501000000003</v>
      </c>
      <c r="U417" s="10">
        <v>5.7262063000000003</v>
      </c>
      <c r="V417" s="10">
        <v>5.6920935000000004</v>
      </c>
      <c r="W417" s="10">
        <v>5.6487847000000002</v>
      </c>
      <c r="X417" s="10">
        <v>5.5975456000000001</v>
      </c>
      <c r="Y417" s="10">
        <v>5.5396410999999999</v>
      </c>
      <c r="Z417" s="10">
        <v>5.4763356999999999</v>
      </c>
      <c r="AA417" s="10">
        <v>5.4088959000000001</v>
      </c>
      <c r="AB417" s="10">
        <v>5.3385467999999996</v>
      </c>
      <c r="AC417" s="10">
        <v>5.2663099999999998</v>
      </c>
      <c r="AD417" s="10">
        <v>5.1931450999999997</v>
      </c>
      <c r="AE417" s="10">
        <v>5.1200090999999999</v>
      </c>
      <c r="AF417" s="10">
        <v>5.0478589999999999</v>
      </c>
      <c r="AG417" s="10">
        <v>4.9776541999999999</v>
      </c>
      <c r="AH417" s="10">
        <v>4.9101941</v>
      </c>
      <c r="AI417" s="10">
        <v>4.8455817000000003</v>
      </c>
      <c r="AJ417" s="10">
        <v>4.7837304999999999</v>
      </c>
      <c r="AK417" s="10">
        <v>4.7245512999999999</v>
      </c>
      <c r="AL417" s="10">
        <v>4.6679554000000003</v>
      </c>
      <c r="AM417" s="10">
        <v>4.6138560000000002</v>
      </c>
      <c r="AN417" s="10">
        <v>4.5621641000000004</v>
      </c>
      <c r="AO417" s="10">
        <v>4.5127908999999997</v>
      </c>
      <c r="AP417" s="10">
        <v>4.4656494000000002</v>
      </c>
      <c r="AQ417" s="10">
        <v>4.4206509</v>
      </c>
      <c r="AR417" s="10">
        <v>4.3777065999999998</v>
      </c>
      <c r="AS417" s="10">
        <v>4.3367294000000003</v>
      </c>
      <c r="AT417" s="10">
        <v>4.297631</v>
      </c>
      <c r="AU417" s="10">
        <v>4.2603261999999997</v>
      </c>
      <c r="AV417" s="10">
        <v>4.2247313000000002</v>
      </c>
      <c r="AW417" s="10">
        <v>4.1907616000000001</v>
      </c>
      <c r="AX417" s="10">
        <v>4.1583322999999996</v>
      </c>
      <c r="AY417" s="10">
        <v>4.1273600000000004</v>
      </c>
      <c r="AZ417" s="10">
        <v>4.0977598999999998</v>
      </c>
      <c r="BA417" s="10">
        <v>4.0694471999999999</v>
      </c>
      <c r="BB417" s="10">
        <v>4.0423384000000002</v>
      </c>
      <c r="BC417" s="10">
        <v>4.0163488000000003</v>
      </c>
      <c r="BD417" s="10">
        <v>3.9913937000000002</v>
      </c>
      <c r="BE417" s="10">
        <v>3.9673894000000001</v>
      </c>
      <c r="BF417" s="10">
        <v>3.9442613</v>
      </c>
      <c r="BG417" s="10">
        <v>3.9219794000000001</v>
      </c>
      <c r="BH417" s="10">
        <v>3.9005269999999999</v>
      </c>
      <c r="BI417" s="10">
        <v>3.8798862000000001</v>
      </c>
      <c r="BJ417" s="10">
        <v>3.8600393</v>
      </c>
      <c r="BK417" s="10">
        <v>3.8409696000000002</v>
      </c>
      <c r="BL417" s="10">
        <v>3.8226591999999999</v>
      </c>
      <c r="BM417" s="10">
        <v>3.8050906000000002</v>
      </c>
      <c r="BN417" s="10">
        <v>3.7882467000000002</v>
      </c>
      <c r="BO417" s="10">
        <v>3.7721100000000001</v>
      </c>
      <c r="BP417" s="10">
        <v>3.7566627000000001</v>
      </c>
      <c r="BQ417" s="10">
        <v>3.7418879</v>
      </c>
      <c r="BR417" s="10">
        <v>3.6666449999999999</v>
      </c>
      <c r="BS417" s="10">
        <v>3.6128361</v>
      </c>
      <c r="BU417" s="7">
        <v>4.9800000000000004</v>
      </c>
      <c r="BV417" s="7">
        <v>4.33</v>
      </c>
      <c r="BW417" s="9">
        <v>82.506699999999995</v>
      </c>
    </row>
    <row r="418" spans="1:75" x14ac:dyDescent="0.25">
      <c r="A418" s="6">
        <f t="shared" si="41"/>
        <v>45138</v>
      </c>
      <c r="B418" s="13">
        <f t="shared" si="36"/>
        <v>7</v>
      </c>
      <c r="C418" s="13">
        <f t="shared" si="37"/>
        <v>2023</v>
      </c>
      <c r="D418">
        <f t="shared" si="38"/>
        <v>202307</v>
      </c>
      <c r="E418">
        <f t="shared" si="39"/>
        <v>3</v>
      </c>
      <c r="F418">
        <f t="shared" si="40"/>
        <v>202303</v>
      </c>
      <c r="G418" t="s">
        <v>605</v>
      </c>
      <c r="H418" s="9">
        <v>5</v>
      </c>
      <c r="I418" s="9">
        <v>4.9303999999999997</v>
      </c>
      <c r="J418" s="10">
        <v>5.2787240999999998</v>
      </c>
      <c r="K418" s="10">
        <v>5.4346369000000001</v>
      </c>
      <c r="L418" s="10">
        <v>5.5805059999999997</v>
      </c>
      <c r="M418" s="10">
        <v>5.6862988000000003</v>
      </c>
      <c r="N418" s="10">
        <v>5.7502727</v>
      </c>
      <c r="O418" s="10">
        <v>5.7822240999999996</v>
      </c>
      <c r="P418" s="10">
        <v>5.7934951999999997</v>
      </c>
      <c r="Q418" s="10">
        <v>5.7936075999999996</v>
      </c>
      <c r="R418" s="10">
        <v>5.7876718</v>
      </c>
      <c r="S418" s="10">
        <v>5.7774504000000002</v>
      </c>
      <c r="T418" s="10">
        <v>5.7624190999999998</v>
      </c>
      <c r="U418" s="10">
        <v>5.7410024000000002</v>
      </c>
      <c r="V418" s="10">
        <v>5.7097914000000003</v>
      </c>
      <c r="W418" s="10">
        <v>5.6687437999999997</v>
      </c>
      <c r="X418" s="10">
        <v>5.6189675000000001</v>
      </c>
      <c r="Y418" s="10">
        <v>5.5615686000000002</v>
      </c>
      <c r="Z418" s="10">
        <v>5.4976532999999996</v>
      </c>
      <c r="AA418" s="10">
        <v>5.4283298000000002</v>
      </c>
      <c r="AB418" s="10">
        <v>5.3547221</v>
      </c>
      <c r="AC418" s="10">
        <v>5.2780455999999996</v>
      </c>
      <c r="AD418" s="10">
        <v>5.1995475000000004</v>
      </c>
      <c r="AE418" s="10">
        <v>5.1204726999999997</v>
      </c>
      <c r="AF418" s="10">
        <v>5.0420655999999999</v>
      </c>
      <c r="AG418" s="10">
        <v>4.9655737999999996</v>
      </c>
      <c r="AH418" s="10">
        <v>4.8920415000000004</v>
      </c>
      <c r="AI418" s="10">
        <v>4.8216285000000001</v>
      </c>
      <c r="AJ418" s="10">
        <v>4.7542530999999997</v>
      </c>
      <c r="AK418" s="10">
        <v>4.6898308000000002</v>
      </c>
      <c r="AL418" s="10">
        <v>4.6282775999999997</v>
      </c>
      <c r="AM418" s="10">
        <v>4.5695114999999999</v>
      </c>
      <c r="AN418" s="10">
        <v>4.5134483000000003</v>
      </c>
      <c r="AO418" s="10">
        <v>4.4600039999999996</v>
      </c>
      <c r="AP418" s="10">
        <v>4.4090961999999996</v>
      </c>
      <c r="AQ418" s="10">
        <v>4.3606410999999996</v>
      </c>
      <c r="AR418" s="10">
        <v>4.3145544999999998</v>
      </c>
      <c r="AS418" s="10">
        <v>4.2707541000000004</v>
      </c>
      <c r="AT418" s="10">
        <v>4.2291533000000001</v>
      </c>
      <c r="AU418" s="10">
        <v>4.1896528999999996</v>
      </c>
      <c r="AV418" s="10">
        <v>4.1521523</v>
      </c>
      <c r="AW418" s="10">
        <v>4.116549</v>
      </c>
      <c r="AX418" s="10">
        <v>4.0827410000000004</v>
      </c>
      <c r="AY418" s="10">
        <v>4.0506270999999998</v>
      </c>
      <c r="AZ418" s="10">
        <v>4.0201051999999997</v>
      </c>
      <c r="BA418" s="10">
        <v>3.9910730999999999</v>
      </c>
      <c r="BB418" s="10">
        <v>3.9634296999999998</v>
      </c>
      <c r="BC418" s="10">
        <v>3.9370729</v>
      </c>
      <c r="BD418" s="10">
        <v>3.9119004999999998</v>
      </c>
      <c r="BE418" s="10">
        <v>3.8878111999999998</v>
      </c>
      <c r="BF418" s="10">
        <v>3.8647127000000001</v>
      </c>
      <c r="BG418" s="10">
        <v>3.8425642999999998</v>
      </c>
      <c r="BH418" s="10">
        <v>3.8213433000000001</v>
      </c>
      <c r="BI418" s="10">
        <v>3.8010264</v>
      </c>
      <c r="BJ418" s="10">
        <v>3.7815905000000001</v>
      </c>
      <c r="BK418" s="10">
        <v>3.7630127999999998</v>
      </c>
      <c r="BL418" s="10">
        <v>3.7452702000000002</v>
      </c>
      <c r="BM418" s="10">
        <v>3.7283392000000002</v>
      </c>
      <c r="BN418" s="10">
        <v>3.7121974</v>
      </c>
      <c r="BO418" s="10">
        <v>3.6968214000000001</v>
      </c>
      <c r="BP418" s="10">
        <v>3.682188</v>
      </c>
      <c r="BQ418" s="10">
        <v>3.6682744</v>
      </c>
      <c r="BR418" s="10">
        <v>3.5988752000000002</v>
      </c>
      <c r="BS418" s="10">
        <v>3.5511659999999998</v>
      </c>
      <c r="BU418" s="7">
        <v>4.97</v>
      </c>
      <c r="BV418" s="7">
        <v>4.3</v>
      </c>
      <c r="BW418" s="9">
        <v>82.518199999999993</v>
      </c>
    </row>
    <row r="419" spans="1:75" x14ac:dyDescent="0.25">
      <c r="A419" s="6">
        <f t="shared" si="41"/>
        <v>45139</v>
      </c>
      <c r="B419" s="13">
        <f t="shared" si="36"/>
        <v>8</v>
      </c>
      <c r="C419" s="13">
        <f t="shared" si="37"/>
        <v>2023</v>
      </c>
      <c r="D419">
        <f t="shared" si="38"/>
        <v>202308</v>
      </c>
      <c r="E419">
        <f t="shared" si="39"/>
        <v>3</v>
      </c>
      <c r="F419">
        <f t="shared" si="40"/>
        <v>202303</v>
      </c>
      <c r="G419" t="s">
        <v>606</v>
      </c>
      <c r="H419" s="9">
        <v>5</v>
      </c>
      <c r="I419" s="9">
        <v>4.9306999999999999</v>
      </c>
      <c r="J419" s="10">
        <v>5.2912105</v>
      </c>
      <c r="K419" s="10">
        <v>5.4430037000000002</v>
      </c>
      <c r="L419" s="10">
        <v>5.5855407000000001</v>
      </c>
      <c r="M419" s="10">
        <v>5.6936697000000001</v>
      </c>
      <c r="N419" s="10">
        <v>5.7623182000000002</v>
      </c>
      <c r="O419" s="10">
        <v>5.8003175999999996</v>
      </c>
      <c r="P419" s="10">
        <v>5.8186399</v>
      </c>
      <c r="Q419" s="10">
        <v>5.8262837000000003</v>
      </c>
      <c r="R419" s="10">
        <v>5.8283614000000004</v>
      </c>
      <c r="S419" s="10">
        <v>5.8265846000000003</v>
      </c>
      <c r="T419" s="10">
        <v>5.8202550000000004</v>
      </c>
      <c r="U419" s="10">
        <v>5.8073503999999998</v>
      </c>
      <c r="V419" s="10">
        <v>5.7842625999999999</v>
      </c>
      <c r="W419" s="10">
        <v>5.7508777999999996</v>
      </c>
      <c r="X419" s="10">
        <v>5.7082215999999999</v>
      </c>
      <c r="Y419" s="10">
        <v>5.6573181000000003</v>
      </c>
      <c r="Z419" s="10">
        <v>5.5991911999999999</v>
      </c>
      <c r="AA419" s="10">
        <v>5.5348670999999996</v>
      </c>
      <c r="AB419" s="10">
        <v>5.4654027999999997</v>
      </c>
      <c r="AC419" s="10">
        <v>5.3920624999999998</v>
      </c>
      <c r="AD419" s="10">
        <v>5.3161933000000001</v>
      </c>
      <c r="AE419" s="10">
        <v>5.2391398000000002</v>
      </c>
      <c r="AF419" s="10">
        <v>5.1622466999999999</v>
      </c>
      <c r="AG419" s="10">
        <v>5.0868612000000004</v>
      </c>
      <c r="AH419" s="10">
        <v>5.0141179999999999</v>
      </c>
      <c r="AI419" s="10">
        <v>4.9442244999999998</v>
      </c>
      <c r="AJ419" s="10">
        <v>4.8771345999999998</v>
      </c>
      <c r="AK419" s="10">
        <v>4.8128000999999996</v>
      </c>
      <c r="AL419" s="10">
        <v>4.7511723999999997</v>
      </c>
      <c r="AM419" s="10">
        <v>4.6922056000000003</v>
      </c>
      <c r="AN419" s="10">
        <v>4.6358512999999997</v>
      </c>
      <c r="AO419" s="10">
        <v>4.5820612000000001</v>
      </c>
      <c r="AP419" s="10">
        <v>4.5307890000000004</v>
      </c>
      <c r="AQ419" s="10">
        <v>4.4819864999999997</v>
      </c>
      <c r="AR419" s="10">
        <v>4.4356055999999997</v>
      </c>
      <c r="AS419" s="10">
        <v>4.3915996000000002</v>
      </c>
      <c r="AT419" s="10">
        <v>4.3499124</v>
      </c>
      <c r="AU419" s="10">
        <v>4.3104434999999999</v>
      </c>
      <c r="AV419" s="10">
        <v>4.2730793</v>
      </c>
      <c r="AW419" s="10">
        <v>4.2377048000000004</v>
      </c>
      <c r="AX419" s="10">
        <v>4.2042048999999997</v>
      </c>
      <c r="AY419" s="10">
        <v>4.1724657000000001</v>
      </c>
      <c r="AZ419" s="10">
        <v>4.1423724000000002</v>
      </c>
      <c r="BA419" s="10">
        <v>4.1138098000000003</v>
      </c>
      <c r="BB419" s="10">
        <v>4.0866641000000001</v>
      </c>
      <c r="BC419" s="10">
        <v>4.0608202999999996</v>
      </c>
      <c r="BD419" s="10">
        <v>4.0361634000000004</v>
      </c>
      <c r="BE419" s="10">
        <v>4.0125795999999996</v>
      </c>
      <c r="BF419" s="10">
        <v>3.9899656999999999</v>
      </c>
      <c r="BG419" s="10">
        <v>3.9682773</v>
      </c>
      <c r="BH419" s="10">
        <v>3.9474882</v>
      </c>
      <c r="BI419" s="10">
        <v>3.9275717000000001</v>
      </c>
      <c r="BJ419" s="10">
        <v>3.9085008000000001</v>
      </c>
      <c r="BK419" s="10">
        <v>3.8902496000000002</v>
      </c>
      <c r="BL419" s="10">
        <v>3.8727912</v>
      </c>
      <c r="BM419" s="10">
        <v>3.8560987999999998</v>
      </c>
      <c r="BN419" s="10">
        <v>3.8401462</v>
      </c>
      <c r="BO419" s="10">
        <v>3.8249067000000001</v>
      </c>
      <c r="BP419" s="10">
        <v>3.8103535000000002</v>
      </c>
      <c r="BQ419" s="10">
        <v>3.7964604</v>
      </c>
      <c r="BR419" s="10">
        <v>3.7259777999999999</v>
      </c>
      <c r="BS419" s="10">
        <v>3.6756597000000002</v>
      </c>
      <c r="BU419" s="7">
        <v>5.0599999999999996</v>
      </c>
      <c r="BV419" s="7">
        <v>4.41</v>
      </c>
      <c r="BW419" s="9">
        <v>82.162899999999993</v>
      </c>
    </row>
    <row r="420" spans="1:75" x14ac:dyDescent="0.25">
      <c r="A420" s="6">
        <f t="shared" si="41"/>
        <v>45140</v>
      </c>
      <c r="B420" s="13">
        <f t="shared" si="36"/>
        <v>8</v>
      </c>
      <c r="C420" s="13">
        <f t="shared" si="37"/>
        <v>2023</v>
      </c>
      <c r="D420">
        <f t="shared" si="38"/>
        <v>202308</v>
      </c>
      <c r="E420">
        <f t="shared" si="39"/>
        <v>3</v>
      </c>
      <c r="F420">
        <f t="shared" si="40"/>
        <v>202303</v>
      </c>
      <c r="G420" t="s">
        <v>607</v>
      </c>
      <c r="H420" s="9">
        <v>5</v>
      </c>
      <c r="I420" s="9">
        <v>4.9303999999999997</v>
      </c>
      <c r="J420" s="10">
        <v>5.2779104999999999</v>
      </c>
      <c r="K420" s="10">
        <v>5.4236111999999999</v>
      </c>
      <c r="L420" s="10">
        <v>5.5551743</v>
      </c>
      <c r="M420" s="10">
        <v>5.6503898000000001</v>
      </c>
      <c r="N420" s="10">
        <v>5.7056193999999998</v>
      </c>
      <c r="O420" s="10">
        <v>5.7322044999999999</v>
      </c>
      <c r="P420" s="10">
        <v>5.7414274000000001</v>
      </c>
      <c r="Q420" s="10">
        <v>5.7416893</v>
      </c>
      <c r="R420" s="10">
        <v>5.7373957999999998</v>
      </c>
      <c r="S420" s="10">
        <v>5.7297080999999999</v>
      </c>
      <c r="T420" s="10">
        <v>5.7177126999999999</v>
      </c>
      <c r="U420" s="10">
        <v>5.6994856</v>
      </c>
      <c r="V420" s="10">
        <v>5.6716338999999998</v>
      </c>
      <c r="W420" s="10">
        <v>5.6340950999999997</v>
      </c>
      <c r="X420" s="10">
        <v>5.5878952999999996</v>
      </c>
      <c r="Y420" s="10">
        <v>5.5340597000000002</v>
      </c>
      <c r="Z420" s="10">
        <v>5.4736130999999997</v>
      </c>
      <c r="AA420" s="10">
        <v>5.4075822000000002</v>
      </c>
      <c r="AB420" s="10">
        <v>5.3370316000000004</v>
      </c>
      <c r="AC420" s="10">
        <v>5.2632500000000002</v>
      </c>
      <c r="AD420" s="10">
        <v>5.1876081000000003</v>
      </c>
      <c r="AE420" s="10">
        <v>5.1114737999999997</v>
      </c>
      <c r="AF420" s="10">
        <v>5.0362149</v>
      </c>
      <c r="AG420" s="10">
        <v>4.9632021999999996</v>
      </c>
      <c r="AH420" s="10">
        <v>4.8936193000000001</v>
      </c>
      <c r="AI420" s="10">
        <v>4.8276573999999997</v>
      </c>
      <c r="AJ420" s="10">
        <v>4.7651773999999998</v>
      </c>
      <c r="AK420" s="10">
        <v>4.7060374999999999</v>
      </c>
      <c r="AL420" s="10">
        <v>4.6500962000000001</v>
      </c>
      <c r="AM420" s="10">
        <v>4.5972138999999999</v>
      </c>
      <c r="AN420" s="10">
        <v>4.5472488999999996</v>
      </c>
      <c r="AO420" s="10">
        <v>4.5000597999999998</v>
      </c>
      <c r="AP420" s="10">
        <v>4.4555066999999999</v>
      </c>
      <c r="AQ420" s="10">
        <v>4.4134482000000004</v>
      </c>
      <c r="AR420" s="10">
        <v>4.3737428999999999</v>
      </c>
      <c r="AS420" s="10">
        <v>4.3362506999999999</v>
      </c>
      <c r="AT420" s="10">
        <v>4.3008331000000002</v>
      </c>
      <c r="AU420" s="10">
        <v>4.2673658000000003</v>
      </c>
      <c r="AV420" s="10">
        <v>4.2357300000000002</v>
      </c>
      <c r="AW420" s="10">
        <v>4.2058055000000003</v>
      </c>
      <c r="AX420" s="10">
        <v>4.1774724000000001</v>
      </c>
      <c r="AY420" s="10">
        <v>4.1506116999999998</v>
      </c>
      <c r="AZ420" s="10">
        <v>4.1251034000000004</v>
      </c>
      <c r="BA420" s="10">
        <v>4.1008275000000003</v>
      </c>
      <c r="BB420" s="10">
        <v>4.0776649999999997</v>
      </c>
      <c r="BC420" s="10">
        <v>4.0554959999999998</v>
      </c>
      <c r="BD420" s="10">
        <v>4.0342003999999996</v>
      </c>
      <c r="BE420" s="10">
        <v>4.0136592000000002</v>
      </c>
      <c r="BF420" s="10">
        <v>3.9937697000000001</v>
      </c>
      <c r="BG420" s="10">
        <v>3.9745046999999998</v>
      </c>
      <c r="BH420" s="10">
        <v>3.9558589</v>
      </c>
      <c r="BI420" s="10">
        <v>3.9378261999999999</v>
      </c>
      <c r="BJ420" s="10">
        <v>3.9204005999999998</v>
      </c>
      <c r="BK420" s="10">
        <v>3.9035764999999998</v>
      </c>
      <c r="BL420" s="10">
        <v>3.8873479</v>
      </c>
      <c r="BM420" s="10">
        <v>3.8717088</v>
      </c>
      <c r="BN420" s="10">
        <v>3.8566536</v>
      </c>
      <c r="BO420" s="10">
        <v>3.8421763000000002</v>
      </c>
      <c r="BP420" s="10">
        <v>3.8282707999999999</v>
      </c>
      <c r="BQ420" s="10">
        <v>3.8149316999999998</v>
      </c>
      <c r="BR420" s="10">
        <v>3.7464613999999998</v>
      </c>
      <c r="BS420" s="10">
        <v>3.6969197</v>
      </c>
      <c r="BU420" s="7">
        <v>4.99</v>
      </c>
      <c r="BV420" s="7">
        <v>4.4000000000000004</v>
      </c>
      <c r="BW420" s="9">
        <v>81.974199999999996</v>
      </c>
    </row>
    <row r="421" spans="1:75" x14ac:dyDescent="0.25">
      <c r="A421" s="6">
        <f t="shared" si="41"/>
        <v>45141</v>
      </c>
      <c r="B421" s="13">
        <f t="shared" si="36"/>
        <v>8</v>
      </c>
      <c r="C421" s="13">
        <f t="shared" si="37"/>
        <v>2023</v>
      </c>
      <c r="D421">
        <f t="shared" si="38"/>
        <v>202308</v>
      </c>
      <c r="E421">
        <f t="shared" si="39"/>
        <v>3</v>
      </c>
      <c r="F421">
        <f t="shared" si="40"/>
        <v>202303</v>
      </c>
      <c r="G421" t="s">
        <v>608</v>
      </c>
      <c r="H421" s="9">
        <v>5.25</v>
      </c>
      <c r="I421" s="9">
        <v>5.1822999999999997</v>
      </c>
      <c r="J421" s="10">
        <v>5.2072286999999999</v>
      </c>
      <c r="K421" s="10">
        <v>5.3390152999999998</v>
      </c>
      <c r="L421" s="10">
        <v>5.4660133999999996</v>
      </c>
      <c r="M421" s="10">
        <v>5.5686334999999998</v>
      </c>
      <c r="N421" s="10">
        <v>5.6389130999999999</v>
      </c>
      <c r="O421" s="10">
        <v>5.6810305999999997</v>
      </c>
      <c r="P421" s="10">
        <v>5.7020849</v>
      </c>
      <c r="Q421" s="10">
        <v>5.7076982000000003</v>
      </c>
      <c r="R421" s="10">
        <v>5.7024356999999997</v>
      </c>
      <c r="S421" s="10">
        <v>5.6889681999999997</v>
      </c>
      <c r="T421" s="10">
        <v>5.6680811999999996</v>
      </c>
      <c r="U421" s="10">
        <v>5.6398124000000003</v>
      </c>
      <c r="V421" s="10">
        <v>5.6032326000000001</v>
      </c>
      <c r="W421" s="10">
        <v>5.5588844999999996</v>
      </c>
      <c r="X421" s="10">
        <v>5.5079187000000003</v>
      </c>
      <c r="Y421" s="10">
        <v>5.4514845999999997</v>
      </c>
      <c r="Z421" s="10">
        <v>5.3907312000000003</v>
      </c>
      <c r="AA421" s="10">
        <v>5.3268098999999998</v>
      </c>
      <c r="AB421" s="10">
        <v>5.2608328999999996</v>
      </c>
      <c r="AC421" s="10">
        <v>5.1937229</v>
      </c>
      <c r="AD421" s="10">
        <v>5.1263445000000001</v>
      </c>
      <c r="AE421" s="10">
        <v>5.0595600999999997</v>
      </c>
      <c r="AF421" s="10">
        <v>4.9942317000000003</v>
      </c>
      <c r="AG421" s="10">
        <v>4.9312239</v>
      </c>
      <c r="AH421" s="10">
        <v>4.8712631000000002</v>
      </c>
      <c r="AI421" s="10">
        <v>4.8144124000000001</v>
      </c>
      <c r="AJ421" s="10">
        <v>4.7605357000000001</v>
      </c>
      <c r="AK421" s="10">
        <v>4.7094943999999996</v>
      </c>
      <c r="AL421" s="10">
        <v>4.6611501999999998</v>
      </c>
      <c r="AM421" s="10">
        <v>4.6153665999999998</v>
      </c>
      <c r="AN421" s="10">
        <v>4.5720052999999998</v>
      </c>
      <c r="AO421" s="10">
        <v>4.5309280000000003</v>
      </c>
      <c r="AP421" s="10">
        <v>4.4919979000000003</v>
      </c>
      <c r="AQ421" s="10">
        <v>4.4550768999999999</v>
      </c>
      <c r="AR421" s="10">
        <v>4.4200267999999996</v>
      </c>
      <c r="AS421" s="10">
        <v>4.3867105999999998</v>
      </c>
      <c r="AT421" s="10">
        <v>4.3549986000000001</v>
      </c>
      <c r="AU421" s="10">
        <v>4.3247977999999998</v>
      </c>
      <c r="AV421" s="10">
        <v>4.2960266000000003</v>
      </c>
      <c r="AW421" s="10">
        <v>4.2686019999999996</v>
      </c>
      <c r="AX421" s="10">
        <v>4.2424413999999997</v>
      </c>
      <c r="AY421" s="10">
        <v>4.2174630999999998</v>
      </c>
      <c r="AZ421" s="10">
        <v>4.1935840999999998</v>
      </c>
      <c r="BA421" s="10">
        <v>4.1707219000000002</v>
      </c>
      <c r="BB421" s="10">
        <v>4.1487946000000004</v>
      </c>
      <c r="BC421" s="10">
        <v>4.1277195000000004</v>
      </c>
      <c r="BD421" s="10">
        <v>4.1074139000000001</v>
      </c>
      <c r="BE421" s="10">
        <v>4.0877958000000003</v>
      </c>
      <c r="BF421" s="10">
        <v>4.0687948</v>
      </c>
      <c r="BG421" s="10">
        <v>4.0503932999999996</v>
      </c>
      <c r="BH421" s="10">
        <v>4.0325895000000003</v>
      </c>
      <c r="BI421" s="10">
        <v>4.0153806999999997</v>
      </c>
      <c r="BJ421" s="10">
        <v>3.9987642000000001</v>
      </c>
      <c r="BK421" s="10">
        <v>3.9827381000000002</v>
      </c>
      <c r="BL421" s="10">
        <v>3.9672998000000002</v>
      </c>
      <c r="BM421" s="10">
        <v>3.9524465000000002</v>
      </c>
      <c r="BN421" s="10">
        <v>3.9381762999999999</v>
      </c>
      <c r="BO421" s="10">
        <v>3.9244865999999998</v>
      </c>
      <c r="BP421" s="10">
        <v>3.9113747000000001</v>
      </c>
      <c r="BQ421" s="10">
        <v>3.8988385999999999</v>
      </c>
      <c r="BR421" s="10">
        <v>3.8354628000000002</v>
      </c>
      <c r="BS421" s="10">
        <v>3.7915184000000002</v>
      </c>
      <c r="BU421" s="7">
        <v>4.95</v>
      </c>
      <c r="BV421" s="7">
        <v>4.46</v>
      </c>
      <c r="BW421" s="9">
        <v>82.015199999999993</v>
      </c>
    </row>
    <row r="422" spans="1:75" x14ac:dyDescent="0.25">
      <c r="A422" s="6">
        <f t="shared" si="41"/>
        <v>45142</v>
      </c>
      <c r="B422" s="13">
        <f t="shared" si="36"/>
        <v>8</v>
      </c>
      <c r="C422" s="13">
        <f t="shared" si="37"/>
        <v>2023</v>
      </c>
      <c r="D422">
        <f t="shared" si="38"/>
        <v>202308</v>
      </c>
      <c r="E422">
        <f t="shared" si="39"/>
        <v>3</v>
      </c>
      <c r="F422">
        <f t="shared" si="40"/>
        <v>202303</v>
      </c>
      <c r="G422" t="s">
        <v>609</v>
      </c>
      <c r="H422" s="9">
        <v>5.25</v>
      </c>
      <c r="I422" s="9">
        <v>5.1825999999999999</v>
      </c>
      <c r="J422" s="10">
        <v>5.2062993000000004</v>
      </c>
      <c r="K422" s="10">
        <v>5.3368194999999998</v>
      </c>
      <c r="L422" s="10">
        <v>5.4611052000000004</v>
      </c>
      <c r="M422" s="10">
        <v>5.5629825000000004</v>
      </c>
      <c r="N422" s="10">
        <v>5.6361599</v>
      </c>
      <c r="O422" s="10">
        <v>5.6835329999999997</v>
      </c>
      <c r="P422" s="10">
        <v>5.7107713999999996</v>
      </c>
      <c r="Q422" s="10">
        <v>5.7228940000000001</v>
      </c>
      <c r="R422" s="10">
        <v>5.7238603000000001</v>
      </c>
      <c r="S422" s="10">
        <v>5.7157606000000003</v>
      </c>
      <c r="T422" s="10">
        <v>5.6996982999999997</v>
      </c>
      <c r="U422" s="10">
        <v>5.6756713999999997</v>
      </c>
      <c r="V422" s="10">
        <v>5.6421412000000002</v>
      </c>
      <c r="W422" s="10">
        <v>5.5995945000000003</v>
      </c>
      <c r="X422" s="10">
        <v>5.5492884</v>
      </c>
      <c r="Y422" s="10">
        <v>5.4924789000000001</v>
      </c>
      <c r="Z422" s="10">
        <v>5.4304214999999996</v>
      </c>
      <c r="AA422" s="10">
        <v>5.3643739999999998</v>
      </c>
      <c r="AB422" s="10">
        <v>5.2955550000000002</v>
      </c>
      <c r="AC422" s="10">
        <v>5.2249930000000004</v>
      </c>
      <c r="AD422" s="10">
        <v>5.1536586</v>
      </c>
      <c r="AE422" s="10">
        <v>5.0825198</v>
      </c>
      <c r="AF422" s="10">
        <v>5.0125446</v>
      </c>
      <c r="AG422" s="10">
        <v>4.9447035000000001</v>
      </c>
      <c r="AH422" s="10">
        <v>4.8798010999999999</v>
      </c>
      <c r="AI422" s="10">
        <v>4.8179217999999997</v>
      </c>
      <c r="AJ422" s="10">
        <v>4.758953</v>
      </c>
      <c r="AK422" s="10">
        <v>4.7027802000000003</v>
      </c>
      <c r="AL422" s="10">
        <v>4.6492887999999999</v>
      </c>
      <c r="AM422" s="10">
        <v>4.5983662000000001</v>
      </c>
      <c r="AN422" s="10">
        <v>4.5498978000000001</v>
      </c>
      <c r="AO422" s="10">
        <v>4.5037691999999998</v>
      </c>
      <c r="AP422" s="10">
        <v>4.4598675999999999</v>
      </c>
      <c r="AQ422" s="10">
        <v>4.4180786000000003</v>
      </c>
      <c r="AR422" s="10">
        <v>4.3782877999999998</v>
      </c>
      <c r="AS422" s="10">
        <v>4.3403821999999996</v>
      </c>
      <c r="AT422" s="10">
        <v>4.3042518999999997</v>
      </c>
      <c r="AU422" s="10">
        <v>4.2698065999999999</v>
      </c>
      <c r="AV422" s="10">
        <v>4.2369624999999997</v>
      </c>
      <c r="AW422" s="10">
        <v>4.2056347000000001</v>
      </c>
      <c r="AX422" s="10">
        <v>4.1757382999999999</v>
      </c>
      <c r="AY422" s="10">
        <v>4.1471894999999996</v>
      </c>
      <c r="AZ422" s="10">
        <v>4.1199034000000001</v>
      </c>
      <c r="BA422" s="10">
        <v>4.0937951000000004</v>
      </c>
      <c r="BB422" s="10">
        <v>4.0687809000000001</v>
      </c>
      <c r="BC422" s="10">
        <v>4.0447756999999998</v>
      </c>
      <c r="BD422" s="10">
        <v>4.0216947999999997</v>
      </c>
      <c r="BE422" s="10">
        <v>3.9994542000000002</v>
      </c>
      <c r="BF422" s="10">
        <v>3.9779806</v>
      </c>
      <c r="BG422" s="10">
        <v>3.9572512</v>
      </c>
      <c r="BH422" s="10">
        <v>3.9372577</v>
      </c>
      <c r="BI422" s="10">
        <v>3.9179914999999998</v>
      </c>
      <c r="BJ422" s="10">
        <v>3.8994436000000001</v>
      </c>
      <c r="BK422" s="10">
        <v>3.8816058999999998</v>
      </c>
      <c r="BL422" s="10">
        <v>3.8644696000000001</v>
      </c>
      <c r="BM422" s="10">
        <v>3.8480257999999998</v>
      </c>
      <c r="BN422" s="10">
        <v>3.8322663000000001</v>
      </c>
      <c r="BO422" s="10">
        <v>3.8171824000000001</v>
      </c>
      <c r="BP422" s="10">
        <v>3.8027652000000001</v>
      </c>
      <c r="BQ422" s="10">
        <v>3.7890063999999999</v>
      </c>
      <c r="BR422" s="10">
        <v>3.7198376999999998</v>
      </c>
      <c r="BS422" s="10">
        <v>3.6724543000000001</v>
      </c>
      <c r="BU422" s="7">
        <v>4.8899999999999997</v>
      </c>
      <c r="BV422" s="7">
        <v>4.38</v>
      </c>
      <c r="BW422" s="9">
        <v>82.023399999999995</v>
      </c>
    </row>
    <row r="423" spans="1:75" x14ac:dyDescent="0.25">
      <c r="A423" s="6">
        <f t="shared" si="41"/>
        <v>45145</v>
      </c>
      <c r="B423" s="13">
        <f t="shared" si="36"/>
        <v>8</v>
      </c>
      <c r="C423" s="13">
        <f t="shared" si="37"/>
        <v>2023</v>
      </c>
      <c r="D423">
        <f t="shared" si="38"/>
        <v>202308</v>
      </c>
      <c r="E423">
        <f t="shared" si="39"/>
        <v>3</v>
      </c>
      <c r="F423">
        <f t="shared" si="40"/>
        <v>202303</v>
      </c>
      <c r="G423" t="s">
        <v>610</v>
      </c>
      <c r="H423" s="9">
        <v>5.25</v>
      </c>
      <c r="I423" s="9">
        <v>5.1829000000000001</v>
      </c>
      <c r="J423" s="10">
        <v>5.2197453999999999</v>
      </c>
      <c r="K423" s="10">
        <v>5.3573918000000003</v>
      </c>
      <c r="L423" s="10">
        <v>5.4807389999999998</v>
      </c>
      <c r="M423" s="10">
        <v>5.5769212000000001</v>
      </c>
      <c r="N423" s="10">
        <v>5.6426957</v>
      </c>
      <c r="O423" s="10">
        <v>5.6831142999999997</v>
      </c>
      <c r="P423" s="10">
        <v>5.7053503000000001</v>
      </c>
      <c r="Q423" s="10">
        <v>5.7157954000000002</v>
      </c>
      <c r="R423" s="10">
        <v>5.7183098000000001</v>
      </c>
      <c r="S423" s="10">
        <v>5.7145548000000002</v>
      </c>
      <c r="T423" s="10">
        <v>5.7041558999999999</v>
      </c>
      <c r="U423" s="10">
        <v>5.6860815000000002</v>
      </c>
      <c r="V423" s="10">
        <v>5.6579908000000003</v>
      </c>
      <c r="W423" s="10">
        <v>5.6202728000000004</v>
      </c>
      <c r="X423" s="10">
        <v>5.5742409000000004</v>
      </c>
      <c r="Y423" s="10">
        <v>5.5212067999999999</v>
      </c>
      <c r="Z423" s="10">
        <v>5.4624822999999996</v>
      </c>
      <c r="AA423" s="10">
        <v>5.3993811000000003</v>
      </c>
      <c r="AB423" s="10">
        <v>5.3331743999999999</v>
      </c>
      <c r="AC423" s="10">
        <v>5.2649264999999996</v>
      </c>
      <c r="AD423" s="10">
        <v>5.1956378000000001</v>
      </c>
      <c r="AE423" s="10">
        <v>5.1263063999999998</v>
      </c>
      <c r="AF423" s="10">
        <v>5.0579304</v>
      </c>
      <c r="AG423" s="10">
        <v>4.9915102999999998</v>
      </c>
      <c r="AH423" s="10">
        <v>4.9278786999999999</v>
      </c>
      <c r="AI423" s="10">
        <v>4.8671376000000004</v>
      </c>
      <c r="AJ423" s="10">
        <v>4.8091900000000001</v>
      </c>
      <c r="AK423" s="10">
        <v>4.7539362000000001</v>
      </c>
      <c r="AL423" s="10">
        <v>4.7012768999999999</v>
      </c>
      <c r="AM423" s="10">
        <v>4.6511148000000002</v>
      </c>
      <c r="AN423" s="10">
        <v>4.6033504000000001</v>
      </c>
      <c r="AO423" s="10">
        <v>4.5578845000000001</v>
      </c>
      <c r="AP423" s="10">
        <v>4.5146195000000002</v>
      </c>
      <c r="AQ423" s="10">
        <v>4.4734560999999999</v>
      </c>
      <c r="AR423" s="10">
        <v>4.4342950999999999</v>
      </c>
      <c r="AS423" s="10">
        <v>4.3970387000000004</v>
      </c>
      <c r="AT423" s="10">
        <v>4.3615905000000001</v>
      </c>
      <c r="AU423" s="10">
        <v>4.3278656</v>
      </c>
      <c r="AV423" s="10">
        <v>4.2957836</v>
      </c>
      <c r="AW423" s="10">
        <v>4.2652628999999997</v>
      </c>
      <c r="AX423" s="10">
        <v>4.2362221</v>
      </c>
      <c r="AY423" s="10">
        <v>4.2085806999999997</v>
      </c>
      <c r="AZ423" s="10">
        <v>4.1822571000000002</v>
      </c>
      <c r="BA423" s="10">
        <v>4.1571699000000004</v>
      </c>
      <c r="BB423" s="10">
        <v>4.1332385</v>
      </c>
      <c r="BC423" s="10">
        <v>4.1103813999999996</v>
      </c>
      <c r="BD423" s="10">
        <v>4.0885172000000001</v>
      </c>
      <c r="BE423" s="10">
        <v>4.0675651999999998</v>
      </c>
      <c r="BF423" s="10">
        <v>4.0474519000000004</v>
      </c>
      <c r="BG423" s="10">
        <v>4.0281456999999996</v>
      </c>
      <c r="BH423" s="10">
        <v>4.0096299999999996</v>
      </c>
      <c r="BI423" s="10">
        <v>3.9918876000000001</v>
      </c>
      <c r="BJ423" s="10">
        <v>3.974901</v>
      </c>
      <c r="BK423" s="10">
        <v>3.9586535999999999</v>
      </c>
      <c r="BL423" s="10">
        <v>3.9431281</v>
      </c>
      <c r="BM423" s="10">
        <v>3.9283071999999999</v>
      </c>
      <c r="BN423" s="10">
        <v>3.9141742000000002</v>
      </c>
      <c r="BO423" s="10">
        <v>3.9007117999999998</v>
      </c>
      <c r="BP423" s="10">
        <v>3.8879027000000002</v>
      </c>
      <c r="BQ423" s="10">
        <v>3.8757302999999999</v>
      </c>
      <c r="BR423" s="10">
        <v>3.8152556999999998</v>
      </c>
      <c r="BS423" s="10">
        <v>3.7743253999999999</v>
      </c>
      <c r="BU423" s="7">
        <v>4.9400000000000004</v>
      </c>
      <c r="BV423" s="7">
        <v>4.45</v>
      </c>
      <c r="BW423" s="9">
        <v>82.2363</v>
      </c>
    </row>
    <row r="424" spans="1:75" x14ac:dyDescent="0.25">
      <c r="A424" s="6">
        <f t="shared" si="41"/>
        <v>45146</v>
      </c>
      <c r="B424" s="13">
        <f t="shared" si="36"/>
        <v>8</v>
      </c>
      <c r="C424" s="13">
        <f t="shared" si="37"/>
        <v>2023</v>
      </c>
      <c r="D424">
        <f t="shared" si="38"/>
        <v>202308</v>
      </c>
      <c r="E424">
        <f t="shared" si="39"/>
        <v>3</v>
      </c>
      <c r="F424">
        <f t="shared" si="40"/>
        <v>202303</v>
      </c>
      <c r="G424" t="s">
        <v>611</v>
      </c>
      <c r="H424" s="9">
        <v>5.25</v>
      </c>
      <c r="I424" s="9">
        <v>5.1829000000000001</v>
      </c>
      <c r="J424" s="10">
        <v>5.2205982999999998</v>
      </c>
      <c r="K424" s="10">
        <v>5.3563910000000003</v>
      </c>
      <c r="L424" s="10">
        <v>5.4776834000000001</v>
      </c>
      <c r="M424" s="10">
        <v>5.5728105000000001</v>
      </c>
      <c r="N424" s="10">
        <v>5.6379479000000003</v>
      </c>
      <c r="O424" s="10">
        <v>5.6771805999999998</v>
      </c>
      <c r="P424" s="10">
        <v>5.6969466999999998</v>
      </c>
      <c r="Q424" s="10">
        <v>5.7035413999999998</v>
      </c>
      <c r="R424" s="10">
        <v>5.7015587999999999</v>
      </c>
      <c r="S424" s="10">
        <v>5.6934809</v>
      </c>
      <c r="T424" s="10">
        <v>5.6797934000000003</v>
      </c>
      <c r="U424" s="10">
        <v>5.6595975999999997</v>
      </c>
      <c r="V424" s="10">
        <v>5.6305380999999999</v>
      </c>
      <c r="W424" s="10">
        <v>5.5928038000000004</v>
      </c>
      <c r="X424" s="10">
        <v>5.5474290000000002</v>
      </c>
      <c r="Y424" s="10">
        <v>5.4954472000000001</v>
      </c>
      <c r="Z424" s="10">
        <v>5.4378909999999996</v>
      </c>
      <c r="AA424" s="10">
        <v>5.3757957000000003</v>
      </c>
      <c r="AB424" s="10">
        <v>5.3101966999999997</v>
      </c>
      <c r="AC424" s="10">
        <v>5.2421451000000001</v>
      </c>
      <c r="AD424" s="10">
        <v>5.1727008000000003</v>
      </c>
      <c r="AE424" s="10">
        <v>5.1029210999999997</v>
      </c>
      <c r="AF424" s="10">
        <v>5.0338634000000004</v>
      </c>
      <c r="AG424" s="10">
        <v>4.9665875000000002</v>
      </c>
      <c r="AH424" s="10">
        <v>4.9019791000000001</v>
      </c>
      <c r="AI424" s="10">
        <v>4.8401661999999996</v>
      </c>
      <c r="AJ424" s="10">
        <v>4.7810701</v>
      </c>
      <c r="AK424" s="10">
        <v>4.7246097000000002</v>
      </c>
      <c r="AL424" s="10">
        <v>4.6707041</v>
      </c>
      <c r="AM424" s="10">
        <v>4.6192742999999998</v>
      </c>
      <c r="AN424" s="10">
        <v>4.5702394000000002</v>
      </c>
      <c r="AO424" s="10">
        <v>4.5235184999999998</v>
      </c>
      <c r="AP424" s="10">
        <v>4.4790324999999998</v>
      </c>
      <c r="AQ424" s="10">
        <v>4.4367004999999997</v>
      </c>
      <c r="AR424" s="10">
        <v>4.3964419000000001</v>
      </c>
      <c r="AS424" s="10">
        <v>4.3581772000000001</v>
      </c>
      <c r="AT424" s="10">
        <v>4.3218240000000003</v>
      </c>
      <c r="AU424" s="10">
        <v>4.2872905000000001</v>
      </c>
      <c r="AV424" s="10">
        <v>4.2544833999999998</v>
      </c>
      <c r="AW424" s="10">
        <v>4.2233077000000003</v>
      </c>
      <c r="AX424" s="10">
        <v>4.1936686999999999</v>
      </c>
      <c r="AY424" s="10">
        <v>4.1654726999999996</v>
      </c>
      <c r="AZ424" s="10">
        <v>4.1386250000000002</v>
      </c>
      <c r="BA424" s="10">
        <v>4.1130310000000003</v>
      </c>
      <c r="BB424" s="10">
        <v>4.0885968000000004</v>
      </c>
      <c r="BC424" s="10">
        <v>4.0652277999999997</v>
      </c>
      <c r="BD424" s="10">
        <v>4.0428293000000002</v>
      </c>
      <c r="BE424" s="10">
        <v>4.0213074999999998</v>
      </c>
      <c r="BF424" s="10">
        <v>4.0005784999999996</v>
      </c>
      <c r="BG424" s="10">
        <v>3.9806108</v>
      </c>
      <c r="BH424" s="10">
        <v>3.9613898999999999</v>
      </c>
      <c r="BI424" s="10">
        <v>3.9429002999999998</v>
      </c>
      <c r="BJ424" s="10">
        <v>3.9251266999999999</v>
      </c>
      <c r="BK424" s="10">
        <v>3.9080542</v>
      </c>
      <c r="BL424" s="10">
        <v>3.8916675000000001</v>
      </c>
      <c r="BM424" s="10">
        <v>3.8759511999999998</v>
      </c>
      <c r="BN424" s="10">
        <v>3.8608907000000001</v>
      </c>
      <c r="BO424" s="10">
        <v>3.8464703999999998</v>
      </c>
      <c r="BP424" s="10">
        <v>3.8326750000000001</v>
      </c>
      <c r="BQ424" s="10">
        <v>3.8194897999999999</v>
      </c>
      <c r="BR424" s="10">
        <v>3.7525556999999998</v>
      </c>
      <c r="BS424" s="10">
        <v>3.7050923999999998</v>
      </c>
      <c r="BU424" s="7">
        <v>4.8499999999999996</v>
      </c>
      <c r="BV424" s="7">
        <v>4.3899999999999997</v>
      </c>
      <c r="BW424" s="9">
        <v>82.229799999999997</v>
      </c>
    </row>
    <row r="425" spans="1:75" x14ac:dyDescent="0.25">
      <c r="A425" s="6">
        <f t="shared" si="41"/>
        <v>45147</v>
      </c>
      <c r="B425" s="13">
        <f t="shared" si="36"/>
        <v>8</v>
      </c>
      <c r="C425" s="13">
        <f t="shared" si="37"/>
        <v>2023</v>
      </c>
      <c r="D425">
        <f t="shared" si="38"/>
        <v>202308</v>
      </c>
      <c r="E425">
        <f t="shared" si="39"/>
        <v>3</v>
      </c>
      <c r="F425">
        <f t="shared" si="40"/>
        <v>202303</v>
      </c>
      <c r="G425" t="s">
        <v>612</v>
      </c>
      <c r="H425" s="9">
        <v>5.25</v>
      </c>
      <c r="I425" s="9">
        <v>5.1826999999999996</v>
      </c>
      <c r="J425" s="10">
        <v>5.2219224000000004</v>
      </c>
      <c r="K425" s="10">
        <v>5.3591106000000002</v>
      </c>
      <c r="L425" s="10">
        <v>5.4780727999999996</v>
      </c>
      <c r="M425" s="10">
        <v>5.5694578000000003</v>
      </c>
      <c r="N425" s="10">
        <v>5.6305781000000001</v>
      </c>
      <c r="O425" s="10">
        <v>5.6664194999999999</v>
      </c>
      <c r="P425" s="10">
        <v>5.6829888999999998</v>
      </c>
      <c r="Q425" s="10">
        <v>5.6860401999999999</v>
      </c>
      <c r="R425" s="10">
        <v>5.6796803000000002</v>
      </c>
      <c r="S425" s="10">
        <v>5.6662762000000004</v>
      </c>
      <c r="T425" s="10">
        <v>5.6465158999999998</v>
      </c>
      <c r="U425" s="10">
        <v>5.6200855000000001</v>
      </c>
      <c r="V425" s="10">
        <v>5.5857505999999999</v>
      </c>
      <c r="W425" s="10">
        <v>5.5438801</v>
      </c>
      <c r="X425" s="10">
        <v>5.4953766000000002</v>
      </c>
      <c r="Y425" s="10">
        <v>5.4411414000000002</v>
      </c>
      <c r="Z425" s="10">
        <v>5.3820755</v>
      </c>
      <c r="AA425" s="10">
        <v>5.3190821000000001</v>
      </c>
      <c r="AB425" s="10">
        <v>5.2530782</v>
      </c>
      <c r="AC425" s="10">
        <v>5.1850724000000001</v>
      </c>
      <c r="AD425" s="10">
        <v>5.1161073000000004</v>
      </c>
      <c r="AE425" s="10">
        <v>5.0472237</v>
      </c>
      <c r="AF425" s="10">
        <v>4.9794619000000004</v>
      </c>
      <c r="AG425" s="10">
        <v>4.9138649000000001</v>
      </c>
      <c r="AH425" s="10">
        <v>4.8513291000000001</v>
      </c>
      <c r="AI425" s="10">
        <v>4.7919748999999996</v>
      </c>
      <c r="AJ425" s="10">
        <v>4.7356645000000004</v>
      </c>
      <c r="AK425" s="10">
        <v>4.682258</v>
      </c>
      <c r="AL425" s="10">
        <v>4.6316154000000003</v>
      </c>
      <c r="AM425" s="10">
        <v>4.5835986999999996</v>
      </c>
      <c r="AN425" s="10">
        <v>4.5380678999999997</v>
      </c>
      <c r="AO425" s="10">
        <v>4.4948832000000003</v>
      </c>
      <c r="AP425" s="10">
        <v>4.4539064000000002</v>
      </c>
      <c r="AQ425" s="10">
        <v>4.4149976999999998</v>
      </c>
      <c r="AR425" s="10">
        <v>4.3780172000000004</v>
      </c>
      <c r="AS425" s="10">
        <v>4.3428266999999998</v>
      </c>
      <c r="AT425" s="10">
        <v>4.3092931999999999</v>
      </c>
      <c r="AU425" s="10">
        <v>4.2773181999999998</v>
      </c>
      <c r="AV425" s="10">
        <v>4.2468142999999996</v>
      </c>
      <c r="AW425" s="10">
        <v>4.2176931</v>
      </c>
      <c r="AX425" s="10">
        <v>4.1898663999999997</v>
      </c>
      <c r="AY425" s="10">
        <v>4.1632468999999999</v>
      </c>
      <c r="AZ425" s="10">
        <v>4.1377461000000002</v>
      </c>
      <c r="BA425" s="10">
        <v>4.1132758000000003</v>
      </c>
      <c r="BB425" s="10">
        <v>4.0897486000000001</v>
      </c>
      <c r="BC425" s="10">
        <v>4.0670761000000004</v>
      </c>
      <c r="BD425" s="10">
        <v>4.0451702999999997</v>
      </c>
      <c r="BE425" s="10">
        <v>4.0239434000000003</v>
      </c>
      <c r="BF425" s="10">
        <v>4.0033209000000003</v>
      </c>
      <c r="BG425" s="10">
        <v>3.9832876000000002</v>
      </c>
      <c r="BH425" s="10">
        <v>3.9638458000000001</v>
      </c>
      <c r="BI425" s="10">
        <v>3.9449968000000002</v>
      </c>
      <c r="BJ425" s="10">
        <v>3.9267420999999998</v>
      </c>
      <c r="BK425" s="10">
        <v>3.9090839000000002</v>
      </c>
      <c r="BL425" s="10">
        <v>3.8920233999999998</v>
      </c>
      <c r="BM425" s="10">
        <v>3.8755622999999999</v>
      </c>
      <c r="BN425" s="10">
        <v>3.8597025999999999</v>
      </c>
      <c r="BO425" s="10">
        <v>3.8444457000000001</v>
      </c>
      <c r="BP425" s="10">
        <v>3.8297930999999998</v>
      </c>
      <c r="BQ425" s="10">
        <v>3.8157469000000002</v>
      </c>
      <c r="BR425" s="10">
        <v>3.7439838000000001</v>
      </c>
      <c r="BS425" s="10">
        <v>3.6925699000000001</v>
      </c>
      <c r="BU425" s="7">
        <v>4.92</v>
      </c>
      <c r="BV425" s="7">
        <v>4.37</v>
      </c>
      <c r="BW425" s="9">
        <v>82.149299999999997</v>
      </c>
    </row>
    <row r="426" spans="1:75" x14ac:dyDescent="0.25">
      <c r="A426" s="6">
        <f t="shared" si="41"/>
        <v>45148</v>
      </c>
      <c r="B426" s="13">
        <f t="shared" si="36"/>
        <v>8</v>
      </c>
      <c r="C426" s="13">
        <f t="shared" si="37"/>
        <v>2023</v>
      </c>
      <c r="D426">
        <f t="shared" si="38"/>
        <v>202308</v>
      </c>
      <c r="E426">
        <f t="shared" si="39"/>
        <v>3</v>
      </c>
      <c r="F426">
        <f t="shared" si="40"/>
        <v>202303</v>
      </c>
      <c r="G426" t="s">
        <v>613</v>
      </c>
      <c r="H426" s="9">
        <v>5.25</v>
      </c>
      <c r="I426" s="9">
        <v>5.1829000000000001</v>
      </c>
      <c r="J426" s="10">
        <v>5.2251893999999997</v>
      </c>
      <c r="K426" s="10">
        <v>5.3600932999999999</v>
      </c>
      <c r="L426" s="10">
        <v>5.4742571</v>
      </c>
      <c r="M426" s="10">
        <v>5.5601130999999997</v>
      </c>
      <c r="N426" s="10">
        <v>5.6169247000000002</v>
      </c>
      <c r="O426" s="10">
        <v>5.6492082000000003</v>
      </c>
      <c r="P426" s="10">
        <v>5.6625738999999999</v>
      </c>
      <c r="Q426" s="10">
        <v>5.6610126999999997</v>
      </c>
      <c r="R426" s="10">
        <v>5.6478634999999997</v>
      </c>
      <c r="S426" s="10">
        <v>5.6255028999999999</v>
      </c>
      <c r="T426" s="10">
        <v>5.5951078000000001</v>
      </c>
      <c r="U426" s="10">
        <v>5.5575432999999999</v>
      </c>
      <c r="V426" s="10">
        <v>5.5135287999999996</v>
      </c>
      <c r="W426" s="10">
        <v>5.4639579999999999</v>
      </c>
      <c r="X426" s="10">
        <v>5.4098012999999998</v>
      </c>
      <c r="Y426" s="10">
        <v>5.3520276999999998</v>
      </c>
      <c r="Z426" s="10">
        <v>5.2916056999999999</v>
      </c>
      <c r="AA426" s="10">
        <v>5.2295062000000003</v>
      </c>
      <c r="AB426" s="10">
        <v>5.1666433999999999</v>
      </c>
      <c r="AC426" s="10">
        <v>5.1036520999999997</v>
      </c>
      <c r="AD426" s="10">
        <v>5.0410801000000003</v>
      </c>
      <c r="AE426" s="10">
        <v>4.9794729999999996</v>
      </c>
      <c r="AF426" s="10">
        <v>4.9193762000000003</v>
      </c>
      <c r="AG426" s="10">
        <v>4.8613375000000003</v>
      </c>
      <c r="AH426" s="10">
        <v>4.8058132999999996</v>
      </c>
      <c r="AI426" s="10">
        <v>4.7528256000000004</v>
      </c>
      <c r="AJ426" s="10">
        <v>4.7022659999999998</v>
      </c>
      <c r="AK426" s="10">
        <v>4.6540241</v>
      </c>
      <c r="AL426" s="10">
        <v>4.6079895999999998</v>
      </c>
      <c r="AM426" s="10">
        <v>4.5640540999999999</v>
      </c>
      <c r="AN426" s="10">
        <v>4.5221071000000004</v>
      </c>
      <c r="AO426" s="10">
        <v>4.4820387000000004</v>
      </c>
      <c r="AP426" s="10">
        <v>4.4437398999999997</v>
      </c>
      <c r="AQ426" s="10">
        <v>4.4071008000000003</v>
      </c>
      <c r="AR426" s="10">
        <v>4.3720109999999996</v>
      </c>
      <c r="AS426" s="10">
        <v>4.3383618999999998</v>
      </c>
      <c r="AT426" s="10">
        <v>4.3060511999999997</v>
      </c>
      <c r="AU426" s="10">
        <v>4.2750121999999999</v>
      </c>
      <c r="AV426" s="10">
        <v>4.2451892000000004</v>
      </c>
      <c r="AW426" s="10">
        <v>4.2165251000000001</v>
      </c>
      <c r="AX426" s="10">
        <v>4.1889630999999996</v>
      </c>
      <c r="AY426" s="10">
        <v>4.1624471999999999</v>
      </c>
      <c r="AZ426" s="10">
        <v>4.1369204000000002</v>
      </c>
      <c r="BA426" s="10">
        <v>4.1123260000000004</v>
      </c>
      <c r="BB426" s="10">
        <v>4.0886078000000001</v>
      </c>
      <c r="BC426" s="10">
        <v>4.065709</v>
      </c>
      <c r="BD426" s="10">
        <v>4.0435727999999997</v>
      </c>
      <c r="BE426" s="10">
        <v>4.0221431000000001</v>
      </c>
      <c r="BF426" s="10">
        <v>4.0013712999999997</v>
      </c>
      <c r="BG426" s="10">
        <v>3.9812449000000001</v>
      </c>
      <c r="BH426" s="10">
        <v>3.9617621999999999</v>
      </c>
      <c r="BI426" s="10">
        <v>3.9429210000000001</v>
      </c>
      <c r="BJ426" s="10">
        <v>3.9247188999999998</v>
      </c>
      <c r="BK426" s="10">
        <v>3.9071539999999998</v>
      </c>
      <c r="BL426" s="10">
        <v>3.8902242</v>
      </c>
      <c r="BM426" s="10">
        <v>3.8739268999999998</v>
      </c>
      <c r="BN426" s="10">
        <v>3.8582605000000001</v>
      </c>
      <c r="BO426" s="10">
        <v>3.8432225999999998</v>
      </c>
      <c r="BP426" s="10">
        <v>3.8288109000000001</v>
      </c>
      <c r="BQ426" s="10">
        <v>3.8150236999999998</v>
      </c>
      <c r="BR426" s="10">
        <v>3.7451287999999998</v>
      </c>
      <c r="BS426" s="10">
        <v>3.6961876</v>
      </c>
      <c r="BU426" s="7">
        <v>4.9000000000000004</v>
      </c>
      <c r="BV426" s="7">
        <v>4.37</v>
      </c>
      <c r="BW426" s="9">
        <v>82.026700000000005</v>
      </c>
    </row>
    <row r="427" spans="1:75" x14ac:dyDescent="0.25">
      <c r="A427" s="6">
        <f t="shared" si="41"/>
        <v>45149</v>
      </c>
      <c r="B427" s="13">
        <f t="shared" si="36"/>
        <v>8</v>
      </c>
      <c r="C427" s="13">
        <f t="shared" si="37"/>
        <v>2023</v>
      </c>
      <c r="D427">
        <f t="shared" si="38"/>
        <v>202308</v>
      </c>
      <c r="E427">
        <f t="shared" si="39"/>
        <v>3</v>
      </c>
      <c r="F427">
        <f t="shared" si="40"/>
        <v>202303</v>
      </c>
      <c r="G427" t="s">
        <v>614</v>
      </c>
      <c r="H427" s="9">
        <v>5.25</v>
      </c>
      <c r="I427" s="9">
        <v>5.1829000000000001</v>
      </c>
      <c r="J427" s="10">
        <v>5.2314758000000001</v>
      </c>
      <c r="K427" s="10">
        <v>5.3784101</v>
      </c>
      <c r="L427" s="10">
        <v>5.5042381999999996</v>
      </c>
      <c r="M427" s="10">
        <v>5.6020032999999998</v>
      </c>
      <c r="N427" s="10">
        <v>5.6711340000000003</v>
      </c>
      <c r="O427" s="10">
        <v>5.7153546000000004</v>
      </c>
      <c r="P427" s="10">
        <v>5.7405716</v>
      </c>
      <c r="Q427" s="10">
        <v>5.7520927000000004</v>
      </c>
      <c r="R427" s="10">
        <v>5.7539940999999999</v>
      </c>
      <c r="S427" s="10">
        <v>5.7483522000000002</v>
      </c>
      <c r="T427" s="10">
        <v>5.7357909999999999</v>
      </c>
      <c r="U427" s="10">
        <v>5.7159215999999997</v>
      </c>
      <c r="V427" s="10">
        <v>5.6873364999999998</v>
      </c>
      <c r="W427" s="10">
        <v>5.6504741000000003</v>
      </c>
      <c r="X427" s="10">
        <v>5.6064442999999997</v>
      </c>
      <c r="Y427" s="10">
        <v>5.5563554999999996</v>
      </c>
      <c r="Z427" s="10">
        <v>5.5013163</v>
      </c>
      <c r="AA427" s="10">
        <v>5.4424368999999997</v>
      </c>
      <c r="AB427" s="10">
        <v>5.3807966</v>
      </c>
      <c r="AC427" s="10">
        <v>5.3173253999999996</v>
      </c>
      <c r="AD427" s="10">
        <v>5.2529081</v>
      </c>
      <c r="AE427" s="10">
        <v>5.1884271000000002</v>
      </c>
      <c r="AF427" s="10">
        <v>5.1247647000000001</v>
      </c>
      <c r="AG427" s="10">
        <v>5.0628055999999999</v>
      </c>
      <c r="AH427" s="10">
        <v>5.0032864999999997</v>
      </c>
      <c r="AI427" s="10">
        <v>4.9463004000000002</v>
      </c>
      <c r="AJ427" s="10">
        <v>4.8917650999999998</v>
      </c>
      <c r="AK427" s="10">
        <v>4.8395960000000002</v>
      </c>
      <c r="AL427" s="10">
        <v>4.7897088999999999</v>
      </c>
      <c r="AM427" s="10">
        <v>4.7420210000000003</v>
      </c>
      <c r="AN427" s="10">
        <v>4.6964481999999999</v>
      </c>
      <c r="AO427" s="10">
        <v>4.6529061</v>
      </c>
      <c r="AP427" s="10">
        <v>4.6113119999999999</v>
      </c>
      <c r="AQ427" s="10">
        <v>4.5715817000000003</v>
      </c>
      <c r="AR427" s="10">
        <v>4.5336309000000004</v>
      </c>
      <c r="AS427" s="10">
        <v>4.4973767999999996</v>
      </c>
      <c r="AT427" s="10">
        <v>4.4627368000000001</v>
      </c>
      <c r="AU427" s="10">
        <v>4.4296356000000001</v>
      </c>
      <c r="AV427" s="10">
        <v>4.3980011000000001</v>
      </c>
      <c r="AW427" s="10">
        <v>4.3677599000000003</v>
      </c>
      <c r="AX427" s="10">
        <v>4.3388388999999998</v>
      </c>
      <c r="AY427" s="10">
        <v>4.3111657000000001</v>
      </c>
      <c r="AZ427" s="10">
        <v>4.2846672000000003</v>
      </c>
      <c r="BA427" s="10">
        <v>4.2592701000000002</v>
      </c>
      <c r="BB427" s="10">
        <v>4.2349019999999999</v>
      </c>
      <c r="BC427" s="10">
        <v>4.2114897999999998</v>
      </c>
      <c r="BD427" s="10">
        <v>4.1889602999999997</v>
      </c>
      <c r="BE427" s="10">
        <v>4.1672412000000003</v>
      </c>
      <c r="BF427" s="10">
        <v>4.1462687999999996</v>
      </c>
      <c r="BG427" s="10">
        <v>4.1260224000000001</v>
      </c>
      <c r="BH427" s="10">
        <v>4.1064939000000003</v>
      </c>
      <c r="BI427" s="10">
        <v>4.0876742000000004</v>
      </c>
      <c r="BJ427" s="10">
        <v>4.0695544999999997</v>
      </c>
      <c r="BK427" s="10">
        <v>4.0521265</v>
      </c>
      <c r="BL427" s="10">
        <v>4.0353813000000001</v>
      </c>
      <c r="BM427" s="10">
        <v>4.0193098000000003</v>
      </c>
      <c r="BN427" s="10">
        <v>4.0039039000000001</v>
      </c>
      <c r="BO427" s="10">
        <v>3.9891546</v>
      </c>
      <c r="BP427" s="10">
        <v>3.9750530999999998</v>
      </c>
      <c r="BQ427" s="10">
        <v>3.9615909</v>
      </c>
      <c r="BR427" s="10">
        <v>3.8937867000000002</v>
      </c>
      <c r="BS427" s="10">
        <v>3.8470043999999999</v>
      </c>
      <c r="BU427" s="7">
        <v>5.03</v>
      </c>
      <c r="BV427" s="7">
        <v>4.53</v>
      </c>
      <c r="BW427" s="9">
        <v>82.142300000000006</v>
      </c>
    </row>
    <row r="428" spans="1:75" x14ac:dyDescent="0.25">
      <c r="A428" s="6">
        <f t="shared" si="41"/>
        <v>45152</v>
      </c>
      <c r="B428" s="13">
        <f t="shared" si="36"/>
        <v>8</v>
      </c>
      <c r="C428" s="13">
        <f t="shared" si="37"/>
        <v>2023</v>
      </c>
      <c r="D428">
        <f t="shared" si="38"/>
        <v>202308</v>
      </c>
      <c r="E428">
        <f t="shared" si="39"/>
        <v>3</v>
      </c>
      <c r="F428">
        <f t="shared" si="40"/>
        <v>202303</v>
      </c>
      <c r="G428" t="s">
        <v>615</v>
      </c>
      <c r="H428" s="9">
        <v>5.25</v>
      </c>
      <c r="I428" s="9">
        <v>5.1829000000000001</v>
      </c>
      <c r="J428" s="10">
        <v>5.2455562000000002</v>
      </c>
      <c r="K428" s="10">
        <v>5.4138089999999996</v>
      </c>
      <c r="L428" s="10">
        <v>5.5519606000000001</v>
      </c>
      <c r="M428" s="10">
        <v>5.6577489999999999</v>
      </c>
      <c r="N428" s="10">
        <v>5.7325385999999998</v>
      </c>
      <c r="O428" s="10">
        <v>5.7804941999999997</v>
      </c>
      <c r="P428" s="10">
        <v>5.8083678000000001</v>
      </c>
      <c r="Q428" s="10">
        <v>5.8231143000000003</v>
      </c>
      <c r="R428" s="10">
        <v>5.8294426000000001</v>
      </c>
      <c r="S428" s="10">
        <v>5.8295897999999999</v>
      </c>
      <c r="T428" s="10">
        <v>5.8234130000000004</v>
      </c>
      <c r="U428" s="10">
        <v>5.8098438000000003</v>
      </c>
      <c r="V428" s="10">
        <v>5.7862543999999998</v>
      </c>
      <c r="W428" s="10">
        <v>5.7528249000000002</v>
      </c>
      <c r="X428" s="10">
        <v>5.7107001999999998</v>
      </c>
      <c r="Y428" s="10">
        <v>5.6610239</v>
      </c>
      <c r="Z428" s="10">
        <v>5.6049392999999998</v>
      </c>
      <c r="AA428" s="10">
        <v>5.5435917000000003</v>
      </c>
      <c r="AB428" s="10">
        <v>5.4781262000000002</v>
      </c>
      <c r="AC428" s="10">
        <v>5.4096964999999999</v>
      </c>
      <c r="AD428" s="10">
        <v>5.3394617000000002</v>
      </c>
      <c r="AE428" s="10">
        <v>5.2685782000000003</v>
      </c>
      <c r="AF428" s="10">
        <v>5.1982026000000001</v>
      </c>
      <c r="AG428" s="10">
        <v>5.1294940000000002</v>
      </c>
      <c r="AH428" s="10">
        <v>5.0634231999999999</v>
      </c>
      <c r="AI428" s="10">
        <v>5.0001408999999999</v>
      </c>
      <c r="AJ428" s="10">
        <v>4.9395737999999998</v>
      </c>
      <c r="AK428" s="10">
        <v>4.8816465000000004</v>
      </c>
      <c r="AL428" s="10">
        <v>4.8262834999999997</v>
      </c>
      <c r="AM428" s="10">
        <v>4.7734114999999999</v>
      </c>
      <c r="AN428" s="10">
        <v>4.7229549000000004</v>
      </c>
      <c r="AO428" s="10">
        <v>4.6748384999999999</v>
      </c>
      <c r="AP428" s="10">
        <v>4.6289885999999996</v>
      </c>
      <c r="AQ428" s="10">
        <v>4.5853298999999996</v>
      </c>
      <c r="AR428" s="10">
        <v>4.5437871999999997</v>
      </c>
      <c r="AS428" s="10">
        <v>4.5042866999999998</v>
      </c>
      <c r="AT428" s="10">
        <v>4.4667509000000001</v>
      </c>
      <c r="AU428" s="10">
        <v>4.4310919000000002</v>
      </c>
      <c r="AV428" s="10">
        <v>4.3972204000000001</v>
      </c>
      <c r="AW428" s="10">
        <v>4.3650457999999999</v>
      </c>
      <c r="AX428" s="10">
        <v>4.3344775999999996</v>
      </c>
      <c r="AY428" s="10">
        <v>4.3054262999999997</v>
      </c>
      <c r="AZ428" s="10">
        <v>4.2778013000000001</v>
      </c>
      <c r="BA428" s="10">
        <v>4.2515122999999999</v>
      </c>
      <c r="BB428" s="10">
        <v>4.2264695000000003</v>
      </c>
      <c r="BC428" s="10">
        <v>4.2025826000000004</v>
      </c>
      <c r="BD428" s="10">
        <v>4.1797611000000003</v>
      </c>
      <c r="BE428" s="10">
        <v>4.1579151999999997</v>
      </c>
      <c r="BF428" s="10">
        <v>4.1369634</v>
      </c>
      <c r="BG428" s="10">
        <v>4.1168703000000004</v>
      </c>
      <c r="BH428" s="10">
        <v>4.0976173999999999</v>
      </c>
      <c r="BI428" s="10">
        <v>4.0791851000000001</v>
      </c>
      <c r="BJ428" s="10">
        <v>4.0615538999999998</v>
      </c>
      <c r="BK428" s="10">
        <v>4.0447052000000001</v>
      </c>
      <c r="BL428" s="10">
        <v>4.0286194999999996</v>
      </c>
      <c r="BM428" s="10">
        <v>4.0132773000000004</v>
      </c>
      <c r="BN428" s="10">
        <v>3.9986598999999998</v>
      </c>
      <c r="BO428" s="10">
        <v>3.9847478000000001</v>
      </c>
      <c r="BP428" s="10">
        <v>3.9715216</v>
      </c>
      <c r="BQ428" s="10">
        <v>3.9589625000000002</v>
      </c>
      <c r="BR428" s="10">
        <v>3.8967019999999999</v>
      </c>
      <c r="BS428" s="10">
        <v>3.8546249000000001</v>
      </c>
      <c r="BU428" s="7">
        <v>5.0599999999999996</v>
      </c>
      <c r="BV428" s="7">
        <v>4.5599999999999996</v>
      </c>
      <c r="BW428" s="9">
        <v>82.128600000000006</v>
      </c>
    </row>
    <row r="429" spans="1:75" x14ac:dyDescent="0.25">
      <c r="A429" s="6">
        <f t="shared" si="41"/>
        <v>45153</v>
      </c>
      <c r="B429" s="13">
        <f t="shared" si="36"/>
        <v>8</v>
      </c>
      <c r="C429" s="13">
        <f t="shared" si="37"/>
        <v>2023</v>
      </c>
      <c r="D429">
        <f t="shared" si="38"/>
        <v>202308</v>
      </c>
      <c r="E429">
        <f t="shared" si="39"/>
        <v>3</v>
      </c>
      <c r="F429">
        <f t="shared" si="40"/>
        <v>202303</v>
      </c>
      <c r="G429" t="s">
        <v>616</v>
      </c>
      <c r="H429" s="9">
        <v>5.25</v>
      </c>
      <c r="I429" s="9">
        <v>5.1833999999999998</v>
      </c>
      <c r="J429" s="10">
        <v>5.2786844999999998</v>
      </c>
      <c r="K429" s="10">
        <v>5.4963002000000003</v>
      </c>
      <c r="L429" s="10">
        <v>5.6613940999999999</v>
      </c>
      <c r="M429" s="10">
        <v>5.7765231000000004</v>
      </c>
      <c r="N429" s="10">
        <v>5.8509763000000001</v>
      </c>
      <c r="O429" s="10">
        <v>5.8943034000000001</v>
      </c>
      <c r="P429" s="10">
        <v>5.9157206000000002</v>
      </c>
      <c r="Q429" s="10">
        <v>5.9232070999999999</v>
      </c>
      <c r="R429" s="10">
        <v>5.9221934999999997</v>
      </c>
      <c r="S429" s="10">
        <v>5.9153751999999997</v>
      </c>
      <c r="T429" s="10">
        <v>5.9030886000000002</v>
      </c>
      <c r="U429" s="10">
        <v>5.8841152000000001</v>
      </c>
      <c r="V429" s="10">
        <v>5.8556175000000001</v>
      </c>
      <c r="W429" s="10">
        <v>5.8176509000000003</v>
      </c>
      <c r="X429" s="10">
        <v>5.7712304000000003</v>
      </c>
      <c r="Y429" s="10">
        <v>5.7173695000000002</v>
      </c>
      <c r="Z429" s="10">
        <v>5.6570815000000003</v>
      </c>
      <c r="AA429" s="10">
        <v>5.5913817999999997</v>
      </c>
      <c r="AB429" s="10">
        <v>5.5213121000000003</v>
      </c>
      <c r="AC429" s="10">
        <v>5.4480918000000003</v>
      </c>
      <c r="AD429" s="10">
        <v>5.3730117999999996</v>
      </c>
      <c r="AE429" s="10">
        <v>5.2973606999999996</v>
      </c>
      <c r="AF429" s="10">
        <v>5.2224266999999998</v>
      </c>
      <c r="AG429" s="10">
        <v>5.1495009999999999</v>
      </c>
      <c r="AH429" s="10">
        <v>5.0796635999999999</v>
      </c>
      <c r="AI429" s="10">
        <v>5.0130740999999999</v>
      </c>
      <c r="AJ429" s="10">
        <v>4.9496406999999998</v>
      </c>
      <c r="AK429" s="10">
        <v>4.8892689999999996</v>
      </c>
      <c r="AL429" s="10">
        <v>4.8318649999999996</v>
      </c>
      <c r="AM429" s="10">
        <v>4.7773365999999999</v>
      </c>
      <c r="AN429" s="10">
        <v>4.7255894999999999</v>
      </c>
      <c r="AO429" s="10">
        <v>4.6765299000000002</v>
      </c>
      <c r="AP429" s="10">
        <v>4.6300653000000001</v>
      </c>
      <c r="AQ429" s="10">
        <v>4.5861017999999998</v>
      </c>
      <c r="AR429" s="10">
        <v>4.5445453000000002</v>
      </c>
      <c r="AS429" s="10">
        <v>4.5053035000000001</v>
      </c>
      <c r="AT429" s="10">
        <v>4.4682791999999996</v>
      </c>
      <c r="AU429" s="10">
        <v>4.4333591999999999</v>
      </c>
      <c r="AV429" s="10">
        <v>4.4004257999999998</v>
      </c>
      <c r="AW429" s="10">
        <v>4.3693600999999997</v>
      </c>
      <c r="AX429" s="10">
        <v>4.3400432000000002</v>
      </c>
      <c r="AY429" s="10">
        <v>4.3123575000000001</v>
      </c>
      <c r="AZ429" s="10">
        <v>4.2861840000000004</v>
      </c>
      <c r="BA429" s="10">
        <v>4.2614039000000004</v>
      </c>
      <c r="BB429" s="10">
        <v>4.2378995000000002</v>
      </c>
      <c r="BC429" s="10">
        <v>4.2155519000000004</v>
      </c>
      <c r="BD429" s="10">
        <v>4.1942424000000003</v>
      </c>
      <c r="BE429" s="10">
        <v>4.1738530999999996</v>
      </c>
      <c r="BF429" s="10">
        <v>4.1542785999999996</v>
      </c>
      <c r="BG429" s="10">
        <v>4.1354797000000003</v>
      </c>
      <c r="BH429" s="10">
        <v>4.1174375999999997</v>
      </c>
      <c r="BI429" s="10">
        <v>4.1001332000000001</v>
      </c>
      <c r="BJ429" s="10">
        <v>4.0835471999999999</v>
      </c>
      <c r="BK429" s="10">
        <v>4.0676607000000002</v>
      </c>
      <c r="BL429" s="10">
        <v>4.0524547000000002</v>
      </c>
      <c r="BM429" s="10">
        <v>4.0379097000000002</v>
      </c>
      <c r="BN429" s="10">
        <v>4.0240071000000004</v>
      </c>
      <c r="BO429" s="10">
        <v>4.0107276000000001</v>
      </c>
      <c r="BP429" s="10">
        <v>3.9980519999999999</v>
      </c>
      <c r="BQ429" s="10">
        <v>3.9859615000000002</v>
      </c>
      <c r="BR429" s="10">
        <v>3.9249692999999999</v>
      </c>
      <c r="BS429" s="10">
        <v>3.8822869999999998</v>
      </c>
      <c r="BU429" s="7">
        <v>5.12</v>
      </c>
      <c r="BV429" s="7">
        <v>4.5999999999999996</v>
      </c>
      <c r="BW429" s="9">
        <v>82.584900000000005</v>
      </c>
    </row>
    <row r="430" spans="1:75" x14ac:dyDescent="0.25">
      <c r="A430" s="6">
        <f t="shared" si="41"/>
        <v>45154</v>
      </c>
      <c r="B430" s="13">
        <f t="shared" si="36"/>
        <v>8</v>
      </c>
      <c r="C430" s="13">
        <f t="shared" si="37"/>
        <v>2023</v>
      </c>
      <c r="D430">
        <f t="shared" si="38"/>
        <v>202308</v>
      </c>
      <c r="E430">
        <f t="shared" si="39"/>
        <v>3</v>
      </c>
      <c r="F430">
        <f t="shared" si="40"/>
        <v>202303</v>
      </c>
      <c r="G430" t="s">
        <v>617</v>
      </c>
      <c r="H430" s="9">
        <v>5.25</v>
      </c>
      <c r="I430" s="9">
        <v>5.1837999999999997</v>
      </c>
      <c r="J430" s="10">
        <v>5.2802357999999998</v>
      </c>
      <c r="K430" s="10">
        <v>5.5146547000000004</v>
      </c>
      <c r="L430" s="10">
        <v>5.6895531000000004</v>
      </c>
      <c r="M430" s="10">
        <v>5.8115880999999998</v>
      </c>
      <c r="N430" s="10">
        <v>5.8915176000000002</v>
      </c>
      <c r="O430" s="10">
        <v>5.9398115000000002</v>
      </c>
      <c r="P430" s="10">
        <v>5.9649526000000002</v>
      </c>
      <c r="Q430" s="10">
        <v>5.9746151999999997</v>
      </c>
      <c r="R430" s="10">
        <v>5.9743639000000002</v>
      </c>
      <c r="S430" s="10">
        <v>5.9672675999999996</v>
      </c>
      <c r="T430" s="10">
        <v>5.9539933999999999</v>
      </c>
      <c r="U430" s="10">
        <v>5.9337514999999996</v>
      </c>
      <c r="V430" s="10">
        <v>5.9041804999999998</v>
      </c>
      <c r="W430" s="10">
        <v>5.8654203000000003</v>
      </c>
      <c r="X430" s="10">
        <v>5.8184548999999999</v>
      </c>
      <c r="Y430" s="10">
        <v>5.7642673000000002</v>
      </c>
      <c r="Z430" s="10">
        <v>5.7038400999999999</v>
      </c>
      <c r="AA430" s="10">
        <v>5.6381579999999998</v>
      </c>
      <c r="AB430" s="10">
        <v>5.5682365999999996</v>
      </c>
      <c r="AC430" s="10">
        <v>5.4952774</v>
      </c>
      <c r="AD430" s="10">
        <v>5.4205500000000004</v>
      </c>
      <c r="AE430" s="10">
        <v>5.3453214999999998</v>
      </c>
      <c r="AF430" s="10">
        <v>5.2708591</v>
      </c>
      <c r="AG430" s="10">
        <v>5.1984323999999997</v>
      </c>
      <c r="AH430" s="10">
        <v>5.1291409999999997</v>
      </c>
      <c r="AI430" s="10">
        <v>5.0631814999999998</v>
      </c>
      <c r="AJ430" s="10">
        <v>5.0004501000000001</v>
      </c>
      <c r="AK430" s="10">
        <v>4.9408406999999999</v>
      </c>
      <c r="AL430" s="10">
        <v>4.8842470000000002</v>
      </c>
      <c r="AM430" s="10">
        <v>4.830565</v>
      </c>
      <c r="AN430" s="10">
        <v>4.7796884999999998</v>
      </c>
      <c r="AO430" s="10">
        <v>4.7315114999999999</v>
      </c>
      <c r="AP430" s="10">
        <v>4.6859297</v>
      </c>
      <c r="AQ430" s="10">
        <v>4.6428368999999998</v>
      </c>
      <c r="AR430" s="10">
        <v>4.6021273000000003</v>
      </c>
      <c r="AS430" s="10">
        <v>4.5636964000000004</v>
      </c>
      <c r="AT430" s="10">
        <v>4.5274358000000001</v>
      </c>
      <c r="AU430" s="10">
        <v>4.4932261000000002</v>
      </c>
      <c r="AV430" s="10">
        <v>4.4609456999999999</v>
      </c>
      <c r="AW430" s="10">
        <v>4.4304715000000003</v>
      </c>
      <c r="AX430" s="10">
        <v>4.4016808000000003</v>
      </c>
      <c r="AY430" s="10">
        <v>4.3744518000000001</v>
      </c>
      <c r="AZ430" s="10">
        <v>4.3486615999999998</v>
      </c>
      <c r="BA430" s="10">
        <v>4.3241873999999996</v>
      </c>
      <c r="BB430" s="10">
        <v>4.3009073000000004</v>
      </c>
      <c r="BC430" s="10">
        <v>4.2786985</v>
      </c>
      <c r="BD430" s="10">
        <v>4.2574382000000002</v>
      </c>
      <c r="BE430" s="10">
        <v>4.2370045999999997</v>
      </c>
      <c r="BF430" s="10">
        <v>4.2172912</v>
      </c>
      <c r="BG430" s="10">
        <v>4.1982647999999996</v>
      </c>
      <c r="BH430" s="10">
        <v>4.179913</v>
      </c>
      <c r="BI430" s="10">
        <v>4.1622224000000001</v>
      </c>
      <c r="BJ430" s="10">
        <v>4.1451799999999999</v>
      </c>
      <c r="BK430" s="10">
        <v>4.1287732000000004</v>
      </c>
      <c r="BL430" s="10">
        <v>4.1129886999999998</v>
      </c>
      <c r="BM430" s="10">
        <v>4.0978136000000003</v>
      </c>
      <c r="BN430" s="10">
        <v>4.0832350999999996</v>
      </c>
      <c r="BO430" s="10">
        <v>4.0692402000000003</v>
      </c>
      <c r="BP430" s="10">
        <v>4.0558155999999999</v>
      </c>
      <c r="BQ430" s="10">
        <v>4.0429487999999996</v>
      </c>
      <c r="BR430" s="10">
        <v>3.9769929999999998</v>
      </c>
      <c r="BS430" s="10">
        <v>3.9294500000000001</v>
      </c>
      <c r="BU430" s="7">
        <v>5.17</v>
      </c>
      <c r="BV430" s="7">
        <v>4.6399999999999997</v>
      </c>
      <c r="BW430" s="9">
        <v>82.796300000000002</v>
      </c>
    </row>
    <row r="431" spans="1:75" x14ac:dyDescent="0.25">
      <c r="A431" s="6">
        <f t="shared" si="41"/>
        <v>45155</v>
      </c>
      <c r="B431" s="13">
        <f t="shared" si="36"/>
        <v>8</v>
      </c>
      <c r="C431" s="13">
        <f t="shared" si="37"/>
        <v>2023</v>
      </c>
      <c r="D431">
        <f t="shared" si="38"/>
        <v>202308</v>
      </c>
      <c r="E431">
        <f t="shared" si="39"/>
        <v>3</v>
      </c>
      <c r="F431">
        <f t="shared" si="40"/>
        <v>202303</v>
      </c>
      <c r="G431" t="s">
        <v>618</v>
      </c>
      <c r="H431" s="9">
        <v>5.25</v>
      </c>
      <c r="I431" s="9">
        <v>5.1843000000000004</v>
      </c>
      <c r="J431" s="10">
        <v>5.2895586000000003</v>
      </c>
      <c r="K431" s="10">
        <v>5.5353615999999999</v>
      </c>
      <c r="L431" s="10">
        <v>5.7221774999999999</v>
      </c>
      <c r="M431" s="10">
        <v>5.858276</v>
      </c>
      <c r="N431" s="10">
        <v>5.9535382999999999</v>
      </c>
      <c r="O431" s="10">
        <v>6.0156226999999998</v>
      </c>
      <c r="P431" s="10">
        <v>6.0520756999999996</v>
      </c>
      <c r="Q431" s="10">
        <v>6.0688585000000002</v>
      </c>
      <c r="R431" s="10">
        <v>6.0714614999999998</v>
      </c>
      <c r="S431" s="10">
        <v>6.0636216000000003</v>
      </c>
      <c r="T431" s="10">
        <v>6.0468999999999999</v>
      </c>
      <c r="U431" s="10">
        <v>6.0219005000000001</v>
      </c>
      <c r="V431" s="10">
        <v>5.9882036000000003</v>
      </c>
      <c r="W431" s="10">
        <v>5.9464509000000003</v>
      </c>
      <c r="X431" s="10">
        <v>5.8977481000000003</v>
      </c>
      <c r="Y431" s="10">
        <v>5.8431997000000004</v>
      </c>
      <c r="Z431" s="10">
        <v>5.7839098</v>
      </c>
      <c r="AA431" s="10">
        <v>5.7209849999999998</v>
      </c>
      <c r="AB431" s="10">
        <v>5.6554982000000003</v>
      </c>
      <c r="AC431" s="10">
        <v>5.5883627000000002</v>
      </c>
      <c r="AD431" s="10">
        <v>5.5204433000000002</v>
      </c>
      <c r="AE431" s="10">
        <v>5.4526022000000003</v>
      </c>
      <c r="AF431" s="10">
        <v>5.3857017999999997</v>
      </c>
      <c r="AG431" s="10">
        <v>5.3206065999999996</v>
      </c>
      <c r="AH431" s="10">
        <v>5.2580495999999997</v>
      </c>
      <c r="AI431" s="10">
        <v>5.1981329000000001</v>
      </c>
      <c r="AJ431" s="10">
        <v>5.1407689000000003</v>
      </c>
      <c r="AK431" s="10">
        <v>5.0858679000000002</v>
      </c>
      <c r="AL431" s="10">
        <v>5.0333401999999996</v>
      </c>
      <c r="AM431" s="10">
        <v>4.9830978999999997</v>
      </c>
      <c r="AN431" s="10">
        <v>4.9350513999999999</v>
      </c>
      <c r="AO431" s="10">
        <v>4.8891109999999998</v>
      </c>
      <c r="AP431" s="10">
        <v>4.8451887999999999</v>
      </c>
      <c r="AQ431" s="10">
        <v>4.8031952000000002</v>
      </c>
      <c r="AR431" s="10">
        <v>4.7630406000000001</v>
      </c>
      <c r="AS431" s="10">
        <v>4.7246369000000001</v>
      </c>
      <c r="AT431" s="10">
        <v>4.6878963999999996</v>
      </c>
      <c r="AU431" s="10">
        <v>4.6527400999999999</v>
      </c>
      <c r="AV431" s="10">
        <v>4.6190924000000004</v>
      </c>
      <c r="AW431" s="10">
        <v>4.5868764999999998</v>
      </c>
      <c r="AX431" s="10">
        <v>4.5560156999999997</v>
      </c>
      <c r="AY431" s="10">
        <v>4.5264341999999997</v>
      </c>
      <c r="AZ431" s="10">
        <v>4.4980554000000001</v>
      </c>
      <c r="BA431" s="10">
        <v>4.4708025999999998</v>
      </c>
      <c r="BB431" s="10">
        <v>4.4446000000000003</v>
      </c>
      <c r="BC431" s="10">
        <v>4.4193708000000003</v>
      </c>
      <c r="BD431" s="10">
        <v>4.3950386000000004</v>
      </c>
      <c r="BE431" s="10">
        <v>4.3715273000000003</v>
      </c>
      <c r="BF431" s="10">
        <v>4.3487708999999999</v>
      </c>
      <c r="BG431" s="10">
        <v>4.3267492000000001</v>
      </c>
      <c r="BH431" s="10">
        <v>4.3054556000000002</v>
      </c>
      <c r="BI431" s="10">
        <v>4.2848829000000004</v>
      </c>
      <c r="BJ431" s="10">
        <v>4.2650236000000001</v>
      </c>
      <c r="BK431" s="10">
        <v>4.2458710999999996</v>
      </c>
      <c r="BL431" s="10">
        <v>4.2274181000000004</v>
      </c>
      <c r="BM431" s="10">
        <v>4.2096571999999997</v>
      </c>
      <c r="BN431" s="10">
        <v>4.1925819000000004</v>
      </c>
      <c r="BO431" s="10">
        <v>4.1761847000000003</v>
      </c>
      <c r="BP431" s="10">
        <v>4.1604584999999998</v>
      </c>
      <c r="BQ431" s="10">
        <v>4.1453964000000001</v>
      </c>
      <c r="BR431" s="10">
        <v>4.0685751000000003</v>
      </c>
      <c r="BS431" s="10">
        <v>4.0139015000000002</v>
      </c>
      <c r="BU431" s="7">
        <v>5.27</v>
      </c>
      <c r="BV431" s="7">
        <v>4.75</v>
      </c>
      <c r="BW431" s="9">
        <v>82.928600000000003</v>
      </c>
    </row>
    <row r="432" spans="1:75" x14ac:dyDescent="0.25">
      <c r="A432" s="6">
        <f t="shared" si="41"/>
        <v>45156</v>
      </c>
      <c r="B432" s="13">
        <f t="shared" si="36"/>
        <v>8</v>
      </c>
      <c r="C432" s="13">
        <f t="shared" si="37"/>
        <v>2023</v>
      </c>
      <c r="D432">
        <f t="shared" si="38"/>
        <v>202308</v>
      </c>
      <c r="E432">
        <f t="shared" si="39"/>
        <v>3</v>
      </c>
      <c r="F432">
        <f t="shared" si="40"/>
        <v>202303</v>
      </c>
      <c r="G432" t="s">
        <v>619</v>
      </c>
      <c r="H432" s="9">
        <v>5.25</v>
      </c>
      <c r="I432" s="9">
        <v>5.1843000000000004</v>
      </c>
      <c r="J432" s="10">
        <v>5.2907104</v>
      </c>
      <c r="K432" s="10">
        <v>5.5201031</v>
      </c>
      <c r="L432" s="10">
        <v>5.6887387</v>
      </c>
      <c r="M432" s="10">
        <v>5.8041556999999999</v>
      </c>
      <c r="N432" s="10">
        <v>5.8797332999999998</v>
      </c>
      <c r="O432" s="10">
        <v>5.9254854000000003</v>
      </c>
      <c r="P432" s="10">
        <v>5.9497378000000003</v>
      </c>
      <c r="Q432" s="10">
        <v>5.9589903</v>
      </c>
      <c r="R432" s="10">
        <v>5.9581992000000001</v>
      </c>
      <c r="S432" s="10">
        <v>5.9498023</v>
      </c>
      <c r="T432" s="10">
        <v>5.9345641999999996</v>
      </c>
      <c r="U432" s="10">
        <v>5.9122396999999998</v>
      </c>
      <c r="V432" s="10">
        <v>5.8813731000000002</v>
      </c>
      <c r="W432" s="10">
        <v>5.8423543999999996</v>
      </c>
      <c r="X432" s="10">
        <v>5.7962629000000003</v>
      </c>
      <c r="Y432" s="10">
        <v>5.7441768</v>
      </c>
      <c r="Z432" s="10">
        <v>5.6871738000000001</v>
      </c>
      <c r="AA432" s="10">
        <v>5.6263339999999999</v>
      </c>
      <c r="AB432" s="10">
        <v>5.5627142000000003</v>
      </c>
      <c r="AC432" s="10">
        <v>5.4972637999999998</v>
      </c>
      <c r="AD432" s="10">
        <v>5.4309000999999997</v>
      </c>
      <c r="AE432" s="10">
        <v>5.3645382000000001</v>
      </c>
      <c r="AF432" s="10">
        <v>5.2990928999999998</v>
      </c>
      <c r="AG432" s="10">
        <v>5.2354816</v>
      </c>
      <c r="AH432" s="10">
        <v>5.1744659999999998</v>
      </c>
      <c r="AI432" s="10">
        <v>5.1161311999999999</v>
      </c>
      <c r="AJ432" s="10">
        <v>5.0603777000000001</v>
      </c>
      <c r="AK432" s="10">
        <v>5.0071038000000003</v>
      </c>
      <c r="AL432" s="10">
        <v>4.9562080999999996</v>
      </c>
      <c r="AM432" s="10">
        <v>4.9075908000000004</v>
      </c>
      <c r="AN432" s="10">
        <v>4.8611503999999996</v>
      </c>
      <c r="AO432" s="10">
        <v>4.8167854999999999</v>
      </c>
      <c r="AP432" s="10">
        <v>4.7743962</v>
      </c>
      <c r="AQ432" s="10">
        <v>4.7338810000000002</v>
      </c>
      <c r="AR432" s="10">
        <v>4.6951387000000002</v>
      </c>
      <c r="AS432" s="10">
        <v>4.6580690999999996</v>
      </c>
      <c r="AT432" s="10">
        <v>4.6225750999999997</v>
      </c>
      <c r="AU432" s="10">
        <v>4.5885778999999998</v>
      </c>
      <c r="AV432" s="10">
        <v>4.5560048000000002</v>
      </c>
      <c r="AW432" s="10">
        <v>4.5247821999999998</v>
      </c>
      <c r="AX432" s="10">
        <v>4.4948363999999996</v>
      </c>
      <c r="AY432" s="10">
        <v>4.4660945999999999</v>
      </c>
      <c r="AZ432" s="10">
        <v>4.4384832000000003</v>
      </c>
      <c r="BA432" s="10">
        <v>4.4119285000000001</v>
      </c>
      <c r="BB432" s="10">
        <v>4.3863576999999996</v>
      </c>
      <c r="BC432" s="10">
        <v>4.3616973000000003</v>
      </c>
      <c r="BD432" s="10">
        <v>4.3378736</v>
      </c>
      <c r="BE432" s="10">
        <v>4.3148137000000002</v>
      </c>
      <c r="BF432" s="10">
        <v>4.2924549000000001</v>
      </c>
      <c r="BG432" s="10">
        <v>4.2707816000000003</v>
      </c>
      <c r="BH432" s="10">
        <v>4.2497921999999999</v>
      </c>
      <c r="BI432" s="10">
        <v>4.2294844999999999</v>
      </c>
      <c r="BJ432" s="10">
        <v>4.2098560999999997</v>
      </c>
      <c r="BK432" s="10">
        <v>4.1909054000000001</v>
      </c>
      <c r="BL432" s="10">
        <v>4.1726299999999998</v>
      </c>
      <c r="BM432" s="10">
        <v>4.1550276000000004</v>
      </c>
      <c r="BN432" s="10">
        <v>4.1380965999999999</v>
      </c>
      <c r="BO432" s="10">
        <v>4.1218347</v>
      </c>
      <c r="BP432" s="10">
        <v>4.1062396000000003</v>
      </c>
      <c r="BQ432" s="10">
        <v>4.0913095999999998</v>
      </c>
      <c r="BR432" s="10">
        <v>4.0154319999999997</v>
      </c>
      <c r="BS432" s="10">
        <v>3.9620902</v>
      </c>
      <c r="BU432" s="7">
        <v>5.19</v>
      </c>
      <c r="BV432" s="7">
        <v>4.67</v>
      </c>
      <c r="BW432" s="9">
        <v>82.751199999999997</v>
      </c>
    </row>
    <row r="433" spans="1:75" x14ac:dyDescent="0.25">
      <c r="A433" s="6">
        <f t="shared" si="41"/>
        <v>45159</v>
      </c>
      <c r="B433" s="13">
        <f t="shared" si="36"/>
        <v>8</v>
      </c>
      <c r="C433" s="13">
        <f t="shared" si="37"/>
        <v>2023</v>
      </c>
      <c r="D433">
        <f t="shared" si="38"/>
        <v>202308</v>
      </c>
      <c r="E433">
        <f t="shared" si="39"/>
        <v>3</v>
      </c>
      <c r="F433">
        <f t="shared" si="40"/>
        <v>202303</v>
      </c>
      <c r="G433" t="s">
        <v>620</v>
      </c>
      <c r="H433" s="9">
        <v>5.25</v>
      </c>
      <c r="I433" s="9">
        <v>5.1840999999999999</v>
      </c>
      <c r="J433" s="10">
        <v>5.304856</v>
      </c>
      <c r="K433" s="10">
        <v>5.5508724000000003</v>
      </c>
      <c r="L433" s="10">
        <v>5.7283451000000003</v>
      </c>
      <c r="M433" s="10">
        <v>5.8474934999999997</v>
      </c>
      <c r="N433" s="10">
        <v>5.9257118000000002</v>
      </c>
      <c r="O433" s="10">
        <v>5.9743962000000002</v>
      </c>
      <c r="P433" s="10">
        <v>6.0017735999999999</v>
      </c>
      <c r="Q433" s="10">
        <v>6.0148419999999998</v>
      </c>
      <c r="R433" s="10">
        <v>6.0186335</v>
      </c>
      <c r="S433" s="10">
        <v>6.0161040999999997</v>
      </c>
      <c r="T433" s="10">
        <v>6.0078059000000001</v>
      </c>
      <c r="U433" s="10">
        <v>5.9930870000000001</v>
      </c>
      <c r="V433" s="10">
        <v>5.9694339999999997</v>
      </c>
      <c r="W433" s="10">
        <v>5.9368818000000001</v>
      </c>
      <c r="X433" s="10">
        <v>5.8963739999999998</v>
      </c>
      <c r="Y433" s="10">
        <v>5.8488528999999998</v>
      </c>
      <c r="Z433" s="10">
        <v>5.7952605000000004</v>
      </c>
      <c r="AA433" s="10">
        <v>5.7365408999999996</v>
      </c>
      <c r="AB433" s="10">
        <v>5.6736569000000001</v>
      </c>
      <c r="AC433" s="10">
        <v>5.6076774</v>
      </c>
      <c r="AD433" s="10">
        <v>5.5397075999999998</v>
      </c>
      <c r="AE433" s="10">
        <v>5.4708503000000004</v>
      </c>
      <c r="AF433" s="10">
        <v>5.4022082999999999</v>
      </c>
      <c r="AG433" s="10">
        <v>5.3348868999999999</v>
      </c>
      <c r="AH433" s="10">
        <v>5.2698156000000003</v>
      </c>
      <c r="AI433" s="10">
        <v>5.2071588000000002</v>
      </c>
      <c r="AJ433" s="10">
        <v>5.1468721999999998</v>
      </c>
      <c r="AK433" s="10">
        <v>5.0889091999999998</v>
      </c>
      <c r="AL433" s="10">
        <v>5.0332233000000004</v>
      </c>
      <c r="AM433" s="10">
        <v>4.9797697999999997</v>
      </c>
      <c r="AN433" s="10">
        <v>4.9285024000000002</v>
      </c>
      <c r="AO433" s="10">
        <v>4.8793744999999999</v>
      </c>
      <c r="AP433" s="10">
        <v>4.8323413999999998</v>
      </c>
      <c r="AQ433" s="10">
        <v>4.7873567000000001</v>
      </c>
      <c r="AR433" s="10">
        <v>4.7443739999999996</v>
      </c>
      <c r="AS433" s="10">
        <v>4.7033484000000003</v>
      </c>
      <c r="AT433" s="10">
        <v>4.6642283000000004</v>
      </c>
      <c r="AU433" s="10">
        <v>4.626938</v>
      </c>
      <c r="AV433" s="10">
        <v>4.5913969000000003</v>
      </c>
      <c r="AW433" s="10">
        <v>4.5575229000000004</v>
      </c>
      <c r="AX433" s="10">
        <v>4.5252338999999999</v>
      </c>
      <c r="AY433" s="10">
        <v>4.4944490999999998</v>
      </c>
      <c r="AZ433" s="10">
        <v>4.4650863999999997</v>
      </c>
      <c r="BA433" s="10">
        <v>4.4370640000000003</v>
      </c>
      <c r="BB433" s="10">
        <v>4.4103007999999999</v>
      </c>
      <c r="BC433" s="10">
        <v>4.3847148999999996</v>
      </c>
      <c r="BD433" s="10">
        <v>4.3602243999999999</v>
      </c>
      <c r="BE433" s="10">
        <v>4.3367481000000003</v>
      </c>
      <c r="BF433" s="10">
        <v>4.3142117000000004</v>
      </c>
      <c r="BG433" s="10">
        <v>4.2925807000000002</v>
      </c>
      <c r="BH433" s="10">
        <v>4.2718350999999997</v>
      </c>
      <c r="BI433" s="10">
        <v>4.2519537999999999</v>
      </c>
      <c r="BJ433" s="10">
        <v>4.2329160999999997</v>
      </c>
      <c r="BK433" s="10">
        <v>4.2147015999999997</v>
      </c>
      <c r="BL433" s="10">
        <v>4.1972895000000001</v>
      </c>
      <c r="BM433" s="10">
        <v>4.1806590000000003</v>
      </c>
      <c r="BN433" s="10">
        <v>4.1647898000000003</v>
      </c>
      <c r="BO433" s="10">
        <v>4.149661</v>
      </c>
      <c r="BP433" s="10">
        <v>4.1352517999999998</v>
      </c>
      <c r="BQ433" s="10">
        <v>4.1215419000000004</v>
      </c>
      <c r="BR433" s="10">
        <v>4.0529970999999998</v>
      </c>
      <c r="BS433" s="10">
        <v>4.0055817999999999</v>
      </c>
      <c r="BU433" s="7">
        <v>5.23</v>
      </c>
      <c r="BV433" s="7">
        <v>4.7300000000000004</v>
      </c>
      <c r="BW433" s="9">
        <v>82.7958</v>
      </c>
    </row>
    <row r="434" spans="1:75" x14ac:dyDescent="0.25">
      <c r="A434" s="6">
        <f t="shared" si="41"/>
        <v>45160</v>
      </c>
      <c r="B434" s="13">
        <f t="shared" si="36"/>
        <v>8</v>
      </c>
      <c r="C434" s="13">
        <f t="shared" si="37"/>
        <v>2023</v>
      </c>
      <c r="D434">
        <f t="shared" si="38"/>
        <v>202308</v>
      </c>
      <c r="E434">
        <f t="shared" si="39"/>
        <v>3</v>
      </c>
      <c r="F434">
        <f t="shared" si="40"/>
        <v>202303</v>
      </c>
      <c r="G434" t="s">
        <v>621</v>
      </c>
      <c r="H434" s="9">
        <v>5.25</v>
      </c>
      <c r="I434" s="9">
        <v>5.1843000000000004</v>
      </c>
      <c r="J434" s="10">
        <v>5.3159929000000004</v>
      </c>
      <c r="K434" s="10">
        <v>5.5540096999999999</v>
      </c>
      <c r="L434" s="10">
        <v>5.7221586000000002</v>
      </c>
      <c r="M434" s="10">
        <v>5.8316153000000002</v>
      </c>
      <c r="N434" s="10">
        <v>5.8999661999999997</v>
      </c>
      <c r="O434" s="10">
        <v>5.9393345999999996</v>
      </c>
      <c r="P434" s="10">
        <v>5.9584199</v>
      </c>
      <c r="Q434" s="10">
        <v>5.9641992000000004</v>
      </c>
      <c r="R434" s="10">
        <v>5.9614858000000002</v>
      </c>
      <c r="S434" s="10">
        <v>5.9529084000000001</v>
      </c>
      <c r="T434" s="10">
        <v>5.9391983000000002</v>
      </c>
      <c r="U434" s="10">
        <v>5.9197837</v>
      </c>
      <c r="V434" s="10">
        <v>5.8927677000000003</v>
      </c>
      <c r="W434" s="10">
        <v>5.8581712000000001</v>
      </c>
      <c r="X434" s="10">
        <v>5.8166663999999999</v>
      </c>
      <c r="Y434" s="10">
        <v>5.7689246000000001</v>
      </c>
      <c r="Z434" s="10">
        <v>5.7156165999999997</v>
      </c>
      <c r="AA434" s="10">
        <v>5.6574150999999997</v>
      </c>
      <c r="AB434" s="10">
        <v>5.5950373000000004</v>
      </c>
      <c r="AC434" s="10">
        <v>5.5294891000000002</v>
      </c>
      <c r="AD434" s="10">
        <v>5.4618903000000003</v>
      </c>
      <c r="AE434" s="10">
        <v>5.3933590000000002</v>
      </c>
      <c r="AF434" s="10">
        <v>5.3250130999999996</v>
      </c>
      <c r="AG434" s="10">
        <v>5.2579728000000001</v>
      </c>
      <c r="AH434" s="10">
        <v>5.193181</v>
      </c>
      <c r="AI434" s="10">
        <v>5.1308074000000001</v>
      </c>
      <c r="AJ434" s="10">
        <v>5.0708108000000003</v>
      </c>
      <c r="AK434" s="10">
        <v>5.0131474000000003</v>
      </c>
      <c r="AL434" s="10">
        <v>4.9577739999999997</v>
      </c>
      <c r="AM434" s="10">
        <v>4.904649</v>
      </c>
      <c r="AN434" s="10">
        <v>4.8537289000000001</v>
      </c>
      <c r="AO434" s="10">
        <v>4.8049704000000002</v>
      </c>
      <c r="AP434" s="10">
        <v>4.7583318999999999</v>
      </c>
      <c r="AQ434" s="10">
        <v>4.7137699</v>
      </c>
      <c r="AR434" s="10">
        <v>4.6712410999999996</v>
      </c>
      <c r="AS434" s="10">
        <v>4.6307038</v>
      </c>
      <c r="AT434" s="10">
        <v>4.5921089999999998</v>
      </c>
      <c r="AU434" s="10">
        <v>4.5553768000000003</v>
      </c>
      <c r="AV434" s="10">
        <v>4.5204187999999998</v>
      </c>
      <c r="AW434" s="10">
        <v>4.4871448000000003</v>
      </c>
      <c r="AX434" s="10">
        <v>4.4554649</v>
      </c>
      <c r="AY434" s="10">
        <v>4.4252903000000003</v>
      </c>
      <c r="AZ434" s="10">
        <v>4.3965310999999998</v>
      </c>
      <c r="BA434" s="10">
        <v>4.3690974000000002</v>
      </c>
      <c r="BB434" s="10">
        <v>4.3429001999999999</v>
      </c>
      <c r="BC434" s="10">
        <v>4.3178497</v>
      </c>
      <c r="BD434" s="10">
        <v>4.2938559999999999</v>
      </c>
      <c r="BE434" s="10">
        <v>4.2708301000000004</v>
      </c>
      <c r="BF434" s="10">
        <v>4.2486915999999999</v>
      </c>
      <c r="BG434" s="10">
        <v>4.2274067000000004</v>
      </c>
      <c r="BH434" s="10">
        <v>4.2069562999999999</v>
      </c>
      <c r="BI434" s="10">
        <v>4.1873203999999999</v>
      </c>
      <c r="BJ434" s="10">
        <v>4.1684793999999998</v>
      </c>
      <c r="BK434" s="10">
        <v>4.1504139999999996</v>
      </c>
      <c r="BL434" s="10">
        <v>4.1331045</v>
      </c>
      <c r="BM434" s="10">
        <v>4.1165310000000002</v>
      </c>
      <c r="BN434" s="10">
        <v>4.1006745000000002</v>
      </c>
      <c r="BO434" s="10">
        <v>4.085515</v>
      </c>
      <c r="BP434" s="10">
        <v>4.0710328999999996</v>
      </c>
      <c r="BQ434" s="10">
        <v>4.0572089</v>
      </c>
      <c r="BR434" s="10">
        <v>3.9872122000000001</v>
      </c>
      <c r="BS434" s="10">
        <v>3.9373613999999999</v>
      </c>
      <c r="BU434" s="7">
        <v>5.14</v>
      </c>
      <c r="BV434" s="7">
        <v>4.6500000000000004</v>
      </c>
      <c r="BW434" s="9">
        <v>82.891499999999994</v>
      </c>
    </row>
    <row r="435" spans="1:75" x14ac:dyDescent="0.25">
      <c r="A435" s="6">
        <f t="shared" si="41"/>
        <v>45161</v>
      </c>
      <c r="B435" s="13">
        <f t="shared" si="36"/>
        <v>8</v>
      </c>
      <c r="C435" s="13">
        <f t="shared" si="37"/>
        <v>2023</v>
      </c>
      <c r="D435">
        <f t="shared" si="38"/>
        <v>202308</v>
      </c>
      <c r="E435">
        <f t="shared" si="39"/>
        <v>3</v>
      </c>
      <c r="F435">
        <f t="shared" si="40"/>
        <v>202303</v>
      </c>
      <c r="G435" t="s">
        <v>622</v>
      </c>
      <c r="H435" s="9">
        <v>5.25</v>
      </c>
      <c r="I435" s="9">
        <v>5.1859000000000002</v>
      </c>
      <c r="J435" s="10">
        <v>5.3144907999999997</v>
      </c>
      <c r="K435" s="10">
        <v>5.5040950000000004</v>
      </c>
      <c r="L435" s="10">
        <v>5.6368862000000002</v>
      </c>
      <c r="M435" s="10">
        <v>5.7203758999999996</v>
      </c>
      <c r="N435" s="10">
        <v>5.7679140999999996</v>
      </c>
      <c r="O435" s="10">
        <v>5.7912216000000001</v>
      </c>
      <c r="P435" s="10">
        <v>5.7976577999999996</v>
      </c>
      <c r="Q435" s="10">
        <v>5.7929709999999996</v>
      </c>
      <c r="R435" s="10">
        <v>5.7810357999999997</v>
      </c>
      <c r="S435" s="10">
        <v>5.7637752999999998</v>
      </c>
      <c r="T435" s="10">
        <v>5.7413046000000003</v>
      </c>
      <c r="U435" s="10">
        <v>5.7126738000000001</v>
      </c>
      <c r="V435" s="10">
        <v>5.6753530000000003</v>
      </c>
      <c r="W435" s="10">
        <v>5.6296140000000001</v>
      </c>
      <c r="X435" s="10">
        <v>5.5766695000000004</v>
      </c>
      <c r="Y435" s="10">
        <v>5.5177309000000001</v>
      </c>
      <c r="Z435" s="10">
        <v>5.4540091000000004</v>
      </c>
      <c r="AA435" s="10">
        <v>5.3867174999999996</v>
      </c>
      <c r="AB435" s="10">
        <v>5.3170400000000004</v>
      </c>
      <c r="AC435" s="10">
        <v>5.2460062000000001</v>
      </c>
      <c r="AD435" s="10">
        <v>5.1745945000000004</v>
      </c>
      <c r="AE435" s="10">
        <v>5.1037802000000001</v>
      </c>
      <c r="AF435" s="10">
        <v>5.0345390999999999</v>
      </c>
      <c r="AG435" s="10">
        <v>4.9678490999999996</v>
      </c>
      <c r="AH435" s="10">
        <v>4.9045608999999999</v>
      </c>
      <c r="AI435" s="10">
        <v>4.8447806</v>
      </c>
      <c r="AJ435" s="10">
        <v>4.7883415999999999</v>
      </c>
      <c r="AK435" s="10">
        <v>4.7350748999999999</v>
      </c>
      <c r="AL435" s="10">
        <v>4.6848117</v>
      </c>
      <c r="AM435" s="10">
        <v>4.6373848000000004</v>
      </c>
      <c r="AN435" s="10">
        <v>4.5926252999999999</v>
      </c>
      <c r="AO435" s="10">
        <v>4.5503644000000003</v>
      </c>
      <c r="AP435" s="10">
        <v>4.5104347000000002</v>
      </c>
      <c r="AQ435" s="10">
        <v>4.4726675</v>
      </c>
      <c r="AR435" s="10">
        <v>4.4368939000000003</v>
      </c>
      <c r="AS435" s="10">
        <v>4.4029467000000002</v>
      </c>
      <c r="AT435" s="10">
        <v>4.3706674000000003</v>
      </c>
      <c r="AU435" s="10">
        <v>4.3399492999999998</v>
      </c>
      <c r="AV435" s="10">
        <v>4.3107023</v>
      </c>
      <c r="AW435" s="10">
        <v>4.2828352000000001</v>
      </c>
      <c r="AX435" s="10">
        <v>4.2562568000000001</v>
      </c>
      <c r="AY435" s="10">
        <v>4.2308769000000002</v>
      </c>
      <c r="AZ435" s="10">
        <v>4.2066043999999998</v>
      </c>
      <c r="BA435" s="10">
        <v>4.1833480999999999</v>
      </c>
      <c r="BB435" s="10">
        <v>4.1610177000000004</v>
      </c>
      <c r="BC435" s="10">
        <v>4.1395222</v>
      </c>
      <c r="BD435" s="10">
        <v>4.1187703999999998</v>
      </c>
      <c r="BE435" s="10">
        <v>4.0986719999999996</v>
      </c>
      <c r="BF435" s="10">
        <v>4.0791494000000004</v>
      </c>
      <c r="BG435" s="10">
        <v>4.0601848</v>
      </c>
      <c r="BH435" s="10">
        <v>4.0417776999999999</v>
      </c>
      <c r="BI435" s="10">
        <v>4.0239266999999996</v>
      </c>
      <c r="BJ435" s="10">
        <v>4.0066303999999997</v>
      </c>
      <c r="BK435" s="10">
        <v>3.9898883000000001</v>
      </c>
      <c r="BL435" s="10">
        <v>3.9736989999999999</v>
      </c>
      <c r="BM435" s="10">
        <v>3.9580612999999998</v>
      </c>
      <c r="BN435" s="10">
        <v>3.9429744000000002</v>
      </c>
      <c r="BO435" s="10">
        <v>3.9284371</v>
      </c>
      <c r="BP435" s="10">
        <v>3.9144481999999998</v>
      </c>
      <c r="BQ435" s="10">
        <v>3.9010066999999999</v>
      </c>
      <c r="BR435" s="10">
        <v>3.8317291999999998</v>
      </c>
      <c r="BS435" s="10">
        <v>3.7814958999999999</v>
      </c>
      <c r="BU435" s="7">
        <v>4.95</v>
      </c>
      <c r="BV435" s="7">
        <v>4.46</v>
      </c>
      <c r="BW435" s="9">
        <v>82.556100000000001</v>
      </c>
    </row>
    <row r="436" spans="1:75" x14ac:dyDescent="0.25">
      <c r="A436" s="6">
        <f t="shared" si="41"/>
        <v>45162</v>
      </c>
      <c r="B436" s="13">
        <f t="shared" si="36"/>
        <v>8</v>
      </c>
      <c r="C436" s="13">
        <f t="shared" si="37"/>
        <v>2023</v>
      </c>
      <c r="D436">
        <f t="shared" si="38"/>
        <v>202308</v>
      </c>
      <c r="E436">
        <f t="shared" si="39"/>
        <v>3</v>
      </c>
      <c r="F436">
        <f t="shared" si="40"/>
        <v>202303</v>
      </c>
      <c r="G436" t="s">
        <v>623</v>
      </c>
      <c r="H436" s="9">
        <v>5.25</v>
      </c>
      <c r="I436" s="9">
        <v>5.1855000000000002</v>
      </c>
      <c r="J436" s="10">
        <v>5.3236504</v>
      </c>
      <c r="K436" s="10">
        <v>5.5152938999999996</v>
      </c>
      <c r="L436" s="10">
        <v>5.6472940999999999</v>
      </c>
      <c r="M436" s="10">
        <v>5.7296297999999997</v>
      </c>
      <c r="N436" s="10">
        <v>5.7770511999999998</v>
      </c>
      <c r="O436" s="10">
        <v>5.8003359000000003</v>
      </c>
      <c r="P436" s="10">
        <v>5.8058065000000001</v>
      </c>
      <c r="Q436" s="10">
        <v>5.7972324000000004</v>
      </c>
      <c r="R436" s="10">
        <v>5.7777764999999999</v>
      </c>
      <c r="S436" s="10">
        <v>5.7496738000000001</v>
      </c>
      <c r="T436" s="10">
        <v>5.7139728999999999</v>
      </c>
      <c r="U436" s="10">
        <v>5.6714181999999997</v>
      </c>
      <c r="V436" s="10">
        <v>5.6222076999999997</v>
      </c>
      <c r="W436" s="10">
        <v>5.5671698000000003</v>
      </c>
      <c r="X436" s="10">
        <v>5.5074373000000003</v>
      </c>
      <c r="Y436" s="10">
        <v>5.4441411999999998</v>
      </c>
      <c r="Z436" s="10">
        <v>5.3784127000000002</v>
      </c>
      <c r="AA436" s="10">
        <v>5.3113849999999996</v>
      </c>
      <c r="AB436" s="10">
        <v>5.2441136999999998</v>
      </c>
      <c r="AC436" s="10">
        <v>5.1772675000000001</v>
      </c>
      <c r="AD436" s="10">
        <v>5.1113936999999998</v>
      </c>
      <c r="AE436" s="10">
        <v>5.0470373000000004</v>
      </c>
      <c r="AF436" s="10">
        <v>4.9847435000000004</v>
      </c>
      <c r="AG436" s="10">
        <v>4.9250594000000003</v>
      </c>
      <c r="AH436" s="10">
        <v>4.8684428000000004</v>
      </c>
      <c r="AI436" s="10">
        <v>4.8148802999999996</v>
      </c>
      <c r="AJ436" s="10">
        <v>4.7642027999999996</v>
      </c>
      <c r="AK436" s="10">
        <v>4.7162391000000001</v>
      </c>
      <c r="AL436" s="10">
        <v>4.6708181</v>
      </c>
      <c r="AM436" s="10">
        <v>4.6277702999999999</v>
      </c>
      <c r="AN436" s="10">
        <v>4.5869247</v>
      </c>
      <c r="AO436" s="10">
        <v>4.5481100999999997</v>
      </c>
      <c r="AP436" s="10">
        <v>4.5111568999999996</v>
      </c>
      <c r="AQ436" s="10">
        <v>4.4758941999999999</v>
      </c>
      <c r="AR436" s="10">
        <v>4.4421508999999997</v>
      </c>
      <c r="AS436" s="10">
        <v>4.4097572999999999</v>
      </c>
      <c r="AT436" s="10">
        <v>4.3785600000000002</v>
      </c>
      <c r="AU436" s="10">
        <v>4.3484831000000002</v>
      </c>
      <c r="AV436" s="10">
        <v>4.3194730000000003</v>
      </c>
      <c r="AW436" s="10">
        <v>4.2914754000000004</v>
      </c>
      <c r="AX436" s="10">
        <v>4.2644355000000003</v>
      </c>
      <c r="AY436" s="10">
        <v>4.2382999999999997</v>
      </c>
      <c r="AZ436" s="10">
        <v>4.2130143999999996</v>
      </c>
      <c r="BA436" s="10">
        <v>4.1885240000000001</v>
      </c>
      <c r="BB436" s="10">
        <v>4.1647755000000002</v>
      </c>
      <c r="BC436" s="10">
        <v>4.1417142</v>
      </c>
      <c r="BD436" s="10">
        <v>4.1192856999999998</v>
      </c>
      <c r="BE436" s="10">
        <v>4.0974364000000003</v>
      </c>
      <c r="BF436" s="10">
        <v>4.0761212000000002</v>
      </c>
      <c r="BG436" s="10">
        <v>4.0553362000000002</v>
      </c>
      <c r="BH436" s="10">
        <v>4.0350896000000001</v>
      </c>
      <c r="BI436" s="10">
        <v>4.0153888999999996</v>
      </c>
      <c r="BJ436" s="10">
        <v>3.9962417000000001</v>
      </c>
      <c r="BK436" s="10">
        <v>3.9776560000000001</v>
      </c>
      <c r="BL436" s="10">
        <v>3.9596395000000002</v>
      </c>
      <c r="BM436" s="10">
        <v>3.9421995999999999</v>
      </c>
      <c r="BN436" s="10">
        <v>3.9253445</v>
      </c>
      <c r="BO436" s="10">
        <v>3.9090817000000002</v>
      </c>
      <c r="BP436" s="10">
        <v>3.8934188000000001</v>
      </c>
      <c r="BQ436" s="10">
        <v>3.8783639000000001</v>
      </c>
      <c r="BR436" s="10">
        <v>3.8008294999999999</v>
      </c>
      <c r="BS436" s="10">
        <v>3.7446632000000002</v>
      </c>
      <c r="BU436" s="7">
        <v>4.97</v>
      </c>
      <c r="BV436" s="7">
        <v>4.4400000000000004</v>
      </c>
      <c r="BW436" s="9">
        <v>82.269599999999997</v>
      </c>
    </row>
    <row r="437" spans="1:75" x14ac:dyDescent="0.25">
      <c r="A437" s="6">
        <f t="shared" si="41"/>
        <v>45163</v>
      </c>
      <c r="B437" s="13">
        <f t="shared" si="36"/>
        <v>8</v>
      </c>
      <c r="C437" s="13">
        <f t="shared" si="37"/>
        <v>2023</v>
      </c>
      <c r="D437">
        <f t="shared" si="38"/>
        <v>202308</v>
      </c>
      <c r="E437">
        <f t="shared" si="39"/>
        <v>3</v>
      </c>
      <c r="F437">
        <f t="shared" si="40"/>
        <v>202303</v>
      </c>
      <c r="G437" t="s">
        <v>624</v>
      </c>
      <c r="H437" s="9">
        <v>5.25</v>
      </c>
      <c r="I437" s="9">
        <v>5.1852</v>
      </c>
      <c r="J437" s="10">
        <v>5.3332307999999999</v>
      </c>
      <c r="K437" s="10">
        <v>5.5243900000000004</v>
      </c>
      <c r="L437" s="10">
        <v>5.6579566000000003</v>
      </c>
      <c r="M437" s="10">
        <v>5.7420530000000003</v>
      </c>
      <c r="N437" s="10">
        <v>5.7907275</v>
      </c>
      <c r="O437" s="10">
        <v>5.8153490999999997</v>
      </c>
      <c r="P437" s="10">
        <v>5.8235131000000004</v>
      </c>
      <c r="Q437" s="10">
        <v>5.8206550000000004</v>
      </c>
      <c r="R437" s="10">
        <v>5.8103758000000001</v>
      </c>
      <c r="S437" s="10">
        <v>5.7940300999999996</v>
      </c>
      <c r="T437" s="10">
        <v>5.7716737</v>
      </c>
      <c r="U437" s="10">
        <v>5.7424679000000003</v>
      </c>
      <c r="V437" s="10">
        <v>5.7042229000000004</v>
      </c>
      <c r="W437" s="10">
        <v>5.6571879000000003</v>
      </c>
      <c r="X437" s="10">
        <v>5.6025931</v>
      </c>
      <c r="Y437" s="10">
        <v>5.5416673000000003</v>
      </c>
      <c r="Z437" s="10">
        <v>5.4756394000000004</v>
      </c>
      <c r="AA437" s="10">
        <v>5.4057402999999997</v>
      </c>
      <c r="AB437" s="10">
        <v>5.3331850000000003</v>
      </c>
      <c r="AC437" s="10">
        <v>5.2591169999999998</v>
      </c>
      <c r="AD437" s="10">
        <v>5.1846595000000004</v>
      </c>
      <c r="AE437" s="10">
        <v>5.1109334000000004</v>
      </c>
      <c r="AF437" s="10">
        <v>5.0390592999999999</v>
      </c>
      <c r="AG437" s="10">
        <v>4.9701605000000004</v>
      </c>
      <c r="AH437" s="10">
        <v>4.905176</v>
      </c>
      <c r="AI437" s="10">
        <v>4.8441581999999999</v>
      </c>
      <c r="AJ437" s="10">
        <v>4.7868921000000002</v>
      </c>
      <c r="AK437" s="10">
        <v>4.7331605000000003</v>
      </c>
      <c r="AL437" s="10">
        <v>4.6827461000000001</v>
      </c>
      <c r="AM437" s="10">
        <v>4.6354338000000004</v>
      </c>
      <c r="AN437" s="10">
        <v>4.5910061999999998</v>
      </c>
      <c r="AO437" s="10">
        <v>4.5492464999999997</v>
      </c>
      <c r="AP437" s="10">
        <v>4.5099390000000001</v>
      </c>
      <c r="AQ437" s="10">
        <v>4.4728665999999997</v>
      </c>
      <c r="AR437" s="10">
        <v>4.4378126</v>
      </c>
      <c r="AS437" s="10">
        <v>4.4045610000000002</v>
      </c>
      <c r="AT437" s="10">
        <v>4.3729126999999997</v>
      </c>
      <c r="AU437" s="10">
        <v>4.3427462999999999</v>
      </c>
      <c r="AV437" s="10">
        <v>4.3139630000000002</v>
      </c>
      <c r="AW437" s="10">
        <v>4.2864630999999997</v>
      </c>
      <c r="AX437" s="10">
        <v>4.2601465999999997</v>
      </c>
      <c r="AY437" s="10">
        <v>4.2349147</v>
      </c>
      <c r="AZ437" s="10">
        <v>4.2106677000000001</v>
      </c>
      <c r="BA437" s="10">
        <v>4.1873057999999999</v>
      </c>
      <c r="BB437" s="10">
        <v>4.1647299999999996</v>
      </c>
      <c r="BC437" s="10">
        <v>4.1428406999999998</v>
      </c>
      <c r="BD437" s="10">
        <v>4.1215380000000001</v>
      </c>
      <c r="BE437" s="10">
        <v>4.1007230000000003</v>
      </c>
      <c r="BF437" s="10">
        <v>4.0803130999999997</v>
      </c>
      <c r="BG437" s="10">
        <v>4.0603008000000003</v>
      </c>
      <c r="BH437" s="10">
        <v>4.0407004000000004</v>
      </c>
      <c r="BI437" s="10">
        <v>4.0215253000000004</v>
      </c>
      <c r="BJ437" s="10">
        <v>4.0027888999999996</v>
      </c>
      <c r="BK437" s="10">
        <v>3.9845055</v>
      </c>
      <c r="BL437" s="10">
        <v>3.9666883999999998</v>
      </c>
      <c r="BM437" s="10">
        <v>3.9493512000000002</v>
      </c>
      <c r="BN437" s="10">
        <v>3.9325079000000001</v>
      </c>
      <c r="BO437" s="10">
        <v>3.916172</v>
      </c>
      <c r="BP437" s="10">
        <v>3.9003570999999999</v>
      </c>
      <c r="BQ437" s="10">
        <v>3.8850771000000002</v>
      </c>
      <c r="BR437" s="10">
        <v>3.8049928</v>
      </c>
      <c r="BS437" s="10">
        <v>3.7451473000000002</v>
      </c>
      <c r="BU437" s="7">
        <v>5.01</v>
      </c>
      <c r="BV437" s="7">
        <v>4.4400000000000004</v>
      </c>
      <c r="BW437" s="9">
        <v>82.003</v>
      </c>
    </row>
    <row r="438" spans="1:75" x14ac:dyDescent="0.25">
      <c r="A438" s="6">
        <f t="shared" si="41"/>
        <v>45166</v>
      </c>
      <c r="B438" s="13">
        <f t="shared" si="36"/>
        <v>8</v>
      </c>
      <c r="C438" s="13">
        <f t="shared" si="37"/>
        <v>2023</v>
      </c>
      <c r="D438">
        <f t="shared" si="38"/>
        <v>202308</v>
      </c>
      <c r="E438">
        <f t="shared" si="39"/>
        <v>3</v>
      </c>
      <c r="F438">
        <f t="shared" si="40"/>
        <v>202303</v>
      </c>
      <c r="G438" t="s">
        <v>625</v>
      </c>
      <c r="H438" s="9">
        <v>5.25</v>
      </c>
      <c r="I438" s="9" t="e">
        <v>#N/A</v>
      </c>
      <c r="J438" s="10" t="e">
        <v>#N/A</v>
      </c>
      <c r="K438" s="10" t="e">
        <v>#N/A</v>
      </c>
      <c r="L438" s="10" t="e">
        <v>#N/A</v>
      </c>
      <c r="M438" s="10" t="e">
        <v>#N/A</v>
      </c>
      <c r="N438" s="10" t="e">
        <v>#N/A</v>
      </c>
      <c r="O438" s="10" t="e">
        <v>#N/A</v>
      </c>
      <c r="P438" s="10" t="e">
        <v>#N/A</v>
      </c>
      <c r="Q438" s="10" t="e">
        <v>#N/A</v>
      </c>
      <c r="R438" s="10" t="e">
        <v>#N/A</v>
      </c>
      <c r="S438" s="10" t="e">
        <v>#N/A</v>
      </c>
      <c r="T438" s="10" t="e">
        <v>#N/A</v>
      </c>
      <c r="U438" s="10" t="e">
        <v>#N/A</v>
      </c>
      <c r="V438" s="10" t="e">
        <v>#N/A</v>
      </c>
      <c r="W438" s="10" t="e">
        <v>#N/A</v>
      </c>
      <c r="X438" s="10" t="e">
        <v>#N/A</v>
      </c>
      <c r="Y438" s="10" t="e">
        <v>#N/A</v>
      </c>
      <c r="Z438" s="10" t="e">
        <v>#N/A</v>
      </c>
      <c r="AA438" s="10" t="e">
        <v>#N/A</v>
      </c>
      <c r="AB438" s="10" t="e">
        <v>#N/A</v>
      </c>
      <c r="AC438" s="10" t="e">
        <v>#N/A</v>
      </c>
      <c r="AD438" s="10" t="e">
        <v>#N/A</v>
      </c>
      <c r="AE438" s="10" t="e">
        <v>#N/A</v>
      </c>
      <c r="AF438" s="10" t="e">
        <v>#N/A</v>
      </c>
      <c r="AG438" s="10" t="e">
        <v>#N/A</v>
      </c>
      <c r="AH438" s="10" t="e">
        <v>#N/A</v>
      </c>
      <c r="AI438" s="10" t="e">
        <v>#N/A</v>
      </c>
      <c r="AJ438" s="10" t="e">
        <v>#N/A</v>
      </c>
      <c r="AK438" s="10" t="e">
        <v>#N/A</v>
      </c>
      <c r="AL438" s="10" t="e">
        <v>#N/A</v>
      </c>
      <c r="AM438" s="10" t="e">
        <v>#N/A</v>
      </c>
      <c r="AN438" s="10" t="e">
        <v>#N/A</v>
      </c>
      <c r="AO438" s="10" t="e">
        <v>#N/A</v>
      </c>
      <c r="AP438" s="10" t="e">
        <v>#N/A</v>
      </c>
      <c r="AQ438" s="10" t="e">
        <v>#N/A</v>
      </c>
      <c r="AR438" s="10" t="e">
        <v>#N/A</v>
      </c>
      <c r="AS438" s="10" t="e">
        <v>#N/A</v>
      </c>
      <c r="AT438" s="10" t="e">
        <v>#N/A</v>
      </c>
      <c r="AU438" s="10" t="e">
        <v>#N/A</v>
      </c>
      <c r="AV438" s="10" t="e">
        <v>#N/A</v>
      </c>
      <c r="AW438" s="10" t="e">
        <v>#N/A</v>
      </c>
      <c r="AX438" s="10" t="e">
        <v>#N/A</v>
      </c>
      <c r="AY438" s="10" t="e">
        <v>#N/A</v>
      </c>
      <c r="AZ438" s="10" t="e">
        <v>#N/A</v>
      </c>
      <c r="BA438" s="10" t="e">
        <v>#N/A</v>
      </c>
      <c r="BB438" s="10" t="e">
        <v>#N/A</v>
      </c>
      <c r="BC438" s="10" t="e">
        <v>#N/A</v>
      </c>
      <c r="BD438" s="10" t="e">
        <v>#N/A</v>
      </c>
      <c r="BE438" s="10" t="e">
        <v>#N/A</v>
      </c>
      <c r="BF438" s="10" t="e">
        <v>#N/A</v>
      </c>
      <c r="BG438" s="10" t="e">
        <v>#N/A</v>
      </c>
      <c r="BH438" s="10" t="e">
        <v>#N/A</v>
      </c>
      <c r="BI438" s="10" t="e">
        <v>#N/A</v>
      </c>
      <c r="BJ438" s="10" t="e">
        <v>#N/A</v>
      </c>
      <c r="BK438" s="10" t="e">
        <v>#N/A</v>
      </c>
      <c r="BL438" s="10" t="e">
        <v>#N/A</v>
      </c>
      <c r="BM438" s="10" t="e">
        <v>#N/A</v>
      </c>
      <c r="BN438" s="10" t="e">
        <v>#N/A</v>
      </c>
      <c r="BO438" s="10" t="e">
        <v>#N/A</v>
      </c>
      <c r="BP438" s="10" t="e">
        <v>#N/A</v>
      </c>
      <c r="BQ438" s="10" t="e">
        <v>#N/A</v>
      </c>
      <c r="BR438" s="10" t="e">
        <v>#N/A</v>
      </c>
      <c r="BS438" s="10" t="e">
        <v>#N/A</v>
      </c>
      <c r="BU438" s="7">
        <v>5.27</v>
      </c>
      <c r="BV438" s="7">
        <v>4.4400000000000004</v>
      </c>
      <c r="BW438" s="9" t="e">
        <v>#N/A</v>
      </c>
    </row>
    <row r="439" spans="1:75" x14ac:dyDescent="0.25">
      <c r="A439" s="6">
        <f t="shared" si="41"/>
        <v>45167</v>
      </c>
      <c r="B439" s="13">
        <f t="shared" si="36"/>
        <v>8</v>
      </c>
      <c r="C439" s="13">
        <f t="shared" si="37"/>
        <v>2023</v>
      </c>
      <c r="D439">
        <f t="shared" si="38"/>
        <v>202308</v>
      </c>
      <c r="E439">
        <f t="shared" si="39"/>
        <v>3</v>
      </c>
      <c r="F439">
        <f t="shared" si="40"/>
        <v>202303</v>
      </c>
      <c r="G439" t="s">
        <v>626</v>
      </c>
      <c r="H439" s="9">
        <v>5.25</v>
      </c>
      <c r="I439" s="9">
        <v>5.1852999999999998</v>
      </c>
      <c r="J439" s="10">
        <v>5.3647007000000002</v>
      </c>
      <c r="K439" s="10">
        <v>5.5258361000000003</v>
      </c>
      <c r="L439" s="10">
        <v>5.6382789000000004</v>
      </c>
      <c r="M439" s="10">
        <v>5.7066606999999996</v>
      </c>
      <c r="N439" s="10">
        <v>5.7448974000000002</v>
      </c>
      <c r="O439" s="10">
        <v>5.7625472000000002</v>
      </c>
      <c r="P439" s="10">
        <v>5.7643085000000003</v>
      </c>
      <c r="Q439" s="10">
        <v>5.7527168</v>
      </c>
      <c r="R439" s="10">
        <v>5.7291955000000003</v>
      </c>
      <c r="S439" s="10">
        <v>5.6959892999999999</v>
      </c>
      <c r="T439" s="10">
        <v>5.6550113</v>
      </c>
      <c r="U439" s="10">
        <v>5.6076630999999999</v>
      </c>
      <c r="V439" s="10">
        <v>5.5557547999999999</v>
      </c>
      <c r="W439" s="10">
        <v>5.5002529999999998</v>
      </c>
      <c r="X439" s="10">
        <v>5.4418347000000002</v>
      </c>
      <c r="Y439" s="10">
        <v>5.3811748000000001</v>
      </c>
      <c r="Z439" s="10">
        <v>5.3189481000000001</v>
      </c>
      <c r="AA439" s="10">
        <v>5.2558315999999996</v>
      </c>
      <c r="AB439" s="10">
        <v>5.1924736999999999</v>
      </c>
      <c r="AC439" s="10">
        <v>5.1293562000000001</v>
      </c>
      <c r="AD439" s="10">
        <v>5.0668990999999997</v>
      </c>
      <c r="AE439" s="10">
        <v>5.0055199000000004</v>
      </c>
      <c r="AF439" s="10">
        <v>4.9456362</v>
      </c>
      <c r="AG439" s="10">
        <v>4.8876676999999997</v>
      </c>
      <c r="AH439" s="10">
        <v>4.8319590999999997</v>
      </c>
      <c r="AI439" s="10">
        <v>4.7785337999999999</v>
      </c>
      <c r="AJ439" s="10">
        <v>4.7273284000000002</v>
      </c>
      <c r="AK439" s="10">
        <v>4.6782776999999998</v>
      </c>
      <c r="AL439" s="10">
        <v>4.6313164000000002</v>
      </c>
      <c r="AM439" s="10">
        <v>4.5863810000000003</v>
      </c>
      <c r="AN439" s="10">
        <v>4.5434064000000003</v>
      </c>
      <c r="AO439" s="10">
        <v>4.5023271999999999</v>
      </c>
      <c r="AP439" s="10">
        <v>4.4630799999999997</v>
      </c>
      <c r="AQ439" s="10">
        <v>4.4255996</v>
      </c>
      <c r="AR439" s="10">
        <v>4.3898207999999999</v>
      </c>
      <c r="AS439" s="10">
        <v>4.3556799000000002</v>
      </c>
      <c r="AT439" s="10">
        <v>4.3231112999999999</v>
      </c>
      <c r="AU439" s="10">
        <v>4.2920463</v>
      </c>
      <c r="AV439" s="10">
        <v>4.2624161999999997</v>
      </c>
      <c r="AW439" s="10">
        <v>4.2341511000000001</v>
      </c>
      <c r="AX439" s="10">
        <v>4.2071813000000002</v>
      </c>
      <c r="AY439" s="10">
        <v>4.1814378999999997</v>
      </c>
      <c r="AZ439" s="10">
        <v>4.1568512000000002</v>
      </c>
      <c r="BA439" s="10">
        <v>4.1333513999999996</v>
      </c>
      <c r="BB439" s="10">
        <v>4.1108696</v>
      </c>
      <c r="BC439" s="10">
        <v>4.0893360999999997</v>
      </c>
      <c r="BD439" s="10">
        <v>4.0686811000000001</v>
      </c>
      <c r="BE439" s="10">
        <v>4.0488356999999997</v>
      </c>
      <c r="BF439" s="10">
        <v>4.0297368999999996</v>
      </c>
      <c r="BG439" s="10">
        <v>4.0113576000000002</v>
      </c>
      <c r="BH439" s="10">
        <v>3.9936837000000001</v>
      </c>
      <c r="BI439" s="10">
        <v>3.9767001</v>
      </c>
      <c r="BJ439" s="10">
        <v>3.9603920000000001</v>
      </c>
      <c r="BK439" s="10">
        <v>3.9447451</v>
      </c>
      <c r="BL439" s="10">
        <v>3.9297445</v>
      </c>
      <c r="BM439" s="10">
        <v>3.9153753999999998</v>
      </c>
      <c r="BN439" s="10">
        <v>3.9016232999999998</v>
      </c>
      <c r="BO439" s="10">
        <v>3.8884734999999999</v>
      </c>
      <c r="BP439" s="10">
        <v>3.8759109999999999</v>
      </c>
      <c r="BQ439" s="10">
        <v>3.8639215999999998</v>
      </c>
      <c r="BR439" s="10">
        <v>3.8034124999999999</v>
      </c>
      <c r="BS439" s="10">
        <v>3.7611810000000001</v>
      </c>
      <c r="BU439" s="7">
        <v>5.22</v>
      </c>
      <c r="BV439" s="7">
        <v>4.42</v>
      </c>
      <c r="BW439" s="9">
        <v>81.991</v>
      </c>
    </row>
    <row r="440" spans="1:75" x14ac:dyDescent="0.25">
      <c r="A440" s="6">
        <f t="shared" si="41"/>
        <v>45168</v>
      </c>
      <c r="B440" s="13">
        <f t="shared" si="36"/>
        <v>8</v>
      </c>
      <c r="C440" s="13">
        <f t="shared" si="37"/>
        <v>2023</v>
      </c>
      <c r="D440">
        <f t="shared" si="38"/>
        <v>202308</v>
      </c>
      <c r="E440">
        <f t="shared" si="39"/>
        <v>3</v>
      </c>
      <c r="F440">
        <f t="shared" si="40"/>
        <v>202303</v>
      </c>
      <c r="G440" t="s">
        <v>627</v>
      </c>
      <c r="H440" s="9">
        <v>5.25</v>
      </c>
      <c r="I440" s="9">
        <v>5.1855000000000002</v>
      </c>
      <c r="J440" s="10">
        <v>5.3613606999999996</v>
      </c>
      <c r="K440" s="10">
        <v>5.5305391999999998</v>
      </c>
      <c r="L440" s="10">
        <v>5.6465208999999996</v>
      </c>
      <c r="M440" s="10">
        <v>5.7193399999999999</v>
      </c>
      <c r="N440" s="10">
        <v>5.7615410000000002</v>
      </c>
      <c r="O440" s="10">
        <v>5.782699</v>
      </c>
      <c r="P440" s="10">
        <v>5.7892969000000001</v>
      </c>
      <c r="Q440" s="10">
        <v>5.7857079999999996</v>
      </c>
      <c r="R440" s="10">
        <v>5.7742032999999999</v>
      </c>
      <c r="S440" s="10">
        <v>5.7559516000000004</v>
      </c>
      <c r="T440" s="10">
        <v>5.7306344999999999</v>
      </c>
      <c r="U440" s="10">
        <v>5.6971778999999998</v>
      </c>
      <c r="V440" s="10">
        <v>5.6530813000000002</v>
      </c>
      <c r="W440" s="10">
        <v>5.5991173999999999</v>
      </c>
      <c r="X440" s="10">
        <v>5.537134</v>
      </c>
      <c r="Y440" s="10">
        <v>5.4689774</v>
      </c>
      <c r="Z440" s="10">
        <v>5.3964933000000004</v>
      </c>
      <c r="AA440" s="10">
        <v>5.3215301000000004</v>
      </c>
      <c r="AB440" s="10">
        <v>5.2458065999999999</v>
      </c>
      <c r="AC440" s="10">
        <v>5.1703210000000004</v>
      </c>
      <c r="AD440" s="10">
        <v>5.0958208999999997</v>
      </c>
      <c r="AE440" s="10">
        <v>5.0230509999999997</v>
      </c>
      <c r="AF440" s="10">
        <v>4.9527559999999999</v>
      </c>
      <c r="AG440" s="10">
        <v>4.8856830999999996</v>
      </c>
      <c r="AH440" s="10">
        <v>4.8224605</v>
      </c>
      <c r="AI440" s="10">
        <v>4.7630894000000001</v>
      </c>
      <c r="AJ440" s="10">
        <v>4.7073625999999997</v>
      </c>
      <c r="AK440" s="10">
        <v>4.6550709000000001</v>
      </c>
      <c r="AL440" s="10">
        <v>4.6060049999999997</v>
      </c>
      <c r="AM440" s="10">
        <v>4.5599574</v>
      </c>
      <c r="AN440" s="10">
        <v>4.5167188999999999</v>
      </c>
      <c r="AO440" s="10">
        <v>4.4760805000000001</v>
      </c>
      <c r="AP440" s="10">
        <v>4.4378343999999998</v>
      </c>
      <c r="AQ440" s="10">
        <v>4.4017716</v>
      </c>
      <c r="AR440" s="10">
        <v>4.3676829000000001</v>
      </c>
      <c r="AS440" s="10">
        <v>4.3353606999999998</v>
      </c>
      <c r="AT440" s="10">
        <v>4.3046116000000003</v>
      </c>
      <c r="AU440" s="10">
        <v>4.2753278000000003</v>
      </c>
      <c r="AV440" s="10">
        <v>4.2474312999999997</v>
      </c>
      <c r="AW440" s="10">
        <v>4.2208427000000004</v>
      </c>
      <c r="AX440" s="10">
        <v>4.1954830000000003</v>
      </c>
      <c r="AY440" s="10">
        <v>4.1712737999999998</v>
      </c>
      <c r="AZ440" s="10">
        <v>4.148136</v>
      </c>
      <c r="BA440" s="10">
        <v>4.1259905999999997</v>
      </c>
      <c r="BB440" s="10">
        <v>4.1047590999999999</v>
      </c>
      <c r="BC440" s="10">
        <v>4.0843626000000004</v>
      </c>
      <c r="BD440" s="10">
        <v>4.0647216999999998</v>
      </c>
      <c r="BE440" s="10">
        <v>4.0457583000000001</v>
      </c>
      <c r="BF440" s="10">
        <v>4.0274032999999996</v>
      </c>
      <c r="BG440" s="10">
        <v>4.0096369000000003</v>
      </c>
      <c r="BH440" s="10">
        <v>3.9924550000000001</v>
      </c>
      <c r="BI440" s="10">
        <v>3.9758528000000002</v>
      </c>
      <c r="BJ440" s="10">
        <v>3.9598255</v>
      </c>
      <c r="BK440" s="10">
        <v>3.9443689000000002</v>
      </c>
      <c r="BL440" s="10">
        <v>3.9294782000000001</v>
      </c>
      <c r="BM440" s="10">
        <v>3.9151487</v>
      </c>
      <c r="BN440" s="10">
        <v>3.9013762000000001</v>
      </c>
      <c r="BO440" s="10">
        <v>3.8881559000000001</v>
      </c>
      <c r="BP440" s="10">
        <v>3.875483</v>
      </c>
      <c r="BQ440" s="10">
        <v>3.8633533</v>
      </c>
      <c r="BR440" s="10">
        <v>3.8017544000000001</v>
      </c>
      <c r="BS440" s="10">
        <v>3.7587484</v>
      </c>
      <c r="BU440" s="7">
        <v>5.22</v>
      </c>
      <c r="BV440" s="7">
        <v>4.43</v>
      </c>
      <c r="BW440" s="9">
        <v>82.488799999999998</v>
      </c>
    </row>
    <row r="441" spans="1:75" x14ac:dyDescent="0.25">
      <c r="A441" s="6">
        <f t="shared" si="41"/>
        <v>45169</v>
      </c>
      <c r="B441" s="13">
        <f t="shared" si="36"/>
        <v>8</v>
      </c>
      <c r="C441" s="13">
        <f t="shared" si="37"/>
        <v>2023</v>
      </c>
      <c r="D441">
        <f t="shared" si="38"/>
        <v>202308</v>
      </c>
      <c r="E441">
        <f t="shared" si="39"/>
        <v>3</v>
      </c>
      <c r="F441">
        <f t="shared" si="40"/>
        <v>202303</v>
      </c>
      <c r="G441" t="s">
        <v>628</v>
      </c>
      <c r="H441" s="9">
        <v>5.25</v>
      </c>
      <c r="I441" s="9">
        <v>5.1852</v>
      </c>
      <c r="J441" s="10">
        <v>5.3430616000000004</v>
      </c>
      <c r="K441" s="10">
        <v>5.4840825000000004</v>
      </c>
      <c r="L441" s="10">
        <v>5.5796014999999999</v>
      </c>
      <c r="M441" s="10">
        <v>5.6389981000000002</v>
      </c>
      <c r="N441" s="10">
        <v>5.6731835999999998</v>
      </c>
      <c r="O441" s="10">
        <v>5.6900561999999999</v>
      </c>
      <c r="P441" s="10">
        <v>5.6945531999999996</v>
      </c>
      <c r="Q441" s="10">
        <v>5.6897909000000002</v>
      </c>
      <c r="R441" s="10">
        <v>5.6771155000000002</v>
      </c>
      <c r="S441" s="10">
        <v>5.6572171999999998</v>
      </c>
      <c r="T441" s="10">
        <v>5.6297807000000004</v>
      </c>
      <c r="U441" s="10">
        <v>5.5942670999999997</v>
      </c>
      <c r="V441" s="10">
        <v>5.5488023999999996</v>
      </c>
      <c r="W441" s="10">
        <v>5.4941972000000003</v>
      </c>
      <c r="X441" s="10">
        <v>5.432347</v>
      </c>
      <c r="Y441" s="10">
        <v>5.3651463000000001</v>
      </c>
      <c r="Z441" s="10">
        <v>5.2944893000000004</v>
      </c>
      <c r="AA441" s="10">
        <v>5.2222727999999998</v>
      </c>
      <c r="AB441" s="10">
        <v>5.1501478000000001</v>
      </c>
      <c r="AC441" s="10">
        <v>5.0788397999999999</v>
      </c>
      <c r="AD441" s="10">
        <v>5.0088562999999997</v>
      </c>
      <c r="AE441" s="10">
        <v>4.9407022999999999</v>
      </c>
      <c r="AF441" s="10">
        <v>4.8748829000000002</v>
      </c>
      <c r="AG441" s="10">
        <v>4.8119056999999996</v>
      </c>
      <c r="AH441" s="10">
        <v>4.7521852000000004</v>
      </c>
      <c r="AI441" s="10">
        <v>4.6956954</v>
      </c>
      <c r="AJ441" s="10">
        <v>4.6422780000000001</v>
      </c>
      <c r="AK441" s="10">
        <v>4.5917726999999999</v>
      </c>
      <c r="AL441" s="10">
        <v>4.5440193000000004</v>
      </c>
      <c r="AM441" s="10">
        <v>4.4988593999999997</v>
      </c>
      <c r="AN441" s="10">
        <v>4.4561326000000001</v>
      </c>
      <c r="AO441" s="10">
        <v>4.4156791000000002</v>
      </c>
      <c r="AP441" s="10">
        <v>4.3773399</v>
      </c>
      <c r="AQ441" s="10">
        <v>4.3409551999999998</v>
      </c>
      <c r="AR441" s="10">
        <v>4.3063647999999999</v>
      </c>
      <c r="AS441" s="10">
        <v>4.2734098999999999</v>
      </c>
      <c r="AT441" s="10">
        <v>4.2419440000000002</v>
      </c>
      <c r="AU441" s="10">
        <v>4.2118859999999998</v>
      </c>
      <c r="AV441" s="10">
        <v>4.1831762000000001</v>
      </c>
      <c r="AW441" s="10">
        <v>4.1557535000000003</v>
      </c>
      <c r="AX441" s="10">
        <v>4.1295568999999999</v>
      </c>
      <c r="AY441" s="10">
        <v>4.1045265000000004</v>
      </c>
      <c r="AZ441" s="10">
        <v>4.0806012999999997</v>
      </c>
      <c r="BA441" s="10">
        <v>4.0577205000000003</v>
      </c>
      <c r="BB441" s="10">
        <v>4.0358238000000002</v>
      </c>
      <c r="BC441" s="10">
        <v>4.0148504999999997</v>
      </c>
      <c r="BD441" s="10">
        <v>3.9947395999999999</v>
      </c>
      <c r="BE441" s="10">
        <v>3.9754311000000002</v>
      </c>
      <c r="BF441" s="10">
        <v>3.9568707999999999</v>
      </c>
      <c r="BG441" s="10">
        <v>3.9390344000000002</v>
      </c>
      <c r="BH441" s="10">
        <v>3.9219067999999999</v>
      </c>
      <c r="BI441" s="10">
        <v>3.9054717999999999</v>
      </c>
      <c r="BJ441" s="10">
        <v>3.8897137000000002</v>
      </c>
      <c r="BK441" s="10">
        <v>3.8746168999999999</v>
      </c>
      <c r="BL441" s="10">
        <v>3.8601656000000002</v>
      </c>
      <c r="BM441" s="10">
        <v>3.8463438999999999</v>
      </c>
      <c r="BN441" s="10">
        <v>3.8331363000000001</v>
      </c>
      <c r="BO441" s="10">
        <v>3.8205268999999999</v>
      </c>
      <c r="BP441" s="10">
        <v>3.8084997999999999</v>
      </c>
      <c r="BQ441" s="10">
        <v>3.7970394999999999</v>
      </c>
      <c r="BR441" s="10">
        <v>3.7395835000000002</v>
      </c>
      <c r="BS441" s="10">
        <v>3.7003180000000002</v>
      </c>
      <c r="BU441" s="7">
        <v>5.14</v>
      </c>
      <c r="BV441" s="7">
        <v>4.3600000000000003</v>
      </c>
      <c r="BW441" s="9">
        <v>82.423299999999998</v>
      </c>
    </row>
    <row r="442" spans="1:75" x14ac:dyDescent="0.25">
      <c r="A442" s="6">
        <f t="shared" si="41"/>
        <v>45170</v>
      </c>
      <c r="B442" s="13">
        <f t="shared" si="36"/>
        <v>9</v>
      </c>
      <c r="C442" s="13">
        <f t="shared" si="37"/>
        <v>2023</v>
      </c>
      <c r="D442">
        <f t="shared" si="38"/>
        <v>202309</v>
      </c>
      <c r="E442">
        <f t="shared" si="39"/>
        <v>3</v>
      </c>
      <c r="F442">
        <f t="shared" si="40"/>
        <v>202303</v>
      </c>
      <c r="G442" t="s">
        <v>629</v>
      </c>
      <c r="H442" s="9">
        <v>5.25</v>
      </c>
      <c r="I442" s="9">
        <v>5.1852</v>
      </c>
      <c r="J442" s="10">
        <v>5.3589462000000001</v>
      </c>
      <c r="K442" s="10">
        <v>5.4800595000000003</v>
      </c>
      <c r="L442" s="10">
        <v>5.5683544999999999</v>
      </c>
      <c r="M442" s="10">
        <v>5.6221502000000001</v>
      </c>
      <c r="N442" s="10">
        <v>5.6493563</v>
      </c>
      <c r="O442" s="10">
        <v>5.6582536000000001</v>
      </c>
      <c r="P442" s="10">
        <v>5.6542138</v>
      </c>
      <c r="Q442" s="10">
        <v>5.6413007000000004</v>
      </c>
      <c r="R442" s="10">
        <v>5.6217265000000003</v>
      </c>
      <c r="S442" s="10">
        <v>5.5964081999999999</v>
      </c>
      <c r="T442" s="10">
        <v>5.5652603999999997</v>
      </c>
      <c r="U442" s="10">
        <v>5.5274239999999999</v>
      </c>
      <c r="V442" s="10">
        <v>5.4814217000000003</v>
      </c>
      <c r="W442" s="10">
        <v>5.4281541000000004</v>
      </c>
      <c r="X442" s="10">
        <v>5.3693346999999996</v>
      </c>
      <c r="Y442" s="10">
        <v>5.3066751999999999</v>
      </c>
      <c r="Z442" s="10">
        <v>5.2418871999999999</v>
      </c>
      <c r="AA442" s="10">
        <v>5.1766848000000003</v>
      </c>
      <c r="AB442" s="10">
        <v>5.1125658999999999</v>
      </c>
      <c r="AC442" s="10">
        <v>5.0500379000000004</v>
      </c>
      <c r="AD442" s="10">
        <v>4.9893235999999996</v>
      </c>
      <c r="AE442" s="10">
        <v>4.9306432999999998</v>
      </c>
      <c r="AF442" s="10">
        <v>4.8742174</v>
      </c>
      <c r="AG442" s="10">
        <v>4.8202685000000001</v>
      </c>
      <c r="AH442" s="10">
        <v>4.7689627000000003</v>
      </c>
      <c r="AI442" s="10">
        <v>4.7202270000000004</v>
      </c>
      <c r="AJ442" s="10">
        <v>4.6739240000000004</v>
      </c>
      <c r="AK442" s="10">
        <v>4.6299146000000002</v>
      </c>
      <c r="AL442" s="10">
        <v>4.5880596999999996</v>
      </c>
      <c r="AM442" s="10">
        <v>4.548222</v>
      </c>
      <c r="AN442" s="10">
        <v>4.5102622999999999</v>
      </c>
      <c r="AO442" s="10">
        <v>4.4740416999999999</v>
      </c>
      <c r="AP442" s="10">
        <v>4.4394226000000003</v>
      </c>
      <c r="AQ442" s="10">
        <v>4.4062659000000002</v>
      </c>
      <c r="AR442" s="10">
        <v>4.3744326999999998</v>
      </c>
      <c r="AS442" s="10">
        <v>4.3437855000000001</v>
      </c>
      <c r="AT442" s="10">
        <v>4.3142015999999996</v>
      </c>
      <c r="AU442" s="10">
        <v>4.2856316000000003</v>
      </c>
      <c r="AV442" s="10">
        <v>4.2580472</v>
      </c>
      <c r="AW442" s="10">
        <v>4.2314189000000004</v>
      </c>
      <c r="AX442" s="10">
        <v>4.2057174000000002</v>
      </c>
      <c r="AY442" s="10">
        <v>4.1809142000000001</v>
      </c>
      <c r="AZ442" s="10">
        <v>4.1569799999999999</v>
      </c>
      <c r="BA442" s="10">
        <v>4.1338853999999996</v>
      </c>
      <c r="BB442" s="10">
        <v>4.1116020000000004</v>
      </c>
      <c r="BC442" s="10">
        <v>4.0901002999999996</v>
      </c>
      <c r="BD442" s="10">
        <v>4.0693511999999998</v>
      </c>
      <c r="BE442" s="10">
        <v>4.0493259999999998</v>
      </c>
      <c r="BF442" s="10">
        <v>4.0299985999999999</v>
      </c>
      <c r="BG442" s="10">
        <v>4.0113567999999997</v>
      </c>
      <c r="BH442" s="10">
        <v>3.9933930000000002</v>
      </c>
      <c r="BI442" s="10">
        <v>3.9760987999999999</v>
      </c>
      <c r="BJ442" s="10">
        <v>3.9594659999999999</v>
      </c>
      <c r="BK442" s="10">
        <v>3.9434868000000001</v>
      </c>
      <c r="BL442" s="10">
        <v>3.928153</v>
      </c>
      <c r="BM442" s="10">
        <v>3.9134562000000002</v>
      </c>
      <c r="BN442" s="10">
        <v>3.8993888000000001</v>
      </c>
      <c r="BO442" s="10">
        <v>3.8859425000000001</v>
      </c>
      <c r="BP442" s="10">
        <v>3.8731089999999999</v>
      </c>
      <c r="BQ442" s="10">
        <v>3.8608804000000001</v>
      </c>
      <c r="BR442" s="10">
        <v>3.7998194999999999</v>
      </c>
      <c r="BS442" s="10">
        <v>3.7588716</v>
      </c>
      <c r="BU442" s="7">
        <v>5.14</v>
      </c>
      <c r="BV442" s="7">
        <v>4.4000000000000004</v>
      </c>
      <c r="BW442" s="9">
        <v>82.237099999999998</v>
      </c>
    </row>
    <row r="443" spans="1:75" x14ac:dyDescent="0.25">
      <c r="A443" s="6">
        <f t="shared" si="41"/>
        <v>45173</v>
      </c>
      <c r="B443" s="13">
        <f t="shared" si="36"/>
        <v>9</v>
      </c>
      <c r="C443" s="13">
        <f t="shared" si="37"/>
        <v>2023</v>
      </c>
      <c r="D443">
        <f t="shared" si="38"/>
        <v>202309</v>
      </c>
      <c r="E443">
        <f t="shared" si="39"/>
        <v>3</v>
      </c>
      <c r="F443">
        <f t="shared" si="40"/>
        <v>202303</v>
      </c>
      <c r="G443" t="s">
        <v>630</v>
      </c>
      <c r="H443" s="9">
        <v>5.25</v>
      </c>
      <c r="I443" s="9">
        <v>5.1852999999999998</v>
      </c>
      <c r="J443" s="10">
        <v>5.3946404000000001</v>
      </c>
      <c r="K443" s="10">
        <v>5.4933493999999996</v>
      </c>
      <c r="L443" s="10">
        <v>5.5791193000000003</v>
      </c>
      <c r="M443" s="10">
        <v>5.6385369000000001</v>
      </c>
      <c r="N443" s="10">
        <v>5.6721757000000004</v>
      </c>
      <c r="O443" s="10">
        <v>5.6861768000000001</v>
      </c>
      <c r="P443" s="10">
        <v>5.6861302</v>
      </c>
      <c r="Q443" s="10">
        <v>5.6770569999999996</v>
      </c>
      <c r="R443" s="10">
        <v>5.661734</v>
      </c>
      <c r="S443" s="10">
        <v>5.6415350000000002</v>
      </c>
      <c r="T443" s="10">
        <v>5.6161551000000003</v>
      </c>
      <c r="U443" s="10">
        <v>5.5848461</v>
      </c>
      <c r="V443" s="10">
        <v>5.5451623000000003</v>
      </c>
      <c r="W443" s="10">
        <v>5.4975778999999996</v>
      </c>
      <c r="X443" s="10">
        <v>5.4435862000000004</v>
      </c>
      <c r="Y443" s="10">
        <v>5.3846791999999999</v>
      </c>
      <c r="Z443" s="10">
        <v>5.3223485000000004</v>
      </c>
      <c r="AA443" s="10">
        <v>5.2580878999999996</v>
      </c>
      <c r="AB443" s="10">
        <v>5.1932308000000003</v>
      </c>
      <c r="AC443" s="10">
        <v>5.1285074000000002</v>
      </c>
      <c r="AD443" s="10">
        <v>5.0645068999999996</v>
      </c>
      <c r="AE443" s="10">
        <v>5.0018162000000004</v>
      </c>
      <c r="AF443" s="10">
        <v>4.9410220000000002</v>
      </c>
      <c r="AG443" s="10">
        <v>4.8827135000000004</v>
      </c>
      <c r="AH443" s="10">
        <v>4.8273653999999997</v>
      </c>
      <c r="AI443" s="10">
        <v>4.7749578000000001</v>
      </c>
      <c r="AJ443" s="10">
        <v>4.7253360999999998</v>
      </c>
      <c r="AK443" s="10">
        <v>4.6783437000000001</v>
      </c>
      <c r="AL443" s="10">
        <v>4.6338242999999997</v>
      </c>
      <c r="AM443" s="10">
        <v>4.5916231999999999</v>
      </c>
      <c r="AN443" s="10">
        <v>4.5515838999999998</v>
      </c>
      <c r="AO443" s="10">
        <v>4.5135500999999998</v>
      </c>
      <c r="AP443" s="10">
        <v>4.4773670000000001</v>
      </c>
      <c r="AQ443" s="10">
        <v>4.4428780000000003</v>
      </c>
      <c r="AR443" s="10">
        <v>4.4099272000000003</v>
      </c>
      <c r="AS443" s="10">
        <v>4.3783592000000002</v>
      </c>
      <c r="AT443" s="10">
        <v>4.3480352</v>
      </c>
      <c r="AU443" s="10">
        <v>4.3188914</v>
      </c>
      <c r="AV443" s="10">
        <v>4.2908863000000004</v>
      </c>
      <c r="AW443" s="10">
        <v>4.2639771</v>
      </c>
      <c r="AX443" s="10">
        <v>4.2381213000000004</v>
      </c>
      <c r="AY443" s="10">
        <v>4.2132771</v>
      </c>
      <c r="AZ443" s="10">
        <v>4.1894019</v>
      </c>
      <c r="BA443" s="10">
        <v>4.1664531</v>
      </c>
      <c r="BB443" s="10">
        <v>4.1443887999999998</v>
      </c>
      <c r="BC443" s="10">
        <v>4.1231665</v>
      </c>
      <c r="BD443" s="10">
        <v>4.1027434999999999</v>
      </c>
      <c r="BE443" s="10">
        <v>4.0830780999999998</v>
      </c>
      <c r="BF443" s="10">
        <v>4.0641322999999998</v>
      </c>
      <c r="BG443" s="10">
        <v>4.0458936000000003</v>
      </c>
      <c r="BH443" s="10">
        <v>4.0283581999999996</v>
      </c>
      <c r="BI443" s="10">
        <v>4.0115221999999999</v>
      </c>
      <c r="BJ443" s="10">
        <v>3.9953813</v>
      </c>
      <c r="BK443" s="10">
        <v>3.9799319</v>
      </c>
      <c r="BL443" s="10">
        <v>3.9651698999999998</v>
      </c>
      <c r="BM443" s="10">
        <v>3.9510911000000002</v>
      </c>
      <c r="BN443" s="10">
        <v>3.9376920000000002</v>
      </c>
      <c r="BO443" s="10">
        <v>3.9249684</v>
      </c>
      <c r="BP443" s="10">
        <v>3.9129160999999999</v>
      </c>
      <c r="BQ443" s="10">
        <v>3.9015316000000002</v>
      </c>
      <c r="BR443" s="10">
        <v>3.8467185000000002</v>
      </c>
      <c r="BS443" s="10">
        <v>3.8130837</v>
      </c>
      <c r="BU443" s="7">
        <v>5.2</v>
      </c>
      <c r="BV443" s="7">
        <v>4.47</v>
      </c>
      <c r="BW443" s="9">
        <v>82.3352</v>
      </c>
    </row>
    <row r="444" spans="1:75" x14ac:dyDescent="0.25">
      <c r="A444" s="6">
        <f t="shared" si="41"/>
        <v>45174</v>
      </c>
      <c r="B444" s="13">
        <f t="shared" si="36"/>
        <v>9</v>
      </c>
      <c r="C444" s="13">
        <f t="shared" si="37"/>
        <v>2023</v>
      </c>
      <c r="D444">
        <f t="shared" si="38"/>
        <v>202309</v>
      </c>
      <c r="E444">
        <f t="shared" si="39"/>
        <v>3</v>
      </c>
      <c r="F444">
        <f t="shared" si="40"/>
        <v>202303</v>
      </c>
      <c r="G444" t="s">
        <v>631</v>
      </c>
      <c r="H444" s="9">
        <v>5.25</v>
      </c>
      <c r="I444" s="9">
        <v>5.1852999999999998</v>
      </c>
      <c r="J444" s="10">
        <v>5.4021583</v>
      </c>
      <c r="K444" s="10">
        <v>5.4966910000000002</v>
      </c>
      <c r="L444" s="10">
        <v>5.5849900000000003</v>
      </c>
      <c r="M444" s="10">
        <v>5.6511212000000004</v>
      </c>
      <c r="N444" s="10">
        <v>5.6926383999999999</v>
      </c>
      <c r="O444" s="10">
        <v>5.7140753000000002</v>
      </c>
      <c r="P444" s="10">
        <v>5.7204793</v>
      </c>
      <c r="Q444" s="10">
        <v>5.7170968999999996</v>
      </c>
      <c r="R444" s="10">
        <v>5.7071529999999999</v>
      </c>
      <c r="S444" s="10">
        <v>5.6922503999999998</v>
      </c>
      <c r="T444" s="10">
        <v>5.6721073999999998</v>
      </c>
      <c r="U444" s="10">
        <v>5.6458062</v>
      </c>
      <c r="V444" s="10">
        <v>5.6107315</v>
      </c>
      <c r="W444" s="10">
        <v>5.5673051999999998</v>
      </c>
      <c r="X444" s="10">
        <v>5.5169803999999996</v>
      </c>
      <c r="Y444" s="10">
        <v>5.4612083</v>
      </c>
      <c r="Z444" s="10">
        <v>5.4014403</v>
      </c>
      <c r="AA444" s="10">
        <v>5.3391297</v>
      </c>
      <c r="AB444" s="10">
        <v>5.2755837999999997</v>
      </c>
      <c r="AC444" s="10">
        <v>5.2115625000000003</v>
      </c>
      <c r="AD444" s="10">
        <v>5.1476972999999999</v>
      </c>
      <c r="AE444" s="10">
        <v>5.0846176999999999</v>
      </c>
      <c r="AF444" s="10">
        <v>5.0229530999999996</v>
      </c>
      <c r="AG444" s="10">
        <v>4.9633351000000001</v>
      </c>
      <c r="AH444" s="10">
        <v>4.9062830000000002</v>
      </c>
      <c r="AI444" s="10">
        <v>4.8518298</v>
      </c>
      <c r="AJ444" s="10">
        <v>4.7998763000000002</v>
      </c>
      <c r="AK444" s="10">
        <v>4.7503213999999998</v>
      </c>
      <c r="AL444" s="10">
        <v>4.7030640000000004</v>
      </c>
      <c r="AM444" s="10">
        <v>4.6580047999999996</v>
      </c>
      <c r="AN444" s="10">
        <v>4.6150425999999998</v>
      </c>
      <c r="AO444" s="10">
        <v>4.5740765999999997</v>
      </c>
      <c r="AP444" s="10">
        <v>4.5350070999999996</v>
      </c>
      <c r="AQ444" s="10">
        <v>4.4977331999999999</v>
      </c>
      <c r="AR444" s="10">
        <v>4.462154</v>
      </c>
      <c r="AS444" s="10">
        <v>4.4281698</v>
      </c>
      <c r="AT444" s="10">
        <v>4.3956850000000003</v>
      </c>
      <c r="AU444" s="10">
        <v>4.3646330000000004</v>
      </c>
      <c r="AV444" s="10">
        <v>4.3349577000000004</v>
      </c>
      <c r="AW444" s="10">
        <v>4.3066019999999998</v>
      </c>
      <c r="AX444" s="10">
        <v>4.279509</v>
      </c>
      <c r="AY444" s="10">
        <v>4.2536224000000002</v>
      </c>
      <c r="AZ444" s="10">
        <v>4.2288854000000002</v>
      </c>
      <c r="BA444" s="10">
        <v>4.2052408999999997</v>
      </c>
      <c r="BB444" s="10">
        <v>4.1826327000000001</v>
      </c>
      <c r="BC444" s="10">
        <v>4.1610037999999996</v>
      </c>
      <c r="BD444" s="10">
        <v>4.1402973999999997</v>
      </c>
      <c r="BE444" s="10">
        <v>4.1204571000000003</v>
      </c>
      <c r="BF444" s="10">
        <v>4.1014315999999997</v>
      </c>
      <c r="BG444" s="10">
        <v>4.0831967999999996</v>
      </c>
      <c r="BH444" s="10">
        <v>4.0657375</v>
      </c>
      <c r="BI444" s="10">
        <v>4.0490379000000001</v>
      </c>
      <c r="BJ444" s="10">
        <v>4.0330822</v>
      </c>
      <c r="BK444" s="10">
        <v>4.0178551999999996</v>
      </c>
      <c r="BL444" s="10">
        <v>4.0033409999999998</v>
      </c>
      <c r="BM444" s="10">
        <v>3.9895239999999998</v>
      </c>
      <c r="BN444" s="10">
        <v>3.9763888000000001</v>
      </c>
      <c r="BO444" s="10">
        <v>3.9639196999999999</v>
      </c>
      <c r="BP444" s="10">
        <v>3.9521009</v>
      </c>
      <c r="BQ444" s="10">
        <v>3.9409171999999999</v>
      </c>
      <c r="BR444" s="10">
        <v>3.8864222000000002</v>
      </c>
      <c r="BS444" s="10">
        <v>3.8517665999999999</v>
      </c>
      <c r="BU444" s="7">
        <v>5.26</v>
      </c>
      <c r="BV444" s="7">
        <v>4.5199999999999996</v>
      </c>
      <c r="BW444" s="9">
        <v>82.340999999999994</v>
      </c>
    </row>
    <row r="445" spans="1:75" x14ac:dyDescent="0.25">
      <c r="A445" s="6">
        <f t="shared" si="41"/>
        <v>45175</v>
      </c>
      <c r="B445" s="13">
        <f t="shared" si="36"/>
        <v>9</v>
      </c>
      <c r="C445" s="13">
        <f t="shared" si="37"/>
        <v>2023</v>
      </c>
      <c r="D445">
        <f t="shared" si="38"/>
        <v>202309</v>
      </c>
      <c r="E445">
        <f t="shared" si="39"/>
        <v>3</v>
      </c>
      <c r="F445">
        <f t="shared" si="40"/>
        <v>202303</v>
      </c>
      <c r="G445" t="s">
        <v>632</v>
      </c>
      <c r="H445" s="9">
        <v>5.25</v>
      </c>
      <c r="I445" s="9">
        <v>5.1849999999999996</v>
      </c>
      <c r="J445" s="10">
        <v>5.3964274999999997</v>
      </c>
      <c r="K445" s="10">
        <v>5.4794233999999999</v>
      </c>
      <c r="L445" s="10">
        <v>5.5613786000000003</v>
      </c>
      <c r="M445" s="10">
        <v>5.6245450000000003</v>
      </c>
      <c r="N445" s="10">
        <v>5.6645728000000002</v>
      </c>
      <c r="O445" s="10">
        <v>5.6860815000000002</v>
      </c>
      <c r="P445" s="10">
        <v>5.6939419999999998</v>
      </c>
      <c r="Q445" s="10">
        <v>5.6929350999999997</v>
      </c>
      <c r="R445" s="10">
        <v>5.6858556</v>
      </c>
      <c r="S445" s="10">
        <v>5.6738115000000002</v>
      </c>
      <c r="T445" s="10">
        <v>5.6564103000000001</v>
      </c>
      <c r="U445" s="10">
        <v>5.6324828</v>
      </c>
      <c r="V445" s="10">
        <v>5.5994164</v>
      </c>
      <c r="W445" s="10">
        <v>5.5576699999999999</v>
      </c>
      <c r="X445" s="10">
        <v>5.5087181000000003</v>
      </c>
      <c r="Y445" s="10">
        <v>5.4540335999999998</v>
      </c>
      <c r="Z445" s="10">
        <v>5.3950893999999998</v>
      </c>
      <c r="AA445" s="10">
        <v>5.3333602999999998</v>
      </c>
      <c r="AB445" s="10">
        <v>5.2701846999999997</v>
      </c>
      <c r="AC445" s="10">
        <v>5.2063892999999997</v>
      </c>
      <c r="AD445" s="10">
        <v>5.1426813999999998</v>
      </c>
      <c r="AE445" s="10">
        <v>5.0797657999999997</v>
      </c>
      <c r="AF445" s="10">
        <v>5.0183476000000002</v>
      </c>
      <c r="AG445" s="10">
        <v>4.9591339999999997</v>
      </c>
      <c r="AH445" s="10">
        <v>4.9027275000000001</v>
      </c>
      <c r="AI445" s="10">
        <v>4.8491787000000004</v>
      </c>
      <c r="AJ445" s="10">
        <v>4.7983551999999996</v>
      </c>
      <c r="AK445" s="10">
        <v>4.7501227000000004</v>
      </c>
      <c r="AL445" s="10">
        <v>4.7043467999999997</v>
      </c>
      <c r="AM445" s="10">
        <v>4.6608948000000003</v>
      </c>
      <c r="AN445" s="10">
        <v>4.6196321999999999</v>
      </c>
      <c r="AO445" s="10">
        <v>4.580425</v>
      </c>
      <c r="AP445" s="10">
        <v>4.5431400999999996</v>
      </c>
      <c r="AQ445" s="10">
        <v>4.5076434000000001</v>
      </c>
      <c r="AR445" s="10">
        <v>4.4738005999999997</v>
      </c>
      <c r="AS445" s="10">
        <v>4.4414787000000002</v>
      </c>
      <c r="AT445" s="10">
        <v>4.4105539</v>
      </c>
      <c r="AU445" s="10">
        <v>4.3809534000000001</v>
      </c>
      <c r="AV445" s="10">
        <v>4.3526208000000004</v>
      </c>
      <c r="AW445" s="10">
        <v>4.3254985000000001</v>
      </c>
      <c r="AX445" s="10">
        <v>4.2995292000000003</v>
      </c>
      <c r="AY445" s="10">
        <v>4.2746564999999999</v>
      </c>
      <c r="AZ445" s="10">
        <v>4.2508229000000002</v>
      </c>
      <c r="BA445" s="10">
        <v>4.2279710000000001</v>
      </c>
      <c r="BB445" s="10">
        <v>4.2060443000000003</v>
      </c>
      <c r="BC445" s="10">
        <v>4.1849854999999998</v>
      </c>
      <c r="BD445" s="10">
        <v>4.1647372000000003</v>
      </c>
      <c r="BE445" s="10">
        <v>4.1452426999999998</v>
      </c>
      <c r="BF445" s="10">
        <v>4.1264523000000004</v>
      </c>
      <c r="BG445" s="10">
        <v>4.1083486000000002</v>
      </c>
      <c r="BH445" s="10">
        <v>4.0909240999999996</v>
      </c>
      <c r="BI445" s="10">
        <v>4.0741706000000004</v>
      </c>
      <c r="BJ445" s="10">
        <v>4.0580800000000004</v>
      </c>
      <c r="BK445" s="10">
        <v>4.0426446</v>
      </c>
      <c r="BL445" s="10">
        <v>4.0278564000000001</v>
      </c>
      <c r="BM445" s="10">
        <v>4.0137071000000004</v>
      </c>
      <c r="BN445" s="10">
        <v>4.0001891000000001</v>
      </c>
      <c r="BO445" s="10">
        <v>3.9872942</v>
      </c>
      <c r="BP445" s="10">
        <v>3.9750144000000001</v>
      </c>
      <c r="BQ445" s="10">
        <v>3.9633419999999999</v>
      </c>
      <c r="BR445" s="10">
        <v>3.9055567999999998</v>
      </c>
      <c r="BS445" s="10">
        <v>3.8672819999999999</v>
      </c>
      <c r="BU445" s="7">
        <v>5.22</v>
      </c>
      <c r="BV445" s="7">
        <v>4.53</v>
      </c>
      <c r="BW445" s="9">
        <v>81.978999999999999</v>
      </c>
    </row>
    <row r="446" spans="1:75" x14ac:dyDescent="0.25">
      <c r="A446" s="6">
        <f t="shared" si="41"/>
        <v>45176</v>
      </c>
      <c r="B446" s="13">
        <f t="shared" si="36"/>
        <v>9</v>
      </c>
      <c r="C446" s="13">
        <f t="shared" si="37"/>
        <v>2023</v>
      </c>
      <c r="D446">
        <f t="shared" si="38"/>
        <v>202309</v>
      </c>
      <c r="E446">
        <f t="shared" si="39"/>
        <v>3</v>
      </c>
      <c r="F446">
        <f t="shared" si="40"/>
        <v>202303</v>
      </c>
      <c r="G446" t="s">
        <v>633</v>
      </c>
      <c r="H446" s="9">
        <v>5.25</v>
      </c>
      <c r="I446" s="9">
        <v>5.1855000000000002</v>
      </c>
      <c r="J446" s="10">
        <v>5.3944127000000002</v>
      </c>
      <c r="K446" s="10">
        <v>5.4556290000000001</v>
      </c>
      <c r="L446" s="10">
        <v>5.515987</v>
      </c>
      <c r="M446" s="10">
        <v>5.5596547000000003</v>
      </c>
      <c r="N446" s="10">
        <v>5.5845742999999999</v>
      </c>
      <c r="O446" s="10">
        <v>5.5954084999999996</v>
      </c>
      <c r="P446" s="10">
        <v>5.5960713999999996</v>
      </c>
      <c r="Q446" s="10">
        <v>5.5895644999999998</v>
      </c>
      <c r="R446" s="10">
        <v>5.5772765</v>
      </c>
      <c r="S446" s="10">
        <v>5.5594131000000004</v>
      </c>
      <c r="T446" s="10">
        <v>5.5352002000000002</v>
      </c>
      <c r="U446" s="10">
        <v>5.5037675999999998</v>
      </c>
      <c r="V446" s="10">
        <v>5.4628401999999996</v>
      </c>
      <c r="W446" s="10">
        <v>5.4131231</v>
      </c>
      <c r="X446" s="10">
        <v>5.3565199000000003</v>
      </c>
      <c r="Y446" s="10">
        <v>5.2949335</v>
      </c>
      <c r="Z446" s="10">
        <v>5.2302663000000003</v>
      </c>
      <c r="AA446" s="10">
        <v>5.1644231999999999</v>
      </c>
      <c r="AB446" s="10">
        <v>5.0990511999999999</v>
      </c>
      <c r="AC446" s="10">
        <v>5.0348242000000001</v>
      </c>
      <c r="AD446" s="10">
        <v>4.9721865999999997</v>
      </c>
      <c r="AE446" s="10">
        <v>4.9115808999999997</v>
      </c>
      <c r="AF446" s="10">
        <v>4.8534493000000003</v>
      </c>
      <c r="AG446" s="10">
        <v>4.7982363000000001</v>
      </c>
      <c r="AH446" s="10">
        <v>4.7462974000000004</v>
      </c>
      <c r="AI446" s="10">
        <v>4.6975654000000002</v>
      </c>
      <c r="AJ446" s="10">
        <v>4.6518459999999999</v>
      </c>
      <c r="AK446" s="10">
        <v>4.6089431999999997</v>
      </c>
      <c r="AL446" s="10">
        <v>4.5686609999999996</v>
      </c>
      <c r="AM446" s="10">
        <v>4.530805</v>
      </c>
      <c r="AN446" s="10">
        <v>4.4951793000000002</v>
      </c>
      <c r="AO446" s="10">
        <v>4.4615878999999996</v>
      </c>
      <c r="AP446" s="10">
        <v>4.4298362999999998</v>
      </c>
      <c r="AQ446" s="10">
        <v>4.3997286000000004</v>
      </c>
      <c r="AR446" s="10">
        <v>4.3710690999999997</v>
      </c>
      <c r="AS446" s="10">
        <v>4.3436627999999997</v>
      </c>
      <c r="AT446" s="10">
        <v>4.3173374999999998</v>
      </c>
      <c r="AU446" s="10">
        <v>4.2920237999999999</v>
      </c>
      <c r="AV446" s="10">
        <v>4.2676813999999998</v>
      </c>
      <c r="AW446" s="10">
        <v>4.2442694999999997</v>
      </c>
      <c r="AX446" s="10">
        <v>4.2217471</v>
      </c>
      <c r="AY446" s="10">
        <v>4.2000742000000004</v>
      </c>
      <c r="AZ446" s="10">
        <v>4.1792096000000001</v>
      </c>
      <c r="BA446" s="10">
        <v>4.1591126000000003</v>
      </c>
      <c r="BB446" s="10">
        <v>4.1397428999999999</v>
      </c>
      <c r="BC446" s="10">
        <v>4.1210595999999997</v>
      </c>
      <c r="BD446" s="10">
        <v>4.1030218999999999</v>
      </c>
      <c r="BE446" s="10">
        <v>4.0855893999999999</v>
      </c>
      <c r="BF446" s="10">
        <v>4.0687271999999997</v>
      </c>
      <c r="BG446" s="10">
        <v>4.0524259999999996</v>
      </c>
      <c r="BH446" s="10">
        <v>4.0366841999999998</v>
      </c>
      <c r="BI446" s="10">
        <v>4.0214999000000002</v>
      </c>
      <c r="BJ446" s="10">
        <v>4.0068707999999997</v>
      </c>
      <c r="BK446" s="10">
        <v>3.9927953999999999</v>
      </c>
      <c r="BL446" s="10">
        <v>3.9792717</v>
      </c>
      <c r="BM446" s="10">
        <v>3.9662975</v>
      </c>
      <c r="BN446" s="10">
        <v>3.9538712999999999</v>
      </c>
      <c r="BO446" s="10">
        <v>3.9419909</v>
      </c>
      <c r="BP446" s="10">
        <v>3.9306543999999999</v>
      </c>
      <c r="BQ446" s="10">
        <v>3.9198601000000002</v>
      </c>
      <c r="BR446" s="10">
        <v>3.8662239999999999</v>
      </c>
      <c r="BS446" s="10">
        <v>3.8307259</v>
      </c>
      <c r="BU446" s="7">
        <v>5.14</v>
      </c>
      <c r="BV446" s="7">
        <v>4.46</v>
      </c>
      <c r="BW446" s="9">
        <v>81.948899999999995</v>
      </c>
    </row>
    <row r="447" spans="1:75" x14ac:dyDescent="0.25">
      <c r="A447" s="6">
        <f t="shared" si="41"/>
        <v>45177</v>
      </c>
      <c r="B447" s="13">
        <f t="shared" si="36"/>
        <v>9</v>
      </c>
      <c r="C447" s="13">
        <f t="shared" si="37"/>
        <v>2023</v>
      </c>
      <c r="D447">
        <f t="shared" si="38"/>
        <v>202309</v>
      </c>
      <c r="E447">
        <f t="shared" si="39"/>
        <v>3</v>
      </c>
      <c r="F447">
        <f t="shared" si="40"/>
        <v>202303</v>
      </c>
      <c r="G447" t="s">
        <v>634</v>
      </c>
      <c r="H447" s="9">
        <v>5.25</v>
      </c>
      <c r="I447" s="9">
        <v>5.1855000000000002</v>
      </c>
      <c r="J447" s="10">
        <v>5.3949645000000004</v>
      </c>
      <c r="K447" s="10">
        <v>5.4525218000000004</v>
      </c>
      <c r="L447" s="10">
        <v>5.5067127999999999</v>
      </c>
      <c r="M447" s="10">
        <v>5.5427850999999997</v>
      </c>
      <c r="N447" s="10">
        <v>5.5595419000000001</v>
      </c>
      <c r="O447" s="10">
        <v>5.5612788000000002</v>
      </c>
      <c r="P447" s="10">
        <v>5.5519598999999999</v>
      </c>
      <c r="Q447" s="10">
        <v>5.5352408000000004</v>
      </c>
      <c r="R447" s="10">
        <v>5.5136688999999999</v>
      </c>
      <c r="S447" s="10">
        <v>5.4884301999999998</v>
      </c>
      <c r="T447" s="10">
        <v>5.4592736000000004</v>
      </c>
      <c r="U447" s="10">
        <v>5.4251103000000001</v>
      </c>
      <c r="V447" s="10">
        <v>5.3832298999999999</v>
      </c>
      <c r="W447" s="10">
        <v>5.3340578000000001</v>
      </c>
      <c r="X447" s="10">
        <v>5.2791682</v>
      </c>
      <c r="Y447" s="10">
        <v>5.2201338000000002</v>
      </c>
      <c r="Z447" s="10">
        <v>5.1585273000000003</v>
      </c>
      <c r="AA447" s="10">
        <v>5.0959232999999999</v>
      </c>
      <c r="AB447" s="10">
        <v>5.0337297999999997</v>
      </c>
      <c r="AC447" s="10">
        <v>4.9725906999999996</v>
      </c>
      <c r="AD447" s="10">
        <v>4.9129303999999996</v>
      </c>
      <c r="AE447" s="10">
        <v>4.8551716000000003</v>
      </c>
      <c r="AF447" s="10">
        <v>4.7997367000000004</v>
      </c>
      <c r="AG447" s="10">
        <v>4.7470501000000001</v>
      </c>
      <c r="AH447" s="10">
        <v>4.6974426999999999</v>
      </c>
      <c r="AI447" s="10">
        <v>4.6508399999999996</v>
      </c>
      <c r="AJ447" s="10">
        <v>4.6070576000000001</v>
      </c>
      <c r="AK447" s="10">
        <v>4.5659092000000001</v>
      </c>
      <c r="AL447" s="10">
        <v>4.5272088999999998</v>
      </c>
      <c r="AM447" s="10">
        <v>4.4907718000000001</v>
      </c>
      <c r="AN447" s="10">
        <v>4.4564120000000003</v>
      </c>
      <c r="AO447" s="10">
        <v>4.4239435</v>
      </c>
      <c r="AP447" s="10">
        <v>4.3931813000000002</v>
      </c>
      <c r="AQ447" s="10">
        <v>4.3639396000000001</v>
      </c>
      <c r="AR447" s="10">
        <v>4.3360323000000003</v>
      </c>
      <c r="AS447" s="10">
        <v>4.3092744999999999</v>
      </c>
      <c r="AT447" s="10">
        <v>4.2835026000000003</v>
      </c>
      <c r="AU447" s="10">
        <v>4.2586513000000004</v>
      </c>
      <c r="AV447" s="10">
        <v>4.2346833999999998</v>
      </c>
      <c r="AW447" s="10">
        <v>4.2115606999999997</v>
      </c>
      <c r="AX447" s="10">
        <v>4.1892450999999999</v>
      </c>
      <c r="AY447" s="10">
        <v>4.1676994000000001</v>
      </c>
      <c r="AZ447" s="10">
        <v>4.1468854999999998</v>
      </c>
      <c r="BA447" s="10">
        <v>4.1267652000000004</v>
      </c>
      <c r="BB447" s="10">
        <v>4.1073013999999999</v>
      </c>
      <c r="BC447" s="10">
        <v>4.0884558000000002</v>
      </c>
      <c r="BD447" s="10">
        <v>4.0701904000000004</v>
      </c>
      <c r="BE447" s="10">
        <v>4.0524678999999999</v>
      </c>
      <c r="BF447" s="10">
        <v>4.0352563999999997</v>
      </c>
      <c r="BG447" s="10">
        <v>4.0185518</v>
      </c>
      <c r="BH447" s="10">
        <v>4.0023580000000001</v>
      </c>
      <c r="BI447" s="10">
        <v>3.9866784000000002</v>
      </c>
      <c r="BJ447" s="10">
        <v>3.9715164000000001</v>
      </c>
      <c r="BK447" s="10">
        <v>3.9568759</v>
      </c>
      <c r="BL447" s="10">
        <v>3.9427604000000001</v>
      </c>
      <c r="BM447" s="10">
        <v>3.9291733</v>
      </c>
      <c r="BN447" s="10">
        <v>3.9161185000000001</v>
      </c>
      <c r="BO447" s="10">
        <v>3.9035994000000001</v>
      </c>
      <c r="BP447" s="10">
        <v>3.8916194000000002</v>
      </c>
      <c r="BQ447" s="10">
        <v>3.8801825000000001</v>
      </c>
      <c r="BR447" s="10">
        <v>3.8229581000000001</v>
      </c>
      <c r="BS447" s="10">
        <v>3.7849308000000002</v>
      </c>
      <c r="BU447" s="7">
        <v>5.08</v>
      </c>
      <c r="BV447" s="7">
        <v>4.42</v>
      </c>
      <c r="BW447" s="9">
        <v>81.963999999999999</v>
      </c>
    </row>
    <row r="448" spans="1:75" x14ac:dyDescent="0.25">
      <c r="A448" s="6">
        <f t="shared" si="41"/>
        <v>45180</v>
      </c>
      <c r="B448" s="13">
        <f t="shared" si="36"/>
        <v>9</v>
      </c>
      <c r="C448" s="13">
        <f t="shared" si="37"/>
        <v>2023</v>
      </c>
      <c r="D448">
        <f t="shared" si="38"/>
        <v>202309</v>
      </c>
      <c r="E448">
        <f t="shared" si="39"/>
        <v>3</v>
      </c>
      <c r="F448">
        <f t="shared" si="40"/>
        <v>202303</v>
      </c>
      <c r="G448" t="s">
        <v>635</v>
      </c>
      <c r="H448" s="9">
        <v>5.25</v>
      </c>
      <c r="I448" s="9">
        <v>5.1859999999999999</v>
      </c>
      <c r="J448" s="10">
        <v>5.3994888999999997</v>
      </c>
      <c r="K448" s="10">
        <v>5.4653138999999999</v>
      </c>
      <c r="L448" s="10">
        <v>5.5218309999999997</v>
      </c>
      <c r="M448" s="10">
        <v>5.5577316000000003</v>
      </c>
      <c r="N448" s="10">
        <v>5.5738836000000003</v>
      </c>
      <c r="O448" s="10">
        <v>5.5759122000000003</v>
      </c>
      <c r="P448" s="10">
        <v>5.5683309999999997</v>
      </c>
      <c r="Q448" s="10">
        <v>5.554316</v>
      </c>
      <c r="R448" s="10">
        <v>5.5353041999999997</v>
      </c>
      <c r="S448" s="10">
        <v>5.5118755000000004</v>
      </c>
      <c r="T448" s="10">
        <v>5.4834465999999997</v>
      </c>
      <c r="U448" s="10">
        <v>5.4492228999999996</v>
      </c>
      <c r="V448" s="10">
        <v>5.4070270999999996</v>
      </c>
      <c r="W448" s="10">
        <v>5.3574516000000001</v>
      </c>
      <c r="X448" s="10">
        <v>5.3020383000000004</v>
      </c>
      <c r="Y448" s="10">
        <v>5.2423276000000003</v>
      </c>
      <c r="Z448" s="10">
        <v>5.1798596999999997</v>
      </c>
      <c r="AA448" s="10">
        <v>5.1161769000000001</v>
      </c>
      <c r="AB448" s="10">
        <v>5.0526422000000002</v>
      </c>
      <c r="AC448" s="10">
        <v>4.9899431999999999</v>
      </c>
      <c r="AD448" s="10">
        <v>4.9286092000000004</v>
      </c>
      <c r="AE448" s="10">
        <v>4.8691674999999996</v>
      </c>
      <c r="AF448" s="10">
        <v>4.8121451000000004</v>
      </c>
      <c r="AG448" s="10">
        <v>4.7580713000000001</v>
      </c>
      <c r="AH448" s="10">
        <v>4.7073622000000004</v>
      </c>
      <c r="AI448" s="10">
        <v>4.6599440000000003</v>
      </c>
      <c r="AJ448" s="10">
        <v>4.6156094000000003</v>
      </c>
      <c r="AK448" s="10">
        <v>4.5741493000000002</v>
      </c>
      <c r="AL448" s="10">
        <v>4.5353548999999997</v>
      </c>
      <c r="AM448" s="10">
        <v>4.4990186999999997</v>
      </c>
      <c r="AN448" s="10">
        <v>4.4649315999999999</v>
      </c>
      <c r="AO448" s="10">
        <v>4.4328849000000003</v>
      </c>
      <c r="AP448" s="10">
        <v>4.4026709000000004</v>
      </c>
      <c r="AQ448" s="10">
        <v>4.3740807999999998</v>
      </c>
      <c r="AR448" s="10">
        <v>4.3469056999999998</v>
      </c>
      <c r="AS448" s="10">
        <v>4.3209378999999997</v>
      </c>
      <c r="AT448" s="10">
        <v>4.2959934999999998</v>
      </c>
      <c r="AU448" s="10">
        <v>4.2719991000000004</v>
      </c>
      <c r="AV448" s="10">
        <v>4.2489124</v>
      </c>
      <c r="AW448" s="10">
        <v>4.2266902999999996</v>
      </c>
      <c r="AX448" s="10">
        <v>4.2052899000000004</v>
      </c>
      <c r="AY448" s="10">
        <v>4.1846686999999996</v>
      </c>
      <c r="AZ448" s="10">
        <v>4.1647838000000004</v>
      </c>
      <c r="BA448" s="10">
        <v>4.1455922000000003</v>
      </c>
      <c r="BB448" s="10">
        <v>4.1270514</v>
      </c>
      <c r="BC448" s="10">
        <v>4.1091185000000001</v>
      </c>
      <c r="BD448" s="10">
        <v>4.0917504999999998</v>
      </c>
      <c r="BE448" s="10">
        <v>4.0749048999999999</v>
      </c>
      <c r="BF448" s="10">
        <v>4.0585452999999996</v>
      </c>
      <c r="BG448" s="10">
        <v>4.0426694000000003</v>
      </c>
      <c r="BH448" s="10">
        <v>4.0272873000000002</v>
      </c>
      <c r="BI448" s="10">
        <v>4.0124085000000003</v>
      </c>
      <c r="BJ448" s="10">
        <v>3.9980424000000001</v>
      </c>
      <c r="BK448" s="10">
        <v>3.9841991000000001</v>
      </c>
      <c r="BL448" s="10">
        <v>3.970888</v>
      </c>
      <c r="BM448" s="10">
        <v>3.9581184999999999</v>
      </c>
      <c r="BN448" s="10">
        <v>3.9459008</v>
      </c>
      <c r="BO448" s="10">
        <v>3.9342442000000002</v>
      </c>
      <c r="BP448" s="10">
        <v>3.9231582999999999</v>
      </c>
      <c r="BQ448" s="10">
        <v>3.9126530000000002</v>
      </c>
      <c r="BR448" s="10">
        <v>3.8617457000000002</v>
      </c>
      <c r="BS448" s="10">
        <v>3.8304524</v>
      </c>
      <c r="BU448" s="7">
        <v>5.08</v>
      </c>
      <c r="BV448" s="7">
        <v>4.47</v>
      </c>
      <c r="BW448" s="9">
        <v>82.0488</v>
      </c>
    </row>
    <row r="449" spans="1:75" x14ac:dyDescent="0.25">
      <c r="A449" s="6">
        <f t="shared" si="41"/>
        <v>45181</v>
      </c>
      <c r="B449" s="13">
        <f t="shared" si="36"/>
        <v>9</v>
      </c>
      <c r="C449" s="13">
        <f t="shared" si="37"/>
        <v>2023</v>
      </c>
      <c r="D449">
        <f t="shared" si="38"/>
        <v>202309</v>
      </c>
      <c r="E449">
        <f t="shared" si="39"/>
        <v>3</v>
      </c>
      <c r="F449">
        <f t="shared" si="40"/>
        <v>202303</v>
      </c>
      <c r="G449" t="s">
        <v>636</v>
      </c>
      <c r="H449" s="9">
        <v>5.25</v>
      </c>
      <c r="I449" s="9">
        <v>5.1852999999999998</v>
      </c>
      <c r="J449" s="10">
        <v>5.3971409000000001</v>
      </c>
      <c r="K449" s="10">
        <v>5.4637055999999999</v>
      </c>
      <c r="L449" s="10">
        <v>5.5209799000000004</v>
      </c>
      <c r="M449" s="10">
        <v>5.5578137999999999</v>
      </c>
      <c r="N449" s="10">
        <v>5.5739517000000003</v>
      </c>
      <c r="O449" s="10">
        <v>5.5746041000000002</v>
      </c>
      <c r="P449" s="10">
        <v>5.5644672000000002</v>
      </c>
      <c r="Q449" s="10">
        <v>5.5473324000000002</v>
      </c>
      <c r="R449" s="10">
        <v>5.5251932999999998</v>
      </c>
      <c r="S449" s="10">
        <v>5.4987303000000001</v>
      </c>
      <c r="T449" s="10">
        <v>5.4673097999999998</v>
      </c>
      <c r="U449" s="10">
        <v>5.4300347000000002</v>
      </c>
      <c r="V449" s="10">
        <v>5.3846154999999998</v>
      </c>
      <c r="W449" s="10">
        <v>5.3316986000000002</v>
      </c>
      <c r="X449" s="10">
        <v>5.2729124000000001</v>
      </c>
      <c r="Y449" s="10">
        <v>5.2098830999999999</v>
      </c>
      <c r="Z449" s="10">
        <v>5.1442369000000001</v>
      </c>
      <c r="AA449" s="10">
        <v>5.0776022999999997</v>
      </c>
      <c r="AB449" s="10">
        <v>5.0114089000000002</v>
      </c>
      <c r="AC449" s="10">
        <v>4.9463378999999996</v>
      </c>
      <c r="AD449" s="10">
        <v>4.8828943000000002</v>
      </c>
      <c r="AE449" s="10">
        <v>4.8215811000000004</v>
      </c>
      <c r="AF449" s="10">
        <v>4.7629013999999996</v>
      </c>
      <c r="AG449" s="10">
        <v>4.7073600999999998</v>
      </c>
      <c r="AH449" s="10">
        <v>4.6553522999999997</v>
      </c>
      <c r="AI449" s="10">
        <v>4.6067958999999998</v>
      </c>
      <c r="AJ449" s="10">
        <v>4.5614793000000002</v>
      </c>
      <c r="AK449" s="10">
        <v>4.5191888000000002</v>
      </c>
      <c r="AL449" s="10">
        <v>4.479711</v>
      </c>
      <c r="AM449" s="10">
        <v>4.4428337999999998</v>
      </c>
      <c r="AN449" s="10">
        <v>4.4083439000000002</v>
      </c>
      <c r="AO449" s="10">
        <v>4.3760279000000004</v>
      </c>
      <c r="AP449" s="10">
        <v>4.3456735999999996</v>
      </c>
      <c r="AQ449" s="10">
        <v>4.3170675000000003</v>
      </c>
      <c r="AR449" s="10">
        <v>4.2899966000000003</v>
      </c>
      <c r="AS449" s="10">
        <v>4.2642483000000002</v>
      </c>
      <c r="AT449" s="10">
        <v>4.2396292000000004</v>
      </c>
      <c r="AU449" s="10">
        <v>4.2160523000000003</v>
      </c>
      <c r="AV449" s="10">
        <v>4.1934671000000003</v>
      </c>
      <c r="AW449" s="10">
        <v>4.1718223999999999</v>
      </c>
      <c r="AX449" s="10">
        <v>4.1510667000000003</v>
      </c>
      <c r="AY449" s="10">
        <v>4.1311498000000002</v>
      </c>
      <c r="AZ449" s="10">
        <v>4.1120200999999996</v>
      </c>
      <c r="BA449" s="10">
        <v>4.0936266999999997</v>
      </c>
      <c r="BB449" s="10">
        <v>4.0759188000000002</v>
      </c>
      <c r="BC449" s="10">
        <v>4.0588452999999998</v>
      </c>
      <c r="BD449" s="10">
        <v>4.0423549000000003</v>
      </c>
      <c r="BE449" s="10">
        <v>4.0263970000000002</v>
      </c>
      <c r="BF449" s="10">
        <v>4.0109279000000004</v>
      </c>
      <c r="BG449" s="10">
        <v>3.9959403</v>
      </c>
      <c r="BH449" s="10">
        <v>3.9814384</v>
      </c>
      <c r="BI449" s="10">
        <v>3.9674260000000001</v>
      </c>
      <c r="BJ449" s="10">
        <v>3.9539068999999998</v>
      </c>
      <c r="BK449" s="10">
        <v>3.9408851999999999</v>
      </c>
      <c r="BL449" s="10">
        <v>3.9283649</v>
      </c>
      <c r="BM449" s="10">
        <v>3.9163496000000002</v>
      </c>
      <c r="BN449" s="10">
        <v>3.9048436</v>
      </c>
      <c r="BO449" s="10">
        <v>3.8938507000000002</v>
      </c>
      <c r="BP449" s="10">
        <v>3.8833747000000001</v>
      </c>
      <c r="BQ449" s="10">
        <v>3.8734196999999999</v>
      </c>
      <c r="BR449" s="10">
        <v>3.8245345999999998</v>
      </c>
      <c r="BS449" s="10">
        <v>3.7934619000000001</v>
      </c>
      <c r="BU449" s="7">
        <v>5.04</v>
      </c>
      <c r="BV449" s="7">
        <v>4.42</v>
      </c>
      <c r="BW449" s="9">
        <v>81.784499999999994</v>
      </c>
    </row>
    <row r="450" spans="1:75" x14ac:dyDescent="0.25">
      <c r="A450" s="6">
        <f t="shared" si="41"/>
        <v>45182</v>
      </c>
      <c r="B450" s="13">
        <f t="shared" si="36"/>
        <v>9</v>
      </c>
      <c r="C450" s="13">
        <f t="shared" si="37"/>
        <v>2023</v>
      </c>
      <c r="D450">
        <f t="shared" si="38"/>
        <v>202309</v>
      </c>
      <c r="E450">
        <f t="shared" si="39"/>
        <v>3</v>
      </c>
      <c r="F450">
        <f t="shared" si="40"/>
        <v>202303</v>
      </c>
      <c r="G450" t="s">
        <v>637</v>
      </c>
      <c r="H450" s="9">
        <v>5.25</v>
      </c>
      <c r="I450" s="9">
        <v>5.1851000000000003</v>
      </c>
      <c r="J450" s="10">
        <v>5.3818004999999998</v>
      </c>
      <c r="K450" s="10">
        <v>5.4453041999999998</v>
      </c>
      <c r="L450" s="10">
        <v>5.4995554999999996</v>
      </c>
      <c r="M450" s="10">
        <v>5.5346712</v>
      </c>
      <c r="N450" s="10">
        <v>5.5495448999999999</v>
      </c>
      <c r="O450" s="10">
        <v>5.5486972999999997</v>
      </c>
      <c r="P450" s="10">
        <v>5.5358270000000003</v>
      </c>
      <c r="Q450" s="10">
        <v>5.5141559000000004</v>
      </c>
      <c r="R450" s="10">
        <v>5.4856360000000004</v>
      </c>
      <c r="S450" s="10">
        <v>5.4511916999999999</v>
      </c>
      <c r="T450" s="10">
        <v>5.4107900999999998</v>
      </c>
      <c r="U450" s="10">
        <v>5.3638699000000001</v>
      </c>
      <c r="V450" s="10">
        <v>5.3088050999999998</v>
      </c>
      <c r="W450" s="10">
        <v>5.2465114000000002</v>
      </c>
      <c r="X450" s="10">
        <v>5.1787367</v>
      </c>
      <c r="Y450" s="10">
        <v>5.1072268000000003</v>
      </c>
      <c r="Z450" s="10">
        <v>5.0337271000000001</v>
      </c>
      <c r="AA450" s="10">
        <v>4.9599859000000004</v>
      </c>
      <c r="AB450" s="10">
        <v>4.8875270000000004</v>
      </c>
      <c r="AC450" s="10">
        <v>4.8170307000000001</v>
      </c>
      <c r="AD450" s="10">
        <v>4.7489787999999997</v>
      </c>
      <c r="AE450" s="10">
        <v>4.6838506999999998</v>
      </c>
      <c r="AF450" s="10">
        <v>4.6221258000000001</v>
      </c>
      <c r="AG450" s="10">
        <v>4.5642858999999998</v>
      </c>
      <c r="AH450" s="10">
        <v>4.5107181000000001</v>
      </c>
      <c r="AI450" s="10">
        <v>4.4613125</v>
      </c>
      <c r="AJ450" s="10">
        <v>4.4157944000000002</v>
      </c>
      <c r="AK450" s="10">
        <v>4.3738872000000004</v>
      </c>
      <c r="AL450" s="10">
        <v>4.3353143999999997</v>
      </c>
      <c r="AM450" s="10">
        <v>4.2998009000000001</v>
      </c>
      <c r="AN450" s="10">
        <v>4.2670700999999998</v>
      </c>
      <c r="AO450" s="10">
        <v>4.2368455999999997</v>
      </c>
      <c r="AP450" s="10">
        <v>4.2088521999999999</v>
      </c>
      <c r="AQ450" s="10">
        <v>4.1828135</v>
      </c>
      <c r="AR450" s="10">
        <v>4.1584529999999997</v>
      </c>
      <c r="AS450" s="10">
        <v>4.1354953999999999</v>
      </c>
      <c r="AT450" s="10">
        <v>4.1136935000000001</v>
      </c>
      <c r="AU450" s="10">
        <v>4.0929419999999999</v>
      </c>
      <c r="AV450" s="10">
        <v>4.0731796999999998</v>
      </c>
      <c r="AW450" s="10">
        <v>4.0543446000000003</v>
      </c>
      <c r="AX450" s="10">
        <v>4.0363746999999996</v>
      </c>
      <c r="AY450" s="10">
        <v>4.0192087000000001</v>
      </c>
      <c r="AZ450" s="10">
        <v>4.0027847000000003</v>
      </c>
      <c r="BA450" s="10">
        <v>3.9870407999999999</v>
      </c>
      <c r="BB450" s="10">
        <v>3.9719155000000002</v>
      </c>
      <c r="BC450" s="10">
        <v>3.9573469000000001</v>
      </c>
      <c r="BD450" s="10">
        <v>3.9432730999999999</v>
      </c>
      <c r="BE450" s="10">
        <v>3.9296327</v>
      </c>
      <c r="BF450" s="10">
        <v>3.9163741000000001</v>
      </c>
      <c r="BG450" s="10">
        <v>3.9034905000000002</v>
      </c>
      <c r="BH450" s="10">
        <v>3.8909885000000002</v>
      </c>
      <c r="BI450" s="10">
        <v>3.8788737000000002</v>
      </c>
      <c r="BJ450" s="10">
        <v>3.8671521000000002</v>
      </c>
      <c r="BK450" s="10">
        <v>3.8558300000000001</v>
      </c>
      <c r="BL450" s="10">
        <v>3.8449133</v>
      </c>
      <c r="BM450" s="10">
        <v>3.8344078000000001</v>
      </c>
      <c r="BN450" s="10">
        <v>3.8243198</v>
      </c>
      <c r="BO450" s="10">
        <v>3.8146553000000001</v>
      </c>
      <c r="BP450" s="10">
        <v>3.8054201000000001</v>
      </c>
      <c r="BQ450" s="10">
        <v>3.7966204000000001</v>
      </c>
      <c r="BR450" s="10">
        <v>3.7529827999999998</v>
      </c>
      <c r="BS450" s="10">
        <v>3.7245694</v>
      </c>
      <c r="BU450" s="7">
        <v>4.97</v>
      </c>
      <c r="BV450" s="7">
        <v>4.34</v>
      </c>
      <c r="BW450" s="9">
        <v>81.834699999999998</v>
      </c>
    </row>
    <row r="451" spans="1:75" x14ac:dyDescent="0.25">
      <c r="A451" s="6">
        <f t="shared" si="41"/>
        <v>45183</v>
      </c>
      <c r="B451" s="13">
        <f t="shared" si="36"/>
        <v>9</v>
      </c>
      <c r="C451" s="13">
        <f t="shared" si="37"/>
        <v>2023</v>
      </c>
      <c r="D451">
        <f t="shared" si="38"/>
        <v>202309</v>
      </c>
      <c r="E451">
        <f t="shared" si="39"/>
        <v>3</v>
      </c>
      <c r="F451">
        <f t="shared" si="40"/>
        <v>202303</v>
      </c>
      <c r="G451" t="s">
        <v>638</v>
      </c>
      <c r="H451" s="9">
        <v>5.25</v>
      </c>
      <c r="I451" s="9">
        <v>5.1847000000000003</v>
      </c>
      <c r="J451" s="10">
        <v>5.3894646000000002</v>
      </c>
      <c r="K451" s="10">
        <v>5.4473646999999996</v>
      </c>
      <c r="L451" s="10">
        <v>5.4941947000000004</v>
      </c>
      <c r="M451" s="10">
        <v>5.5221732000000001</v>
      </c>
      <c r="N451" s="10">
        <v>5.5314831</v>
      </c>
      <c r="O451" s="10">
        <v>5.5265288000000004</v>
      </c>
      <c r="P451" s="10">
        <v>5.5108423000000002</v>
      </c>
      <c r="Q451" s="10">
        <v>5.4871745000000001</v>
      </c>
      <c r="R451" s="10">
        <v>5.4568719000000003</v>
      </c>
      <c r="S451" s="10">
        <v>5.4203951000000004</v>
      </c>
      <c r="T451" s="10">
        <v>5.3773306999999999</v>
      </c>
      <c r="U451" s="10">
        <v>5.3271138999999996</v>
      </c>
      <c r="V451" s="10">
        <v>5.2679482000000002</v>
      </c>
      <c r="W451" s="10">
        <v>5.2008305999999997</v>
      </c>
      <c r="X451" s="10">
        <v>5.1278721000000003</v>
      </c>
      <c r="Y451" s="10">
        <v>5.0511822999999998</v>
      </c>
      <c r="Z451" s="10">
        <v>4.9728702</v>
      </c>
      <c r="AA451" s="10">
        <v>4.8950481000000003</v>
      </c>
      <c r="AB451" s="10">
        <v>4.8195104000000004</v>
      </c>
      <c r="AC451" s="10">
        <v>4.7468529000000004</v>
      </c>
      <c r="AD451" s="10">
        <v>4.6773886999999998</v>
      </c>
      <c r="AE451" s="10">
        <v>4.6114281999999998</v>
      </c>
      <c r="AF451" s="10">
        <v>4.5492821000000001</v>
      </c>
      <c r="AG451" s="10">
        <v>4.4912631000000003</v>
      </c>
      <c r="AH451" s="10">
        <v>4.4376017000000001</v>
      </c>
      <c r="AI451" s="10">
        <v>4.3881375</v>
      </c>
      <c r="AJ451" s="10">
        <v>4.3425928000000003</v>
      </c>
      <c r="AK451" s="10">
        <v>4.3006881999999997</v>
      </c>
      <c r="AL451" s="10">
        <v>4.2621444000000004</v>
      </c>
      <c r="AM451" s="10">
        <v>4.2266835</v>
      </c>
      <c r="AN451" s="10">
        <v>4.1940261000000003</v>
      </c>
      <c r="AO451" s="10">
        <v>4.1638932000000004</v>
      </c>
      <c r="AP451" s="10">
        <v>4.1360064999999997</v>
      </c>
      <c r="AQ451" s="10">
        <v>4.1100868999999998</v>
      </c>
      <c r="AR451" s="10">
        <v>4.0858552000000001</v>
      </c>
      <c r="AS451" s="10">
        <v>4.0630332999999998</v>
      </c>
      <c r="AT451" s="10">
        <v>4.0413755</v>
      </c>
      <c r="AU451" s="10">
        <v>4.0207848999999998</v>
      </c>
      <c r="AV451" s="10">
        <v>4.0012059000000004</v>
      </c>
      <c r="AW451" s="10">
        <v>3.9825826000000002</v>
      </c>
      <c r="AX451" s="10">
        <v>3.9648588</v>
      </c>
      <c r="AY451" s="10">
        <v>3.9479790000000001</v>
      </c>
      <c r="AZ451" s="10">
        <v>3.9318873000000001</v>
      </c>
      <c r="BA451" s="10">
        <v>3.9165274000000001</v>
      </c>
      <c r="BB451" s="10">
        <v>3.9018438999999998</v>
      </c>
      <c r="BC451" s="10">
        <v>3.8877807</v>
      </c>
      <c r="BD451" s="10">
        <v>3.8742819000000002</v>
      </c>
      <c r="BE451" s="10">
        <v>3.8612918000000001</v>
      </c>
      <c r="BF451" s="10">
        <v>3.8487624999999999</v>
      </c>
      <c r="BG451" s="10">
        <v>3.8366818999999999</v>
      </c>
      <c r="BH451" s="10">
        <v>3.8250484</v>
      </c>
      <c r="BI451" s="10">
        <v>3.8138597000000001</v>
      </c>
      <c r="BJ451" s="10">
        <v>3.8031136999999999</v>
      </c>
      <c r="BK451" s="10">
        <v>3.7928085999999999</v>
      </c>
      <c r="BL451" s="10">
        <v>3.7829421999999999</v>
      </c>
      <c r="BM451" s="10">
        <v>3.7735124999999998</v>
      </c>
      <c r="BN451" s="10">
        <v>3.7645176</v>
      </c>
      <c r="BO451" s="10">
        <v>3.7559553999999999</v>
      </c>
      <c r="BP451" s="10">
        <v>3.7478237000000001</v>
      </c>
      <c r="BQ451" s="10">
        <v>3.7401206999999999</v>
      </c>
      <c r="BR451" s="10">
        <v>3.7027478</v>
      </c>
      <c r="BS451" s="10">
        <v>3.6800356000000001</v>
      </c>
      <c r="BU451" s="7">
        <v>4.95</v>
      </c>
      <c r="BV451" s="7">
        <v>4.3</v>
      </c>
      <c r="BW451" s="9">
        <v>81.601500000000001</v>
      </c>
    </row>
    <row r="452" spans="1:75" x14ac:dyDescent="0.25">
      <c r="A452" s="6">
        <f t="shared" si="41"/>
        <v>45184</v>
      </c>
      <c r="B452" s="13">
        <f t="shared" si="36"/>
        <v>9</v>
      </c>
      <c r="C452" s="13">
        <f t="shared" si="37"/>
        <v>2023</v>
      </c>
      <c r="D452">
        <f t="shared" si="38"/>
        <v>202309</v>
      </c>
      <c r="E452">
        <f t="shared" si="39"/>
        <v>3</v>
      </c>
      <c r="F452">
        <f t="shared" si="40"/>
        <v>202303</v>
      </c>
      <c r="G452" t="s">
        <v>639</v>
      </c>
      <c r="H452" s="9">
        <v>5.25</v>
      </c>
      <c r="I452" s="9">
        <v>5.1853999999999996</v>
      </c>
      <c r="J452" s="10">
        <v>5.4091538000000003</v>
      </c>
      <c r="K452" s="10">
        <v>5.4709937999999996</v>
      </c>
      <c r="L452" s="10">
        <v>5.5198311000000002</v>
      </c>
      <c r="M452" s="10">
        <v>5.5486652000000003</v>
      </c>
      <c r="N452" s="10">
        <v>5.5588310999999999</v>
      </c>
      <c r="O452" s="10">
        <v>5.5550176000000002</v>
      </c>
      <c r="P452" s="10">
        <v>5.5406785999999997</v>
      </c>
      <c r="Q452" s="10">
        <v>5.5183064999999996</v>
      </c>
      <c r="R452" s="10">
        <v>5.4893061000000003</v>
      </c>
      <c r="S452" s="10">
        <v>5.4541323000000004</v>
      </c>
      <c r="T452" s="10">
        <v>5.4124243999999999</v>
      </c>
      <c r="U452" s="10">
        <v>5.3634392999999996</v>
      </c>
      <c r="V452" s="10">
        <v>5.3052758999999998</v>
      </c>
      <c r="W452" s="10">
        <v>5.2389264999999998</v>
      </c>
      <c r="X452" s="10">
        <v>5.1664196999999996</v>
      </c>
      <c r="Y452" s="10">
        <v>5.0897822000000001</v>
      </c>
      <c r="Z452" s="10">
        <v>5.0110402000000001</v>
      </c>
      <c r="AA452" s="10">
        <v>4.9322229999999996</v>
      </c>
      <c r="AB452" s="10">
        <v>4.8551365999999998</v>
      </c>
      <c r="AC452" s="10">
        <v>4.7805641000000003</v>
      </c>
      <c r="AD452" s="10">
        <v>4.7089954000000001</v>
      </c>
      <c r="AE452" s="10">
        <v>4.6409171000000002</v>
      </c>
      <c r="AF452" s="10">
        <v>4.5768165999999999</v>
      </c>
      <c r="AG452" s="10">
        <v>4.5171830000000002</v>
      </c>
      <c r="AH452" s="10">
        <v>4.4623828000000003</v>
      </c>
      <c r="AI452" s="10">
        <v>4.4122491999999998</v>
      </c>
      <c r="AJ452" s="10">
        <v>4.3664703999999999</v>
      </c>
      <c r="AK452" s="10">
        <v>4.3247325999999999</v>
      </c>
      <c r="AL452" s="10">
        <v>4.2867223000000001</v>
      </c>
      <c r="AM452" s="10">
        <v>4.2521272999999997</v>
      </c>
      <c r="AN452" s="10">
        <v>4.2206340000000004</v>
      </c>
      <c r="AO452" s="10">
        <v>4.1919288999999997</v>
      </c>
      <c r="AP452" s="10">
        <v>4.1656997000000002</v>
      </c>
      <c r="AQ452" s="10">
        <v>4.1416328</v>
      </c>
      <c r="AR452" s="10">
        <v>4.1194148999999998</v>
      </c>
      <c r="AS452" s="10">
        <v>4.0987333000000001</v>
      </c>
      <c r="AT452" s="10">
        <v>4.0793108</v>
      </c>
      <c r="AU452" s="10">
        <v>4.0610287999999999</v>
      </c>
      <c r="AV452" s="10">
        <v>4.0438134999999997</v>
      </c>
      <c r="AW452" s="10">
        <v>4.0275901999999997</v>
      </c>
      <c r="AX452" s="10">
        <v>4.0122844000000004</v>
      </c>
      <c r="AY452" s="10">
        <v>3.9978221</v>
      </c>
      <c r="AZ452" s="10">
        <v>3.9841286999999999</v>
      </c>
      <c r="BA452" s="10">
        <v>3.9711297999999999</v>
      </c>
      <c r="BB452" s="10">
        <v>3.9587512</v>
      </c>
      <c r="BC452" s="10">
        <v>3.9469183999999999</v>
      </c>
      <c r="BD452" s="10">
        <v>3.9355568999999999</v>
      </c>
      <c r="BE452" s="10">
        <v>3.9245926</v>
      </c>
      <c r="BF452" s="10">
        <v>3.9139631000000001</v>
      </c>
      <c r="BG452" s="10">
        <v>3.9036588000000001</v>
      </c>
      <c r="BH452" s="10">
        <v>3.8936853</v>
      </c>
      <c r="BI452" s="10">
        <v>3.8840477</v>
      </c>
      <c r="BJ452" s="10">
        <v>3.8747511000000001</v>
      </c>
      <c r="BK452" s="10">
        <v>3.8658011999999999</v>
      </c>
      <c r="BL452" s="10">
        <v>3.8572030000000002</v>
      </c>
      <c r="BM452" s="10">
        <v>3.8489618000000001</v>
      </c>
      <c r="BN452" s="10">
        <v>3.8410829</v>
      </c>
      <c r="BO452" s="10">
        <v>3.8335716</v>
      </c>
      <c r="BP452" s="10">
        <v>3.8264331</v>
      </c>
      <c r="BQ452" s="10">
        <v>3.8196728000000002</v>
      </c>
      <c r="BR452" s="10">
        <v>3.78715</v>
      </c>
      <c r="BS452" s="10">
        <v>3.7683599000000001</v>
      </c>
      <c r="BU452" s="7">
        <v>5.03</v>
      </c>
      <c r="BV452" s="7">
        <v>4.37</v>
      </c>
      <c r="BW452" s="9">
        <v>81.488399999999999</v>
      </c>
    </row>
    <row r="453" spans="1:75" x14ac:dyDescent="0.25">
      <c r="A453" s="6">
        <f t="shared" si="41"/>
        <v>45187</v>
      </c>
      <c r="B453" s="13">
        <f t="shared" si="36"/>
        <v>9</v>
      </c>
      <c r="C453" s="13">
        <f t="shared" si="37"/>
        <v>2023</v>
      </c>
      <c r="D453">
        <f t="shared" si="38"/>
        <v>202309</v>
      </c>
      <c r="E453">
        <f t="shared" si="39"/>
        <v>3</v>
      </c>
      <c r="F453">
        <f t="shared" si="40"/>
        <v>202303</v>
      </c>
      <c r="G453" t="s">
        <v>640</v>
      </c>
      <c r="H453" s="9">
        <v>5.25</v>
      </c>
      <c r="I453" s="9">
        <v>5.1849999999999996</v>
      </c>
      <c r="J453" s="10">
        <v>5.4082635000000003</v>
      </c>
      <c r="K453" s="10">
        <v>5.4689614999999998</v>
      </c>
      <c r="L453" s="10">
        <v>5.5168996999999997</v>
      </c>
      <c r="M453" s="10">
        <v>5.5463483</v>
      </c>
      <c r="N453" s="10">
        <v>5.5584088999999999</v>
      </c>
      <c r="O453" s="10">
        <v>5.5569373000000004</v>
      </c>
      <c r="P453" s="10">
        <v>5.5450929000000002</v>
      </c>
      <c r="Q453" s="10">
        <v>5.5253959000000004</v>
      </c>
      <c r="R453" s="10">
        <v>5.4990110999999997</v>
      </c>
      <c r="S453" s="10">
        <v>5.4668256</v>
      </c>
      <c r="T453" s="10">
        <v>5.4286564999999998</v>
      </c>
      <c r="U453" s="10">
        <v>5.3841041000000001</v>
      </c>
      <c r="V453" s="10">
        <v>5.3316581999999997</v>
      </c>
      <c r="W453" s="10">
        <v>5.2722027999999996</v>
      </c>
      <c r="X453" s="10">
        <v>5.2074363999999997</v>
      </c>
      <c r="Y453" s="10">
        <v>5.1390555999999998</v>
      </c>
      <c r="Z453" s="10">
        <v>5.0687566999999998</v>
      </c>
      <c r="AA453" s="10">
        <v>4.9982385000000003</v>
      </c>
      <c r="AB453" s="10">
        <v>4.9289700999999999</v>
      </c>
      <c r="AC453" s="10">
        <v>4.8615548000000004</v>
      </c>
      <c r="AD453" s="10">
        <v>4.7963921999999997</v>
      </c>
      <c r="AE453" s="10">
        <v>4.7338798000000004</v>
      </c>
      <c r="AF453" s="10">
        <v>4.6744149000000004</v>
      </c>
      <c r="AG453" s="10">
        <v>4.6183969999999999</v>
      </c>
      <c r="AH453" s="10">
        <v>4.5661291000000004</v>
      </c>
      <c r="AI453" s="10">
        <v>4.5174960999999998</v>
      </c>
      <c r="AJ453" s="10">
        <v>4.47227</v>
      </c>
      <c r="AK453" s="10">
        <v>4.4302204999999999</v>
      </c>
      <c r="AL453" s="10">
        <v>4.3911179000000002</v>
      </c>
      <c r="AM453" s="10">
        <v>4.3547335</v>
      </c>
      <c r="AN453" s="10">
        <v>4.3208374000000003</v>
      </c>
      <c r="AO453" s="10">
        <v>4.2891997999999996</v>
      </c>
      <c r="AP453" s="10">
        <v>4.2595919000000002</v>
      </c>
      <c r="AQ453" s="10">
        <v>4.2317840000000002</v>
      </c>
      <c r="AR453" s="10">
        <v>4.2055461999999997</v>
      </c>
      <c r="AS453" s="10">
        <v>4.1806497</v>
      </c>
      <c r="AT453" s="10">
        <v>4.1568921999999997</v>
      </c>
      <c r="AU453" s="10">
        <v>4.1341922000000002</v>
      </c>
      <c r="AV453" s="10">
        <v>4.1125027000000003</v>
      </c>
      <c r="AW453" s="10">
        <v>4.0917757999999997</v>
      </c>
      <c r="AX453" s="10">
        <v>4.0719634999999998</v>
      </c>
      <c r="AY453" s="10">
        <v>4.0530185999999997</v>
      </c>
      <c r="AZ453" s="10">
        <v>4.0348933000000002</v>
      </c>
      <c r="BA453" s="10">
        <v>4.0175396000000001</v>
      </c>
      <c r="BB453" s="10">
        <v>4.0009101999999999</v>
      </c>
      <c r="BC453" s="10">
        <v>3.9849573999999999</v>
      </c>
      <c r="BD453" s="10">
        <v>3.9696332999999999</v>
      </c>
      <c r="BE453" s="10">
        <v>3.9548904999999999</v>
      </c>
      <c r="BF453" s="10">
        <v>3.9406870999999999</v>
      </c>
      <c r="BG453" s="10">
        <v>3.9270132000000002</v>
      </c>
      <c r="BH453" s="10">
        <v>3.9138701</v>
      </c>
      <c r="BI453" s="10">
        <v>3.9012585</v>
      </c>
      <c r="BJ453" s="10">
        <v>3.8891792999999999</v>
      </c>
      <c r="BK453" s="10">
        <v>3.8776335999999998</v>
      </c>
      <c r="BL453" s="10">
        <v>3.8666223999999998</v>
      </c>
      <c r="BM453" s="10">
        <v>3.8561462999999998</v>
      </c>
      <c r="BN453" s="10">
        <v>3.8462065999999999</v>
      </c>
      <c r="BO453" s="10">
        <v>3.8368042</v>
      </c>
      <c r="BP453" s="10">
        <v>3.8279397999999998</v>
      </c>
      <c r="BQ453" s="10">
        <v>3.8196146999999998</v>
      </c>
      <c r="BR453" s="10">
        <v>3.7807065</v>
      </c>
      <c r="BS453" s="10">
        <v>3.7594110000000001</v>
      </c>
      <c r="BU453" s="7">
        <v>5.0199999999999996</v>
      </c>
      <c r="BV453" s="7">
        <v>4.38</v>
      </c>
      <c r="BW453" s="9">
        <v>81.391199999999998</v>
      </c>
    </row>
    <row r="454" spans="1:75" x14ac:dyDescent="0.25">
      <c r="A454" s="6">
        <f t="shared" si="41"/>
        <v>45188</v>
      </c>
      <c r="B454" s="13">
        <f t="shared" si="36"/>
        <v>9</v>
      </c>
      <c r="C454" s="13">
        <f t="shared" si="37"/>
        <v>2023</v>
      </c>
      <c r="D454">
        <f t="shared" si="38"/>
        <v>202309</v>
      </c>
      <c r="E454">
        <f t="shared" si="39"/>
        <v>3</v>
      </c>
      <c r="F454">
        <f t="shared" si="40"/>
        <v>202303</v>
      </c>
      <c r="G454" t="s">
        <v>641</v>
      </c>
      <c r="H454" s="9">
        <v>5.25</v>
      </c>
      <c r="I454" s="9">
        <v>5.1853999999999996</v>
      </c>
      <c r="J454" s="10">
        <v>5.4075876999999997</v>
      </c>
      <c r="K454" s="10">
        <v>5.4663062</v>
      </c>
      <c r="L454" s="10">
        <v>5.5085253999999999</v>
      </c>
      <c r="M454" s="10">
        <v>5.5308453999999996</v>
      </c>
      <c r="N454" s="10">
        <v>5.5366505999999998</v>
      </c>
      <c r="O454" s="10">
        <v>5.5304621000000003</v>
      </c>
      <c r="P454" s="10">
        <v>5.5153077000000001</v>
      </c>
      <c r="Q454" s="10">
        <v>5.4934089000000004</v>
      </c>
      <c r="R454" s="10">
        <v>5.4658436999999997</v>
      </c>
      <c r="S454" s="10">
        <v>5.4331649999999998</v>
      </c>
      <c r="T454" s="10">
        <v>5.3949825000000002</v>
      </c>
      <c r="U454" s="10">
        <v>5.3507309999999997</v>
      </c>
      <c r="V454" s="10">
        <v>5.2986640999999999</v>
      </c>
      <c r="W454" s="10">
        <v>5.2395924999999997</v>
      </c>
      <c r="X454" s="10">
        <v>5.1751801000000004</v>
      </c>
      <c r="Y454" s="10">
        <v>5.1070890000000002</v>
      </c>
      <c r="Z454" s="10">
        <v>5.0369811000000002</v>
      </c>
      <c r="AA454" s="10">
        <v>4.9665207000000002</v>
      </c>
      <c r="AB454" s="10">
        <v>4.8971539000000002</v>
      </c>
      <c r="AC454" s="10">
        <v>4.8295047999999996</v>
      </c>
      <c r="AD454" s="10">
        <v>4.7640044000000001</v>
      </c>
      <c r="AE454" s="10">
        <v>4.7010813000000002</v>
      </c>
      <c r="AF454" s="10">
        <v>4.6411641000000001</v>
      </c>
      <c r="AG454" s="10">
        <v>4.5846836</v>
      </c>
      <c r="AH454" s="10">
        <v>4.5319709000000001</v>
      </c>
      <c r="AI454" s="10">
        <v>4.4829258999999997</v>
      </c>
      <c r="AJ454" s="10">
        <v>4.4373313000000003</v>
      </c>
      <c r="AK454" s="10">
        <v>4.3949682000000001</v>
      </c>
      <c r="AL454" s="10">
        <v>4.3556176999999998</v>
      </c>
      <c r="AM454" s="10">
        <v>4.3190622999999997</v>
      </c>
      <c r="AN454" s="10">
        <v>4.2850830999999996</v>
      </c>
      <c r="AO454" s="10">
        <v>4.2534612999999997</v>
      </c>
      <c r="AP454" s="10">
        <v>4.2239792999999999</v>
      </c>
      <c r="AQ454" s="10">
        <v>4.1964182000000001</v>
      </c>
      <c r="AR454" s="10">
        <v>4.1705594000000001</v>
      </c>
      <c r="AS454" s="10">
        <v>4.146185</v>
      </c>
      <c r="AT454" s="10">
        <v>4.1230956000000001</v>
      </c>
      <c r="AU454" s="10">
        <v>4.1011953999999999</v>
      </c>
      <c r="AV454" s="10">
        <v>4.0804245000000003</v>
      </c>
      <c r="AW454" s="10">
        <v>4.0607217999999996</v>
      </c>
      <c r="AX454" s="10">
        <v>4.0420265999999998</v>
      </c>
      <c r="AY454" s="10">
        <v>4.0242785999999997</v>
      </c>
      <c r="AZ454" s="10">
        <v>4.0074170000000002</v>
      </c>
      <c r="BA454" s="10">
        <v>3.9913810999999999</v>
      </c>
      <c r="BB454" s="10">
        <v>3.9761104999999999</v>
      </c>
      <c r="BC454" s="10">
        <v>3.9615444000000002</v>
      </c>
      <c r="BD454" s="10">
        <v>3.9476220999999998</v>
      </c>
      <c r="BE454" s="10">
        <v>3.9342831999999999</v>
      </c>
      <c r="BF454" s="10">
        <v>3.9214747999999999</v>
      </c>
      <c r="BG454" s="10">
        <v>3.9091816000000001</v>
      </c>
      <c r="BH454" s="10">
        <v>3.8974006000000001</v>
      </c>
      <c r="BI454" s="10">
        <v>3.8861279</v>
      </c>
      <c r="BJ454" s="10">
        <v>3.8753601</v>
      </c>
      <c r="BK454" s="10">
        <v>3.8650939000000002</v>
      </c>
      <c r="BL454" s="10">
        <v>3.8553256</v>
      </c>
      <c r="BM454" s="10">
        <v>3.8460516999999999</v>
      </c>
      <c r="BN454" s="10">
        <v>3.8372687999999999</v>
      </c>
      <c r="BO454" s="10">
        <v>3.8289735</v>
      </c>
      <c r="BP454" s="10">
        <v>3.8211620000000002</v>
      </c>
      <c r="BQ454" s="10">
        <v>3.8138312000000001</v>
      </c>
      <c r="BR454" s="10">
        <v>3.7796596999999998</v>
      </c>
      <c r="BS454" s="10">
        <v>3.7614087999999999</v>
      </c>
      <c r="BU454" s="7">
        <v>5.01</v>
      </c>
      <c r="BV454" s="7">
        <v>4.3600000000000003</v>
      </c>
      <c r="BW454" s="9">
        <v>81.468699999999998</v>
      </c>
    </row>
    <row r="455" spans="1:75" x14ac:dyDescent="0.25">
      <c r="A455" s="6">
        <f t="shared" si="41"/>
        <v>45189</v>
      </c>
      <c r="B455" s="13">
        <f t="shared" si="36"/>
        <v>9</v>
      </c>
      <c r="C455" s="13">
        <f t="shared" si="37"/>
        <v>2023</v>
      </c>
      <c r="D455">
        <f t="shared" si="38"/>
        <v>202309</v>
      </c>
      <c r="E455">
        <f t="shared" si="39"/>
        <v>3</v>
      </c>
      <c r="F455">
        <f t="shared" si="40"/>
        <v>202303</v>
      </c>
      <c r="G455" t="s">
        <v>642</v>
      </c>
      <c r="H455" s="9">
        <v>5.25</v>
      </c>
      <c r="I455" s="9">
        <v>5.1848999999999998</v>
      </c>
      <c r="J455" s="10">
        <v>5.3142858999999998</v>
      </c>
      <c r="K455" s="10">
        <v>5.3530875</v>
      </c>
      <c r="L455" s="10">
        <v>5.3838784999999998</v>
      </c>
      <c r="M455" s="10">
        <v>5.4019589000000003</v>
      </c>
      <c r="N455" s="10">
        <v>5.4057240000000002</v>
      </c>
      <c r="O455" s="10">
        <v>5.3970563</v>
      </c>
      <c r="P455" s="10">
        <v>5.3779044999999996</v>
      </c>
      <c r="Q455" s="10">
        <v>5.3506818999999997</v>
      </c>
      <c r="R455" s="10">
        <v>5.3171882999999998</v>
      </c>
      <c r="S455" s="10">
        <v>5.2784569000000001</v>
      </c>
      <c r="T455" s="10">
        <v>5.2346086999999999</v>
      </c>
      <c r="U455" s="10">
        <v>5.1851466000000004</v>
      </c>
      <c r="V455" s="10">
        <v>5.1284774000000004</v>
      </c>
      <c r="W455" s="10">
        <v>5.0653744999999999</v>
      </c>
      <c r="X455" s="10">
        <v>4.9973917999999999</v>
      </c>
      <c r="Y455" s="10">
        <v>4.9260811999999996</v>
      </c>
      <c r="Z455" s="10">
        <v>4.8529942000000004</v>
      </c>
      <c r="AA455" s="10">
        <v>4.7796851</v>
      </c>
      <c r="AB455" s="10">
        <v>4.7075192000000001</v>
      </c>
      <c r="AC455" s="10">
        <v>4.6371520000000004</v>
      </c>
      <c r="AD455" s="10">
        <v>4.5690727000000004</v>
      </c>
      <c r="AE455" s="10">
        <v>4.503768</v>
      </c>
      <c r="AF455" s="10">
        <v>4.4417248000000003</v>
      </c>
      <c r="AG455" s="10">
        <v>4.383432</v>
      </c>
      <c r="AH455" s="10">
        <v>4.3292874000000001</v>
      </c>
      <c r="AI455" s="10">
        <v>4.2792089999999998</v>
      </c>
      <c r="AJ455" s="10">
        <v>4.2329562999999997</v>
      </c>
      <c r="AK455" s="10">
        <v>4.1902863000000004</v>
      </c>
      <c r="AL455" s="10">
        <v>4.1509565999999998</v>
      </c>
      <c r="AM455" s="10">
        <v>4.1147258999999998</v>
      </c>
      <c r="AN455" s="10">
        <v>4.0813516999999999</v>
      </c>
      <c r="AO455" s="10">
        <v>4.0505914000000001</v>
      </c>
      <c r="AP455" s="10">
        <v>4.0222037000000004</v>
      </c>
      <c r="AQ455" s="10">
        <v>3.9959460999999998</v>
      </c>
      <c r="AR455" s="10">
        <v>3.9715761000000001</v>
      </c>
      <c r="AS455" s="10">
        <v>3.9488523</v>
      </c>
      <c r="AT455" s="10">
        <v>3.9275552</v>
      </c>
      <c r="AU455" s="10">
        <v>3.9075772</v>
      </c>
      <c r="AV455" s="10">
        <v>3.8888455999999998</v>
      </c>
      <c r="AW455" s="10">
        <v>3.8712868999999999</v>
      </c>
      <c r="AX455" s="10">
        <v>3.8548276000000001</v>
      </c>
      <c r="AY455" s="10">
        <v>3.8393948999999998</v>
      </c>
      <c r="AZ455" s="10">
        <v>3.8249152999999998</v>
      </c>
      <c r="BA455" s="10">
        <v>3.8113153999999998</v>
      </c>
      <c r="BB455" s="10">
        <v>3.7985224</v>
      </c>
      <c r="BC455" s="10">
        <v>3.7864627999999998</v>
      </c>
      <c r="BD455" s="10">
        <v>3.7750631000000001</v>
      </c>
      <c r="BE455" s="10">
        <v>3.7642506</v>
      </c>
      <c r="BF455" s="10">
        <v>3.7539615999999998</v>
      </c>
      <c r="BG455" s="10">
        <v>3.7441764000000002</v>
      </c>
      <c r="BH455" s="10">
        <v>3.7348876999999998</v>
      </c>
      <c r="BI455" s="10">
        <v>3.7260878000000002</v>
      </c>
      <c r="BJ455" s="10">
        <v>3.7177692000000002</v>
      </c>
      <c r="BK455" s="10">
        <v>3.7099243</v>
      </c>
      <c r="BL455" s="10">
        <v>3.7025456000000001</v>
      </c>
      <c r="BM455" s="10">
        <v>3.6956254999999998</v>
      </c>
      <c r="BN455" s="10">
        <v>3.6891563999999999</v>
      </c>
      <c r="BO455" s="10">
        <v>3.6831309000000001</v>
      </c>
      <c r="BP455" s="10">
        <v>3.6775411999999998</v>
      </c>
      <c r="BQ455" s="10">
        <v>3.67238</v>
      </c>
      <c r="BR455" s="10">
        <v>3.6499853999999998</v>
      </c>
      <c r="BS455" s="10">
        <v>3.6411074999999999</v>
      </c>
      <c r="BU455" s="7">
        <v>4.84</v>
      </c>
      <c r="BV455" s="7">
        <v>4.21</v>
      </c>
      <c r="BW455" s="9">
        <v>81.3</v>
      </c>
    </row>
    <row r="456" spans="1:75" x14ac:dyDescent="0.25">
      <c r="A456" s="6">
        <f t="shared" si="41"/>
        <v>45190</v>
      </c>
      <c r="B456" s="13">
        <f t="shared" si="36"/>
        <v>9</v>
      </c>
      <c r="C456" s="13">
        <f t="shared" si="37"/>
        <v>2023</v>
      </c>
      <c r="D456">
        <f t="shared" si="38"/>
        <v>202309</v>
      </c>
      <c r="E456">
        <f t="shared" si="39"/>
        <v>3</v>
      </c>
      <c r="F456">
        <f t="shared" si="40"/>
        <v>202303</v>
      </c>
      <c r="G456" t="s">
        <v>643</v>
      </c>
      <c r="H456" s="9">
        <v>5.25</v>
      </c>
      <c r="I456" s="9">
        <v>5.1848000000000001</v>
      </c>
      <c r="J456" s="10">
        <v>5.2055965000000004</v>
      </c>
      <c r="K456" s="10">
        <v>5.2634832999999999</v>
      </c>
      <c r="L456" s="10">
        <v>5.3117874</v>
      </c>
      <c r="M456" s="10">
        <v>5.34694</v>
      </c>
      <c r="N456" s="10">
        <v>5.3672246000000001</v>
      </c>
      <c r="O456" s="10">
        <v>5.3734383000000001</v>
      </c>
      <c r="P456" s="10">
        <v>5.3667062000000003</v>
      </c>
      <c r="Q456" s="10">
        <v>5.3491720000000003</v>
      </c>
      <c r="R456" s="10">
        <v>5.3228280000000003</v>
      </c>
      <c r="S456" s="10">
        <v>5.2891038000000004</v>
      </c>
      <c r="T456" s="10">
        <v>5.2483418000000004</v>
      </c>
      <c r="U456" s="10">
        <v>5.2004261999999999</v>
      </c>
      <c r="V456" s="10">
        <v>5.1438573999999999</v>
      </c>
      <c r="W456" s="10">
        <v>5.0796722000000001</v>
      </c>
      <c r="X456" s="10">
        <v>5.0099387000000002</v>
      </c>
      <c r="Y456" s="10">
        <v>4.9367235000000003</v>
      </c>
      <c r="Z456" s="10">
        <v>4.8620931000000001</v>
      </c>
      <c r="AA456" s="10">
        <v>4.7881166000000004</v>
      </c>
      <c r="AB456" s="10">
        <v>4.7165420999999998</v>
      </c>
      <c r="AC456" s="10">
        <v>4.6479052999999997</v>
      </c>
      <c r="AD456" s="10">
        <v>4.5824562999999996</v>
      </c>
      <c r="AE456" s="10">
        <v>4.5204424999999997</v>
      </c>
      <c r="AF456" s="10">
        <v>4.4621111999999998</v>
      </c>
      <c r="AG456" s="10">
        <v>4.4077121999999997</v>
      </c>
      <c r="AH456" s="10">
        <v>4.3574248000000004</v>
      </c>
      <c r="AI456" s="10">
        <v>4.3110958000000004</v>
      </c>
      <c r="AJ456" s="10">
        <v>4.2684724000000003</v>
      </c>
      <c r="AK456" s="10">
        <v>4.2293002</v>
      </c>
      <c r="AL456" s="10">
        <v>4.1933249999999997</v>
      </c>
      <c r="AM456" s="10">
        <v>4.1602937999999998</v>
      </c>
      <c r="AN456" s="10">
        <v>4.1299523000000002</v>
      </c>
      <c r="AO456" s="10">
        <v>4.1020462999999996</v>
      </c>
      <c r="AP456" s="10">
        <v>4.0763226000000001</v>
      </c>
      <c r="AQ456" s="10">
        <v>4.0525270000000004</v>
      </c>
      <c r="AR456" s="10">
        <v>4.0304054999999996</v>
      </c>
      <c r="AS456" s="10">
        <v>4.0097047000000003</v>
      </c>
      <c r="AT456" s="10">
        <v>3.9902006000000001</v>
      </c>
      <c r="AU456" s="10">
        <v>3.9718024999999999</v>
      </c>
      <c r="AV456" s="10">
        <v>3.9544570000000001</v>
      </c>
      <c r="AW456" s="10">
        <v>3.9381102000000001</v>
      </c>
      <c r="AX456" s="10">
        <v>3.9227080999999999</v>
      </c>
      <c r="AY456" s="10">
        <v>3.9081972</v>
      </c>
      <c r="AZ456" s="10">
        <v>3.8945235999999999</v>
      </c>
      <c r="BA456" s="10">
        <v>3.8816334000000001</v>
      </c>
      <c r="BB456" s="10">
        <v>3.8694730000000002</v>
      </c>
      <c r="BC456" s="10">
        <v>3.8579886000000001</v>
      </c>
      <c r="BD456" s="10">
        <v>3.8471261000000001</v>
      </c>
      <c r="BE456" s="10">
        <v>3.8368321999999999</v>
      </c>
      <c r="BF456" s="10">
        <v>3.8270596000000001</v>
      </c>
      <c r="BG456" s="10">
        <v>3.8177914999999998</v>
      </c>
      <c r="BH456" s="10">
        <v>3.8090196000000001</v>
      </c>
      <c r="BI456" s="10">
        <v>3.8007352000000001</v>
      </c>
      <c r="BJ456" s="10">
        <v>3.7929298</v>
      </c>
      <c r="BK456" s="10">
        <v>3.7855949</v>
      </c>
      <c r="BL456" s="10">
        <v>3.7787221</v>
      </c>
      <c r="BM456" s="10">
        <v>3.7723027</v>
      </c>
      <c r="BN456" s="10">
        <v>3.7663283999999999</v>
      </c>
      <c r="BO456" s="10">
        <v>3.7607905000000001</v>
      </c>
      <c r="BP456" s="10">
        <v>3.7556805</v>
      </c>
      <c r="BQ456" s="10">
        <v>3.7509899999999998</v>
      </c>
      <c r="BR456" s="10">
        <v>3.7312647999999999</v>
      </c>
      <c r="BS456" s="10">
        <v>3.7250219000000002</v>
      </c>
      <c r="BU456" s="7">
        <v>4.8499999999999996</v>
      </c>
      <c r="BV456" s="7">
        <v>4.3</v>
      </c>
      <c r="BW456" s="9">
        <v>80.867699999999999</v>
      </c>
    </row>
    <row r="457" spans="1:75" x14ac:dyDescent="0.25">
      <c r="A457" s="6">
        <f t="shared" si="41"/>
        <v>45191</v>
      </c>
      <c r="B457" s="13">
        <f t="shared" ref="B457:B520" si="42">MONTH(A457)</f>
        <v>9</v>
      </c>
      <c r="C457" s="13">
        <f t="shared" ref="C457:C520" si="43">YEAR(A457)</f>
        <v>2023</v>
      </c>
      <c r="D457">
        <f t="shared" ref="D457:D520" si="44">C457*100+B457</f>
        <v>202309</v>
      </c>
      <c r="E457">
        <f t="shared" ref="E457:E520" si="45">IF(B457&lt;4,1,IF(B457&lt;7,2,IF(B457&lt;10,3,4)))</f>
        <v>3</v>
      </c>
      <c r="F457">
        <f t="shared" ref="F457:F520" si="46">C457*100+E457</f>
        <v>202303</v>
      </c>
      <c r="G457" t="s">
        <v>644</v>
      </c>
      <c r="H457" s="9">
        <v>5.25</v>
      </c>
      <c r="I457" s="9">
        <v>5.1855000000000002</v>
      </c>
      <c r="J457" s="10">
        <v>5.2062118999999996</v>
      </c>
      <c r="K457" s="10">
        <v>5.2609108999999998</v>
      </c>
      <c r="L457" s="10">
        <v>5.3033248000000004</v>
      </c>
      <c r="M457" s="10">
        <v>5.3296834999999998</v>
      </c>
      <c r="N457" s="10">
        <v>5.3400809000000002</v>
      </c>
      <c r="O457" s="10">
        <v>5.3364795000000003</v>
      </c>
      <c r="P457" s="10">
        <v>5.3207088999999996</v>
      </c>
      <c r="Q457" s="10">
        <v>5.2952007999999999</v>
      </c>
      <c r="R457" s="10">
        <v>5.2621180000000001</v>
      </c>
      <c r="S457" s="10">
        <v>5.2227914000000002</v>
      </c>
      <c r="T457" s="10">
        <v>5.1777042</v>
      </c>
      <c r="U457" s="10">
        <v>5.1267164999999997</v>
      </c>
      <c r="V457" s="10">
        <v>5.0682130000000001</v>
      </c>
      <c r="W457" s="10">
        <v>5.0030153999999998</v>
      </c>
      <c r="X457" s="10">
        <v>4.9328579000000001</v>
      </c>
      <c r="Y457" s="10">
        <v>4.8594727000000004</v>
      </c>
      <c r="Z457" s="10">
        <v>4.7845915000000003</v>
      </c>
      <c r="AA457" s="10">
        <v>4.7099491000000002</v>
      </c>
      <c r="AB457" s="10">
        <v>4.6370981999999996</v>
      </c>
      <c r="AC457" s="10">
        <v>4.5667613999999999</v>
      </c>
      <c r="AD457" s="10">
        <v>4.4994230000000002</v>
      </c>
      <c r="AE457" s="10">
        <v>4.4355646999999996</v>
      </c>
      <c r="AF457" s="10">
        <v>4.3756684000000003</v>
      </c>
      <c r="AG457" s="10">
        <v>4.3202182000000002</v>
      </c>
      <c r="AH457" s="10">
        <v>4.2695758000000001</v>
      </c>
      <c r="AI457" s="10">
        <v>4.223573</v>
      </c>
      <c r="AJ457" s="10">
        <v>4.1818967999999996</v>
      </c>
      <c r="AK457" s="10">
        <v>4.1442325999999996</v>
      </c>
      <c r="AL457" s="10">
        <v>4.1102660000000002</v>
      </c>
      <c r="AM457" s="10">
        <v>4.0796837999999997</v>
      </c>
      <c r="AN457" s="10">
        <v>4.0521715</v>
      </c>
      <c r="AO457" s="10">
        <v>4.0274147999999999</v>
      </c>
      <c r="AP457" s="10">
        <v>4.0051002000000002</v>
      </c>
      <c r="AQ457" s="10">
        <v>3.9849135000000002</v>
      </c>
      <c r="AR457" s="10">
        <v>3.9665403000000001</v>
      </c>
      <c r="AS457" s="10">
        <v>3.9496671000000001</v>
      </c>
      <c r="AT457" s="10">
        <v>3.9340152000000002</v>
      </c>
      <c r="AU457" s="10">
        <v>3.9194635</v>
      </c>
      <c r="AV457" s="10">
        <v>3.9059347999999998</v>
      </c>
      <c r="AW457" s="10">
        <v>3.8933513</v>
      </c>
      <c r="AX457" s="10">
        <v>3.8816354</v>
      </c>
      <c r="AY457" s="10">
        <v>3.8707098000000002</v>
      </c>
      <c r="AZ457" s="10">
        <v>3.8604967000000001</v>
      </c>
      <c r="BA457" s="10">
        <v>3.8509185000000001</v>
      </c>
      <c r="BB457" s="10">
        <v>3.8418977999999999</v>
      </c>
      <c r="BC457" s="10">
        <v>3.8333571000000002</v>
      </c>
      <c r="BD457" s="10">
        <v>3.8252185000000001</v>
      </c>
      <c r="BE457" s="10">
        <v>3.8174047999999998</v>
      </c>
      <c r="BF457" s="10">
        <v>3.8098508999999998</v>
      </c>
      <c r="BG457" s="10">
        <v>3.8025478000000001</v>
      </c>
      <c r="BH457" s="10">
        <v>3.7955019000000001</v>
      </c>
      <c r="BI457" s="10">
        <v>3.7887195</v>
      </c>
      <c r="BJ457" s="10">
        <v>3.7822068</v>
      </c>
      <c r="BK457" s="10">
        <v>3.7759705000000001</v>
      </c>
      <c r="BL457" s="10">
        <v>3.7700168000000001</v>
      </c>
      <c r="BM457" s="10">
        <v>3.7643518999999999</v>
      </c>
      <c r="BN457" s="10">
        <v>3.7589823999999998</v>
      </c>
      <c r="BO457" s="10">
        <v>3.7539145</v>
      </c>
      <c r="BP457" s="10">
        <v>3.7491547000000001</v>
      </c>
      <c r="BQ457" s="10">
        <v>3.7447092</v>
      </c>
      <c r="BR457" s="10">
        <v>3.7248089000000002</v>
      </c>
      <c r="BS457" s="10">
        <v>3.7166921999999998</v>
      </c>
      <c r="BU457" s="7">
        <v>4.79</v>
      </c>
      <c r="BV457" s="7">
        <v>4.25</v>
      </c>
      <c r="BW457" s="9">
        <v>80.700599999999994</v>
      </c>
    </row>
    <row r="458" spans="1:75" x14ac:dyDescent="0.25">
      <c r="A458" s="6">
        <f t="shared" si="41"/>
        <v>45194</v>
      </c>
      <c r="B458" s="13">
        <f t="shared" si="42"/>
        <v>9</v>
      </c>
      <c r="C458" s="13">
        <f t="shared" si="43"/>
        <v>2023</v>
      </c>
      <c r="D458">
        <f t="shared" si="44"/>
        <v>202309</v>
      </c>
      <c r="E458">
        <f t="shared" si="45"/>
        <v>3</v>
      </c>
      <c r="F458">
        <f t="shared" si="46"/>
        <v>202303</v>
      </c>
      <c r="G458" t="s">
        <v>645</v>
      </c>
      <c r="H458" s="9">
        <v>5.25</v>
      </c>
      <c r="I458" s="9">
        <v>5.1848999999999998</v>
      </c>
      <c r="J458" s="10">
        <v>5.2113879000000001</v>
      </c>
      <c r="K458" s="10">
        <v>5.2683738</v>
      </c>
      <c r="L458" s="10">
        <v>5.3086307000000001</v>
      </c>
      <c r="M458" s="10">
        <v>5.3307203999999997</v>
      </c>
      <c r="N458" s="10">
        <v>5.3366528000000004</v>
      </c>
      <c r="O458" s="10">
        <v>5.3286745</v>
      </c>
      <c r="P458" s="10">
        <v>5.3086928999999996</v>
      </c>
      <c r="Q458" s="10">
        <v>5.2792031000000001</v>
      </c>
      <c r="R458" s="10">
        <v>5.2420596000000002</v>
      </c>
      <c r="S458" s="10">
        <v>5.1991114999999999</v>
      </c>
      <c r="T458" s="10">
        <v>5.1511604999999996</v>
      </c>
      <c r="U458" s="10">
        <v>5.0987552999999997</v>
      </c>
      <c r="V458" s="10">
        <v>5.04155</v>
      </c>
      <c r="W458" s="10">
        <v>4.9804164999999996</v>
      </c>
      <c r="X458" s="10">
        <v>4.9166835999999998</v>
      </c>
      <c r="Y458" s="10">
        <v>4.8516776000000004</v>
      </c>
      <c r="Z458" s="10">
        <v>4.7867252999999996</v>
      </c>
      <c r="AA458" s="10">
        <v>4.7231553000000002</v>
      </c>
      <c r="AB458" s="10">
        <v>4.6620777000000002</v>
      </c>
      <c r="AC458" s="10">
        <v>4.6037789</v>
      </c>
      <c r="AD458" s="10">
        <v>4.5483510000000003</v>
      </c>
      <c r="AE458" s="10">
        <v>4.4958843999999996</v>
      </c>
      <c r="AF458" s="10">
        <v>4.4464692000000001</v>
      </c>
      <c r="AG458" s="10">
        <v>4.4001975</v>
      </c>
      <c r="AH458" s="10">
        <v>4.3571182000000004</v>
      </c>
      <c r="AI458" s="10">
        <v>4.3170963999999996</v>
      </c>
      <c r="AJ458" s="10">
        <v>4.2799486</v>
      </c>
      <c r="AK458" s="10">
        <v>4.2454893</v>
      </c>
      <c r="AL458" s="10">
        <v>4.2135335999999999</v>
      </c>
      <c r="AM458" s="10">
        <v>4.1838972999999999</v>
      </c>
      <c r="AN458" s="10">
        <v>4.1563955000000004</v>
      </c>
      <c r="AO458" s="10">
        <v>4.1308429000000002</v>
      </c>
      <c r="AP458" s="10">
        <v>4.1070555000000004</v>
      </c>
      <c r="AQ458" s="10">
        <v>4.0848483</v>
      </c>
      <c r="AR458" s="10">
        <v>4.0640361</v>
      </c>
      <c r="AS458" s="10">
        <v>4.0444348000000003</v>
      </c>
      <c r="AT458" s="10">
        <v>4.0258817000000002</v>
      </c>
      <c r="AU458" s="10">
        <v>4.0083126</v>
      </c>
      <c r="AV458" s="10">
        <v>3.9916914000000001</v>
      </c>
      <c r="AW458" s="10">
        <v>3.9759810999999998</v>
      </c>
      <c r="AX458" s="10">
        <v>3.9611448</v>
      </c>
      <c r="AY458" s="10">
        <v>3.9471462000000002</v>
      </c>
      <c r="AZ458" s="10">
        <v>3.9339485000000001</v>
      </c>
      <c r="BA458" s="10">
        <v>3.9215148000000002</v>
      </c>
      <c r="BB458" s="10">
        <v>3.9098087000000001</v>
      </c>
      <c r="BC458" s="10">
        <v>3.8987932999999999</v>
      </c>
      <c r="BD458" s="10">
        <v>3.8884319999999999</v>
      </c>
      <c r="BE458" s="10">
        <v>3.8786881000000002</v>
      </c>
      <c r="BF458" s="10">
        <v>3.8695284000000001</v>
      </c>
      <c r="BG458" s="10">
        <v>3.8609379000000001</v>
      </c>
      <c r="BH458" s="10">
        <v>3.8529081999999999</v>
      </c>
      <c r="BI458" s="10">
        <v>3.8454307000000001</v>
      </c>
      <c r="BJ458" s="10">
        <v>3.8384966</v>
      </c>
      <c r="BK458" s="10">
        <v>3.8320976</v>
      </c>
      <c r="BL458" s="10">
        <v>3.8262249000000002</v>
      </c>
      <c r="BM458" s="10">
        <v>3.8208698000000001</v>
      </c>
      <c r="BN458" s="10">
        <v>3.8160240000000001</v>
      </c>
      <c r="BO458" s="10">
        <v>3.8116788000000001</v>
      </c>
      <c r="BP458" s="10">
        <v>3.8078254</v>
      </c>
      <c r="BQ458" s="10">
        <v>3.8044554000000002</v>
      </c>
      <c r="BR458" s="10">
        <v>3.7937734000000001</v>
      </c>
      <c r="BS458" s="10">
        <v>3.7975210000000001</v>
      </c>
      <c r="BU458" s="7">
        <v>4.8099999999999996</v>
      </c>
      <c r="BV458" s="7">
        <v>4.33</v>
      </c>
      <c r="BW458" s="9">
        <v>80.613500000000002</v>
      </c>
    </row>
    <row r="459" spans="1:75" x14ac:dyDescent="0.25">
      <c r="A459" s="6">
        <f t="shared" si="41"/>
        <v>45195</v>
      </c>
      <c r="B459" s="13">
        <f t="shared" si="42"/>
        <v>9</v>
      </c>
      <c r="C459" s="13">
        <f t="shared" si="43"/>
        <v>2023</v>
      </c>
      <c r="D459">
        <f t="shared" si="44"/>
        <v>202309</v>
      </c>
      <c r="E459">
        <f t="shared" si="45"/>
        <v>3</v>
      </c>
      <c r="F459">
        <f t="shared" si="46"/>
        <v>202303</v>
      </c>
      <c r="G459" t="s">
        <v>646</v>
      </c>
      <c r="H459" s="9">
        <v>5.25</v>
      </c>
      <c r="I459" s="9">
        <v>5.1856999999999998</v>
      </c>
      <c r="J459" s="10">
        <v>5.2133753</v>
      </c>
      <c r="K459" s="10">
        <v>5.2772733000000001</v>
      </c>
      <c r="L459" s="10">
        <v>5.3235938999999997</v>
      </c>
      <c r="M459" s="10">
        <v>5.3519297000000003</v>
      </c>
      <c r="N459" s="10">
        <v>5.3639652</v>
      </c>
      <c r="O459" s="10">
        <v>5.3618208000000003</v>
      </c>
      <c r="P459" s="10">
        <v>5.3474598000000002</v>
      </c>
      <c r="Q459" s="10">
        <v>5.3234436000000001</v>
      </c>
      <c r="R459" s="10">
        <v>5.2917129999999997</v>
      </c>
      <c r="S459" s="10">
        <v>5.2540277</v>
      </c>
      <c r="T459" s="10">
        <v>5.2110272999999996</v>
      </c>
      <c r="U459" s="10">
        <v>5.1629825</v>
      </c>
      <c r="V459" s="10">
        <v>5.1088481999999997</v>
      </c>
      <c r="W459" s="10">
        <v>5.0493271000000002</v>
      </c>
      <c r="X459" s="10">
        <v>4.9857595000000003</v>
      </c>
      <c r="Y459" s="10">
        <v>4.9194839999999997</v>
      </c>
      <c r="Z459" s="10">
        <v>4.8518385999999998</v>
      </c>
      <c r="AA459" s="10">
        <v>4.7841642000000002</v>
      </c>
      <c r="AB459" s="10">
        <v>4.7176391999999998</v>
      </c>
      <c r="AC459" s="10">
        <v>4.6528334999999998</v>
      </c>
      <c r="AD459" s="10">
        <v>4.5901747999999998</v>
      </c>
      <c r="AE459" s="10">
        <v>4.5300880000000001</v>
      </c>
      <c r="AF459" s="10">
        <v>4.4729986000000004</v>
      </c>
      <c r="AG459" s="10">
        <v>4.4193337000000001</v>
      </c>
      <c r="AH459" s="10">
        <v>4.3694227000000003</v>
      </c>
      <c r="AI459" s="10">
        <v>4.3231707999999998</v>
      </c>
      <c r="AJ459" s="10">
        <v>4.2803680000000002</v>
      </c>
      <c r="AK459" s="10">
        <v>4.2408025</v>
      </c>
      <c r="AL459" s="10">
        <v>4.2042627000000001</v>
      </c>
      <c r="AM459" s="10">
        <v>4.1705383999999999</v>
      </c>
      <c r="AN459" s="10">
        <v>4.1394178999999998</v>
      </c>
      <c r="AO459" s="10">
        <v>4.1106897</v>
      </c>
      <c r="AP459" s="10">
        <v>4.0841433</v>
      </c>
      <c r="AQ459" s="10">
        <v>4.0595673000000003</v>
      </c>
      <c r="AR459" s="10">
        <v>4.0367502000000002</v>
      </c>
      <c r="AS459" s="10">
        <v>4.0154813999999996</v>
      </c>
      <c r="AT459" s="10">
        <v>3.9955687000000002</v>
      </c>
      <c r="AU459" s="10">
        <v>3.9769234</v>
      </c>
      <c r="AV459" s="10">
        <v>3.9594925999999999</v>
      </c>
      <c r="AW459" s="10">
        <v>3.9432223999999998</v>
      </c>
      <c r="AX459" s="10">
        <v>3.9280590000000002</v>
      </c>
      <c r="AY459" s="10">
        <v>3.9139493000000001</v>
      </c>
      <c r="AZ459" s="10">
        <v>3.9008395</v>
      </c>
      <c r="BA459" s="10">
        <v>3.8886759</v>
      </c>
      <c r="BB459" s="10">
        <v>3.8774052000000001</v>
      </c>
      <c r="BC459" s="10">
        <v>3.8669737</v>
      </c>
      <c r="BD459" s="10">
        <v>3.8573278000000002</v>
      </c>
      <c r="BE459" s="10">
        <v>3.8484140999999998</v>
      </c>
      <c r="BF459" s="10">
        <v>3.8401839999999998</v>
      </c>
      <c r="BG459" s="10">
        <v>3.8326145</v>
      </c>
      <c r="BH459" s="10">
        <v>3.8256903000000002</v>
      </c>
      <c r="BI459" s="10">
        <v>3.8193958000000001</v>
      </c>
      <c r="BJ459" s="10">
        <v>3.8137156999999999</v>
      </c>
      <c r="BK459" s="10">
        <v>3.8086346</v>
      </c>
      <c r="BL459" s="10">
        <v>3.8041371000000002</v>
      </c>
      <c r="BM459" s="10">
        <v>3.8002075999999998</v>
      </c>
      <c r="BN459" s="10">
        <v>3.7968310000000001</v>
      </c>
      <c r="BO459" s="10">
        <v>3.7939916999999999</v>
      </c>
      <c r="BP459" s="10">
        <v>3.7916742999999999</v>
      </c>
      <c r="BQ459" s="10">
        <v>3.7898635000000001</v>
      </c>
      <c r="BR459" s="10">
        <v>3.7886947000000002</v>
      </c>
      <c r="BS459" s="10">
        <v>3.8014009999999998</v>
      </c>
      <c r="BU459" s="7">
        <v>4.8099999999999996</v>
      </c>
      <c r="BV459" s="7">
        <v>4.33</v>
      </c>
      <c r="BW459" s="9">
        <v>80.390600000000006</v>
      </c>
    </row>
    <row r="460" spans="1:75" x14ac:dyDescent="0.25">
      <c r="A460" s="6">
        <f t="shared" si="41"/>
        <v>45196</v>
      </c>
      <c r="B460" s="13">
        <f t="shared" si="42"/>
        <v>9</v>
      </c>
      <c r="C460" s="13">
        <f t="shared" si="43"/>
        <v>2023</v>
      </c>
      <c r="D460">
        <f t="shared" si="44"/>
        <v>202309</v>
      </c>
      <c r="E460">
        <f t="shared" si="45"/>
        <v>3</v>
      </c>
      <c r="F460">
        <f t="shared" si="46"/>
        <v>202303</v>
      </c>
      <c r="G460" t="s">
        <v>647</v>
      </c>
      <c r="H460" s="9">
        <v>5.25</v>
      </c>
      <c r="I460" s="9">
        <v>5.1859999999999999</v>
      </c>
      <c r="J460" s="10">
        <v>5.2190649999999996</v>
      </c>
      <c r="K460" s="10">
        <v>5.2881650999999996</v>
      </c>
      <c r="L460" s="10">
        <v>5.3387095999999996</v>
      </c>
      <c r="M460" s="10">
        <v>5.3718174999999997</v>
      </c>
      <c r="N460" s="10">
        <v>5.3890742999999999</v>
      </c>
      <c r="O460" s="10">
        <v>5.3924472999999997</v>
      </c>
      <c r="P460" s="10">
        <v>5.3834951000000002</v>
      </c>
      <c r="Q460" s="10">
        <v>5.3649135000000001</v>
      </c>
      <c r="R460" s="10">
        <v>5.3389290000000003</v>
      </c>
      <c r="S460" s="10">
        <v>5.3071349000000003</v>
      </c>
      <c r="T460" s="10">
        <v>5.2700987000000001</v>
      </c>
      <c r="U460" s="10">
        <v>5.2276809999999996</v>
      </c>
      <c r="V460" s="10">
        <v>5.1784905999999999</v>
      </c>
      <c r="W460" s="10">
        <v>5.1232316999999998</v>
      </c>
      <c r="X460" s="10">
        <v>5.0633201000000003</v>
      </c>
      <c r="Y460" s="10">
        <v>5.0001698000000001</v>
      </c>
      <c r="Z460" s="10">
        <v>4.9351947000000003</v>
      </c>
      <c r="AA460" s="10">
        <v>4.8698109000000001</v>
      </c>
      <c r="AB460" s="10">
        <v>4.8052600999999999</v>
      </c>
      <c r="AC460" s="10">
        <v>4.7421281999999998</v>
      </c>
      <c r="AD460" s="10">
        <v>4.6808475999999999</v>
      </c>
      <c r="AE460" s="10">
        <v>4.6218481999999996</v>
      </c>
      <c r="AF460" s="10">
        <v>4.5655602000000002</v>
      </c>
      <c r="AG460" s="10">
        <v>4.5124157</v>
      </c>
      <c r="AH460" s="10">
        <v>4.4627691</v>
      </c>
      <c r="AI460" s="10">
        <v>4.4165675999999996</v>
      </c>
      <c r="AJ460" s="10">
        <v>4.3736233999999996</v>
      </c>
      <c r="AK460" s="10">
        <v>4.3337469000000004</v>
      </c>
      <c r="AL460" s="10">
        <v>4.2967487000000002</v>
      </c>
      <c r="AM460" s="10">
        <v>4.2624408000000003</v>
      </c>
      <c r="AN460" s="10">
        <v>4.2306336</v>
      </c>
      <c r="AO460" s="10">
        <v>4.2011379</v>
      </c>
      <c r="AP460" s="10">
        <v>4.1737653000000003</v>
      </c>
      <c r="AQ460" s="10">
        <v>4.1483265999999999</v>
      </c>
      <c r="AR460" s="10">
        <v>4.1246324000000003</v>
      </c>
      <c r="AS460" s="10">
        <v>4.1024944000000003</v>
      </c>
      <c r="AT460" s="10">
        <v>4.0817405000000004</v>
      </c>
      <c r="AU460" s="10">
        <v>4.0622828000000002</v>
      </c>
      <c r="AV460" s="10">
        <v>4.0440598000000003</v>
      </c>
      <c r="AW460" s="10">
        <v>4.0270092000000002</v>
      </c>
      <c r="AX460" s="10">
        <v>4.0110688000000003</v>
      </c>
      <c r="AY460" s="10">
        <v>3.9961768000000002</v>
      </c>
      <c r="AZ460" s="10">
        <v>3.9822711000000002</v>
      </c>
      <c r="BA460" s="10">
        <v>3.9692894000000001</v>
      </c>
      <c r="BB460" s="10">
        <v>3.9571700999999999</v>
      </c>
      <c r="BC460" s="10">
        <v>3.9458508000000001</v>
      </c>
      <c r="BD460" s="10">
        <v>3.9352695</v>
      </c>
      <c r="BE460" s="10">
        <v>3.9253643999999999</v>
      </c>
      <c r="BF460" s="10">
        <v>3.9160803999999998</v>
      </c>
      <c r="BG460" s="10">
        <v>3.9073947000000002</v>
      </c>
      <c r="BH460" s="10">
        <v>3.8992935000000002</v>
      </c>
      <c r="BI460" s="10">
        <v>3.8917625999999998</v>
      </c>
      <c r="BJ460" s="10">
        <v>3.8847879999999999</v>
      </c>
      <c r="BK460" s="10">
        <v>3.8783558</v>
      </c>
      <c r="BL460" s="10">
        <v>3.8724519000000002</v>
      </c>
      <c r="BM460" s="10">
        <v>3.8670621999999999</v>
      </c>
      <c r="BN460" s="10">
        <v>3.8621729</v>
      </c>
      <c r="BO460" s="10">
        <v>3.8577697999999998</v>
      </c>
      <c r="BP460" s="10">
        <v>3.8538389999999998</v>
      </c>
      <c r="BQ460" s="10">
        <v>3.8503664</v>
      </c>
      <c r="BR460" s="10">
        <v>3.8384345999999998</v>
      </c>
      <c r="BS460" s="10">
        <v>3.8398694</v>
      </c>
      <c r="BU460" s="7">
        <v>4.88</v>
      </c>
      <c r="BV460" s="7">
        <v>4.38</v>
      </c>
      <c r="BW460" s="9">
        <v>80.461600000000004</v>
      </c>
    </row>
    <row r="461" spans="1:75" x14ac:dyDescent="0.25">
      <c r="A461" s="6">
        <f t="shared" si="41"/>
        <v>45197</v>
      </c>
      <c r="B461" s="13">
        <f t="shared" si="42"/>
        <v>9</v>
      </c>
      <c r="C461" s="13">
        <f t="shared" si="43"/>
        <v>2023</v>
      </c>
      <c r="D461">
        <f t="shared" si="44"/>
        <v>202309</v>
      </c>
      <c r="E461">
        <f t="shared" si="45"/>
        <v>3</v>
      </c>
      <c r="F461">
        <f t="shared" si="46"/>
        <v>202303</v>
      </c>
      <c r="G461" t="s">
        <v>648</v>
      </c>
      <c r="H461" s="9">
        <v>5.25</v>
      </c>
      <c r="I461" s="9">
        <v>5.1859000000000002</v>
      </c>
      <c r="J461" s="10">
        <v>5.2225032000000002</v>
      </c>
      <c r="K461" s="10">
        <v>5.2989629000000003</v>
      </c>
      <c r="L461" s="10">
        <v>5.3534752000000001</v>
      </c>
      <c r="M461" s="10">
        <v>5.3875337999999999</v>
      </c>
      <c r="N461" s="10">
        <v>5.4035520999999997</v>
      </c>
      <c r="O461" s="10">
        <v>5.4045076999999999</v>
      </c>
      <c r="P461" s="10">
        <v>5.3931266000000004</v>
      </c>
      <c r="Q461" s="10">
        <v>5.3730900999999998</v>
      </c>
      <c r="R461" s="10">
        <v>5.3475073000000002</v>
      </c>
      <c r="S461" s="10">
        <v>5.3182147999999998</v>
      </c>
      <c r="T461" s="10">
        <v>5.2857010999999998</v>
      </c>
      <c r="U461" s="10">
        <v>5.2496622000000004</v>
      </c>
      <c r="V461" s="10">
        <v>5.2081645999999999</v>
      </c>
      <c r="W461" s="10">
        <v>5.1614766000000003</v>
      </c>
      <c r="X461" s="10">
        <v>5.1107940999999997</v>
      </c>
      <c r="Y461" s="10">
        <v>5.0573119000000002</v>
      </c>
      <c r="Z461" s="10">
        <v>5.0022248999999999</v>
      </c>
      <c r="AA461" s="10">
        <v>4.9467296000000003</v>
      </c>
      <c r="AB461" s="10">
        <v>4.8918660999999997</v>
      </c>
      <c r="AC461" s="10">
        <v>4.8380846000000002</v>
      </c>
      <c r="AD461" s="10">
        <v>4.7856971000000001</v>
      </c>
      <c r="AE461" s="10">
        <v>4.7350135</v>
      </c>
      <c r="AF461" s="10">
        <v>4.6863440000000001</v>
      </c>
      <c r="AG461" s="10">
        <v>4.6400002999999996</v>
      </c>
      <c r="AH461" s="10">
        <v>4.5962322999999996</v>
      </c>
      <c r="AI461" s="10">
        <v>4.5549970000000002</v>
      </c>
      <c r="AJ461" s="10">
        <v>4.5161635000000002</v>
      </c>
      <c r="AK461" s="10">
        <v>4.4795993999999997</v>
      </c>
      <c r="AL461" s="10">
        <v>4.4451726999999996</v>
      </c>
      <c r="AM461" s="10">
        <v>4.4127521999999999</v>
      </c>
      <c r="AN461" s="10">
        <v>4.3822057000000001</v>
      </c>
      <c r="AO461" s="10">
        <v>4.3534009999999999</v>
      </c>
      <c r="AP461" s="10">
        <v>4.3262070000000001</v>
      </c>
      <c r="AQ461" s="10">
        <v>4.3004916</v>
      </c>
      <c r="AR461" s="10">
        <v>4.2761225999999999</v>
      </c>
      <c r="AS461" s="10">
        <v>4.2529687000000003</v>
      </c>
      <c r="AT461" s="10">
        <v>4.2309124999999996</v>
      </c>
      <c r="AU461" s="10">
        <v>4.2099007999999998</v>
      </c>
      <c r="AV461" s="10">
        <v>4.1898989999999996</v>
      </c>
      <c r="AW461" s="10">
        <v>4.1708718999999999</v>
      </c>
      <c r="AX461" s="10">
        <v>4.1527840999999999</v>
      </c>
      <c r="AY461" s="10">
        <v>4.1356009</v>
      </c>
      <c r="AZ461" s="10">
        <v>4.1192871999999996</v>
      </c>
      <c r="BA461" s="10">
        <v>4.1038075000000003</v>
      </c>
      <c r="BB461" s="10">
        <v>4.0891273000000004</v>
      </c>
      <c r="BC461" s="10">
        <v>4.0752110999999998</v>
      </c>
      <c r="BD461" s="10">
        <v>4.0620238999999998</v>
      </c>
      <c r="BE461" s="10">
        <v>4.0495308000000003</v>
      </c>
      <c r="BF461" s="10">
        <v>4.0376998000000004</v>
      </c>
      <c r="BG461" s="10">
        <v>4.0265133000000004</v>
      </c>
      <c r="BH461" s="10">
        <v>4.0159582</v>
      </c>
      <c r="BI461" s="10">
        <v>4.0060206000000003</v>
      </c>
      <c r="BJ461" s="10">
        <v>3.9966870000000001</v>
      </c>
      <c r="BK461" s="10">
        <v>3.9879441</v>
      </c>
      <c r="BL461" s="10">
        <v>3.9797783</v>
      </c>
      <c r="BM461" s="10">
        <v>3.9721758999999999</v>
      </c>
      <c r="BN461" s="10">
        <v>3.9651236000000001</v>
      </c>
      <c r="BO461" s="10">
        <v>3.9586077999999998</v>
      </c>
      <c r="BP461" s="10">
        <v>3.9526148999999999</v>
      </c>
      <c r="BQ461" s="10">
        <v>3.9471314999999998</v>
      </c>
      <c r="BR461" s="10">
        <v>3.9242731000000002</v>
      </c>
      <c r="BS461" s="10">
        <v>3.9169651000000001</v>
      </c>
      <c r="BU461" s="7">
        <v>4.93</v>
      </c>
      <c r="BV461" s="7">
        <v>4.49</v>
      </c>
      <c r="BW461" s="9">
        <v>80.680300000000003</v>
      </c>
    </row>
    <row r="462" spans="1:75" x14ac:dyDescent="0.25">
      <c r="A462" s="6">
        <f t="shared" ref="A462:A525" si="47">+A457+7</f>
        <v>45198</v>
      </c>
      <c r="B462" s="13">
        <f t="shared" si="42"/>
        <v>9</v>
      </c>
      <c r="C462" s="13">
        <f t="shared" si="43"/>
        <v>2023</v>
      </c>
      <c r="D462">
        <f t="shared" si="44"/>
        <v>202309</v>
      </c>
      <c r="E462">
        <f t="shared" si="45"/>
        <v>3</v>
      </c>
      <c r="F462">
        <f t="shared" si="46"/>
        <v>202303</v>
      </c>
      <c r="G462" t="s">
        <v>649</v>
      </c>
      <c r="H462" s="9">
        <v>5.25</v>
      </c>
      <c r="I462" s="9">
        <v>5.1867000000000001</v>
      </c>
      <c r="J462" s="10">
        <v>5.2175339000000003</v>
      </c>
      <c r="K462" s="10">
        <v>5.2856807000000003</v>
      </c>
      <c r="L462" s="10">
        <v>5.3349368000000004</v>
      </c>
      <c r="M462" s="10">
        <v>5.3655036999999997</v>
      </c>
      <c r="N462" s="10">
        <v>5.3796818000000002</v>
      </c>
      <c r="O462" s="10">
        <v>5.3792612999999996</v>
      </c>
      <c r="P462" s="10">
        <v>5.3655029000000001</v>
      </c>
      <c r="Q462" s="10">
        <v>5.3393598999999998</v>
      </c>
      <c r="R462" s="10">
        <v>5.3034539000000001</v>
      </c>
      <c r="S462" s="10">
        <v>5.2598950999999996</v>
      </c>
      <c r="T462" s="10">
        <v>5.2105458999999996</v>
      </c>
      <c r="U462" s="10">
        <v>5.1569861000000001</v>
      </c>
      <c r="V462" s="10">
        <v>5.1006098</v>
      </c>
      <c r="W462" s="10">
        <v>5.0423403000000002</v>
      </c>
      <c r="X462" s="10">
        <v>4.9829613999999998</v>
      </c>
      <c r="Y462" s="10">
        <v>4.9232548999999999</v>
      </c>
      <c r="Z462" s="10">
        <v>4.8640021999999998</v>
      </c>
      <c r="AA462" s="10">
        <v>4.8059874000000002</v>
      </c>
      <c r="AB462" s="10">
        <v>4.7499039999999999</v>
      </c>
      <c r="AC462" s="10">
        <v>4.6960373999999998</v>
      </c>
      <c r="AD462" s="10">
        <v>4.6445565999999996</v>
      </c>
      <c r="AE462" s="10">
        <v>4.5956286000000004</v>
      </c>
      <c r="AF462" s="10">
        <v>4.5494206000000004</v>
      </c>
      <c r="AG462" s="10">
        <v>4.5061014999999998</v>
      </c>
      <c r="AH462" s="10">
        <v>4.4657872999999997</v>
      </c>
      <c r="AI462" s="10">
        <v>4.4283693</v>
      </c>
      <c r="AJ462" s="10">
        <v>4.3936780999999998</v>
      </c>
      <c r="AK462" s="10">
        <v>4.3615427000000002</v>
      </c>
      <c r="AL462" s="10">
        <v>4.3317926</v>
      </c>
      <c r="AM462" s="10">
        <v>4.3042578999999996</v>
      </c>
      <c r="AN462" s="10">
        <v>4.2787680000000003</v>
      </c>
      <c r="AO462" s="10">
        <v>4.2551522000000004</v>
      </c>
      <c r="AP462" s="10">
        <v>4.2332406999999996</v>
      </c>
      <c r="AQ462" s="10">
        <v>4.2128627999999999</v>
      </c>
      <c r="AR462" s="10">
        <v>4.193848</v>
      </c>
      <c r="AS462" s="10">
        <v>4.1760261999999999</v>
      </c>
      <c r="AT462" s="10">
        <v>4.1592447999999997</v>
      </c>
      <c r="AU462" s="10">
        <v>4.1434306999999997</v>
      </c>
      <c r="AV462" s="10">
        <v>4.1285331000000003</v>
      </c>
      <c r="AW462" s="10">
        <v>4.1145006000000004</v>
      </c>
      <c r="AX462" s="10">
        <v>4.1012819</v>
      </c>
      <c r="AY462" s="10">
        <v>4.0888263</v>
      </c>
      <c r="AZ462" s="10">
        <v>4.0770825000000004</v>
      </c>
      <c r="BA462" s="10">
        <v>4.0659991</v>
      </c>
      <c r="BB462" s="10">
        <v>4.0555253000000002</v>
      </c>
      <c r="BC462" s="10">
        <v>4.0456098000000003</v>
      </c>
      <c r="BD462" s="10">
        <v>4.0362014000000004</v>
      </c>
      <c r="BE462" s="10">
        <v>4.0272492</v>
      </c>
      <c r="BF462" s="10">
        <v>4.0187096000000002</v>
      </c>
      <c r="BG462" s="10">
        <v>4.0105729999999999</v>
      </c>
      <c r="BH462" s="10">
        <v>4.0028395000000003</v>
      </c>
      <c r="BI462" s="10">
        <v>3.9955088000000001</v>
      </c>
      <c r="BJ462" s="10">
        <v>3.9885807999999998</v>
      </c>
      <c r="BK462" s="10">
        <v>3.9820555</v>
      </c>
      <c r="BL462" s="10">
        <v>3.9759326000000001</v>
      </c>
      <c r="BM462" s="10">
        <v>3.9702118999999998</v>
      </c>
      <c r="BN462" s="10">
        <v>3.9648935999999999</v>
      </c>
      <c r="BO462" s="10">
        <v>3.9599772</v>
      </c>
      <c r="BP462" s="10">
        <v>3.9554627999999998</v>
      </c>
      <c r="BQ462" s="10">
        <v>3.9513503000000001</v>
      </c>
      <c r="BR462" s="10">
        <v>3.9349325999999998</v>
      </c>
      <c r="BS462" s="10">
        <v>3.9318871999999998</v>
      </c>
      <c r="BU462" s="7">
        <v>4.91</v>
      </c>
      <c r="BV462" s="7">
        <v>4.46</v>
      </c>
      <c r="BW462" s="9">
        <v>80.607900000000001</v>
      </c>
    </row>
    <row r="463" spans="1:75" x14ac:dyDescent="0.25">
      <c r="A463" s="6">
        <f t="shared" si="47"/>
        <v>45201</v>
      </c>
      <c r="B463" s="13">
        <f t="shared" si="42"/>
        <v>10</v>
      </c>
      <c r="C463" s="13">
        <f t="shared" si="43"/>
        <v>2023</v>
      </c>
      <c r="D463">
        <f t="shared" si="44"/>
        <v>202310</v>
      </c>
      <c r="E463">
        <f t="shared" si="45"/>
        <v>4</v>
      </c>
      <c r="F463">
        <f t="shared" si="46"/>
        <v>202304</v>
      </c>
      <c r="G463" t="s">
        <v>650</v>
      </c>
      <c r="H463" s="9">
        <v>5.25</v>
      </c>
      <c r="I463" s="9">
        <v>5.1867999999999999</v>
      </c>
      <c r="J463" s="10">
        <v>5.2223392999999998</v>
      </c>
      <c r="K463" s="10">
        <v>5.2927343000000002</v>
      </c>
      <c r="L463" s="10">
        <v>5.3420112</v>
      </c>
      <c r="M463" s="10">
        <v>5.3712562000000004</v>
      </c>
      <c r="N463" s="10">
        <v>5.3839163000000001</v>
      </c>
      <c r="O463" s="10">
        <v>5.3828559</v>
      </c>
      <c r="P463" s="10">
        <v>5.3707115999999999</v>
      </c>
      <c r="Q463" s="10">
        <v>5.3507233999999997</v>
      </c>
      <c r="R463" s="10">
        <v>5.3254944000000002</v>
      </c>
      <c r="S463" s="10">
        <v>5.2967810000000002</v>
      </c>
      <c r="T463" s="10">
        <v>5.2650449999999998</v>
      </c>
      <c r="U463" s="10">
        <v>5.2300027</v>
      </c>
      <c r="V463" s="10">
        <v>5.1898277000000004</v>
      </c>
      <c r="W463" s="10">
        <v>5.1447683</v>
      </c>
      <c r="X463" s="10">
        <v>5.0958183000000004</v>
      </c>
      <c r="Y463" s="10">
        <v>5.0439702000000004</v>
      </c>
      <c r="Z463" s="10">
        <v>4.9902160999999996</v>
      </c>
      <c r="AA463" s="10">
        <v>4.9355501000000004</v>
      </c>
      <c r="AB463" s="10">
        <v>4.8808895000000003</v>
      </c>
      <c r="AC463" s="10">
        <v>4.8268357999999996</v>
      </c>
      <c r="AD463" s="10">
        <v>4.7739098000000002</v>
      </c>
      <c r="AE463" s="10">
        <v>4.7226302000000002</v>
      </c>
      <c r="AF463" s="10">
        <v>4.6735158999999999</v>
      </c>
      <c r="AG463" s="10">
        <v>4.6270876000000003</v>
      </c>
      <c r="AH463" s="10">
        <v>4.5837595999999996</v>
      </c>
      <c r="AI463" s="10">
        <v>4.5434858</v>
      </c>
      <c r="AJ463" s="10">
        <v>4.5060944999999997</v>
      </c>
      <c r="AK463" s="10">
        <v>4.4714124999999996</v>
      </c>
      <c r="AL463" s="10">
        <v>4.4392664999999996</v>
      </c>
      <c r="AM463" s="10">
        <v>4.4094845999999999</v>
      </c>
      <c r="AN463" s="10">
        <v>4.3818937</v>
      </c>
      <c r="AO463" s="10">
        <v>4.3563206000000001</v>
      </c>
      <c r="AP463" s="10">
        <v>4.3325933000000001</v>
      </c>
      <c r="AQ463" s="10">
        <v>4.3105387000000004</v>
      </c>
      <c r="AR463" s="10">
        <v>4.2899837999999999</v>
      </c>
      <c r="AS463" s="10">
        <v>4.2707563000000004</v>
      </c>
      <c r="AT463" s="10">
        <v>4.2527005999999998</v>
      </c>
      <c r="AU463" s="10">
        <v>4.2357380999999998</v>
      </c>
      <c r="AV463" s="10">
        <v>4.2198117999999996</v>
      </c>
      <c r="AW463" s="10">
        <v>4.2048643999999999</v>
      </c>
      <c r="AX463" s="10">
        <v>4.1908383999999996</v>
      </c>
      <c r="AY463" s="10">
        <v>4.1776768999999998</v>
      </c>
      <c r="AZ463" s="10">
        <v>4.1653224</v>
      </c>
      <c r="BA463" s="10">
        <v>4.1537175</v>
      </c>
      <c r="BB463" s="10">
        <v>4.1428053</v>
      </c>
      <c r="BC463" s="10">
        <v>4.1325284</v>
      </c>
      <c r="BD463" s="10">
        <v>4.1228293000000003</v>
      </c>
      <c r="BE463" s="10">
        <v>4.1136511000000002</v>
      </c>
      <c r="BF463" s="10">
        <v>4.1049432000000001</v>
      </c>
      <c r="BG463" s="10">
        <v>4.096692</v>
      </c>
      <c r="BH463" s="10">
        <v>4.0888964999999997</v>
      </c>
      <c r="BI463" s="10">
        <v>4.0815555000000003</v>
      </c>
      <c r="BJ463" s="10">
        <v>4.0746677</v>
      </c>
      <c r="BK463" s="10">
        <v>4.0682321000000004</v>
      </c>
      <c r="BL463" s="10">
        <v>4.0622474000000004</v>
      </c>
      <c r="BM463" s="10">
        <v>4.0567124999999997</v>
      </c>
      <c r="BN463" s="10">
        <v>4.0516262999999997</v>
      </c>
      <c r="BO463" s="10">
        <v>4.0469876999999999</v>
      </c>
      <c r="BP463" s="10">
        <v>4.0427952999999999</v>
      </c>
      <c r="BQ463" s="10">
        <v>4.0390480999999996</v>
      </c>
      <c r="BR463" s="10">
        <v>4.0255900000000002</v>
      </c>
      <c r="BS463" s="10">
        <v>4.0262795000000002</v>
      </c>
      <c r="BU463" s="7">
        <v>4.97</v>
      </c>
      <c r="BV463" s="7">
        <v>4.5599999999999996</v>
      </c>
      <c r="BW463" s="9">
        <v>80.456400000000002</v>
      </c>
    </row>
    <row r="464" spans="1:75" x14ac:dyDescent="0.25">
      <c r="A464" s="6">
        <f t="shared" si="47"/>
        <v>45202</v>
      </c>
      <c r="B464" s="13">
        <f t="shared" si="42"/>
        <v>10</v>
      </c>
      <c r="C464" s="13">
        <f t="shared" si="43"/>
        <v>2023</v>
      </c>
      <c r="D464">
        <f t="shared" si="44"/>
        <v>202310</v>
      </c>
      <c r="E464">
        <f t="shared" si="45"/>
        <v>4</v>
      </c>
      <c r="F464">
        <f t="shared" si="46"/>
        <v>202304</v>
      </c>
      <c r="G464" t="s">
        <v>651</v>
      </c>
      <c r="H464" s="9">
        <v>5.25</v>
      </c>
      <c r="I464" s="9">
        <v>5.1867000000000001</v>
      </c>
      <c r="J464" s="10">
        <v>5.2247735000000004</v>
      </c>
      <c r="K464" s="10">
        <v>5.2910602999999998</v>
      </c>
      <c r="L464" s="10">
        <v>5.3363857000000001</v>
      </c>
      <c r="M464" s="10">
        <v>5.3632755000000003</v>
      </c>
      <c r="N464" s="10">
        <v>5.3754422999999996</v>
      </c>
      <c r="O464" s="10">
        <v>5.3759534000000002</v>
      </c>
      <c r="P464" s="10">
        <v>5.3669582</v>
      </c>
      <c r="Q464" s="10">
        <v>5.3510552000000002</v>
      </c>
      <c r="R464" s="10">
        <v>5.3304152</v>
      </c>
      <c r="S464" s="10">
        <v>5.3064413999999998</v>
      </c>
      <c r="T464" s="10">
        <v>5.2795744999999998</v>
      </c>
      <c r="U464" s="10">
        <v>5.2494854999999996</v>
      </c>
      <c r="V464" s="10">
        <v>5.2144982999999998</v>
      </c>
      <c r="W464" s="10">
        <v>5.1747934999999998</v>
      </c>
      <c r="X464" s="10">
        <v>5.1312113000000004</v>
      </c>
      <c r="Y464" s="10">
        <v>5.0845902000000001</v>
      </c>
      <c r="Z464" s="10">
        <v>5.0357687000000002</v>
      </c>
      <c r="AA464" s="10">
        <v>4.9855869999999998</v>
      </c>
      <c r="AB464" s="10">
        <v>4.9348232999999997</v>
      </c>
      <c r="AC464" s="10">
        <v>4.8840015000000001</v>
      </c>
      <c r="AD464" s="10">
        <v>4.8335809999999997</v>
      </c>
      <c r="AE464" s="10">
        <v>4.7840191000000001</v>
      </c>
      <c r="AF464" s="10">
        <v>4.7357733</v>
      </c>
      <c r="AG464" s="10">
        <v>4.6893028000000001</v>
      </c>
      <c r="AH464" s="10">
        <v>4.6449878</v>
      </c>
      <c r="AI464" s="10">
        <v>4.6028688999999998</v>
      </c>
      <c r="AJ464" s="10">
        <v>4.5628938999999997</v>
      </c>
      <c r="AK464" s="10">
        <v>4.5250094000000001</v>
      </c>
      <c r="AL464" s="10">
        <v>4.4891619</v>
      </c>
      <c r="AM464" s="10">
        <v>4.4552993000000001</v>
      </c>
      <c r="AN464" s="10">
        <v>4.4233681000000002</v>
      </c>
      <c r="AO464" s="10">
        <v>4.3933150000000003</v>
      </c>
      <c r="AP464" s="10">
        <v>4.3650877000000001</v>
      </c>
      <c r="AQ464" s="10">
        <v>4.3386328000000001</v>
      </c>
      <c r="AR464" s="10">
        <v>4.3138969999999999</v>
      </c>
      <c r="AS464" s="10">
        <v>4.2908279</v>
      </c>
      <c r="AT464" s="10">
        <v>4.2693703000000003</v>
      </c>
      <c r="AU464" s="10">
        <v>4.2494586999999999</v>
      </c>
      <c r="AV464" s="10">
        <v>4.2310251000000001</v>
      </c>
      <c r="AW464" s="10">
        <v>4.2140003999999998</v>
      </c>
      <c r="AX464" s="10">
        <v>4.1983161000000004</v>
      </c>
      <c r="AY464" s="10">
        <v>4.1839037000000001</v>
      </c>
      <c r="AZ464" s="10">
        <v>4.1706944000000004</v>
      </c>
      <c r="BA464" s="10">
        <v>4.1586195999999997</v>
      </c>
      <c r="BB464" s="10">
        <v>4.1476107999999998</v>
      </c>
      <c r="BC464" s="10">
        <v>4.1375992999999998</v>
      </c>
      <c r="BD464" s="10">
        <v>4.1285163000000002</v>
      </c>
      <c r="BE464" s="10">
        <v>4.1202934999999998</v>
      </c>
      <c r="BF464" s="10">
        <v>4.1128670999999999</v>
      </c>
      <c r="BG464" s="10">
        <v>4.1061984000000002</v>
      </c>
      <c r="BH464" s="10">
        <v>4.1002562999999999</v>
      </c>
      <c r="BI464" s="10">
        <v>4.0950094999999997</v>
      </c>
      <c r="BJ464" s="10">
        <v>4.0904268000000004</v>
      </c>
      <c r="BK464" s="10">
        <v>4.0864772</v>
      </c>
      <c r="BL464" s="10">
        <v>4.0831292000000001</v>
      </c>
      <c r="BM464" s="10">
        <v>4.0803517999999999</v>
      </c>
      <c r="BN464" s="10">
        <v>4.0781137999999997</v>
      </c>
      <c r="BO464" s="10">
        <v>4.0763838999999997</v>
      </c>
      <c r="BP464" s="10">
        <v>4.0751308999999996</v>
      </c>
      <c r="BQ464" s="10">
        <v>4.0743236999999999</v>
      </c>
      <c r="BR464" s="10">
        <v>4.0776541999999996</v>
      </c>
      <c r="BS464" s="10">
        <v>4.0926045000000002</v>
      </c>
      <c r="BU464" s="7">
        <v>4.99</v>
      </c>
      <c r="BV464" s="7">
        <v>4.5999999999999996</v>
      </c>
      <c r="BW464" s="9">
        <v>80.292500000000004</v>
      </c>
    </row>
    <row r="465" spans="1:75" x14ac:dyDescent="0.25">
      <c r="A465" s="6">
        <f t="shared" si="47"/>
        <v>45203</v>
      </c>
      <c r="B465" s="13">
        <f t="shared" si="42"/>
        <v>10</v>
      </c>
      <c r="C465" s="13">
        <f t="shared" si="43"/>
        <v>2023</v>
      </c>
      <c r="D465">
        <f t="shared" si="44"/>
        <v>202310</v>
      </c>
      <c r="E465">
        <f t="shared" si="45"/>
        <v>4</v>
      </c>
      <c r="F465">
        <f t="shared" si="46"/>
        <v>202304</v>
      </c>
      <c r="G465" t="s">
        <v>652</v>
      </c>
      <c r="H465" s="9">
        <v>5.25</v>
      </c>
      <c r="I465" s="9">
        <v>5.1871999999999998</v>
      </c>
      <c r="J465" s="10">
        <v>5.2293685999999999</v>
      </c>
      <c r="K465" s="10">
        <v>5.292675</v>
      </c>
      <c r="L465" s="10">
        <v>5.3363924999999997</v>
      </c>
      <c r="M465" s="10">
        <v>5.3605711999999999</v>
      </c>
      <c r="N465" s="10">
        <v>5.368322</v>
      </c>
      <c r="O465" s="10">
        <v>5.3635174000000001</v>
      </c>
      <c r="P465" s="10">
        <v>5.3494330999999997</v>
      </c>
      <c r="Q465" s="10">
        <v>5.3290547999999998</v>
      </c>
      <c r="R465" s="10">
        <v>5.3044115999999999</v>
      </c>
      <c r="S465" s="10">
        <v>5.2765886999999996</v>
      </c>
      <c r="T465" s="10">
        <v>5.2456886000000003</v>
      </c>
      <c r="U465" s="10">
        <v>5.2112803000000003</v>
      </c>
      <c r="V465" s="10">
        <v>5.1718934000000001</v>
      </c>
      <c r="W465" s="10">
        <v>5.1278499999999996</v>
      </c>
      <c r="X465" s="10">
        <v>5.0800919000000002</v>
      </c>
      <c r="Y465" s="10">
        <v>5.0295594000000001</v>
      </c>
      <c r="Z465" s="10">
        <v>4.9771926000000004</v>
      </c>
      <c r="AA465" s="10">
        <v>4.9239335999999998</v>
      </c>
      <c r="AB465" s="10">
        <v>4.8706538999999998</v>
      </c>
      <c r="AC465" s="10">
        <v>4.8179372999999996</v>
      </c>
      <c r="AD465" s="10">
        <v>4.7662936</v>
      </c>
      <c r="AE465" s="10">
        <v>4.7162307999999999</v>
      </c>
      <c r="AF465" s="10">
        <v>4.6682569000000003</v>
      </c>
      <c r="AG465" s="10">
        <v>4.6228819000000003</v>
      </c>
      <c r="AH465" s="10">
        <v>4.5805318000000002</v>
      </c>
      <c r="AI465" s="10">
        <v>4.5411923999999999</v>
      </c>
      <c r="AJ465" s="10">
        <v>4.5047033000000001</v>
      </c>
      <c r="AK465" s="10">
        <v>4.4709021</v>
      </c>
      <c r="AL465" s="10">
        <v>4.4396271</v>
      </c>
      <c r="AM465" s="10">
        <v>4.4107171999999997</v>
      </c>
      <c r="AN465" s="10">
        <v>4.3840105999999999</v>
      </c>
      <c r="AO465" s="10">
        <v>4.3593451999999999</v>
      </c>
      <c r="AP465" s="10">
        <v>4.3365602000000001</v>
      </c>
      <c r="AQ465" s="10">
        <v>4.3154934000000003</v>
      </c>
      <c r="AR465" s="10">
        <v>4.2959832000000002</v>
      </c>
      <c r="AS465" s="10">
        <v>4.2778684</v>
      </c>
      <c r="AT465" s="10">
        <v>4.2610001000000004</v>
      </c>
      <c r="AU465" s="10">
        <v>4.2452937000000004</v>
      </c>
      <c r="AV465" s="10">
        <v>4.2306841000000004</v>
      </c>
      <c r="AW465" s="10">
        <v>4.2171061999999999</v>
      </c>
      <c r="AX465" s="10">
        <v>4.2044945</v>
      </c>
      <c r="AY465" s="10">
        <v>4.1927840999999999</v>
      </c>
      <c r="AZ465" s="10">
        <v>4.1819097000000003</v>
      </c>
      <c r="BA465" s="10">
        <v>4.1718058999999998</v>
      </c>
      <c r="BB465" s="10">
        <v>4.1624078999999998</v>
      </c>
      <c r="BC465" s="10">
        <v>4.1536502000000004</v>
      </c>
      <c r="BD465" s="10">
        <v>4.1454677000000002</v>
      </c>
      <c r="BE465" s="10">
        <v>4.1377952000000002</v>
      </c>
      <c r="BF465" s="10">
        <v>4.1305766000000004</v>
      </c>
      <c r="BG465" s="10">
        <v>4.1237956000000002</v>
      </c>
      <c r="BH465" s="10">
        <v>4.1174470999999997</v>
      </c>
      <c r="BI465" s="10">
        <v>4.1115259999999996</v>
      </c>
      <c r="BJ465" s="10">
        <v>4.1060268999999998</v>
      </c>
      <c r="BK465" s="10">
        <v>4.1009450000000003</v>
      </c>
      <c r="BL465" s="10">
        <v>4.0962749000000001</v>
      </c>
      <c r="BM465" s="10">
        <v>4.0920113999999996</v>
      </c>
      <c r="BN465" s="10">
        <v>4.0881493999999998</v>
      </c>
      <c r="BO465" s="10">
        <v>4.0846837999999996</v>
      </c>
      <c r="BP465" s="10">
        <v>4.0816093999999996</v>
      </c>
      <c r="BQ465" s="10">
        <v>4.0789209</v>
      </c>
      <c r="BR465" s="10">
        <v>4.0705248000000003</v>
      </c>
      <c r="BS465" s="10">
        <v>4.0742158999999996</v>
      </c>
      <c r="BU465" s="7">
        <v>4.92</v>
      </c>
      <c r="BV465" s="7">
        <v>4.58</v>
      </c>
      <c r="BW465" s="9">
        <v>80.480999999999995</v>
      </c>
    </row>
    <row r="466" spans="1:75" x14ac:dyDescent="0.25">
      <c r="A466" s="6">
        <f t="shared" si="47"/>
        <v>45204</v>
      </c>
      <c r="B466" s="13">
        <f t="shared" si="42"/>
        <v>10</v>
      </c>
      <c r="C466" s="13">
        <f t="shared" si="43"/>
        <v>2023</v>
      </c>
      <c r="D466">
        <f t="shared" si="44"/>
        <v>202310</v>
      </c>
      <c r="E466">
        <f t="shared" si="45"/>
        <v>4</v>
      </c>
      <c r="F466">
        <f t="shared" si="46"/>
        <v>202304</v>
      </c>
      <c r="G466" t="s">
        <v>653</v>
      </c>
      <c r="H466" s="9">
        <v>5.25</v>
      </c>
      <c r="I466" s="9">
        <v>5.1871999999999998</v>
      </c>
      <c r="J466" s="10">
        <v>5.2257652999999999</v>
      </c>
      <c r="K466" s="10">
        <v>5.2780966999999999</v>
      </c>
      <c r="L466" s="10">
        <v>5.3133407000000004</v>
      </c>
      <c r="M466" s="10">
        <v>5.3318095000000003</v>
      </c>
      <c r="N466" s="10">
        <v>5.3363579999999997</v>
      </c>
      <c r="O466" s="10">
        <v>5.3293391999999997</v>
      </c>
      <c r="P466" s="10">
        <v>5.3128931000000001</v>
      </c>
      <c r="Q466" s="10">
        <v>5.2895275000000002</v>
      </c>
      <c r="R466" s="10">
        <v>5.2613554000000002</v>
      </c>
      <c r="S466" s="10">
        <v>5.2296632000000001</v>
      </c>
      <c r="T466" s="10">
        <v>5.1946189</v>
      </c>
      <c r="U466" s="10">
        <v>5.1558656000000003</v>
      </c>
      <c r="V466" s="10">
        <v>5.1116507999999996</v>
      </c>
      <c r="W466" s="10">
        <v>5.0623414999999996</v>
      </c>
      <c r="X466" s="10">
        <v>5.0092046999999997</v>
      </c>
      <c r="Y466" s="10">
        <v>4.9535061000000002</v>
      </c>
      <c r="Z466" s="10">
        <v>4.8965110000000003</v>
      </c>
      <c r="AA466" s="10">
        <v>4.8394873</v>
      </c>
      <c r="AB466" s="10">
        <v>4.7835821000000003</v>
      </c>
      <c r="AC466" s="10">
        <v>4.7293364999999996</v>
      </c>
      <c r="AD466" s="10">
        <v>4.6771000000000003</v>
      </c>
      <c r="AE466" s="10">
        <v>4.6272200000000003</v>
      </c>
      <c r="AF466" s="10">
        <v>4.580044</v>
      </c>
      <c r="AG466" s="10">
        <v>4.5359211000000004</v>
      </c>
      <c r="AH466" s="10">
        <v>4.4951248000000001</v>
      </c>
      <c r="AI466" s="10">
        <v>4.4575668999999998</v>
      </c>
      <c r="AJ466" s="10">
        <v>4.4230508999999998</v>
      </c>
      <c r="AK466" s="10">
        <v>4.3913785000000001</v>
      </c>
      <c r="AL466" s="10">
        <v>4.3623519000000002</v>
      </c>
      <c r="AM466" s="10">
        <v>4.3357742999999997</v>
      </c>
      <c r="AN466" s="10">
        <v>4.3114474999999999</v>
      </c>
      <c r="AO466" s="10">
        <v>4.2891737000000001</v>
      </c>
      <c r="AP466" s="10">
        <v>4.2687559999999998</v>
      </c>
      <c r="AQ466" s="10">
        <v>4.2499963000000003</v>
      </c>
      <c r="AR466" s="10">
        <v>4.2326968999999997</v>
      </c>
      <c r="AS466" s="10">
        <v>4.2166607000000003</v>
      </c>
      <c r="AT466" s="10">
        <v>4.2017110999999998</v>
      </c>
      <c r="AU466" s="10">
        <v>4.1877662000000004</v>
      </c>
      <c r="AV466" s="10">
        <v>4.1747709000000004</v>
      </c>
      <c r="AW466" s="10">
        <v>4.1626691999999998</v>
      </c>
      <c r="AX466" s="10">
        <v>4.1514053000000004</v>
      </c>
      <c r="AY466" s="10">
        <v>4.1409238000000004</v>
      </c>
      <c r="AZ466" s="10">
        <v>4.1311689999999999</v>
      </c>
      <c r="BA466" s="10">
        <v>4.1220850999999996</v>
      </c>
      <c r="BB466" s="10">
        <v>4.1136166000000003</v>
      </c>
      <c r="BC466" s="10">
        <v>4.1057077</v>
      </c>
      <c r="BD466" s="10">
        <v>4.0983027999999999</v>
      </c>
      <c r="BE466" s="10">
        <v>4.0913462999999997</v>
      </c>
      <c r="BF466" s="10">
        <v>4.0847902999999999</v>
      </c>
      <c r="BG466" s="10">
        <v>4.0786216</v>
      </c>
      <c r="BH466" s="10">
        <v>4.0728365999999996</v>
      </c>
      <c r="BI466" s="10">
        <v>4.0674317000000002</v>
      </c>
      <c r="BJ466" s="10">
        <v>4.0624032999999997</v>
      </c>
      <c r="BK466" s="10">
        <v>4.0577477000000002</v>
      </c>
      <c r="BL466" s="10">
        <v>4.0534613000000004</v>
      </c>
      <c r="BM466" s="10">
        <v>4.0495403999999997</v>
      </c>
      <c r="BN466" s="10">
        <v>4.0459814999999999</v>
      </c>
      <c r="BO466" s="10">
        <v>4.0427809000000003</v>
      </c>
      <c r="BP466" s="10">
        <v>4.0399349999999998</v>
      </c>
      <c r="BQ466" s="10">
        <v>4.0374401999999998</v>
      </c>
      <c r="BR466" s="10">
        <v>4.0296260999999998</v>
      </c>
      <c r="BS466" s="10">
        <v>4.0334484000000002</v>
      </c>
      <c r="BU466" s="7">
        <v>4.8600000000000003</v>
      </c>
      <c r="BV466" s="7">
        <v>4.53</v>
      </c>
      <c r="BW466" s="9">
        <v>80.581400000000002</v>
      </c>
    </row>
    <row r="467" spans="1:75" x14ac:dyDescent="0.25">
      <c r="A467" s="6">
        <f t="shared" si="47"/>
        <v>45205</v>
      </c>
      <c r="B467" s="13">
        <f t="shared" si="42"/>
        <v>10</v>
      </c>
      <c r="C467" s="13">
        <f t="shared" si="43"/>
        <v>2023</v>
      </c>
      <c r="D467">
        <f t="shared" si="44"/>
        <v>202310</v>
      </c>
      <c r="E467">
        <f t="shared" si="45"/>
        <v>4</v>
      </c>
      <c r="F467">
        <f t="shared" si="46"/>
        <v>202304</v>
      </c>
      <c r="G467" t="s">
        <v>654</v>
      </c>
      <c r="H467" s="9">
        <v>5.25</v>
      </c>
      <c r="I467" s="9">
        <v>5.1871</v>
      </c>
      <c r="J467" s="10">
        <v>5.2288019999999999</v>
      </c>
      <c r="K467" s="10">
        <v>5.2811617999999996</v>
      </c>
      <c r="L467" s="10">
        <v>5.3191211999999997</v>
      </c>
      <c r="M467" s="10">
        <v>5.3427028999999999</v>
      </c>
      <c r="N467" s="10">
        <v>5.3525641000000004</v>
      </c>
      <c r="O467" s="10">
        <v>5.3492322000000003</v>
      </c>
      <c r="P467" s="10">
        <v>5.3345289999999999</v>
      </c>
      <c r="Q467" s="10">
        <v>5.3107936999999996</v>
      </c>
      <c r="R467" s="10">
        <v>5.2806695000000001</v>
      </c>
      <c r="S467" s="10">
        <v>5.2460630999999998</v>
      </c>
      <c r="T467" s="10">
        <v>5.2081474999999999</v>
      </c>
      <c r="U467" s="10">
        <v>5.1672247000000002</v>
      </c>
      <c r="V467" s="10">
        <v>5.1230070999999997</v>
      </c>
      <c r="W467" s="10">
        <v>5.0759999999999996</v>
      </c>
      <c r="X467" s="10">
        <v>5.0270063</v>
      </c>
      <c r="Y467" s="10">
        <v>4.9768271999999998</v>
      </c>
      <c r="Z467" s="10">
        <v>4.9262641</v>
      </c>
      <c r="AA467" s="10">
        <v>4.8761200000000002</v>
      </c>
      <c r="AB467" s="10">
        <v>4.8271116000000003</v>
      </c>
      <c r="AC467" s="10">
        <v>4.7795638</v>
      </c>
      <c r="AD467" s="10">
        <v>4.7336894999999997</v>
      </c>
      <c r="AE467" s="10">
        <v>4.6896998999999999</v>
      </c>
      <c r="AF467" s="10">
        <v>4.6478063000000001</v>
      </c>
      <c r="AG467" s="10">
        <v>4.6082216000000003</v>
      </c>
      <c r="AH467" s="10">
        <v>4.5711062</v>
      </c>
      <c r="AI467" s="10">
        <v>4.5363974000000002</v>
      </c>
      <c r="AJ467" s="10">
        <v>4.5039718000000004</v>
      </c>
      <c r="AK467" s="10">
        <v>4.4737046999999999</v>
      </c>
      <c r="AL467" s="10">
        <v>4.4454716000000003</v>
      </c>
      <c r="AM467" s="10">
        <v>4.4191488999999997</v>
      </c>
      <c r="AN467" s="10">
        <v>4.3946123000000004</v>
      </c>
      <c r="AO467" s="10">
        <v>4.3717370000000004</v>
      </c>
      <c r="AP467" s="10">
        <v>4.3503996000000003</v>
      </c>
      <c r="AQ467" s="10">
        <v>4.3304755000000004</v>
      </c>
      <c r="AR467" s="10">
        <v>4.3118403000000001</v>
      </c>
      <c r="AS467" s="10">
        <v>4.2943702000000004</v>
      </c>
      <c r="AT467" s="10">
        <v>4.2779528000000004</v>
      </c>
      <c r="AU467" s="10">
        <v>4.2625280999999999</v>
      </c>
      <c r="AV467" s="10">
        <v>4.2480510999999996</v>
      </c>
      <c r="AW467" s="10">
        <v>4.2344765999999998</v>
      </c>
      <c r="AX467" s="10">
        <v>4.2217589000000002</v>
      </c>
      <c r="AY467" s="10">
        <v>4.2098532999999998</v>
      </c>
      <c r="AZ467" s="10">
        <v>4.1987142999999998</v>
      </c>
      <c r="BA467" s="10">
        <v>4.1882964999999999</v>
      </c>
      <c r="BB467" s="10">
        <v>4.1785550000000002</v>
      </c>
      <c r="BC467" s="10">
        <v>4.1694443000000003</v>
      </c>
      <c r="BD467" s="10">
        <v>4.1609189999999998</v>
      </c>
      <c r="BE467" s="10">
        <v>4.1529341999999998</v>
      </c>
      <c r="BF467" s="10">
        <v>4.1454500999999997</v>
      </c>
      <c r="BG467" s="10">
        <v>4.1384523</v>
      </c>
      <c r="BH467" s="10">
        <v>4.1319333</v>
      </c>
      <c r="BI467" s="10">
        <v>4.1258854999999999</v>
      </c>
      <c r="BJ467" s="10">
        <v>4.1203012000000001</v>
      </c>
      <c r="BK467" s="10">
        <v>4.1151732000000001</v>
      </c>
      <c r="BL467" s="10">
        <v>4.1104937000000001</v>
      </c>
      <c r="BM467" s="10">
        <v>4.1062551999999997</v>
      </c>
      <c r="BN467" s="10">
        <v>4.1024501999999998</v>
      </c>
      <c r="BO467" s="10">
        <v>4.0990710999999997</v>
      </c>
      <c r="BP467" s="10">
        <v>4.0961103999999997</v>
      </c>
      <c r="BQ467" s="10">
        <v>4.0935604999999997</v>
      </c>
      <c r="BR467" s="10">
        <v>4.0864994000000001</v>
      </c>
      <c r="BS467" s="10">
        <v>4.0925294000000001</v>
      </c>
      <c r="BU467" s="7">
        <v>4.8899999999999997</v>
      </c>
      <c r="BV467" s="7">
        <v>4.59</v>
      </c>
      <c r="BW467" s="9">
        <v>80.753100000000003</v>
      </c>
    </row>
    <row r="468" spans="1:75" x14ac:dyDescent="0.25">
      <c r="A468" s="6">
        <f t="shared" si="47"/>
        <v>45208</v>
      </c>
      <c r="B468" s="13">
        <f t="shared" si="42"/>
        <v>10</v>
      </c>
      <c r="C468" s="13">
        <f t="shared" si="43"/>
        <v>2023</v>
      </c>
      <c r="D468">
        <f t="shared" si="44"/>
        <v>202310</v>
      </c>
      <c r="E468">
        <f t="shared" si="45"/>
        <v>4</v>
      </c>
      <c r="F468">
        <f t="shared" si="46"/>
        <v>202304</v>
      </c>
      <c r="G468" t="s">
        <v>655</v>
      </c>
      <c r="H468" s="9">
        <v>5.25</v>
      </c>
      <c r="I468" s="9">
        <v>5.1872999999999996</v>
      </c>
      <c r="J468" s="10">
        <v>5.2284651999999996</v>
      </c>
      <c r="K468" s="10">
        <v>5.2735278000000001</v>
      </c>
      <c r="L468" s="10">
        <v>5.3050281000000004</v>
      </c>
      <c r="M468" s="10">
        <v>5.3217515000000004</v>
      </c>
      <c r="N468" s="10">
        <v>5.3248356000000001</v>
      </c>
      <c r="O468" s="10">
        <v>5.3157690999999998</v>
      </c>
      <c r="P468" s="10">
        <v>5.2960317000000003</v>
      </c>
      <c r="Q468" s="10">
        <v>5.2681766999999997</v>
      </c>
      <c r="R468" s="10">
        <v>5.2346820000000003</v>
      </c>
      <c r="S468" s="10">
        <v>5.1974802999999996</v>
      </c>
      <c r="T468" s="10">
        <v>5.1573566</v>
      </c>
      <c r="U468" s="10">
        <v>5.1144448999999996</v>
      </c>
      <c r="V468" s="10">
        <v>5.0676407000000001</v>
      </c>
      <c r="W468" s="10">
        <v>5.0173300000000003</v>
      </c>
      <c r="X468" s="10">
        <v>4.9644450999999998</v>
      </c>
      <c r="Y468" s="10">
        <v>4.9099168999999998</v>
      </c>
      <c r="Z468" s="10">
        <v>4.8546762000000001</v>
      </c>
      <c r="AA468" s="10">
        <v>4.7996555000000001</v>
      </c>
      <c r="AB468" s="10">
        <v>4.7456885</v>
      </c>
      <c r="AC468" s="10">
        <v>4.6932</v>
      </c>
      <c r="AD468" s="10">
        <v>4.6425095000000001</v>
      </c>
      <c r="AE468" s="10">
        <v>4.5939345999999999</v>
      </c>
      <c r="AF468" s="10">
        <v>4.5477930999999998</v>
      </c>
      <c r="AG468" s="10">
        <v>4.5044044000000003</v>
      </c>
      <c r="AH468" s="10">
        <v>4.4640126999999996</v>
      </c>
      <c r="AI468" s="10">
        <v>4.4265388999999997</v>
      </c>
      <c r="AJ468" s="10">
        <v>4.3918157999999998</v>
      </c>
      <c r="AK468" s="10">
        <v>4.3596748999999999</v>
      </c>
      <c r="AL468" s="10">
        <v>4.3299477</v>
      </c>
      <c r="AM468" s="10">
        <v>4.3024668999999998</v>
      </c>
      <c r="AN468" s="10">
        <v>4.2770640999999996</v>
      </c>
      <c r="AO468" s="10">
        <v>4.2535708999999997</v>
      </c>
      <c r="AP468" s="10">
        <v>4.2318198000000002</v>
      </c>
      <c r="AQ468" s="10">
        <v>4.2116423999999997</v>
      </c>
      <c r="AR468" s="10">
        <v>4.1928704999999997</v>
      </c>
      <c r="AS468" s="10">
        <v>4.1753363999999999</v>
      </c>
      <c r="AT468" s="10">
        <v>4.1588905</v>
      </c>
      <c r="AU468" s="10">
        <v>4.1434657000000001</v>
      </c>
      <c r="AV468" s="10">
        <v>4.1290180999999997</v>
      </c>
      <c r="AW468" s="10">
        <v>4.1155033999999997</v>
      </c>
      <c r="AX468" s="10">
        <v>4.1028773000000003</v>
      </c>
      <c r="AY468" s="10">
        <v>4.0910957000000003</v>
      </c>
      <c r="AZ468" s="10">
        <v>4.0801144999999996</v>
      </c>
      <c r="BA468" s="10">
        <v>4.0698892999999998</v>
      </c>
      <c r="BB468" s="10">
        <v>4.0603761</v>
      </c>
      <c r="BC468" s="10">
        <v>4.0515306000000004</v>
      </c>
      <c r="BD468" s="10">
        <v>4.0433085999999996</v>
      </c>
      <c r="BE468" s="10">
        <v>4.035666</v>
      </c>
      <c r="BF468" s="10">
        <v>4.0285631000000004</v>
      </c>
      <c r="BG468" s="10">
        <v>4.0219849999999999</v>
      </c>
      <c r="BH468" s="10">
        <v>4.0159250999999996</v>
      </c>
      <c r="BI468" s="10">
        <v>4.0103767000000001</v>
      </c>
      <c r="BJ468" s="10">
        <v>4.0053330999999996</v>
      </c>
      <c r="BK468" s="10">
        <v>4.0007878999999997</v>
      </c>
      <c r="BL468" s="10">
        <v>3.9967342000000001</v>
      </c>
      <c r="BM468" s="10">
        <v>3.9931654999999999</v>
      </c>
      <c r="BN468" s="10">
        <v>3.9900750999999999</v>
      </c>
      <c r="BO468" s="10">
        <v>3.9874564000000001</v>
      </c>
      <c r="BP468" s="10">
        <v>3.9853027999999999</v>
      </c>
      <c r="BQ468" s="10">
        <v>3.9836075000000002</v>
      </c>
      <c r="BR468" s="10">
        <v>3.9824913</v>
      </c>
      <c r="BS468" s="10">
        <v>3.9949808999999998</v>
      </c>
      <c r="BU468" s="7">
        <v>4.83</v>
      </c>
      <c r="BV468" s="7">
        <v>4.4800000000000004</v>
      </c>
      <c r="BW468" s="9">
        <v>80.804299999999998</v>
      </c>
    </row>
    <row r="469" spans="1:75" x14ac:dyDescent="0.25">
      <c r="A469" s="6">
        <f t="shared" si="47"/>
        <v>45209</v>
      </c>
      <c r="B469" s="13">
        <f t="shared" si="42"/>
        <v>10</v>
      </c>
      <c r="C469" s="13">
        <f t="shared" si="43"/>
        <v>2023</v>
      </c>
      <c r="D469">
        <f t="shared" si="44"/>
        <v>202310</v>
      </c>
      <c r="E469">
        <f t="shared" si="45"/>
        <v>4</v>
      </c>
      <c r="F469">
        <f t="shared" si="46"/>
        <v>202304</v>
      </c>
      <c r="G469" t="s">
        <v>656</v>
      </c>
      <c r="H469" s="9">
        <v>5.25</v>
      </c>
      <c r="I469" s="9">
        <v>5.1868999999999996</v>
      </c>
      <c r="J469" s="10">
        <v>5.2314673999999997</v>
      </c>
      <c r="K469" s="10">
        <v>5.2720770999999997</v>
      </c>
      <c r="L469" s="10">
        <v>5.3005335999999996</v>
      </c>
      <c r="M469" s="10">
        <v>5.3151273000000003</v>
      </c>
      <c r="N469" s="10">
        <v>5.3163663000000003</v>
      </c>
      <c r="O469" s="10">
        <v>5.3059950999999996</v>
      </c>
      <c r="P469" s="10">
        <v>5.2854773000000002</v>
      </c>
      <c r="Q469" s="10">
        <v>5.2569540999999997</v>
      </c>
      <c r="R469" s="10">
        <v>5.2224181999999999</v>
      </c>
      <c r="S469" s="10">
        <v>5.1834730999999996</v>
      </c>
      <c r="T469" s="10">
        <v>5.1409681000000003</v>
      </c>
      <c r="U469" s="10">
        <v>5.0951348000000003</v>
      </c>
      <c r="V469" s="10">
        <v>5.0453960000000002</v>
      </c>
      <c r="W469" s="10">
        <v>4.9923038000000002</v>
      </c>
      <c r="X469" s="10">
        <v>4.9368087999999997</v>
      </c>
      <c r="Y469" s="10">
        <v>4.8798596999999999</v>
      </c>
      <c r="Z469" s="10">
        <v>4.8224052000000004</v>
      </c>
      <c r="AA469" s="10">
        <v>4.7653958999999997</v>
      </c>
      <c r="AB469" s="10">
        <v>4.7096682999999997</v>
      </c>
      <c r="AC469" s="10">
        <v>4.6555869999999997</v>
      </c>
      <c r="AD469" s="10">
        <v>4.6033949999999999</v>
      </c>
      <c r="AE469" s="10">
        <v>4.5533330999999997</v>
      </c>
      <c r="AF469" s="10">
        <v>4.5056422999999999</v>
      </c>
      <c r="AG469" s="10">
        <v>4.4605651999999996</v>
      </c>
      <c r="AH469" s="10">
        <v>4.4182860000000002</v>
      </c>
      <c r="AI469" s="10">
        <v>4.3787380000000002</v>
      </c>
      <c r="AJ469" s="10">
        <v>4.3417864000000002</v>
      </c>
      <c r="AK469" s="10">
        <v>4.3072952999999998</v>
      </c>
      <c r="AL469" s="10">
        <v>4.2751286999999998</v>
      </c>
      <c r="AM469" s="10">
        <v>4.2451518000000004</v>
      </c>
      <c r="AN469" s="10">
        <v>4.2172288</v>
      </c>
      <c r="AO469" s="10">
        <v>4.1912237000000001</v>
      </c>
      <c r="AP469" s="10">
        <v>4.1670015999999999</v>
      </c>
      <c r="AQ469" s="10">
        <v>4.1444266000000001</v>
      </c>
      <c r="AR469" s="10">
        <v>4.1233630000000003</v>
      </c>
      <c r="AS469" s="10">
        <v>4.1036755999999999</v>
      </c>
      <c r="AT469" s="10">
        <v>4.0852396999999998</v>
      </c>
      <c r="AU469" s="10">
        <v>4.0679901999999997</v>
      </c>
      <c r="AV469" s="10">
        <v>4.0518824000000002</v>
      </c>
      <c r="AW469" s="10">
        <v>4.0368710999999999</v>
      </c>
      <c r="AX469" s="10">
        <v>4.0229109999999997</v>
      </c>
      <c r="AY469" s="10">
        <v>4.0099575999999999</v>
      </c>
      <c r="AZ469" s="10">
        <v>3.9979654999999998</v>
      </c>
      <c r="BA469" s="10">
        <v>3.9868896999999999</v>
      </c>
      <c r="BB469" s="10">
        <v>3.9766853000000002</v>
      </c>
      <c r="BC469" s="10">
        <v>3.9673072999999999</v>
      </c>
      <c r="BD469" s="10">
        <v>3.9587105999999999</v>
      </c>
      <c r="BE469" s="10">
        <v>3.9508502000000001</v>
      </c>
      <c r="BF469" s="10">
        <v>3.9436844999999998</v>
      </c>
      <c r="BG469" s="10">
        <v>3.9371893</v>
      </c>
      <c r="BH469" s="10">
        <v>3.9313454999999999</v>
      </c>
      <c r="BI469" s="10">
        <v>3.9261338000000001</v>
      </c>
      <c r="BJ469" s="10">
        <v>3.9215352999999999</v>
      </c>
      <c r="BK469" s="10">
        <v>3.9175308000000002</v>
      </c>
      <c r="BL469" s="10">
        <v>3.9141012000000002</v>
      </c>
      <c r="BM469" s="10">
        <v>3.9112273000000002</v>
      </c>
      <c r="BN469" s="10">
        <v>3.9088902000000001</v>
      </c>
      <c r="BO469" s="10">
        <v>3.9070705999999999</v>
      </c>
      <c r="BP469" s="10">
        <v>3.9057493999999999</v>
      </c>
      <c r="BQ469" s="10">
        <v>3.9049076</v>
      </c>
      <c r="BR469" s="10">
        <v>3.9089575000000001</v>
      </c>
      <c r="BS469" s="10">
        <v>3.9260910999999998</v>
      </c>
      <c r="BU469" s="7">
        <v>4.79</v>
      </c>
      <c r="BV469" s="7">
        <v>4.42</v>
      </c>
      <c r="BW469" s="9">
        <v>80.900899999999993</v>
      </c>
    </row>
    <row r="470" spans="1:75" x14ac:dyDescent="0.25">
      <c r="A470" s="6">
        <f t="shared" si="47"/>
        <v>45210</v>
      </c>
      <c r="B470" s="13">
        <f t="shared" si="42"/>
        <v>10</v>
      </c>
      <c r="C470" s="13">
        <f t="shared" si="43"/>
        <v>2023</v>
      </c>
      <c r="D470">
        <f t="shared" si="44"/>
        <v>202310</v>
      </c>
      <c r="E470">
        <f t="shared" si="45"/>
        <v>4</v>
      </c>
      <c r="F470">
        <f t="shared" si="46"/>
        <v>202304</v>
      </c>
      <c r="G470" t="s">
        <v>657</v>
      </c>
      <c r="H470" s="9">
        <v>5.25</v>
      </c>
      <c r="I470" s="9">
        <v>5.1866000000000003</v>
      </c>
      <c r="J470" s="10">
        <v>5.2332008999999999</v>
      </c>
      <c r="K470" s="10">
        <v>5.2707344000000003</v>
      </c>
      <c r="L470" s="10">
        <v>5.2977739000000001</v>
      </c>
      <c r="M470" s="10">
        <v>5.3117184000000002</v>
      </c>
      <c r="N470" s="10">
        <v>5.3120114000000003</v>
      </c>
      <c r="O470" s="10">
        <v>5.2997889999999996</v>
      </c>
      <c r="P470" s="10">
        <v>5.2770549999999998</v>
      </c>
      <c r="Q470" s="10">
        <v>5.2468947000000004</v>
      </c>
      <c r="R470" s="10">
        <v>5.2122526999999996</v>
      </c>
      <c r="S470" s="10">
        <v>5.1750493999999998</v>
      </c>
      <c r="T470" s="10">
        <v>5.1358356000000001</v>
      </c>
      <c r="U470" s="10">
        <v>5.0942322999999998</v>
      </c>
      <c r="V470" s="10">
        <v>5.0482626000000002</v>
      </c>
      <c r="W470" s="10">
        <v>4.9980604</v>
      </c>
      <c r="X470" s="10">
        <v>4.9445164000000004</v>
      </c>
      <c r="Y470" s="10">
        <v>4.8885192000000002</v>
      </c>
      <c r="Z470" s="10">
        <v>4.8309575000000002</v>
      </c>
      <c r="AA470" s="10">
        <v>4.7727221000000002</v>
      </c>
      <c r="AB470" s="10">
        <v>4.7146347999999998</v>
      </c>
      <c r="AC470" s="10">
        <v>4.6572369</v>
      </c>
      <c r="AD470" s="10">
        <v>4.6009981</v>
      </c>
      <c r="AE470" s="10">
        <v>4.5463861000000003</v>
      </c>
      <c r="AF470" s="10">
        <v>4.4938684999999996</v>
      </c>
      <c r="AG470" s="10">
        <v>4.4439149000000002</v>
      </c>
      <c r="AH470" s="10">
        <v>4.3969189999999996</v>
      </c>
      <c r="AI470" s="10">
        <v>4.3528769</v>
      </c>
      <c r="AJ470" s="10">
        <v>4.3116526000000004</v>
      </c>
      <c r="AK470" s="10">
        <v>4.2731085999999996</v>
      </c>
      <c r="AL470" s="10">
        <v>4.2371074000000002</v>
      </c>
      <c r="AM470" s="10">
        <v>4.2035127000000001</v>
      </c>
      <c r="AN470" s="10">
        <v>4.1721871999999998</v>
      </c>
      <c r="AO470" s="10">
        <v>4.1429933999999999</v>
      </c>
      <c r="AP470" s="10">
        <v>4.1157950999999997</v>
      </c>
      <c r="AQ470" s="10">
        <v>4.0904547000000004</v>
      </c>
      <c r="AR470" s="10">
        <v>4.0668350000000002</v>
      </c>
      <c r="AS470" s="10">
        <v>4.0447994999999999</v>
      </c>
      <c r="AT470" s="10">
        <v>4.0242199000000003</v>
      </c>
      <c r="AU470" s="10">
        <v>4.0050119999999998</v>
      </c>
      <c r="AV470" s="10">
        <v>3.9871055000000002</v>
      </c>
      <c r="AW470" s="10">
        <v>3.9704294999999998</v>
      </c>
      <c r="AX470" s="10">
        <v>3.9549132999999999</v>
      </c>
      <c r="AY470" s="10">
        <v>3.9404865999999998</v>
      </c>
      <c r="AZ470" s="10">
        <v>3.9270784999999999</v>
      </c>
      <c r="BA470" s="10">
        <v>3.9146182999999999</v>
      </c>
      <c r="BB470" s="10">
        <v>3.9030355000000001</v>
      </c>
      <c r="BC470" s="10">
        <v>3.8922595000000002</v>
      </c>
      <c r="BD470" s="10">
        <v>3.8822193</v>
      </c>
      <c r="BE470" s="10">
        <v>3.8728446999999999</v>
      </c>
      <c r="BF470" s="10">
        <v>3.8640732999999998</v>
      </c>
      <c r="BG470" s="10">
        <v>3.8558799000000001</v>
      </c>
      <c r="BH470" s="10">
        <v>3.8482498999999999</v>
      </c>
      <c r="BI470" s="10">
        <v>3.8411686</v>
      </c>
      <c r="BJ470" s="10">
        <v>3.8346211000000001</v>
      </c>
      <c r="BK470" s="10">
        <v>3.8285927000000002</v>
      </c>
      <c r="BL470" s="10">
        <v>3.8230686</v>
      </c>
      <c r="BM470" s="10">
        <v>3.8180339000000001</v>
      </c>
      <c r="BN470" s="10">
        <v>3.8134741000000001</v>
      </c>
      <c r="BO470" s="10">
        <v>3.8093743</v>
      </c>
      <c r="BP470" s="10">
        <v>3.8057197</v>
      </c>
      <c r="BQ470" s="10">
        <v>3.8024955</v>
      </c>
      <c r="BR470" s="10">
        <v>3.7915804</v>
      </c>
      <c r="BS470" s="10">
        <v>3.793774</v>
      </c>
      <c r="BU470" s="7">
        <v>4.78</v>
      </c>
      <c r="BV470" s="7">
        <v>4.33</v>
      </c>
      <c r="BW470" s="9">
        <v>81.142300000000006</v>
      </c>
    </row>
    <row r="471" spans="1:75" x14ac:dyDescent="0.25">
      <c r="A471" s="6">
        <f t="shared" si="47"/>
        <v>45211</v>
      </c>
      <c r="B471" s="13">
        <f t="shared" si="42"/>
        <v>10</v>
      </c>
      <c r="C471" s="13">
        <f t="shared" si="43"/>
        <v>2023</v>
      </c>
      <c r="D471">
        <f t="shared" si="44"/>
        <v>202310</v>
      </c>
      <c r="E471">
        <f t="shared" si="45"/>
        <v>4</v>
      </c>
      <c r="F471">
        <f t="shared" si="46"/>
        <v>202304</v>
      </c>
      <c r="G471" t="s">
        <v>658</v>
      </c>
      <c r="H471" s="9">
        <v>5.25</v>
      </c>
      <c r="I471" s="9">
        <v>5.1870000000000003</v>
      </c>
      <c r="J471" s="10">
        <v>5.2369517999999999</v>
      </c>
      <c r="K471" s="10">
        <v>5.2767334000000004</v>
      </c>
      <c r="L471" s="10">
        <v>5.3047554999999997</v>
      </c>
      <c r="M471" s="10">
        <v>5.3190055000000003</v>
      </c>
      <c r="N471" s="10">
        <v>5.3203125</v>
      </c>
      <c r="O471" s="10">
        <v>5.3104529999999999</v>
      </c>
      <c r="P471" s="10">
        <v>5.2916561</v>
      </c>
      <c r="Q471" s="10">
        <v>5.2666789999999999</v>
      </c>
      <c r="R471" s="10">
        <v>5.2377748000000004</v>
      </c>
      <c r="S471" s="10">
        <v>5.2060765</v>
      </c>
      <c r="T471" s="10">
        <v>5.1714358000000002</v>
      </c>
      <c r="U471" s="10">
        <v>5.1331102</v>
      </c>
      <c r="V471" s="10">
        <v>5.0887646000000002</v>
      </c>
      <c r="W471" s="10">
        <v>5.0386040999999997</v>
      </c>
      <c r="X471" s="10">
        <v>4.9839026999999998</v>
      </c>
      <c r="Y471" s="10">
        <v>4.9259331</v>
      </c>
      <c r="Z471" s="10">
        <v>4.8659680999999999</v>
      </c>
      <c r="AA471" s="10">
        <v>4.8052824999999997</v>
      </c>
      <c r="AB471" s="10">
        <v>4.7450590000000004</v>
      </c>
      <c r="AC471" s="10">
        <v>4.6860185000000003</v>
      </c>
      <c r="AD471" s="10">
        <v>4.6287367000000001</v>
      </c>
      <c r="AE471" s="10">
        <v>4.5737867999999997</v>
      </c>
      <c r="AF471" s="10">
        <v>4.5217423999999999</v>
      </c>
      <c r="AG471" s="10">
        <v>4.4731788999999997</v>
      </c>
      <c r="AH471" s="10">
        <v>4.4285569000000002</v>
      </c>
      <c r="AI471" s="10">
        <v>4.3877870999999997</v>
      </c>
      <c r="AJ471" s="10">
        <v>4.3506138999999999</v>
      </c>
      <c r="AK471" s="10">
        <v>4.3167808000000001</v>
      </c>
      <c r="AL471" s="10">
        <v>4.2860307999999998</v>
      </c>
      <c r="AM471" s="10">
        <v>4.2581084000000002</v>
      </c>
      <c r="AN471" s="10">
        <v>4.2327570000000003</v>
      </c>
      <c r="AO471" s="10">
        <v>4.2097198000000002</v>
      </c>
      <c r="AP471" s="10">
        <v>4.1887410999999997</v>
      </c>
      <c r="AQ471" s="10">
        <v>4.1695641999999999</v>
      </c>
      <c r="AR471" s="10">
        <v>4.1519326000000003</v>
      </c>
      <c r="AS471" s="10">
        <v>4.1355902999999996</v>
      </c>
      <c r="AT471" s="10">
        <v>4.1203105000000004</v>
      </c>
      <c r="AU471" s="10">
        <v>4.1059964999999998</v>
      </c>
      <c r="AV471" s="10">
        <v>4.0925884000000003</v>
      </c>
      <c r="AW471" s="10">
        <v>4.0800255999999999</v>
      </c>
      <c r="AX471" s="10">
        <v>4.0682479000000003</v>
      </c>
      <c r="AY471" s="10">
        <v>4.0571950000000001</v>
      </c>
      <c r="AZ471" s="10">
        <v>4.0468064999999998</v>
      </c>
      <c r="BA471" s="10">
        <v>4.0370220999999997</v>
      </c>
      <c r="BB471" s="10">
        <v>4.0277814999999997</v>
      </c>
      <c r="BC471" s="10">
        <v>4.0190245000000004</v>
      </c>
      <c r="BD471" s="10">
        <v>4.0106904999999999</v>
      </c>
      <c r="BE471" s="10">
        <v>4.0027194000000001</v>
      </c>
      <c r="BF471" s="10">
        <v>3.9950613000000001</v>
      </c>
      <c r="BG471" s="10">
        <v>3.9877123999999999</v>
      </c>
      <c r="BH471" s="10">
        <v>3.9806819</v>
      </c>
      <c r="BI471" s="10">
        <v>3.9739787999999998</v>
      </c>
      <c r="BJ471" s="10">
        <v>3.9676121000000002</v>
      </c>
      <c r="BK471" s="10">
        <v>3.9615909999999999</v>
      </c>
      <c r="BL471" s="10">
        <v>3.9559243999999998</v>
      </c>
      <c r="BM471" s="10">
        <v>3.9506212999999999</v>
      </c>
      <c r="BN471" s="10">
        <v>3.9456910000000001</v>
      </c>
      <c r="BO471" s="10">
        <v>3.9411423000000001</v>
      </c>
      <c r="BP471" s="10">
        <v>3.9369844000000001</v>
      </c>
      <c r="BQ471" s="10">
        <v>3.9332262999999998</v>
      </c>
      <c r="BR471" s="10">
        <v>3.9190749</v>
      </c>
      <c r="BS471" s="10">
        <v>3.9184961</v>
      </c>
      <c r="BU471" s="7">
        <v>4.8499999999999996</v>
      </c>
      <c r="BV471" s="7">
        <v>4.43</v>
      </c>
      <c r="BW471" s="9">
        <v>80.805099999999996</v>
      </c>
    </row>
    <row r="472" spans="1:75" x14ac:dyDescent="0.25">
      <c r="A472" s="6">
        <f t="shared" si="47"/>
        <v>45212</v>
      </c>
      <c r="B472" s="13">
        <f t="shared" si="42"/>
        <v>10</v>
      </c>
      <c r="C472" s="13">
        <f t="shared" si="43"/>
        <v>2023</v>
      </c>
      <c r="D472">
        <f t="shared" si="44"/>
        <v>202310</v>
      </c>
      <c r="E472">
        <f t="shared" si="45"/>
        <v>4</v>
      </c>
      <c r="F472">
        <f t="shared" si="46"/>
        <v>202304</v>
      </c>
      <c r="G472" t="s">
        <v>659</v>
      </c>
      <c r="H472" s="9">
        <v>5.25</v>
      </c>
      <c r="I472" s="9">
        <v>5.1872999999999996</v>
      </c>
      <c r="J472" s="10">
        <v>5.2431663999999998</v>
      </c>
      <c r="K472" s="10">
        <v>5.2828549000000002</v>
      </c>
      <c r="L472" s="10">
        <v>5.3114165</v>
      </c>
      <c r="M472" s="10">
        <v>5.3265317999999997</v>
      </c>
      <c r="N472" s="10">
        <v>5.3283234000000004</v>
      </c>
      <c r="O472" s="10">
        <v>5.3176100000000002</v>
      </c>
      <c r="P472" s="10">
        <v>5.2959756999999996</v>
      </c>
      <c r="Q472" s="10">
        <v>5.2653309999999998</v>
      </c>
      <c r="R472" s="10">
        <v>5.2281152999999998</v>
      </c>
      <c r="S472" s="10">
        <v>5.1862018000000001</v>
      </c>
      <c r="T472" s="10">
        <v>5.1407939000000002</v>
      </c>
      <c r="U472" s="10">
        <v>5.0925162000000004</v>
      </c>
      <c r="V472" s="10">
        <v>5.0413284000000003</v>
      </c>
      <c r="W472" s="10">
        <v>4.9877276999999998</v>
      </c>
      <c r="X472" s="10">
        <v>4.932442</v>
      </c>
      <c r="Y472" s="10">
        <v>4.8761975</v>
      </c>
      <c r="Z472" s="10">
        <v>4.8197203999999996</v>
      </c>
      <c r="AA472" s="10">
        <v>4.7637385999999999</v>
      </c>
      <c r="AB472" s="10">
        <v>4.7089125999999997</v>
      </c>
      <c r="AC472" s="10">
        <v>4.6555970999999996</v>
      </c>
      <c r="AD472" s="10">
        <v>4.6040606000000004</v>
      </c>
      <c r="AE472" s="10">
        <v>4.5545692999999998</v>
      </c>
      <c r="AF472" s="10">
        <v>4.5073898999999997</v>
      </c>
      <c r="AG472" s="10">
        <v>4.4627904000000003</v>
      </c>
      <c r="AH472" s="10">
        <v>4.4209752</v>
      </c>
      <c r="AI472" s="10">
        <v>4.3818742999999998</v>
      </c>
      <c r="AJ472" s="10">
        <v>4.3453435999999996</v>
      </c>
      <c r="AK472" s="10">
        <v>4.3112373000000002</v>
      </c>
      <c r="AL472" s="10">
        <v>4.2794099000000001</v>
      </c>
      <c r="AM472" s="10">
        <v>4.2497170000000004</v>
      </c>
      <c r="AN472" s="10">
        <v>4.2220130999999999</v>
      </c>
      <c r="AO472" s="10">
        <v>4.1961526999999998</v>
      </c>
      <c r="AP472" s="10">
        <v>4.1719911999999999</v>
      </c>
      <c r="AQ472" s="10">
        <v>4.1493830999999997</v>
      </c>
      <c r="AR472" s="10">
        <v>4.1281831000000002</v>
      </c>
      <c r="AS472" s="10">
        <v>4.1082463999999996</v>
      </c>
      <c r="AT472" s="10">
        <v>4.0894418999999997</v>
      </c>
      <c r="AU472" s="10">
        <v>4.0717014000000002</v>
      </c>
      <c r="AV472" s="10">
        <v>4.0549745000000001</v>
      </c>
      <c r="AW472" s="10">
        <v>4.0392105999999997</v>
      </c>
      <c r="AX472" s="10">
        <v>4.0243586000000002</v>
      </c>
      <c r="AY472" s="10">
        <v>4.0103682999999997</v>
      </c>
      <c r="AZ472" s="10">
        <v>3.9971890000000001</v>
      </c>
      <c r="BA472" s="10">
        <v>3.9847697000000002</v>
      </c>
      <c r="BB472" s="10">
        <v>3.9730601000000001</v>
      </c>
      <c r="BC472" s="10">
        <v>3.9620093999999999</v>
      </c>
      <c r="BD472" s="10">
        <v>3.9515668000000002</v>
      </c>
      <c r="BE472" s="10">
        <v>3.9416820000000001</v>
      </c>
      <c r="BF472" s="10">
        <v>3.9323111000000002</v>
      </c>
      <c r="BG472" s="10">
        <v>3.9234412000000001</v>
      </c>
      <c r="BH472" s="10">
        <v>3.9150683000000002</v>
      </c>
      <c r="BI472" s="10">
        <v>3.9071880000000001</v>
      </c>
      <c r="BJ472" s="10">
        <v>3.8997961000000001</v>
      </c>
      <c r="BK472" s="10">
        <v>3.8928883000000001</v>
      </c>
      <c r="BL472" s="10">
        <v>3.8864605000000001</v>
      </c>
      <c r="BM472" s="10">
        <v>3.8805081000000001</v>
      </c>
      <c r="BN472" s="10">
        <v>3.8750271999999999</v>
      </c>
      <c r="BO472" s="10">
        <v>3.8700133999999999</v>
      </c>
      <c r="BP472" s="10">
        <v>3.8654624000000002</v>
      </c>
      <c r="BQ472" s="10">
        <v>3.86137</v>
      </c>
      <c r="BR472" s="10">
        <v>3.8461153000000001</v>
      </c>
      <c r="BS472" s="10">
        <v>3.8457322999999999</v>
      </c>
      <c r="BU472" s="7">
        <v>4.84</v>
      </c>
      <c r="BV472" s="7">
        <v>4.38</v>
      </c>
      <c r="BW472" s="9">
        <v>80.522199999999998</v>
      </c>
    </row>
    <row r="473" spans="1:75" x14ac:dyDescent="0.25">
      <c r="A473" s="6">
        <f t="shared" si="47"/>
        <v>45215</v>
      </c>
      <c r="B473" s="13">
        <f t="shared" si="42"/>
        <v>10</v>
      </c>
      <c r="C473" s="13">
        <f t="shared" si="43"/>
        <v>2023</v>
      </c>
      <c r="D473">
        <f t="shared" si="44"/>
        <v>202310</v>
      </c>
      <c r="E473">
        <f t="shared" si="45"/>
        <v>4</v>
      </c>
      <c r="F473">
        <f t="shared" si="46"/>
        <v>202304</v>
      </c>
      <c r="G473" t="s">
        <v>660</v>
      </c>
      <c r="H473" s="9">
        <v>5.25</v>
      </c>
      <c r="I473" s="9">
        <v>5.1877000000000004</v>
      </c>
      <c r="J473" s="10">
        <v>5.2530574000000003</v>
      </c>
      <c r="K473" s="10">
        <v>5.2912309000000004</v>
      </c>
      <c r="L473" s="10">
        <v>5.3244828999999996</v>
      </c>
      <c r="M473" s="10">
        <v>5.3460530999999998</v>
      </c>
      <c r="N473" s="10">
        <v>5.3533042000000002</v>
      </c>
      <c r="O473" s="10">
        <v>5.3475134000000004</v>
      </c>
      <c r="P473" s="10">
        <v>5.3311073000000002</v>
      </c>
      <c r="Q473" s="10">
        <v>5.3072467999999997</v>
      </c>
      <c r="R473" s="10">
        <v>5.2784148000000002</v>
      </c>
      <c r="S473" s="10">
        <v>5.2462353999999998</v>
      </c>
      <c r="T473" s="10">
        <v>5.2111618000000002</v>
      </c>
      <c r="U473" s="10">
        <v>5.1731192000000004</v>
      </c>
      <c r="V473" s="10">
        <v>5.1312063999999999</v>
      </c>
      <c r="W473" s="10">
        <v>5.0857143999999996</v>
      </c>
      <c r="X473" s="10">
        <v>5.0373583999999996</v>
      </c>
      <c r="Y473" s="10">
        <v>4.9868515000000002</v>
      </c>
      <c r="Z473" s="10">
        <v>4.9349071000000002</v>
      </c>
      <c r="AA473" s="10">
        <v>4.8822402</v>
      </c>
      <c r="AB473" s="10">
        <v>4.8295181999999999</v>
      </c>
      <c r="AC473" s="10">
        <v>4.7772161000000004</v>
      </c>
      <c r="AD473" s="10">
        <v>4.7257598999999999</v>
      </c>
      <c r="AE473" s="10">
        <v>4.6755738999999998</v>
      </c>
      <c r="AF473" s="10">
        <v>4.6270825000000002</v>
      </c>
      <c r="AG473" s="10">
        <v>4.5807117999999996</v>
      </c>
      <c r="AH473" s="10">
        <v>4.5368060000000003</v>
      </c>
      <c r="AI473" s="10">
        <v>4.4953571999999999</v>
      </c>
      <c r="AJ473" s="10">
        <v>4.4562613999999998</v>
      </c>
      <c r="AK473" s="10">
        <v>4.4194130999999999</v>
      </c>
      <c r="AL473" s="10">
        <v>4.3847069000000003</v>
      </c>
      <c r="AM473" s="10">
        <v>4.3520386999999996</v>
      </c>
      <c r="AN473" s="10">
        <v>4.3213030999999997</v>
      </c>
      <c r="AO473" s="10">
        <v>4.2923948999999997</v>
      </c>
      <c r="AP473" s="10">
        <v>4.2652098000000001</v>
      </c>
      <c r="AQ473" s="10">
        <v>4.2396424000000001</v>
      </c>
      <c r="AR473" s="10">
        <v>4.2155876000000001</v>
      </c>
      <c r="AS473" s="10">
        <v>4.1929409</v>
      </c>
      <c r="AT473" s="10">
        <v>4.1716056000000004</v>
      </c>
      <c r="AU473" s="10">
        <v>4.1515224000000002</v>
      </c>
      <c r="AV473" s="10">
        <v>4.1326428999999996</v>
      </c>
      <c r="AW473" s="10">
        <v>4.1149182</v>
      </c>
      <c r="AX473" s="10">
        <v>4.0982992999999999</v>
      </c>
      <c r="AY473" s="10">
        <v>4.0827378999999997</v>
      </c>
      <c r="AZ473" s="10">
        <v>4.0681849000000003</v>
      </c>
      <c r="BA473" s="10">
        <v>4.0545914999999999</v>
      </c>
      <c r="BB473" s="10">
        <v>4.0419093000000004</v>
      </c>
      <c r="BC473" s="10">
        <v>4.0300891999999999</v>
      </c>
      <c r="BD473" s="10">
        <v>4.0190824000000003</v>
      </c>
      <c r="BE473" s="10">
        <v>4.0088404000000004</v>
      </c>
      <c r="BF473" s="10">
        <v>3.9993186000000001</v>
      </c>
      <c r="BG473" s="10">
        <v>3.9904953000000001</v>
      </c>
      <c r="BH473" s="10">
        <v>3.9823569000000001</v>
      </c>
      <c r="BI473" s="10">
        <v>3.9748895000000002</v>
      </c>
      <c r="BJ473" s="10">
        <v>3.9680792</v>
      </c>
      <c r="BK473" s="10">
        <v>3.9619122999999998</v>
      </c>
      <c r="BL473" s="10">
        <v>3.956375</v>
      </c>
      <c r="BM473" s="10">
        <v>3.9514532</v>
      </c>
      <c r="BN473" s="10">
        <v>3.9471333999999998</v>
      </c>
      <c r="BO473" s="10">
        <v>3.9434016999999999</v>
      </c>
      <c r="BP473" s="10">
        <v>3.9402441000000001</v>
      </c>
      <c r="BQ473" s="10">
        <v>3.9376470000000001</v>
      </c>
      <c r="BR473" s="10">
        <v>3.9329269</v>
      </c>
      <c r="BS473" s="10">
        <v>3.9440892999999999</v>
      </c>
      <c r="BU473" s="7">
        <v>4.91</v>
      </c>
      <c r="BV473" s="7">
        <v>4.49</v>
      </c>
      <c r="BW473" s="9">
        <v>80.650899999999993</v>
      </c>
    </row>
    <row r="474" spans="1:75" x14ac:dyDescent="0.25">
      <c r="A474" s="6">
        <f t="shared" si="47"/>
        <v>45216</v>
      </c>
      <c r="B474" s="13">
        <f t="shared" si="42"/>
        <v>10</v>
      </c>
      <c r="C474" s="13">
        <f t="shared" si="43"/>
        <v>2023</v>
      </c>
      <c r="D474">
        <f t="shared" si="44"/>
        <v>202310</v>
      </c>
      <c r="E474">
        <f t="shared" si="45"/>
        <v>4</v>
      </c>
      <c r="F474">
        <f t="shared" si="46"/>
        <v>202304</v>
      </c>
      <c r="G474" t="s">
        <v>661</v>
      </c>
      <c r="H474" s="9">
        <v>5.25</v>
      </c>
      <c r="I474" s="9">
        <v>5.1870000000000003</v>
      </c>
      <c r="J474" s="10">
        <v>5.2454333000000002</v>
      </c>
      <c r="K474" s="10">
        <v>5.2762380999999996</v>
      </c>
      <c r="L474" s="10">
        <v>5.3027914999999997</v>
      </c>
      <c r="M474" s="10">
        <v>5.3184088999999997</v>
      </c>
      <c r="N474" s="10">
        <v>5.3208839000000001</v>
      </c>
      <c r="O474" s="10">
        <v>5.3121153999999997</v>
      </c>
      <c r="P474" s="10">
        <v>5.2946713000000001</v>
      </c>
      <c r="Q474" s="10">
        <v>5.2718211999999998</v>
      </c>
      <c r="R474" s="10">
        <v>5.2461045000000004</v>
      </c>
      <c r="S474" s="10">
        <v>5.218782</v>
      </c>
      <c r="T474" s="10">
        <v>5.1899299000000001</v>
      </c>
      <c r="U474" s="10">
        <v>5.1588867</v>
      </c>
      <c r="V474" s="10">
        <v>5.1237025999999997</v>
      </c>
      <c r="W474" s="10">
        <v>5.0844003999999998</v>
      </c>
      <c r="X474" s="10">
        <v>5.0416936000000003</v>
      </c>
      <c r="Y474" s="10">
        <v>4.9962942000000004</v>
      </c>
      <c r="Z474" s="10">
        <v>4.9489140000000003</v>
      </c>
      <c r="AA474" s="10">
        <v>4.9002667000000004</v>
      </c>
      <c r="AB474" s="10">
        <v>4.8510236999999998</v>
      </c>
      <c r="AC474" s="10">
        <v>4.8016858999999998</v>
      </c>
      <c r="AD474" s="10">
        <v>4.7527112999999996</v>
      </c>
      <c r="AE474" s="10">
        <v>4.7045560000000002</v>
      </c>
      <c r="AF474" s="10">
        <v>4.6576763999999997</v>
      </c>
      <c r="AG474" s="10">
        <v>4.6125303000000004</v>
      </c>
      <c r="AH474" s="10">
        <v>4.5694939999999997</v>
      </c>
      <c r="AI474" s="10">
        <v>4.5285906999999996</v>
      </c>
      <c r="AJ474" s="10">
        <v>4.4897473999999997</v>
      </c>
      <c r="AK474" s="10">
        <v>4.4528901000000003</v>
      </c>
      <c r="AL474" s="10">
        <v>4.4179443999999997</v>
      </c>
      <c r="AM474" s="10">
        <v>4.3848374000000003</v>
      </c>
      <c r="AN474" s="10">
        <v>4.3534948</v>
      </c>
      <c r="AO474" s="10">
        <v>4.3238427000000001</v>
      </c>
      <c r="AP474" s="10">
        <v>4.2958078000000004</v>
      </c>
      <c r="AQ474" s="10">
        <v>4.2693159999999999</v>
      </c>
      <c r="AR474" s="10">
        <v>4.2442932000000004</v>
      </c>
      <c r="AS474" s="10">
        <v>4.2206663000000004</v>
      </c>
      <c r="AT474" s="10">
        <v>4.1983648000000002</v>
      </c>
      <c r="AU474" s="10">
        <v>4.1773385000000003</v>
      </c>
      <c r="AV474" s="10">
        <v>4.1575443999999999</v>
      </c>
      <c r="AW474" s="10">
        <v>4.1389388</v>
      </c>
      <c r="AX474" s="10">
        <v>4.1214781</v>
      </c>
      <c r="AY474" s="10">
        <v>4.1051193000000001</v>
      </c>
      <c r="AZ474" s="10">
        <v>4.0898189</v>
      </c>
      <c r="BA474" s="10">
        <v>4.0755331999999997</v>
      </c>
      <c r="BB474" s="10">
        <v>4.0622192000000004</v>
      </c>
      <c r="BC474" s="10">
        <v>4.0498333000000004</v>
      </c>
      <c r="BD474" s="10">
        <v>4.0383319000000002</v>
      </c>
      <c r="BE474" s="10">
        <v>4.0276719999999999</v>
      </c>
      <c r="BF474" s="10">
        <v>4.0178130000000003</v>
      </c>
      <c r="BG474" s="10">
        <v>4.0087294</v>
      </c>
      <c r="BH474" s="10">
        <v>4.0004007000000001</v>
      </c>
      <c r="BI474" s="10">
        <v>3.9928058000000002</v>
      </c>
      <c r="BJ474" s="10">
        <v>3.9859238000000001</v>
      </c>
      <c r="BK474" s="10">
        <v>3.9797338999999998</v>
      </c>
      <c r="BL474" s="10">
        <v>3.9742153999999998</v>
      </c>
      <c r="BM474" s="10">
        <v>3.9693472000000001</v>
      </c>
      <c r="BN474" s="10">
        <v>3.9651087</v>
      </c>
      <c r="BO474" s="10">
        <v>3.9614788999999999</v>
      </c>
      <c r="BP474" s="10">
        <v>3.9584369000000001</v>
      </c>
      <c r="BQ474" s="10">
        <v>3.9559619000000001</v>
      </c>
      <c r="BR474" s="10">
        <v>3.9519134999999999</v>
      </c>
      <c r="BS474" s="10">
        <v>3.9634024000000001</v>
      </c>
      <c r="BU474" s="7">
        <v>4.87</v>
      </c>
      <c r="BV474" s="7">
        <v>4.5199999999999996</v>
      </c>
      <c r="BW474" s="9">
        <v>80.494200000000006</v>
      </c>
    </row>
    <row r="475" spans="1:75" x14ac:dyDescent="0.25">
      <c r="A475" s="6">
        <f t="shared" si="47"/>
        <v>45217</v>
      </c>
      <c r="B475" s="13">
        <f t="shared" si="42"/>
        <v>10</v>
      </c>
      <c r="C475" s="13">
        <f t="shared" si="43"/>
        <v>2023</v>
      </c>
      <c r="D475">
        <f t="shared" si="44"/>
        <v>202310</v>
      </c>
      <c r="E475">
        <f t="shared" si="45"/>
        <v>4</v>
      </c>
      <c r="F475">
        <f t="shared" si="46"/>
        <v>202304</v>
      </c>
      <c r="G475" t="s">
        <v>662</v>
      </c>
      <c r="H475" s="9">
        <v>5.25</v>
      </c>
      <c r="I475" s="9">
        <v>5.1871999999999998</v>
      </c>
      <c r="J475" s="10">
        <v>5.2423989999999998</v>
      </c>
      <c r="K475" s="10">
        <v>5.2839447000000002</v>
      </c>
      <c r="L475" s="10">
        <v>5.3235894000000004</v>
      </c>
      <c r="M475" s="10">
        <v>5.3519389999999998</v>
      </c>
      <c r="N475" s="10">
        <v>5.3652072000000004</v>
      </c>
      <c r="O475" s="10">
        <v>5.3649180000000003</v>
      </c>
      <c r="P475" s="10">
        <v>5.3546123999999997</v>
      </c>
      <c r="Q475" s="10">
        <v>5.3385600999999996</v>
      </c>
      <c r="R475" s="10">
        <v>5.3200696000000001</v>
      </c>
      <c r="S475" s="10">
        <v>5.3006760000000002</v>
      </c>
      <c r="T475" s="10">
        <v>5.2802056999999998</v>
      </c>
      <c r="U475" s="10">
        <v>5.2574888</v>
      </c>
      <c r="V475" s="10">
        <v>5.2298086000000001</v>
      </c>
      <c r="W475" s="10">
        <v>5.1969352000000004</v>
      </c>
      <c r="X475" s="10">
        <v>5.1595009999999997</v>
      </c>
      <c r="Y475" s="10">
        <v>5.1181372999999999</v>
      </c>
      <c r="Z475" s="10">
        <v>5.0734750999999996</v>
      </c>
      <c r="AA475" s="10">
        <v>5.0261471999999996</v>
      </c>
      <c r="AB475" s="10">
        <v>4.9768036000000002</v>
      </c>
      <c r="AC475" s="10">
        <v>4.9262122000000002</v>
      </c>
      <c r="AD475" s="10">
        <v>4.8751882999999996</v>
      </c>
      <c r="AE475" s="10">
        <v>4.8245456999999998</v>
      </c>
      <c r="AF475" s="10">
        <v>4.7750979999999998</v>
      </c>
      <c r="AG475" s="10">
        <v>4.7276607999999998</v>
      </c>
      <c r="AH475" s="10">
        <v>4.6829337000000004</v>
      </c>
      <c r="AI475" s="10">
        <v>4.6410024999999999</v>
      </c>
      <c r="AJ475" s="10">
        <v>4.6017485000000002</v>
      </c>
      <c r="AK475" s="10">
        <v>4.5650513000000004</v>
      </c>
      <c r="AL475" s="10">
        <v>4.5307909000000004</v>
      </c>
      <c r="AM475" s="10">
        <v>4.4988482999999997</v>
      </c>
      <c r="AN475" s="10">
        <v>4.4691032000000002</v>
      </c>
      <c r="AO475" s="10">
        <v>4.4414356000000002</v>
      </c>
      <c r="AP475" s="10">
        <v>4.4157263000000002</v>
      </c>
      <c r="AQ475" s="10">
        <v>4.3918550999999999</v>
      </c>
      <c r="AR475" s="10">
        <v>4.3697021999999999</v>
      </c>
      <c r="AS475" s="10">
        <v>4.3491480999999999</v>
      </c>
      <c r="AT475" s="10">
        <v>4.3300777000000004</v>
      </c>
      <c r="AU475" s="10">
        <v>4.3123994999999997</v>
      </c>
      <c r="AV475" s="10">
        <v>4.2960298000000003</v>
      </c>
      <c r="AW475" s="10">
        <v>4.2808843000000003</v>
      </c>
      <c r="AX475" s="10">
        <v>4.2668786000000001</v>
      </c>
      <c r="AY475" s="10">
        <v>4.2539290999999997</v>
      </c>
      <c r="AZ475" s="10">
        <v>4.2419514999999999</v>
      </c>
      <c r="BA475" s="10">
        <v>4.2308614999999996</v>
      </c>
      <c r="BB475" s="10">
        <v>4.2205751999999999</v>
      </c>
      <c r="BC475" s="10">
        <v>4.2110085000000002</v>
      </c>
      <c r="BD475" s="10">
        <v>4.2020771000000003</v>
      </c>
      <c r="BE475" s="10">
        <v>4.1936970999999996</v>
      </c>
      <c r="BF475" s="10">
        <v>4.1857959999999999</v>
      </c>
      <c r="BG475" s="10">
        <v>4.1783526000000002</v>
      </c>
      <c r="BH475" s="10">
        <v>4.1713601000000002</v>
      </c>
      <c r="BI475" s="10">
        <v>4.1648116999999996</v>
      </c>
      <c r="BJ475" s="10">
        <v>4.1587002000000002</v>
      </c>
      <c r="BK475" s="10">
        <v>4.1530190999999999</v>
      </c>
      <c r="BL475" s="10">
        <v>4.1477611999999997</v>
      </c>
      <c r="BM475" s="10">
        <v>4.1429197000000002</v>
      </c>
      <c r="BN475" s="10">
        <v>4.1384878</v>
      </c>
      <c r="BO475" s="10">
        <v>4.1344585</v>
      </c>
      <c r="BP475" s="10">
        <v>4.1308249000000004</v>
      </c>
      <c r="BQ475" s="10">
        <v>4.1275801000000003</v>
      </c>
      <c r="BR475" s="10">
        <v>4.1158900000000003</v>
      </c>
      <c r="BS475" s="10">
        <v>4.1164543</v>
      </c>
      <c r="BU475" s="7">
        <v>5.01</v>
      </c>
      <c r="BV475" s="7">
        <v>4.66</v>
      </c>
      <c r="BW475" s="9">
        <v>80.423299999999998</v>
      </c>
    </row>
    <row r="476" spans="1:75" x14ac:dyDescent="0.25">
      <c r="A476" s="6">
        <f t="shared" si="47"/>
        <v>45218</v>
      </c>
      <c r="B476" s="13">
        <f t="shared" si="42"/>
        <v>10</v>
      </c>
      <c r="C476" s="13">
        <f t="shared" si="43"/>
        <v>2023</v>
      </c>
      <c r="D476">
        <f t="shared" si="44"/>
        <v>202310</v>
      </c>
      <c r="E476">
        <f t="shared" si="45"/>
        <v>4</v>
      </c>
      <c r="F476">
        <f t="shared" si="46"/>
        <v>202304</v>
      </c>
      <c r="G476" t="s">
        <v>663</v>
      </c>
      <c r="H476" s="9">
        <v>5.25</v>
      </c>
      <c r="I476" s="9">
        <v>5.1872999999999996</v>
      </c>
      <c r="J476" s="10">
        <v>5.2406300000000003</v>
      </c>
      <c r="K476" s="10">
        <v>5.2757500000000004</v>
      </c>
      <c r="L476" s="10">
        <v>5.3089864000000002</v>
      </c>
      <c r="M476" s="10">
        <v>5.3309549000000001</v>
      </c>
      <c r="N476" s="10">
        <v>5.3391918</v>
      </c>
      <c r="O476" s="10">
        <v>5.3360095000000003</v>
      </c>
      <c r="P476" s="10">
        <v>5.3253439</v>
      </c>
      <c r="Q476" s="10">
        <v>5.3111994999999999</v>
      </c>
      <c r="R476" s="10">
        <v>5.2962350999999996</v>
      </c>
      <c r="S476" s="10">
        <v>5.2812806999999999</v>
      </c>
      <c r="T476" s="10">
        <v>5.2655854</v>
      </c>
      <c r="U476" s="10">
        <v>5.2475610000000001</v>
      </c>
      <c r="V476" s="10">
        <v>5.2238214999999997</v>
      </c>
      <c r="W476" s="10">
        <v>5.1940676000000003</v>
      </c>
      <c r="X476" s="10">
        <v>5.1592783999999998</v>
      </c>
      <c r="Y476" s="10">
        <v>5.1204326</v>
      </c>
      <c r="Z476" s="10">
        <v>5.0785090000000004</v>
      </c>
      <c r="AA476" s="10">
        <v>5.0344878</v>
      </c>
      <c r="AB476" s="10">
        <v>4.9893074000000004</v>
      </c>
      <c r="AC476" s="10">
        <v>4.9436787999999998</v>
      </c>
      <c r="AD476" s="10">
        <v>4.8982346000000003</v>
      </c>
      <c r="AE476" s="10">
        <v>4.8536055999999999</v>
      </c>
      <c r="AF476" s="10">
        <v>4.8104225999999999</v>
      </c>
      <c r="AG476" s="10">
        <v>4.7693180999999996</v>
      </c>
      <c r="AH476" s="10">
        <v>4.7308171999999997</v>
      </c>
      <c r="AI476" s="10">
        <v>4.6949296</v>
      </c>
      <c r="AJ476" s="10">
        <v>4.6615098000000001</v>
      </c>
      <c r="AK476" s="10">
        <v>4.6304106999999997</v>
      </c>
      <c r="AL476" s="10">
        <v>4.6014853000000002</v>
      </c>
      <c r="AM476" s="10">
        <v>4.5745879</v>
      </c>
      <c r="AN476" s="10">
        <v>4.5495713999999996</v>
      </c>
      <c r="AO476" s="10">
        <v>4.5262890000000002</v>
      </c>
      <c r="AP476" s="10">
        <v>4.5045947000000002</v>
      </c>
      <c r="AQ476" s="10">
        <v>4.4843415000000002</v>
      </c>
      <c r="AR476" s="10">
        <v>4.4653828000000004</v>
      </c>
      <c r="AS476" s="10">
        <v>4.4475724000000003</v>
      </c>
      <c r="AT476" s="10">
        <v>4.4307771999999996</v>
      </c>
      <c r="AU476" s="10">
        <v>4.4149254999999998</v>
      </c>
      <c r="AV476" s="10">
        <v>4.3999626999999997</v>
      </c>
      <c r="AW476" s="10">
        <v>4.3858338999999997</v>
      </c>
      <c r="AX476" s="10">
        <v>4.372484</v>
      </c>
      <c r="AY476" s="10">
        <v>4.3598585999999999</v>
      </c>
      <c r="AZ476" s="10">
        <v>4.3479026000000003</v>
      </c>
      <c r="BA476" s="10">
        <v>4.3365610999999999</v>
      </c>
      <c r="BB476" s="10">
        <v>4.3257795999999997</v>
      </c>
      <c r="BC476" s="10">
        <v>4.3155029999999996</v>
      </c>
      <c r="BD476" s="10">
        <v>4.3056764000000003</v>
      </c>
      <c r="BE476" s="10">
        <v>4.2962452999999998</v>
      </c>
      <c r="BF476" s="10">
        <v>4.2871632999999996</v>
      </c>
      <c r="BG476" s="10">
        <v>4.2784224999999996</v>
      </c>
      <c r="BH476" s="10">
        <v>4.2700259000000003</v>
      </c>
      <c r="BI476" s="10">
        <v>4.2619759999999998</v>
      </c>
      <c r="BJ476" s="10">
        <v>4.2542757</v>
      </c>
      <c r="BK476" s="10">
        <v>4.2469276999999996</v>
      </c>
      <c r="BL476" s="10">
        <v>4.2399347000000001</v>
      </c>
      <c r="BM476" s="10">
        <v>4.2332993999999999</v>
      </c>
      <c r="BN476" s="10">
        <v>4.2270247000000003</v>
      </c>
      <c r="BO476" s="10">
        <v>4.2211132999999998</v>
      </c>
      <c r="BP476" s="10">
        <v>4.2155677999999996</v>
      </c>
      <c r="BQ476" s="10">
        <v>4.2103910999999998</v>
      </c>
      <c r="BR476" s="10">
        <v>4.1870729999999998</v>
      </c>
      <c r="BS476" s="10">
        <v>4.1767702</v>
      </c>
      <c r="BU476" s="7">
        <v>4.99</v>
      </c>
      <c r="BV476" s="7">
        <v>4.7</v>
      </c>
      <c r="BW476" s="9">
        <v>80.309600000000003</v>
      </c>
    </row>
    <row r="477" spans="1:75" x14ac:dyDescent="0.25">
      <c r="A477" s="6">
        <f t="shared" si="47"/>
        <v>45219</v>
      </c>
      <c r="B477" s="13">
        <f t="shared" si="42"/>
        <v>10</v>
      </c>
      <c r="C477" s="13">
        <f t="shared" si="43"/>
        <v>2023</v>
      </c>
      <c r="D477">
        <f t="shared" si="44"/>
        <v>202310</v>
      </c>
      <c r="E477">
        <f t="shared" si="45"/>
        <v>4</v>
      </c>
      <c r="F477">
        <f t="shared" si="46"/>
        <v>202304</v>
      </c>
      <c r="G477" t="s">
        <v>664</v>
      </c>
      <c r="H477" s="9">
        <v>5.25</v>
      </c>
      <c r="I477" s="9">
        <v>5.1879999999999997</v>
      </c>
      <c r="J477" s="10">
        <v>5.2238661000000004</v>
      </c>
      <c r="K477" s="10">
        <v>5.2525123000000002</v>
      </c>
      <c r="L477" s="10">
        <v>5.2813008000000004</v>
      </c>
      <c r="M477" s="10">
        <v>5.3012015000000003</v>
      </c>
      <c r="N477" s="10">
        <v>5.3076371</v>
      </c>
      <c r="O477" s="10">
        <v>5.3000331999999997</v>
      </c>
      <c r="P477" s="10">
        <v>5.2803528999999996</v>
      </c>
      <c r="Q477" s="10">
        <v>5.2515343000000003</v>
      </c>
      <c r="R477" s="10">
        <v>5.2171212999999996</v>
      </c>
      <c r="S477" s="10">
        <v>5.1798386000000001</v>
      </c>
      <c r="T477" s="10">
        <v>5.1413127000000003</v>
      </c>
      <c r="U477" s="10">
        <v>5.1022854000000004</v>
      </c>
      <c r="V477" s="10">
        <v>5.0625777999999997</v>
      </c>
      <c r="W477" s="10">
        <v>5.0223392999999996</v>
      </c>
      <c r="X477" s="10">
        <v>4.9819015000000002</v>
      </c>
      <c r="Y477" s="10">
        <v>4.9415946000000002</v>
      </c>
      <c r="Z477" s="10">
        <v>4.9017488</v>
      </c>
      <c r="AA477" s="10">
        <v>4.8626959000000003</v>
      </c>
      <c r="AB477" s="10">
        <v>4.8247330000000002</v>
      </c>
      <c r="AC477" s="10">
        <v>4.7879886999999997</v>
      </c>
      <c r="AD477" s="10">
        <v>4.7525389000000002</v>
      </c>
      <c r="AE477" s="10">
        <v>4.718458</v>
      </c>
      <c r="AF477" s="10">
        <v>4.6858205999999996</v>
      </c>
      <c r="AG477" s="10">
        <v>4.6547025</v>
      </c>
      <c r="AH477" s="10">
        <v>4.6251557999999999</v>
      </c>
      <c r="AI477" s="10">
        <v>4.5971333000000003</v>
      </c>
      <c r="AJ477" s="10">
        <v>4.5705613999999999</v>
      </c>
      <c r="AK477" s="10">
        <v>4.5453656000000002</v>
      </c>
      <c r="AL477" s="10">
        <v>4.5214711999999997</v>
      </c>
      <c r="AM477" s="10">
        <v>4.4988047</v>
      </c>
      <c r="AN477" s="10">
        <v>4.4772914000000004</v>
      </c>
      <c r="AO477" s="10">
        <v>4.4568570000000003</v>
      </c>
      <c r="AP477" s="10">
        <v>4.4374276000000004</v>
      </c>
      <c r="AQ477" s="10">
        <v>4.4189287000000004</v>
      </c>
      <c r="AR477" s="10">
        <v>4.4012859000000004</v>
      </c>
      <c r="AS477" s="10">
        <v>4.3844253999999996</v>
      </c>
      <c r="AT477" s="10">
        <v>4.3682806999999997</v>
      </c>
      <c r="AU477" s="10">
        <v>4.3528202</v>
      </c>
      <c r="AV477" s="10">
        <v>4.3380229000000003</v>
      </c>
      <c r="AW477" s="10">
        <v>4.3238668999999996</v>
      </c>
      <c r="AX477" s="10">
        <v>4.3103305000000001</v>
      </c>
      <c r="AY477" s="10">
        <v>4.2973923999999997</v>
      </c>
      <c r="AZ477" s="10">
        <v>4.2850308999999998</v>
      </c>
      <c r="BA477" s="10">
        <v>4.2732244000000001</v>
      </c>
      <c r="BB477" s="10">
        <v>4.2619514000000001</v>
      </c>
      <c r="BC477" s="10">
        <v>4.2511903000000002</v>
      </c>
      <c r="BD477" s="10">
        <v>4.2409194000000001</v>
      </c>
      <c r="BE477" s="10">
        <v>4.2311173000000002</v>
      </c>
      <c r="BF477" s="10">
        <v>4.2217653999999998</v>
      </c>
      <c r="BG477" s="10">
        <v>4.2128585999999997</v>
      </c>
      <c r="BH477" s="10">
        <v>4.2043958000000003</v>
      </c>
      <c r="BI477" s="10">
        <v>4.1963756999999999</v>
      </c>
      <c r="BJ477" s="10">
        <v>4.1887968999999998</v>
      </c>
      <c r="BK477" s="10">
        <v>4.1816583999999999</v>
      </c>
      <c r="BL477" s="10">
        <v>4.1749587000000004</v>
      </c>
      <c r="BM477" s="10">
        <v>4.1686965000000002</v>
      </c>
      <c r="BN477" s="10">
        <v>4.1628707</v>
      </c>
      <c r="BO477" s="10">
        <v>4.1574799999999996</v>
      </c>
      <c r="BP477" s="10">
        <v>4.1525230000000004</v>
      </c>
      <c r="BQ477" s="10">
        <v>4.1479986999999996</v>
      </c>
      <c r="BR477" s="10">
        <v>4.1297743000000002</v>
      </c>
      <c r="BS477" s="10">
        <v>4.1262487999999999</v>
      </c>
      <c r="BU477" s="7">
        <v>4.87</v>
      </c>
      <c r="BV477" s="7">
        <v>4.6500000000000004</v>
      </c>
      <c r="BW477" s="9">
        <v>80.263400000000004</v>
      </c>
    </row>
    <row r="478" spans="1:75" x14ac:dyDescent="0.25">
      <c r="A478" s="6">
        <f t="shared" si="47"/>
        <v>45222</v>
      </c>
      <c r="B478" s="13">
        <f t="shared" si="42"/>
        <v>10</v>
      </c>
      <c r="C478" s="13">
        <f t="shared" si="43"/>
        <v>2023</v>
      </c>
      <c r="D478">
        <f t="shared" si="44"/>
        <v>202310</v>
      </c>
      <c r="E478">
        <f t="shared" si="45"/>
        <v>4</v>
      </c>
      <c r="F478">
        <f t="shared" si="46"/>
        <v>202304</v>
      </c>
      <c r="G478" t="s">
        <v>665</v>
      </c>
      <c r="H478" s="9">
        <v>5.25</v>
      </c>
      <c r="I478" s="9">
        <v>5.1872999999999996</v>
      </c>
      <c r="J478" s="10">
        <v>5.2267447999999996</v>
      </c>
      <c r="K478" s="10">
        <v>5.2551661999999997</v>
      </c>
      <c r="L478" s="10">
        <v>5.2803680000000002</v>
      </c>
      <c r="M478" s="10">
        <v>5.2953951000000004</v>
      </c>
      <c r="N478" s="10">
        <v>5.2964364000000002</v>
      </c>
      <c r="O478" s="10">
        <v>5.2838801000000002</v>
      </c>
      <c r="P478" s="10">
        <v>5.2598319</v>
      </c>
      <c r="Q478" s="10">
        <v>5.2279887</v>
      </c>
      <c r="R478" s="10">
        <v>5.1920614</v>
      </c>
      <c r="S478" s="10">
        <v>5.1547904000000004</v>
      </c>
      <c r="T478" s="10">
        <v>5.1173187000000002</v>
      </c>
      <c r="U478" s="10">
        <v>5.0796473000000004</v>
      </c>
      <c r="V478" s="10">
        <v>5.0403260999999997</v>
      </c>
      <c r="W478" s="10">
        <v>4.9993103999999997</v>
      </c>
      <c r="X478" s="10">
        <v>4.9570857999999998</v>
      </c>
      <c r="Y478" s="10">
        <v>4.9141360000000001</v>
      </c>
      <c r="Z478" s="10">
        <v>4.8709452000000004</v>
      </c>
      <c r="AA478" s="10">
        <v>4.8279987999999996</v>
      </c>
      <c r="AB478" s="10">
        <v>4.7857431000000004</v>
      </c>
      <c r="AC478" s="10">
        <v>4.7444667000000003</v>
      </c>
      <c r="AD478" s="10">
        <v>4.7044180999999998</v>
      </c>
      <c r="AE478" s="10">
        <v>4.6658445000000004</v>
      </c>
      <c r="AF478" s="10">
        <v>4.6289930000000004</v>
      </c>
      <c r="AG478" s="10">
        <v>4.5941121000000003</v>
      </c>
      <c r="AH478" s="10">
        <v>4.5613935000000003</v>
      </c>
      <c r="AI478" s="10">
        <v>4.5307849999999998</v>
      </c>
      <c r="AJ478" s="10">
        <v>4.5021683000000001</v>
      </c>
      <c r="AK478" s="10">
        <v>4.4754237000000003</v>
      </c>
      <c r="AL478" s="10">
        <v>4.4504317000000002</v>
      </c>
      <c r="AM478" s="10">
        <v>4.4270737999999996</v>
      </c>
      <c r="AN478" s="10">
        <v>4.4052303000000004</v>
      </c>
      <c r="AO478" s="10">
        <v>4.3847820000000004</v>
      </c>
      <c r="AP478" s="10">
        <v>4.3656100000000002</v>
      </c>
      <c r="AQ478" s="10">
        <v>4.3475948000000004</v>
      </c>
      <c r="AR478" s="10">
        <v>4.3306171999999998</v>
      </c>
      <c r="AS478" s="10">
        <v>4.3145582999999998</v>
      </c>
      <c r="AT478" s="10">
        <v>4.2993123000000004</v>
      </c>
      <c r="AU478" s="10">
        <v>4.2848338000000004</v>
      </c>
      <c r="AV478" s="10">
        <v>4.2710945000000002</v>
      </c>
      <c r="AW478" s="10">
        <v>4.2580654999999998</v>
      </c>
      <c r="AX478" s="10">
        <v>4.2457181000000004</v>
      </c>
      <c r="AY478" s="10">
        <v>4.2340239000000004</v>
      </c>
      <c r="AZ478" s="10">
        <v>4.2229539999999997</v>
      </c>
      <c r="BA478" s="10">
        <v>4.2124797999999997</v>
      </c>
      <c r="BB478" s="10">
        <v>4.2025728000000004</v>
      </c>
      <c r="BC478" s="10">
        <v>4.1932042000000003</v>
      </c>
      <c r="BD478" s="10">
        <v>4.1843452000000001</v>
      </c>
      <c r="BE478" s="10">
        <v>4.1759674999999996</v>
      </c>
      <c r="BF478" s="10">
        <v>4.1680456000000001</v>
      </c>
      <c r="BG478" s="10">
        <v>4.1605724000000004</v>
      </c>
      <c r="BH478" s="10">
        <v>4.1535470999999999</v>
      </c>
      <c r="BI478" s="10">
        <v>4.1469687000000004</v>
      </c>
      <c r="BJ478" s="10">
        <v>4.1408360000000002</v>
      </c>
      <c r="BK478" s="10">
        <v>4.1351484000000003</v>
      </c>
      <c r="BL478" s="10">
        <v>4.1299047</v>
      </c>
      <c r="BM478" s="10">
        <v>4.1251039</v>
      </c>
      <c r="BN478" s="10">
        <v>4.1207452</v>
      </c>
      <c r="BO478" s="10">
        <v>4.1168275999999997</v>
      </c>
      <c r="BP478" s="10">
        <v>4.1133500999999999</v>
      </c>
      <c r="BQ478" s="10">
        <v>4.1103117999999998</v>
      </c>
      <c r="BR478" s="10">
        <v>4.1009275000000001</v>
      </c>
      <c r="BS478" s="10">
        <v>4.1051333999999997</v>
      </c>
      <c r="BU478" s="7">
        <v>4.8099999999999996</v>
      </c>
      <c r="BV478" s="7">
        <v>4.58</v>
      </c>
      <c r="BW478" s="9">
        <v>80.527199999999993</v>
      </c>
    </row>
    <row r="479" spans="1:75" x14ac:dyDescent="0.25">
      <c r="A479" s="6">
        <f t="shared" si="47"/>
        <v>45223</v>
      </c>
      <c r="B479" s="13">
        <f t="shared" si="42"/>
        <v>10</v>
      </c>
      <c r="C479" s="13">
        <f t="shared" si="43"/>
        <v>2023</v>
      </c>
      <c r="D479">
        <f t="shared" si="44"/>
        <v>202310</v>
      </c>
      <c r="E479">
        <f t="shared" si="45"/>
        <v>4</v>
      </c>
      <c r="F479">
        <f t="shared" si="46"/>
        <v>202304</v>
      </c>
      <c r="G479" t="s">
        <v>666</v>
      </c>
      <c r="H479" s="9">
        <v>5.25</v>
      </c>
      <c r="I479" s="9">
        <v>5.1872999999999996</v>
      </c>
      <c r="J479" s="10">
        <v>5.2100543999999998</v>
      </c>
      <c r="K479" s="10">
        <v>5.2373031000000001</v>
      </c>
      <c r="L479" s="10">
        <v>5.2592328999999998</v>
      </c>
      <c r="M479" s="10">
        <v>5.2692949999999996</v>
      </c>
      <c r="N479" s="10">
        <v>5.2645846000000001</v>
      </c>
      <c r="O479" s="10">
        <v>5.2468105999999999</v>
      </c>
      <c r="P479" s="10">
        <v>5.2186794000000001</v>
      </c>
      <c r="Q479" s="10">
        <v>5.1838379000000003</v>
      </c>
      <c r="R479" s="10">
        <v>5.1454193999999998</v>
      </c>
      <c r="S479" s="10">
        <v>5.1054386000000003</v>
      </c>
      <c r="T479" s="10">
        <v>5.0646551000000004</v>
      </c>
      <c r="U479" s="10">
        <v>5.0230458999999996</v>
      </c>
      <c r="V479" s="10">
        <v>4.9794251999999997</v>
      </c>
      <c r="W479" s="10">
        <v>4.9338853</v>
      </c>
      <c r="X479" s="10">
        <v>4.8869907000000001</v>
      </c>
      <c r="Y479" s="10">
        <v>4.8393040999999997</v>
      </c>
      <c r="Z479" s="10">
        <v>4.7913883000000004</v>
      </c>
      <c r="AA479" s="10">
        <v>4.7438075</v>
      </c>
      <c r="AB479" s="10">
        <v>4.6970805000000002</v>
      </c>
      <c r="AC479" s="10">
        <v>4.6515404</v>
      </c>
      <c r="AD479" s="10">
        <v>4.6074732999999997</v>
      </c>
      <c r="AE479" s="10">
        <v>4.5651637000000003</v>
      </c>
      <c r="AF479" s="10">
        <v>4.524896</v>
      </c>
      <c r="AG479" s="10">
        <v>4.4869563000000001</v>
      </c>
      <c r="AH479" s="10">
        <v>4.4515656000000003</v>
      </c>
      <c r="AI479" s="10">
        <v>4.4186654000000001</v>
      </c>
      <c r="AJ479" s="10">
        <v>4.3881209999999999</v>
      </c>
      <c r="AK479" s="10">
        <v>4.3597963999999996</v>
      </c>
      <c r="AL479" s="10">
        <v>4.3335559999999997</v>
      </c>
      <c r="AM479" s="10">
        <v>4.3092648999999996</v>
      </c>
      <c r="AN479" s="10">
        <v>4.2867873000000003</v>
      </c>
      <c r="AO479" s="10">
        <v>4.2659874000000002</v>
      </c>
      <c r="AP479" s="10">
        <v>4.2467305</v>
      </c>
      <c r="AQ479" s="10">
        <v>4.2288806000000001</v>
      </c>
      <c r="AR479" s="10">
        <v>4.2123021999999999</v>
      </c>
      <c r="AS479" s="10">
        <v>4.1968603</v>
      </c>
      <c r="AT479" s="10">
        <v>4.1824306</v>
      </c>
      <c r="AU479" s="10">
        <v>4.1689515999999998</v>
      </c>
      <c r="AV479" s="10">
        <v>4.1563831999999996</v>
      </c>
      <c r="AW479" s="10">
        <v>4.1446845000000003</v>
      </c>
      <c r="AX479" s="10">
        <v>4.1338149</v>
      </c>
      <c r="AY479" s="10">
        <v>4.1237342000000003</v>
      </c>
      <c r="AZ479" s="10">
        <v>4.1144015999999999</v>
      </c>
      <c r="BA479" s="10">
        <v>4.1057766000000004</v>
      </c>
      <c r="BB479" s="10">
        <v>4.0978189</v>
      </c>
      <c r="BC479" s="10">
        <v>4.0904876999999997</v>
      </c>
      <c r="BD479" s="10">
        <v>4.0837425999999999</v>
      </c>
      <c r="BE479" s="10">
        <v>4.0775430000000004</v>
      </c>
      <c r="BF479" s="10">
        <v>4.0718528000000003</v>
      </c>
      <c r="BG479" s="10">
        <v>4.0666570000000002</v>
      </c>
      <c r="BH479" s="10">
        <v>4.0619471999999996</v>
      </c>
      <c r="BI479" s="10">
        <v>4.0577148000000003</v>
      </c>
      <c r="BJ479" s="10">
        <v>4.0539512999999996</v>
      </c>
      <c r="BK479" s="10">
        <v>4.0506484</v>
      </c>
      <c r="BL479" s="10">
        <v>4.0477974000000003</v>
      </c>
      <c r="BM479" s="10">
        <v>4.0453900000000003</v>
      </c>
      <c r="BN479" s="10">
        <v>4.0434175999999997</v>
      </c>
      <c r="BO479" s="10">
        <v>4.0418716999999997</v>
      </c>
      <c r="BP479" s="10">
        <v>4.0407440000000001</v>
      </c>
      <c r="BQ479" s="10">
        <v>4.0400257999999996</v>
      </c>
      <c r="BR479" s="10">
        <v>4.0437063999999996</v>
      </c>
      <c r="BS479" s="10">
        <v>4.0591577000000001</v>
      </c>
      <c r="BU479" s="7">
        <v>4.78</v>
      </c>
      <c r="BV479" s="7">
        <v>4.54</v>
      </c>
      <c r="BW479" s="9">
        <v>80.416600000000003</v>
      </c>
    </row>
    <row r="480" spans="1:75" x14ac:dyDescent="0.25">
      <c r="A480" s="6">
        <f t="shared" si="47"/>
        <v>45224</v>
      </c>
      <c r="B480" s="13">
        <f t="shared" si="42"/>
        <v>10</v>
      </c>
      <c r="C480" s="13">
        <f t="shared" si="43"/>
        <v>2023</v>
      </c>
      <c r="D480">
        <f t="shared" si="44"/>
        <v>202310</v>
      </c>
      <c r="E480">
        <f t="shared" si="45"/>
        <v>4</v>
      </c>
      <c r="F480">
        <f t="shared" si="46"/>
        <v>202304</v>
      </c>
      <c r="G480" t="s">
        <v>667</v>
      </c>
      <c r="H480" s="9">
        <v>5.25</v>
      </c>
      <c r="I480" s="9">
        <v>5.1875999999999998</v>
      </c>
      <c r="J480" s="10">
        <v>5.2123556000000004</v>
      </c>
      <c r="K480" s="10">
        <v>5.2417692999999996</v>
      </c>
      <c r="L480" s="10">
        <v>5.2644617</v>
      </c>
      <c r="M480" s="10">
        <v>5.2740951999999997</v>
      </c>
      <c r="N480" s="10">
        <v>5.2688655000000004</v>
      </c>
      <c r="O480" s="10">
        <v>5.2509382000000002</v>
      </c>
      <c r="P480" s="10">
        <v>5.2237220999999998</v>
      </c>
      <c r="Q480" s="10">
        <v>5.1912244999999997</v>
      </c>
      <c r="R480" s="10">
        <v>5.1568290000000001</v>
      </c>
      <c r="S480" s="10">
        <v>5.1225174999999998</v>
      </c>
      <c r="T480" s="10">
        <v>5.0886765</v>
      </c>
      <c r="U480" s="10">
        <v>5.0546315999999996</v>
      </c>
      <c r="V480" s="10">
        <v>5.0181222999999999</v>
      </c>
      <c r="W480" s="10">
        <v>4.9788888</v>
      </c>
      <c r="X480" s="10">
        <v>4.9373902999999997</v>
      </c>
      <c r="Y480" s="10">
        <v>4.8940844999999999</v>
      </c>
      <c r="Z480" s="10">
        <v>4.8494292000000003</v>
      </c>
      <c r="AA480" s="10">
        <v>4.8038838000000004</v>
      </c>
      <c r="AB480" s="10">
        <v>4.7579225999999997</v>
      </c>
      <c r="AC480" s="10">
        <v>4.7120896999999999</v>
      </c>
      <c r="AD480" s="10">
        <v>4.6669492999999997</v>
      </c>
      <c r="AE480" s="10">
        <v>4.6230639</v>
      </c>
      <c r="AF480" s="10">
        <v>4.5809958000000002</v>
      </c>
      <c r="AG480" s="10">
        <v>4.5413093</v>
      </c>
      <c r="AH480" s="10">
        <v>4.5044792999999999</v>
      </c>
      <c r="AI480" s="10">
        <v>4.4705097</v>
      </c>
      <c r="AJ480" s="10">
        <v>4.4392477000000001</v>
      </c>
      <c r="AK480" s="10">
        <v>4.4105391000000003</v>
      </c>
      <c r="AL480" s="10">
        <v>4.3842298</v>
      </c>
      <c r="AM480" s="10">
        <v>4.3601666999999997</v>
      </c>
      <c r="AN480" s="10">
        <v>4.3381957</v>
      </c>
      <c r="AO480" s="10">
        <v>4.3181627000000002</v>
      </c>
      <c r="AP480" s="10">
        <v>4.2999144999999999</v>
      </c>
      <c r="AQ480" s="10">
        <v>4.2832971000000004</v>
      </c>
      <c r="AR480" s="10">
        <v>4.2681566000000002</v>
      </c>
      <c r="AS480" s="10">
        <v>4.2543394000000001</v>
      </c>
      <c r="AT480" s="10">
        <v>4.2417031999999999</v>
      </c>
      <c r="AU480" s="10">
        <v>4.2301608999999996</v>
      </c>
      <c r="AV480" s="10">
        <v>4.2196432000000001</v>
      </c>
      <c r="AW480" s="10">
        <v>4.2100802000000002</v>
      </c>
      <c r="AX480" s="10">
        <v>4.2014018999999996</v>
      </c>
      <c r="AY480" s="10">
        <v>4.1935387000000004</v>
      </c>
      <c r="AZ480" s="10">
        <v>4.1864208999999999</v>
      </c>
      <c r="BA480" s="10">
        <v>4.1799786000000001</v>
      </c>
      <c r="BB480" s="10">
        <v>4.1741421000000001</v>
      </c>
      <c r="BC480" s="10">
        <v>4.1688416000000004</v>
      </c>
      <c r="BD480" s="10">
        <v>4.1640072999999997</v>
      </c>
      <c r="BE480" s="10">
        <v>4.1595694999999999</v>
      </c>
      <c r="BF480" s="10">
        <v>4.1554685999999998</v>
      </c>
      <c r="BG480" s="10">
        <v>4.1516907999999999</v>
      </c>
      <c r="BH480" s="10">
        <v>4.1482345</v>
      </c>
      <c r="BI480" s="10">
        <v>4.1450984000000002</v>
      </c>
      <c r="BJ480" s="10">
        <v>4.1422809000000003</v>
      </c>
      <c r="BK480" s="10">
        <v>4.1397807999999996</v>
      </c>
      <c r="BL480" s="10">
        <v>4.1375964999999999</v>
      </c>
      <c r="BM480" s="10">
        <v>4.1357264999999996</v>
      </c>
      <c r="BN480" s="10">
        <v>4.1341694999999996</v>
      </c>
      <c r="BO480" s="10">
        <v>4.1329241000000003</v>
      </c>
      <c r="BP480" s="10">
        <v>4.1319887</v>
      </c>
      <c r="BQ480" s="10">
        <v>4.1313620999999996</v>
      </c>
      <c r="BR480" s="10">
        <v>4.1338606999999996</v>
      </c>
      <c r="BS480" s="10">
        <v>4.1462342000000003</v>
      </c>
      <c r="BU480" s="7">
        <v>4.8600000000000003</v>
      </c>
      <c r="BV480" s="7">
        <v>4.63</v>
      </c>
      <c r="BW480" s="9">
        <v>80.275000000000006</v>
      </c>
    </row>
    <row r="481" spans="1:75" x14ac:dyDescent="0.25">
      <c r="A481" s="6">
        <f t="shared" si="47"/>
        <v>45225</v>
      </c>
      <c r="B481" s="13">
        <f t="shared" si="42"/>
        <v>10</v>
      </c>
      <c r="C481" s="13">
        <f t="shared" si="43"/>
        <v>2023</v>
      </c>
      <c r="D481">
        <f t="shared" si="44"/>
        <v>202310</v>
      </c>
      <c r="E481">
        <f t="shared" si="45"/>
        <v>4</v>
      </c>
      <c r="F481">
        <f t="shared" si="46"/>
        <v>202304</v>
      </c>
      <c r="G481" t="s">
        <v>668</v>
      </c>
      <c r="H481" s="9">
        <v>5.25</v>
      </c>
      <c r="I481" s="9">
        <v>5.1871999999999998</v>
      </c>
      <c r="J481" s="10">
        <v>5.2079347</v>
      </c>
      <c r="K481" s="10">
        <v>5.2351799999999997</v>
      </c>
      <c r="L481" s="10">
        <v>5.2561581999999998</v>
      </c>
      <c r="M481" s="10">
        <v>5.2639293</v>
      </c>
      <c r="N481" s="10">
        <v>5.2552637999999998</v>
      </c>
      <c r="O481" s="10">
        <v>5.2316495999999999</v>
      </c>
      <c r="P481" s="10">
        <v>5.1971227000000004</v>
      </c>
      <c r="Q481" s="10">
        <v>5.1564389999999998</v>
      </c>
      <c r="R481" s="10">
        <v>5.1133592999999999</v>
      </c>
      <c r="S481" s="10">
        <v>5.0699680999999996</v>
      </c>
      <c r="T481" s="10">
        <v>5.0267521000000004</v>
      </c>
      <c r="U481" s="10">
        <v>4.9832638999999999</v>
      </c>
      <c r="V481" s="10">
        <v>4.9375673999999998</v>
      </c>
      <c r="W481" s="10">
        <v>4.8896524000000001</v>
      </c>
      <c r="X481" s="10">
        <v>4.8403378000000004</v>
      </c>
      <c r="Y481" s="10">
        <v>4.7904418</v>
      </c>
      <c r="Z481" s="10">
        <v>4.7407823999999996</v>
      </c>
      <c r="AA481" s="10">
        <v>4.6921792</v>
      </c>
      <c r="AB481" s="10">
        <v>4.6453667999999997</v>
      </c>
      <c r="AC481" s="10">
        <v>4.6006520999999996</v>
      </c>
      <c r="AD481" s="10">
        <v>4.5582067000000004</v>
      </c>
      <c r="AE481" s="10">
        <v>4.5182010000000004</v>
      </c>
      <c r="AF481" s="10">
        <v>4.4808051000000004</v>
      </c>
      <c r="AG481" s="10">
        <v>4.4461906000000004</v>
      </c>
      <c r="AH481" s="10">
        <v>4.4144797000000002</v>
      </c>
      <c r="AI481" s="10">
        <v>4.3855604000000001</v>
      </c>
      <c r="AJ481" s="10">
        <v>4.3592503000000002</v>
      </c>
      <c r="AK481" s="10">
        <v>4.3353660999999999</v>
      </c>
      <c r="AL481" s="10">
        <v>4.3137243999999999</v>
      </c>
      <c r="AM481" s="10">
        <v>4.2941428999999998</v>
      </c>
      <c r="AN481" s="10">
        <v>4.2764381</v>
      </c>
      <c r="AO481" s="10">
        <v>4.260427</v>
      </c>
      <c r="AP481" s="10">
        <v>4.2459268000000003</v>
      </c>
      <c r="AQ481" s="10">
        <v>4.2327544000000001</v>
      </c>
      <c r="AR481" s="10">
        <v>4.2207265999999999</v>
      </c>
      <c r="AS481" s="10">
        <v>4.2096606999999997</v>
      </c>
      <c r="AT481" s="10">
        <v>4.1993954000000002</v>
      </c>
      <c r="AU481" s="10">
        <v>4.1898666000000002</v>
      </c>
      <c r="AV481" s="10">
        <v>4.1810371000000002</v>
      </c>
      <c r="AW481" s="10">
        <v>4.1728696000000003</v>
      </c>
      <c r="AX481" s="10">
        <v>4.1653266000000002</v>
      </c>
      <c r="AY481" s="10">
        <v>4.1583709000000004</v>
      </c>
      <c r="AZ481" s="10">
        <v>4.1519651</v>
      </c>
      <c r="BA481" s="10">
        <v>4.1460717999999996</v>
      </c>
      <c r="BB481" s="10">
        <v>4.1406539000000002</v>
      </c>
      <c r="BC481" s="10">
        <v>4.1356738000000002</v>
      </c>
      <c r="BD481" s="10">
        <v>4.1310943</v>
      </c>
      <c r="BE481" s="10">
        <v>4.1268780999999999</v>
      </c>
      <c r="BF481" s="10">
        <v>4.1229933000000001</v>
      </c>
      <c r="BG481" s="10">
        <v>4.1194318000000001</v>
      </c>
      <c r="BH481" s="10">
        <v>4.1161924000000001</v>
      </c>
      <c r="BI481" s="10">
        <v>4.1132736999999997</v>
      </c>
      <c r="BJ481" s="10">
        <v>4.1106743999999997</v>
      </c>
      <c r="BK481" s="10">
        <v>4.1083932000000001</v>
      </c>
      <c r="BL481" s="10">
        <v>4.1064287000000004</v>
      </c>
      <c r="BM481" s="10">
        <v>4.1047795999999996</v>
      </c>
      <c r="BN481" s="10">
        <v>4.1034446000000004</v>
      </c>
      <c r="BO481" s="10">
        <v>4.1024222000000004</v>
      </c>
      <c r="BP481" s="10">
        <v>4.1017112999999998</v>
      </c>
      <c r="BQ481" s="10">
        <v>4.1013104</v>
      </c>
      <c r="BR481" s="10">
        <v>4.1051906000000002</v>
      </c>
      <c r="BS481" s="10">
        <v>4.1189726999999996</v>
      </c>
      <c r="BU481" s="7">
        <v>4.8</v>
      </c>
      <c r="BV481" s="7">
        <v>4.58</v>
      </c>
      <c r="BW481" s="9">
        <v>80.356700000000004</v>
      </c>
    </row>
    <row r="482" spans="1:75" x14ac:dyDescent="0.25">
      <c r="A482" s="6">
        <f t="shared" si="47"/>
        <v>45226</v>
      </c>
      <c r="B482" s="13">
        <f t="shared" si="42"/>
        <v>10</v>
      </c>
      <c r="C482" s="13">
        <f t="shared" si="43"/>
        <v>2023</v>
      </c>
      <c r="D482">
        <f t="shared" si="44"/>
        <v>202310</v>
      </c>
      <c r="E482">
        <f t="shared" si="45"/>
        <v>4</v>
      </c>
      <c r="F482">
        <f t="shared" si="46"/>
        <v>202304</v>
      </c>
      <c r="G482" t="s">
        <v>669</v>
      </c>
      <c r="H482" s="9">
        <v>5.25</v>
      </c>
      <c r="I482" s="9">
        <v>5.1866000000000003</v>
      </c>
      <c r="J482" s="10">
        <v>5.2087510999999997</v>
      </c>
      <c r="K482" s="10">
        <v>5.2377547</v>
      </c>
      <c r="L482" s="10">
        <v>5.2605662000000004</v>
      </c>
      <c r="M482" s="10">
        <v>5.2707100000000002</v>
      </c>
      <c r="N482" s="10">
        <v>5.2646037000000003</v>
      </c>
      <c r="O482" s="10">
        <v>5.2421373999999998</v>
      </c>
      <c r="P482" s="10">
        <v>5.2058106999999998</v>
      </c>
      <c r="Q482" s="10">
        <v>5.1592101000000001</v>
      </c>
      <c r="R482" s="10">
        <v>5.1066675999999998</v>
      </c>
      <c r="S482" s="10">
        <v>5.051634</v>
      </c>
      <c r="T482" s="10">
        <v>4.9962654000000004</v>
      </c>
      <c r="U482" s="10">
        <v>4.9415838000000001</v>
      </c>
      <c r="V482" s="10">
        <v>4.887715</v>
      </c>
      <c r="W482" s="10">
        <v>4.8348465999999997</v>
      </c>
      <c r="X482" s="10">
        <v>4.7832540999999997</v>
      </c>
      <c r="Y482" s="10">
        <v>4.7332114000000001</v>
      </c>
      <c r="Z482" s="10">
        <v>4.6849921999999999</v>
      </c>
      <c r="AA482" s="10">
        <v>4.6388720000000001</v>
      </c>
      <c r="AB482" s="10">
        <v>4.5950842999999999</v>
      </c>
      <c r="AC482" s="10">
        <v>4.5536751999999998</v>
      </c>
      <c r="AD482" s="10">
        <v>4.5146379999999997</v>
      </c>
      <c r="AE482" s="10">
        <v>4.4779647999999996</v>
      </c>
      <c r="AF482" s="10">
        <v>4.4436473999999997</v>
      </c>
      <c r="AG482" s="10">
        <v>4.4116790000000004</v>
      </c>
      <c r="AH482" s="10">
        <v>4.3820345999999999</v>
      </c>
      <c r="AI482" s="10">
        <v>4.3546141</v>
      </c>
      <c r="AJ482" s="10">
        <v>4.3292975</v>
      </c>
      <c r="AK482" s="10">
        <v>4.3059640999999997</v>
      </c>
      <c r="AL482" s="10">
        <v>4.2844930000000003</v>
      </c>
      <c r="AM482" s="10">
        <v>4.2647642000000001</v>
      </c>
      <c r="AN482" s="10">
        <v>4.2466568999999996</v>
      </c>
      <c r="AO482" s="10">
        <v>4.2300503999999997</v>
      </c>
      <c r="AP482" s="10">
        <v>4.2148244999999998</v>
      </c>
      <c r="AQ482" s="10">
        <v>4.2008584999999998</v>
      </c>
      <c r="AR482" s="10">
        <v>4.1880316999999998</v>
      </c>
      <c r="AS482" s="10">
        <v>4.1762239000000001</v>
      </c>
      <c r="AT482" s="10">
        <v>4.1653263000000003</v>
      </c>
      <c r="AU482" s="10">
        <v>4.1552829999999998</v>
      </c>
      <c r="AV482" s="10">
        <v>4.1460530999999996</v>
      </c>
      <c r="AW482" s="10">
        <v>4.1375951999999998</v>
      </c>
      <c r="AX482" s="10">
        <v>4.1298678999999998</v>
      </c>
      <c r="AY482" s="10">
        <v>4.1228303000000004</v>
      </c>
      <c r="AZ482" s="10">
        <v>4.1164408999999997</v>
      </c>
      <c r="BA482" s="10">
        <v>4.1106585999999998</v>
      </c>
      <c r="BB482" s="10">
        <v>4.1054421000000003</v>
      </c>
      <c r="BC482" s="10">
        <v>4.1007502000000002</v>
      </c>
      <c r="BD482" s="10">
        <v>4.0965417000000004</v>
      </c>
      <c r="BE482" s="10">
        <v>4.0927752999999996</v>
      </c>
      <c r="BF482" s="10">
        <v>4.0894148000000001</v>
      </c>
      <c r="BG482" s="10">
        <v>4.0864460999999999</v>
      </c>
      <c r="BH482" s="10">
        <v>4.0838612999999997</v>
      </c>
      <c r="BI482" s="10">
        <v>4.0816521000000003</v>
      </c>
      <c r="BJ482" s="10">
        <v>4.0798106000000001</v>
      </c>
      <c r="BK482" s="10">
        <v>4.0783288999999998</v>
      </c>
      <c r="BL482" s="10">
        <v>4.0771987999999997</v>
      </c>
      <c r="BM482" s="10">
        <v>4.0764123999999997</v>
      </c>
      <c r="BN482" s="10">
        <v>4.0759616000000003</v>
      </c>
      <c r="BO482" s="10">
        <v>4.0758384000000003</v>
      </c>
      <c r="BP482" s="10">
        <v>4.0760348000000004</v>
      </c>
      <c r="BQ482" s="10">
        <v>4.0765427000000001</v>
      </c>
      <c r="BR482" s="10">
        <v>4.0857758999999998</v>
      </c>
      <c r="BS482" s="10">
        <v>4.1047682999999999</v>
      </c>
      <c r="BU482" s="7">
        <v>4.7699999999999996</v>
      </c>
      <c r="BV482" s="7">
        <v>4.5599999999999996</v>
      </c>
      <c r="BW482" s="9">
        <v>80.325900000000004</v>
      </c>
    </row>
    <row r="483" spans="1:75" x14ac:dyDescent="0.25">
      <c r="A483" s="6">
        <f t="shared" si="47"/>
        <v>45229</v>
      </c>
      <c r="B483" s="13">
        <f t="shared" si="42"/>
        <v>10</v>
      </c>
      <c r="C483" s="13">
        <f t="shared" si="43"/>
        <v>2023</v>
      </c>
      <c r="D483">
        <f t="shared" si="44"/>
        <v>202310</v>
      </c>
      <c r="E483">
        <f t="shared" si="45"/>
        <v>4</v>
      </c>
      <c r="F483">
        <f t="shared" si="46"/>
        <v>202304</v>
      </c>
      <c r="G483" t="s">
        <v>670</v>
      </c>
      <c r="H483" s="9">
        <v>5.25</v>
      </c>
      <c r="I483" s="9">
        <v>5.1867000000000001</v>
      </c>
      <c r="J483" s="10">
        <v>5.2042229999999998</v>
      </c>
      <c r="K483" s="10">
        <v>5.2323757000000004</v>
      </c>
      <c r="L483" s="10">
        <v>5.2523587999999997</v>
      </c>
      <c r="M483" s="10">
        <v>5.256615</v>
      </c>
      <c r="N483" s="10">
        <v>5.2433183999999997</v>
      </c>
      <c r="O483" s="10">
        <v>5.2143774000000001</v>
      </c>
      <c r="P483" s="10">
        <v>5.1737000000000002</v>
      </c>
      <c r="Q483" s="10">
        <v>5.1265280000000004</v>
      </c>
      <c r="R483" s="10">
        <v>5.0774109000000003</v>
      </c>
      <c r="S483" s="10">
        <v>5.0291353000000001</v>
      </c>
      <c r="T483" s="10">
        <v>4.9826480000000002</v>
      </c>
      <c r="U483" s="10">
        <v>4.9375363999999999</v>
      </c>
      <c r="V483" s="10">
        <v>4.8916367000000003</v>
      </c>
      <c r="W483" s="10">
        <v>4.8447357999999996</v>
      </c>
      <c r="X483" s="10">
        <v>4.7973350000000003</v>
      </c>
      <c r="Y483" s="10">
        <v>4.7499336999999997</v>
      </c>
      <c r="Z483" s="10">
        <v>4.7030311999999999</v>
      </c>
      <c r="AA483" s="10">
        <v>4.6571287999999997</v>
      </c>
      <c r="AB483" s="10">
        <v>4.6126734000000003</v>
      </c>
      <c r="AC483" s="10">
        <v>4.5698911999999998</v>
      </c>
      <c r="AD483" s="10">
        <v>4.5289523000000003</v>
      </c>
      <c r="AE483" s="10">
        <v>4.4900248999999999</v>
      </c>
      <c r="AF483" s="10">
        <v>4.4532777000000001</v>
      </c>
      <c r="AG483" s="10">
        <v>4.4188802999999997</v>
      </c>
      <c r="AH483" s="10">
        <v>4.3869556999999997</v>
      </c>
      <c r="AI483" s="10">
        <v>4.3574263999999996</v>
      </c>
      <c r="AJ483" s="10">
        <v>4.3301600999999996</v>
      </c>
      <c r="AK483" s="10">
        <v>4.3050240000000004</v>
      </c>
      <c r="AL483" s="10">
        <v>4.2818849999999999</v>
      </c>
      <c r="AM483" s="10">
        <v>4.2606109999999999</v>
      </c>
      <c r="AN483" s="10">
        <v>4.2410690000000004</v>
      </c>
      <c r="AO483" s="10">
        <v>4.2231259999999997</v>
      </c>
      <c r="AP483" s="10">
        <v>4.2066498000000001</v>
      </c>
      <c r="AQ483" s="10">
        <v>4.1915073999999999</v>
      </c>
      <c r="AR483" s="10">
        <v>4.1775659999999997</v>
      </c>
      <c r="AS483" s="10">
        <v>4.1646932000000003</v>
      </c>
      <c r="AT483" s="10">
        <v>4.1527703000000002</v>
      </c>
      <c r="AU483" s="10">
        <v>4.1417419999999998</v>
      </c>
      <c r="AV483" s="10">
        <v>4.1315702999999999</v>
      </c>
      <c r="AW483" s="10">
        <v>4.1222171999999997</v>
      </c>
      <c r="AX483" s="10">
        <v>4.1136445999999998</v>
      </c>
      <c r="AY483" s="10">
        <v>4.1058146000000004</v>
      </c>
      <c r="AZ483" s="10">
        <v>4.0986890000000002</v>
      </c>
      <c r="BA483" s="10">
        <v>4.0922299000000004</v>
      </c>
      <c r="BB483" s="10">
        <v>4.0863994000000003</v>
      </c>
      <c r="BC483" s="10">
        <v>4.0811593000000004</v>
      </c>
      <c r="BD483" s="10">
        <v>4.0764715999999996</v>
      </c>
      <c r="BE483" s="10">
        <v>4.0722984000000002</v>
      </c>
      <c r="BF483" s="10">
        <v>4.0686052000000004</v>
      </c>
      <c r="BG483" s="10">
        <v>4.0653762000000002</v>
      </c>
      <c r="BH483" s="10">
        <v>4.0626024999999997</v>
      </c>
      <c r="BI483" s="10">
        <v>4.0602746999999999</v>
      </c>
      <c r="BJ483" s="10">
        <v>4.0583836</v>
      </c>
      <c r="BK483" s="10">
        <v>4.0569199999999999</v>
      </c>
      <c r="BL483" s="10">
        <v>4.0558747999999998</v>
      </c>
      <c r="BM483" s="10">
        <v>4.0552387000000003</v>
      </c>
      <c r="BN483" s="10">
        <v>4.0550024000000002</v>
      </c>
      <c r="BO483" s="10">
        <v>4.0551567999999998</v>
      </c>
      <c r="BP483" s="10">
        <v>4.0556926999999998</v>
      </c>
      <c r="BQ483" s="10">
        <v>4.0566009000000003</v>
      </c>
      <c r="BR483" s="10">
        <v>4.0692867000000001</v>
      </c>
      <c r="BS483" s="10">
        <v>4.0926558000000002</v>
      </c>
      <c r="BU483" s="7">
        <v>4.7699999999999996</v>
      </c>
      <c r="BV483" s="7">
        <v>4.5599999999999996</v>
      </c>
      <c r="BW483" s="9">
        <v>80.247500000000002</v>
      </c>
    </row>
    <row r="484" spans="1:75" x14ac:dyDescent="0.25">
      <c r="A484" s="6">
        <f t="shared" si="47"/>
        <v>45230</v>
      </c>
      <c r="B484" s="13">
        <f t="shared" si="42"/>
        <v>10</v>
      </c>
      <c r="C484" s="13">
        <f t="shared" si="43"/>
        <v>2023</v>
      </c>
      <c r="D484">
        <f t="shared" si="44"/>
        <v>202310</v>
      </c>
      <c r="E484">
        <f t="shared" si="45"/>
        <v>4</v>
      </c>
      <c r="F484">
        <f t="shared" si="46"/>
        <v>202304</v>
      </c>
      <c r="G484" t="s">
        <v>671</v>
      </c>
      <c r="H484" s="9">
        <v>5.25</v>
      </c>
      <c r="I484" s="9">
        <v>5.1860999999999997</v>
      </c>
      <c r="J484" s="10">
        <v>5.2091570999999997</v>
      </c>
      <c r="K484" s="10">
        <v>5.2386080000000002</v>
      </c>
      <c r="L484" s="10">
        <v>5.2594114000000003</v>
      </c>
      <c r="M484" s="10">
        <v>5.2646740000000003</v>
      </c>
      <c r="N484" s="10">
        <v>5.2532743999999996</v>
      </c>
      <c r="O484" s="10">
        <v>5.2266623000000001</v>
      </c>
      <c r="P484" s="10">
        <v>5.1879198999999998</v>
      </c>
      <c r="Q484" s="10">
        <v>5.1417070999999996</v>
      </c>
      <c r="R484" s="10">
        <v>5.0919989000000001</v>
      </c>
      <c r="S484" s="10">
        <v>5.0414436</v>
      </c>
      <c r="T484" s="10">
        <v>4.9911123000000002</v>
      </c>
      <c r="U484" s="10">
        <v>4.9410102</v>
      </c>
      <c r="V484" s="10">
        <v>4.8897111999999998</v>
      </c>
      <c r="W484" s="10">
        <v>4.8373457999999996</v>
      </c>
      <c r="X484" s="10">
        <v>4.7846057000000002</v>
      </c>
      <c r="Y484" s="10">
        <v>4.7321802999999996</v>
      </c>
      <c r="Z484" s="10">
        <v>4.6807593000000001</v>
      </c>
      <c r="AA484" s="10">
        <v>4.6310340999999999</v>
      </c>
      <c r="AB484" s="10">
        <v>4.5835797999999999</v>
      </c>
      <c r="AC484" s="10">
        <v>4.5385359000000003</v>
      </c>
      <c r="AD484" s="10">
        <v>4.4959395999999998</v>
      </c>
      <c r="AE484" s="10">
        <v>4.4558267999999996</v>
      </c>
      <c r="AF484" s="10">
        <v>4.4182332000000004</v>
      </c>
      <c r="AG484" s="10">
        <v>4.3831959999999999</v>
      </c>
      <c r="AH484" s="10">
        <v>4.3507243999999998</v>
      </c>
      <c r="AI484" s="10">
        <v>4.3207097000000001</v>
      </c>
      <c r="AJ484" s="10">
        <v>4.2930121999999997</v>
      </c>
      <c r="AK484" s="10">
        <v>4.2674908</v>
      </c>
      <c r="AL484" s="10">
        <v>4.2440046999999996</v>
      </c>
      <c r="AM484" s="10">
        <v>4.2224139000000003</v>
      </c>
      <c r="AN484" s="10">
        <v>4.2025772999999997</v>
      </c>
      <c r="AO484" s="10">
        <v>4.1843541999999996</v>
      </c>
      <c r="AP484" s="10">
        <v>4.1676045000000004</v>
      </c>
      <c r="AQ484" s="10">
        <v>4.1521872000000002</v>
      </c>
      <c r="AR484" s="10">
        <v>4.1379615999999997</v>
      </c>
      <c r="AS484" s="10">
        <v>4.1247875000000001</v>
      </c>
      <c r="AT484" s="10">
        <v>4.1125370999999999</v>
      </c>
      <c r="AU484" s="10">
        <v>4.1011538999999999</v>
      </c>
      <c r="AV484" s="10">
        <v>4.0906054000000003</v>
      </c>
      <c r="AW484" s="10">
        <v>4.0808587000000003</v>
      </c>
      <c r="AX484" s="10">
        <v>4.0718810000000003</v>
      </c>
      <c r="AY484" s="10">
        <v>4.0636397999999998</v>
      </c>
      <c r="AZ484" s="10">
        <v>4.0561021999999998</v>
      </c>
      <c r="BA484" s="10">
        <v>4.0492353999999997</v>
      </c>
      <c r="BB484" s="10">
        <v>4.0430069</v>
      </c>
      <c r="BC484" s="10">
        <v>4.0373839</v>
      </c>
      <c r="BD484" s="10">
        <v>4.0323336000000003</v>
      </c>
      <c r="BE484" s="10">
        <v>4.0278232999999997</v>
      </c>
      <c r="BF484" s="10">
        <v>4.0238231999999998</v>
      </c>
      <c r="BG484" s="10">
        <v>4.0203176999999997</v>
      </c>
      <c r="BH484" s="10">
        <v>4.0172955999999997</v>
      </c>
      <c r="BI484" s="10">
        <v>4.0147456000000004</v>
      </c>
      <c r="BJ484" s="10">
        <v>4.0126564</v>
      </c>
      <c r="BK484" s="10">
        <v>4.0110168000000002</v>
      </c>
      <c r="BL484" s="10">
        <v>4.0098153999999999</v>
      </c>
      <c r="BM484" s="10">
        <v>4.0090412000000004</v>
      </c>
      <c r="BN484" s="10">
        <v>4.0086826999999996</v>
      </c>
      <c r="BO484" s="10">
        <v>4.0087286999999998</v>
      </c>
      <c r="BP484" s="10">
        <v>4.0091679999999998</v>
      </c>
      <c r="BQ484" s="10">
        <v>4.0099891999999997</v>
      </c>
      <c r="BR484" s="10">
        <v>4.0223000000000004</v>
      </c>
      <c r="BS484" s="10">
        <v>4.0454752999999997</v>
      </c>
      <c r="BU484" s="7">
        <v>4.78</v>
      </c>
      <c r="BV484" s="7">
        <v>4.5199999999999996</v>
      </c>
      <c r="BW484" s="9">
        <v>80.370800000000003</v>
      </c>
    </row>
    <row r="485" spans="1:75" x14ac:dyDescent="0.25">
      <c r="A485" s="6">
        <f t="shared" si="47"/>
        <v>45231</v>
      </c>
      <c r="B485" s="13">
        <f t="shared" si="42"/>
        <v>11</v>
      </c>
      <c r="C485" s="13">
        <f t="shared" si="43"/>
        <v>2023</v>
      </c>
      <c r="D485">
        <f t="shared" si="44"/>
        <v>202311</v>
      </c>
      <c r="E485">
        <f t="shared" si="45"/>
        <v>4</v>
      </c>
      <c r="F485">
        <f t="shared" si="46"/>
        <v>202304</v>
      </c>
      <c r="G485" t="s">
        <v>672</v>
      </c>
      <c r="H485" s="9">
        <v>5.25</v>
      </c>
      <c r="I485" s="9">
        <v>5.1864999999999997</v>
      </c>
      <c r="J485" s="10">
        <v>5.2111479000000003</v>
      </c>
      <c r="K485" s="10">
        <v>5.2428473000000002</v>
      </c>
      <c r="L485" s="10">
        <v>5.2645343000000002</v>
      </c>
      <c r="M485" s="10">
        <v>5.2704354999999996</v>
      </c>
      <c r="N485" s="10">
        <v>5.2589148000000003</v>
      </c>
      <c r="O485" s="10">
        <v>5.2316773000000003</v>
      </c>
      <c r="P485" s="10">
        <v>5.1921520000000001</v>
      </c>
      <c r="Q485" s="10">
        <v>5.1448603999999998</v>
      </c>
      <c r="R485" s="10">
        <v>5.0936146000000004</v>
      </c>
      <c r="S485" s="10">
        <v>5.0409303000000003</v>
      </c>
      <c r="T485" s="10">
        <v>4.9878689999999999</v>
      </c>
      <c r="U485" s="10">
        <v>4.9344292999999997</v>
      </c>
      <c r="V485" s="10">
        <v>4.8792574000000002</v>
      </c>
      <c r="W485" s="10">
        <v>4.8226089999999999</v>
      </c>
      <c r="X485" s="10">
        <v>4.7653097000000004</v>
      </c>
      <c r="Y485" s="10">
        <v>4.7081828999999997</v>
      </c>
      <c r="Z485" s="10">
        <v>4.6520520000000003</v>
      </c>
      <c r="AA485" s="10">
        <v>4.5977423999999996</v>
      </c>
      <c r="AB485" s="10">
        <v>4.5459486</v>
      </c>
      <c r="AC485" s="10">
        <v>4.4968735000000004</v>
      </c>
      <c r="AD485" s="10">
        <v>4.4506049000000001</v>
      </c>
      <c r="AE485" s="10">
        <v>4.4072287000000001</v>
      </c>
      <c r="AF485" s="10">
        <v>4.3668310999999997</v>
      </c>
      <c r="AG485" s="10">
        <v>4.3294997000000004</v>
      </c>
      <c r="AH485" s="10">
        <v>4.2952868000000004</v>
      </c>
      <c r="AI485" s="10">
        <v>4.2640637000000003</v>
      </c>
      <c r="AJ485" s="10">
        <v>4.2356417999999998</v>
      </c>
      <c r="AK485" s="10">
        <v>4.2098313999999997</v>
      </c>
      <c r="AL485" s="10">
        <v>4.1864429999999997</v>
      </c>
      <c r="AM485" s="10">
        <v>4.1652879</v>
      </c>
      <c r="AN485" s="10">
        <v>4.1461762999999996</v>
      </c>
      <c r="AO485" s="10">
        <v>4.1289189000000004</v>
      </c>
      <c r="AP485" s="10">
        <v>4.1133267</v>
      </c>
      <c r="AQ485" s="10">
        <v>4.0992103000000002</v>
      </c>
      <c r="AR485" s="10">
        <v>4.0863801000000004</v>
      </c>
      <c r="AS485" s="10">
        <v>4.0746471</v>
      </c>
      <c r="AT485" s="10">
        <v>4.0638426000000001</v>
      </c>
      <c r="AU485" s="10">
        <v>4.0538976</v>
      </c>
      <c r="AV485" s="10">
        <v>4.0447743000000003</v>
      </c>
      <c r="AW485" s="10">
        <v>4.0364344000000001</v>
      </c>
      <c r="AX485" s="10">
        <v>4.0288396000000004</v>
      </c>
      <c r="AY485" s="10">
        <v>4.0219521</v>
      </c>
      <c r="AZ485" s="10">
        <v>4.0157334000000002</v>
      </c>
      <c r="BA485" s="10">
        <v>4.0101455000000001</v>
      </c>
      <c r="BB485" s="10">
        <v>4.0051503000000004</v>
      </c>
      <c r="BC485" s="10">
        <v>4.0007095000000001</v>
      </c>
      <c r="BD485" s="10">
        <v>3.996785</v>
      </c>
      <c r="BE485" s="10">
        <v>3.9933386999999998</v>
      </c>
      <c r="BF485" s="10">
        <v>3.9903368000000001</v>
      </c>
      <c r="BG485" s="10">
        <v>3.9877647000000001</v>
      </c>
      <c r="BH485" s="10">
        <v>3.9856134000000001</v>
      </c>
      <c r="BI485" s="10">
        <v>3.9838735999999999</v>
      </c>
      <c r="BJ485" s="10">
        <v>3.9825362000000002</v>
      </c>
      <c r="BK485" s="10">
        <v>3.981592</v>
      </c>
      <c r="BL485" s="10">
        <v>3.9810319000000001</v>
      </c>
      <c r="BM485" s="10">
        <v>3.9808466999999998</v>
      </c>
      <c r="BN485" s="10">
        <v>3.9810272000000002</v>
      </c>
      <c r="BO485" s="10">
        <v>3.9815643000000001</v>
      </c>
      <c r="BP485" s="10">
        <v>3.9824487999999998</v>
      </c>
      <c r="BQ485" s="10">
        <v>3.9836714999999998</v>
      </c>
      <c r="BR485" s="10">
        <v>3.9975474000000002</v>
      </c>
      <c r="BS485" s="10">
        <v>4.0209821000000003</v>
      </c>
      <c r="BU485" s="7">
        <v>4.78</v>
      </c>
      <c r="BV485" s="7">
        <v>4.49</v>
      </c>
      <c r="BW485" s="9">
        <v>80.425799999999995</v>
      </c>
    </row>
    <row r="486" spans="1:75" x14ac:dyDescent="0.25">
      <c r="A486" s="6">
        <f t="shared" si="47"/>
        <v>45232</v>
      </c>
      <c r="B486" s="13">
        <f t="shared" si="42"/>
        <v>11</v>
      </c>
      <c r="C486" s="13">
        <f t="shared" si="43"/>
        <v>2023</v>
      </c>
      <c r="D486">
        <f t="shared" si="44"/>
        <v>202311</v>
      </c>
      <c r="E486">
        <f t="shared" si="45"/>
        <v>4</v>
      </c>
      <c r="F486">
        <f t="shared" si="46"/>
        <v>202304</v>
      </c>
      <c r="G486" t="s">
        <v>673</v>
      </c>
      <c r="H486" s="9">
        <v>5.25</v>
      </c>
      <c r="I486" s="9">
        <v>5.1870000000000003</v>
      </c>
      <c r="J486" s="10">
        <v>5.1940372999999997</v>
      </c>
      <c r="K486" s="10">
        <v>5.2309697999999996</v>
      </c>
      <c r="L486" s="10">
        <v>5.2542873999999999</v>
      </c>
      <c r="M486" s="10">
        <v>5.2601893999999998</v>
      </c>
      <c r="N486" s="10">
        <v>5.2475478000000004</v>
      </c>
      <c r="O486" s="10">
        <v>5.2182316000000002</v>
      </c>
      <c r="P486" s="10">
        <v>5.1754465999999999</v>
      </c>
      <c r="Q486" s="10">
        <v>5.1233452000000002</v>
      </c>
      <c r="R486" s="10">
        <v>5.0655989000000003</v>
      </c>
      <c r="S486" s="10">
        <v>5.0048298000000004</v>
      </c>
      <c r="T486" s="10">
        <v>4.9423754999999998</v>
      </c>
      <c r="U486" s="10">
        <v>4.8787165000000003</v>
      </c>
      <c r="V486" s="10">
        <v>4.8131275999999996</v>
      </c>
      <c r="W486" s="10">
        <v>4.7461456999999996</v>
      </c>
      <c r="X486" s="10">
        <v>4.6788606000000001</v>
      </c>
      <c r="Y486" s="10">
        <v>4.6123599000000004</v>
      </c>
      <c r="Z486" s="10">
        <v>4.5477312000000003</v>
      </c>
      <c r="AA486" s="10">
        <v>4.4860645000000003</v>
      </c>
      <c r="AB486" s="10">
        <v>4.4282402999999997</v>
      </c>
      <c r="AC486" s="10">
        <v>4.3743512000000004</v>
      </c>
      <c r="AD486" s="10">
        <v>4.3243039999999997</v>
      </c>
      <c r="AE486" s="10">
        <v>4.2780034999999996</v>
      </c>
      <c r="AF486" s="10">
        <v>4.2353548999999999</v>
      </c>
      <c r="AG486" s="10">
        <v>4.1962647000000004</v>
      </c>
      <c r="AH486" s="10">
        <v>4.160622</v>
      </c>
      <c r="AI486" s="10">
        <v>4.1282392000000003</v>
      </c>
      <c r="AJ486" s="10">
        <v>4.0989063999999997</v>
      </c>
      <c r="AK486" s="10">
        <v>4.0724125000000004</v>
      </c>
      <c r="AL486" s="10">
        <v>4.0485462999999999</v>
      </c>
      <c r="AM486" s="10">
        <v>4.0270977999999999</v>
      </c>
      <c r="AN486" s="10">
        <v>4.0078559</v>
      </c>
      <c r="AO486" s="10">
        <v>3.9906098000000001</v>
      </c>
      <c r="AP486" s="10">
        <v>3.975149</v>
      </c>
      <c r="AQ486" s="10">
        <v>3.9612626</v>
      </c>
      <c r="AR486" s="10">
        <v>3.9487397999999998</v>
      </c>
      <c r="AS486" s="10">
        <v>3.9373700999999999</v>
      </c>
      <c r="AT486" s="10">
        <v>3.9269683999999998</v>
      </c>
      <c r="AU486" s="10">
        <v>3.9174633999999999</v>
      </c>
      <c r="AV486" s="10">
        <v>3.9088155000000002</v>
      </c>
      <c r="AW486" s="10">
        <v>3.9009849000000001</v>
      </c>
      <c r="AX486" s="10">
        <v>3.8939316000000002</v>
      </c>
      <c r="AY486" s="10">
        <v>3.8876160999999998</v>
      </c>
      <c r="AZ486" s="10">
        <v>3.8819984999999999</v>
      </c>
      <c r="BA486" s="10">
        <v>3.8770389000000001</v>
      </c>
      <c r="BB486" s="10">
        <v>3.8726976</v>
      </c>
      <c r="BC486" s="10">
        <v>3.8689347999999999</v>
      </c>
      <c r="BD486" s="10">
        <v>3.8657107000000002</v>
      </c>
      <c r="BE486" s="10">
        <v>3.8629856</v>
      </c>
      <c r="BF486" s="10">
        <v>3.8607235000000002</v>
      </c>
      <c r="BG486" s="10">
        <v>3.8589058000000001</v>
      </c>
      <c r="BH486" s="10">
        <v>3.8575187</v>
      </c>
      <c r="BI486" s="10">
        <v>3.8565483</v>
      </c>
      <c r="BJ486" s="10">
        <v>3.8559808000000002</v>
      </c>
      <c r="BK486" s="10">
        <v>3.8558024</v>
      </c>
      <c r="BL486" s="10">
        <v>3.8559991</v>
      </c>
      <c r="BM486" s="10">
        <v>3.8565572000000001</v>
      </c>
      <c r="BN486" s="10">
        <v>3.8574628</v>
      </c>
      <c r="BO486" s="10">
        <v>3.8587020000000001</v>
      </c>
      <c r="BP486" s="10">
        <v>3.8602609999999999</v>
      </c>
      <c r="BQ486" s="10">
        <v>3.8621259999999999</v>
      </c>
      <c r="BR486" s="10">
        <v>3.8791533999999999</v>
      </c>
      <c r="BS486" s="10">
        <v>3.9048604999999998</v>
      </c>
      <c r="BU486" s="7">
        <v>4.72</v>
      </c>
      <c r="BV486" s="7">
        <v>4.37</v>
      </c>
      <c r="BW486" s="9">
        <v>80.394099999999995</v>
      </c>
    </row>
    <row r="487" spans="1:75" x14ac:dyDescent="0.25">
      <c r="A487" s="6">
        <f t="shared" si="47"/>
        <v>45233</v>
      </c>
      <c r="B487" s="13">
        <f t="shared" si="42"/>
        <v>11</v>
      </c>
      <c r="C487" s="13">
        <f t="shared" si="43"/>
        <v>2023</v>
      </c>
      <c r="D487">
        <f t="shared" si="44"/>
        <v>202311</v>
      </c>
      <c r="E487">
        <f t="shared" si="45"/>
        <v>4</v>
      </c>
      <c r="F487">
        <f t="shared" si="46"/>
        <v>202304</v>
      </c>
      <c r="G487" t="s">
        <v>674</v>
      </c>
      <c r="H487" s="9">
        <v>5.25</v>
      </c>
      <c r="I487" s="9">
        <v>5.1870000000000003</v>
      </c>
      <c r="J487" s="10">
        <v>5.1963850999999996</v>
      </c>
      <c r="K487" s="10">
        <v>5.2220535999999997</v>
      </c>
      <c r="L487" s="10">
        <v>5.2391003999999999</v>
      </c>
      <c r="M487" s="10">
        <v>5.2409217999999997</v>
      </c>
      <c r="N487" s="10">
        <v>5.2243069999999996</v>
      </c>
      <c r="O487" s="10">
        <v>5.1899856</v>
      </c>
      <c r="P487" s="10">
        <v>5.1412259999999996</v>
      </c>
      <c r="Q487" s="10">
        <v>5.0826950000000002</v>
      </c>
      <c r="R487" s="10">
        <v>5.0185462000000003</v>
      </c>
      <c r="S487" s="10">
        <v>4.9515422999999998</v>
      </c>
      <c r="T487" s="10">
        <v>4.8830673999999998</v>
      </c>
      <c r="U487" s="10">
        <v>4.8134598000000004</v>
      </c>
      <c r="V487" s="10">
        <v>4.7417524000000002</v>
      </c>
      <c r="W487" s="10">
        <v>4.6684846999999996</v>
      </c>
      <c r="X487" s="10">
        <v>4.5947863</v>
      </c>
      <c r="Y487" s="10">
        <v>4.5217840000000002</v>
      </c>
      <c r="Z487" s="10">
        <v>4.4506047000000004</v>
      </c>
      <c r="AA487" s="10">
        <v>4.3823778000000004</v>
      </c>
      <c r="AB487" s="10">
        <v>4.3180909999999999</v>
      </c>
      <c r="AC487" s="10">
        <v>4.2580191000000003</v>
      </c>
      <c r="AD487" s="10">
        <v>4.2022114000000004</v>
      </c>
      <c r="AE487" s="10">
        <v>4.1507148000000003</v>
      </c>
      <c r="AF487" s="10">
        <v>4.1035763000000003</v>
      </c>
      <c r="AG487" s="10">
        <v>4.0608447999999999</v>
      </c>
      <c r="AH487" s="10">
        <v>4.0225166000000003</v>
      </c>
      <c r="AI487" s="10">
        <v>3.9883641999999999</v>
      </c>
      <c r="AJ487" s="10">
        <v>3.9580996000000002</v>
      </c>
      <c r="AK487" s="10">
        <v>3.9314334</v>
      </c>
      <c r="AL487" s="10">
        <v>3.9080764000000001</v>
      </c>
      <c r="AM487" s="10">
        <v>3.8877402999999999</v>
      </c>
      <c r="AN487" s="10">
        <v>3.870136</v>
      </c>
      <c r="AO487" s="10">
        <v>3.8549742</v>
      </c>
      <c r="AP487" s="10">
        <v>3.8419666000000001</v>
      </c>
      <c r="AQ487" s="10">
        <v>3.8308238999999999</v>
      </c>
      <c r="AR487" s="10">
        <v>3.8212573000000001</v>
      </c>
      <c r="AS487" s="10">
        <v>3.8129778999999999</v>
      </c>
      <c r="AT487" s="10">
        <v>3.8057311</v>
      </c>
      <c r="AU487" s="10">
        <v>3.7994127999999998</v>
      </c>
      <c r="AV487" s="10">
        <v>3.7939609999999999</v>
      </c>
      <c r="AW487" s="10">
        <v>3.7893135999999998</v>
      </c>
      <c r="AX487" s="10">
        <v>3.7854082</v>
      </c>
      <c r="AY487" s="10">
        <v>3.7821826999999999</v>
      </c>
      <c r="AZ487" s="10">
        <v>3.7795749999999999</v>
      </c>
      <c r="BA487" s="10">
        <v>3.7775227</v>
      </c>
      <c r="BB487" s="10">
        <v>3.7759638999999998</v>
      </c>
      <c r="BC487" s="10">
        <v>3.7748362000000002</v>
      </c>
      <c r="BD487" s="10">
        <v>3.7740775000000002</v>
      </c>
      <c r="BE487" s="10">
        <v>3.7736255999999999</v>
      </c>
      <c r="BF487" s="10">
        <v>3.7734272999999998</v>
      </c>
      <c r="BG487" s="10">
        <v>3.7734692999999999</v>
      </c>
      <c r="BH487" s="10">
        <v>3.7737490999999999</v>
      </c>
      <c r="BI487" s="10">
        <v>3.7742643</v>
      </c>
      <c r="BJ487" s="10">
        <v>3.7750126000000002</v>
      </c>
      <c r="BK487" s="10">
        <v>3.7759914999999999</v>
      </c>
      <c r="BL487" s="10">
        <v>3.7771987</v>
      </c>
      <c r="BM487" s="10">
        <v>3.7786317</v>
      </c>
      <c r="BN487" s="10">
        <v>3.7802882000000002</v>
      </c>
      <c r="BO487" s="10">
        <v>3.7821657000000002</v>
      </c>
      <c r="BP487" s="10">
        <v>3.7842617999999999</v>
      </c>
      <c r="BQ487" s="10">
        <v>3.7865742</v>
      </c>
      <c r="BR487" s="10">
        <v>3.8048384999999998</v>
      </c>
      <c r="BS487" s="10">
        <v>3.8301786</v>
      </c>
      <c r="BU487" s="7">
        <v>4.67</v>
      </c>
      <c r="BV487" s="7">
        <v>4.29</v>
      </c>
      <c r="BW487" s="9">
        <v>81.1751</v>
      </c>
    </row>
    <row r="488" spans="1:75" x14ac:dyDescent="0.25">
      <c r="A488" s="6">
        <f t="shared" si="47"/>
        <v>45236</v>
      </c>
      <c r="B488" s="13">
        <f t="shared" si="42"/>
        <v>11</v>
      </c>
      <c r="C488" s="13">
        <f t="shared" si="43"/>
        <v>2023</v>
      </c>
      <c r="D488">
        <f t="shared" si="44"/>
        <v>202311</v>
      </c>
      <c r="E488">
        <f t="shared" si="45"/>
        <v>4</v>
      </c>
      <c r="F488">
        <f t="shared" si="46"/>
        <v>202304</v>
      </c>
      <c r="G488" t="s">
        <v>675</v>
      </c>
      <c r="H488" s="9">
        <v>5.25</v>
      </c>
      <c r="I488" s="9">
        <v>5.1867000000000001</v>
      </c>
      <c r="J488" s="10">
        <v>5.1957291000000003</v>
      </c>
      <c r="K488" s="10">
        <v>5.2242458000000003</v>
      </c>
      <c r="L488" s="10">
        <v>5.2430161000000002</v>
      </c>
      <c r="M488" s="10">
        <v>5.2461256000000001</v>
      </c>
      <c r="N488" s="10">
        <v>5.2308735000000004</v>
      </c>
      <c r="O488" s="10">
        <v>5.1972057999999999</v>
      </c>
      <c r="P488" s="10">
        <v>5.1469357000000002</v>
      </c>
      <c r="Q488" s="10">
        <v>5.0839631000000001</v>
      </c>
      <c r="R488" s="10">
        <v>5.0128572</v>
      </c>
      <c r="S488" s="10">
        <v>4.9381795999999998</v>
      </c>
      <c r="T488" s="10">
        <v>4.8633132000000003</v>
      </c>
      <c r="U488" s="10">
        <v>4.7904558000000002</v>
      </c>
      <c r="V488" s="10">
        <v>4.7204414000000003</v>
      </c>
      <c r="W488" s="10">
        <v>4.6533894</v>
      </c>
      <c r="X488" s="10">
        <v>4.5893116000000003</v>
      </c>
      <c r="Y488" s="10">
        <v>4.5282173999999999</v>
      </c>
      <c r="Z488" s="10">
        <v>4.4701164000000002</v>
      </c>
      <c r="AA488" s="10">
        <v>4.4150201999999998</v>
      </c>
      <c r="AB488" s="10">
        <v>4.3629445999999996</v>
      </c>
      <c r="AC488" s="10">
        <v>4.3139298000000004</v>
      </c>
      <c r="AD488" s="10">
        <v>4.2680233999999997</v>
      </c>
      <c r="AE488" s="10">
        <v>4.2252711999999999</v>
      </c>
      <c r="AF488" s="10">
        <v>4.1857192000000003</v>
      </c>
      <c r="AG488" s="10">
        <v>4.1494149</v>
      </c>
      <c r="AH488" s="10">
        <v>4.1163673000000003</v>
      </c>
      <c r="AI488" s="10">
        <v>4.0864238000000004</v>
      </c>
      <c r="AJ488" s="10">
        <v>4.0593877000000003</v>
      </c>
      <c r="AK488" s="10">
        <v>4.0350615000000003</v>
      </c>
      <c r="AL488" s="10">
        <v>4.0132477</v>
      </c>
      <c r="AM488" s="10">
        <v>3.9937496000000001</v>
      </c>
      <c r="AN488" s="10">
        <v>3.9763695999999999</v>
      </c>
      <c r="AO488" s="10">
        <v>3.9609103000000001</v>
      </c>
      <c r="AP488" s="10">
        <v>3.9471748999999998</v>
      </c>
      <c r="AQ488" s="10">
        <v>3.9349660000000002</v>
      </c>
      <c r="AR488" s="10">
        <v>3.9240862000000001</v>
      </c>
      <c r="AS488" s="10">
        <v>3.9143384000000001</v>
      </c>
      <c r="AT488" s="10">
        <v>3.9055471000000002</v>
      </c>
      <c r="AU488" s="10">
        <v>3.8976321</v>
      </c>
      <c r="AV488" s="10">
        <v>3.8905403999999999</v>
      </c>
      <c r="AW488" s="10">
        <v>3.8842181</v>
      </c>
      <c r="AX488" s="10">
        <v>3.8786117999999998</v>
      </c>
      <c r="AY488" s="10">
        <v>3.8736682</v>
      </c>
      <c r="AZ488" s="10">
        <v>3.8693336</v>
      </c>
      <c r="BA488" s="10">
        <v>3.8655545</v>
      </c>
      <c r="BB488" s="10">
        <v>3.8622776000000001</v>
      </c>
      <c r="BC488" s="10">
        <v>3.8594491999999998</v>
      </c>
      <c r="BD488" s="10">
        <v>3.8570158999999999</v>
      </c>
      <c r="BE488" s="10">
        <v>3.8549243</v>
      </c>
      <c r="BF488" s="10">
        <v>3.8531278000000002</v>
      </c>
      <c r="BG488" s="10">
        <v>3.8516181999999999</v>
      </c>
      <c r="BH488" s="10">
        <v>3.8503997999999999</v>
      </c>
      <c r="BI488" s="10">
        <v>3.8494769999999998</v>
      </c>
      <c r="BJ488" s="10">
        <v>3.8488543000000002</v>
      </c>
      <c r="BK488" s="10">
        <v>3.8485360000000002</v>
      </c>
      <c r="BL488" s="10">
        <v>3.8485266</v>
      </c>
      <c r="BM488" s="10">
        <v>3.8488304000000002</v>
      </c>
      <c r="BN488" s="10">
        <v>3.8494519999999999</v>
      </c>
      <c r="BO488" s="10">
        <v>3.8503956000000001</v>
      </c>
      <c r="BP488" s="10">
        <v>3.8516656999999999</v>
      </c>
      <c r="BQ488" s="10">
        <v>3.8532666999999998</v>
      </c>
      <c r="BR488" s="10">
        <v>3.8696554999999999</v>
      </c>
      <c r="BS488" s="10">
        <v>3.8965340999999998</v>
      </c>
      <c r="BU488" s="7">
        <v>4.7300000000000004</v>
      </c>
      <c r="BV488" s="7">
        <v>4.38</v>
      </c>
      <c r="BW488" s="9">
        <v>81.193100000000001</v>
      </c>
    </row>
    <row r="489" spans="1:75" x14ac:dyDescent="0.25">
      <c r="A489" s="6">
        <f t="shared" si="47"/>
        <v>45237</v>
      </c>
      <c r="B489" s="13">
        <f t="shared" si="42"/>
        <v>11</v>
      </c>
      <c r="C489" s="13">
        <f t="shared" si="43"/>
        <v>2023</v>
      </c>
      <c r="D489">
        <f t="shared" si="44"/>
        <v>202311</v>
      </c>
      <c r="E489">
        <f t="shared" si="45"/>
        <v>4</v>
      </c>
      <c r="F489">
        <f t="shared" si="46"/>
        <v>202304</v>
      </c>
      <c r="G489" t="s">
        <v>676</v>
      </c>
      <c r="H489" s="9">
        <v>5.25</v>
      </c>
      <c r="I489" s="9">
        <v>5.1863999999999999</v>
      </c>
      <c r="J489" s="10">
        <v>5.1957456000000004</v>
      </c>
      <c r="K489" s="10">
        <v>5.2146743999999998</v>
      </c>
      <c r="L489" s="10">
        <v>5.2224003000000003</v>
      </c>
      <c r="M489" s="10">
        <v>5.2120537000000002</v>
      </c>
      <c r="N489" s="10">
        <v>5.1820161999999996</v>
      </c>
      <c r="O489" s="10">
        <v>5.1346178</v>
      </c>
      <c r="P489" s="10">
        <v>5.0745778000000001</v>
      </c>
      <c r="Q489" s="10">
        <v>5.0078490000000002</v>
      </c>
      <c r="R489" s="10">
        <v>4.9389209000000003</v>
      </c>
      <c r="S489" s="10">
        <v>4.8704859999999996</v>
      </c>
      <c r="T489" s="10">
        <v>4.8035791999999997</v>
      </c>
      <c r="U489" s="10">
        <v>4.7382198000000004</v>
      </c>
      <c r="V489" s="10">
        <v>4.6730846000000001</v>
      </c>
      <c r="W489" s="10">
        <v>4.6083078000000004</v>
      </c>
      <c r="X489" s="10">
        <v>4.5445492999999999</v>
      </c>
      <c r="Y489" s="10">
        <v>4.4824666000000004</v>
      </c>
      <c r="Z489" s="10">
        <v>4.4227175000000001</v>
      </c>
      <c r="AA489" s="10">
        <v>4.3659618</v>
      </c>
      <c r="AB489" s="10">
        <v>4.3127238999999999</v>
      </c>
      <c r="AC489" s="10">
        <v>4.2630207999999996</v>
      </c>
      <c r="AD489" s="10">
        <v>4.2167507000000004</v>
      </c>
      <c r="AE489" s="10">
        <v>4.1738097999999999</v>
      </c>
      <c r="AF489" s="10">
        <v>4.1340946000000001</v>
      </c>
      <c r="AG489" s="10">
        <v>4.0975029000000003</v>
      </c>
      <c r="AH489" s="10">
        <v>4.0639199000000001</v>
      </c>
      <c r="AI489" s="10">
        <v>4.0331808999999996</v>
      </c>
      <c r="AJ489" s="10">
        <v>4.0051082999999998</v>
      </c>
      <c r="AK489" s="10">
        <v>3.9795237999999999</v>
      </c>
      <c r="AL489" s="10">
        <v>3.9562488999999998</v>
      </c>
      <c r="AM489" s="10">
        <v>3.9351060000000002</v>
      </c>
      <c r="AN489" s="10">
        <v>3.9159168000000002</v>
      </c>
      <c r="AO489" s="10">
        <v>3.8985026999999999</v>
      </c>
      <c r="AP489" s="10">
        <v>3.8826863</v>
      </c>
      <c r="AQ489" s="10">
        <v>3.8682889999999999</v>
      </c>
      <c r="AR489" s="10">
        <v>3.8551326000000001</v>
      </c>
      <c r="AS489" s="10">
        <v>3.8430393</v>
      </c>
      <c r="AT489" s="10">
        <v>3.8318482</v>
      </c>
      <c r="AU489" s="10">
        <v>3.8214929999999998</v>
      </c>
      <c r="AV489" s="10">
        <v>3.8119390000000002</v>
      </c>
      <c r="AW489" s="10">
        <v>3.8031516000000001</v>
      </c>
      <c r="AX489" s="10">
        <v>3.7950957000000001</v>
      </c>
      <c r="AY489" s="10">
        <v>3.7877369999999999</v>
      </c>
      <c r="AZ489" s="10">
        <v>3.7810405</v>
      </c>
      <c r="BA489" s="10">
        <v>3.7749714999999999</v>
      </c>
      <c r="BB489" s="10">
        <v>3.7694955000000001</v>
      </c>
      <c r="BC489" s="10">
        <v>3.7645775000000001</v>
      </c>
      <c r="BD489" s="10">
        <v>3.7601827999999999</v>
      </c>
      <c r="BE489" s="10">
        <v>3.7562769</v>
      </c>
      <c r="BF489" s="10">
        <v>3.7528283999999998</v>
      </c>
      <c r="BG489" s="10">
        <v>3.7498231</v>
      </c>
      <c r="BH489" s="10">
        <v>3.7472522000000001</v>
      </c>
      <c r="BI489" s="10">
        <v>3.7451064999999999</v>
      </c>
      <c r="BJ489" s="10">
        <v>3.7433771999999998</v>
      </c>
      <c r="BK489" s="10">
        <v>3.7420551999999998</v>
      </c>
      <c r="BL489" s="10">
        <v>3.7411316000000001</v>
      </c>
      <c r="BM489" s="10">
        <v>3.7405973000000001</v>
      </c>
      <c r="BN489" s="10">
        <v>3.7404435</v>
      </c>
      <c r="BO489" s="10">
        <v>3.7406611000000001</v>
      </c>
      <c r="BP489" s="10">
        <v>3.7412412000000002</v>
      </c>
      <c r="BQ489" s="10">
        <v>3.7421747999999999</v>
      </c>
      <c r="BR489" s="10">
        <v>3.754712</v>
      </c>
      <c r="BS489" s="10">
        <v>3.7778075000000002</v>
      </c>
      <c r="BU489" s="7">
        <v>4.6399999999999997</v>
      </c>
      <c r="BV489" s="7">
        <v>4.28</v>
      </c>
      <c r="BW489" s="9">
        <v>80.88</v>
      </c>
    </row>
    <row r="490" spans="1:75" x14ac:dyDescent="0.25">
      <c r="A490" s="6">
        <f t="shared" si="47"/>
        <v>45238</v>
      </c>
      <c r="B490" s="13">
        <f t="shared" si="42"/>
        <v>11</v>
      </c>
      <c r="C490" s="13">
        <f t="shared" si="43"/>
        <v>2023</v>
      </c>
      <c r="D490">
        <f t="shared" si="44"/>
        <v>202311</v>
      </c>
      <c r="E490">
        <f t="shared" si="45"/>
        <v>4</v>
      </c>
      <c r="F490">
        <f t="shared" si="46"/>
        <v>202304</v>
      </c>
      <c r="G490" t="s">
        <v>677</v>
      </c>
      <c r="H490" s="9">
        <v>5.25</v>
      </c>
      <c r="I490" s="9">
        <v>5.1866000000000003</v>
      </c>
      <c r="J490" s="10">
        <v>5.1975255999999996</v>
      </c>
      <c r="K490" s="10">
        <v>5.2245942999999997</v>
      </c>
      <c r="L490" s="10">
        <v>5.2403608999999998</v>
      </c>
      <c r="M490" s="10">
        <v>5.2369532000000003</v>
      </c>
      <c r="N490" s="10">
        <v>5.211703</v>
      </c>
      <c r="O490" s="10">
        <v>5.1663183999999998</v>
      </c>
      <c r="P490" s="10">
        <v>5.1062447999999998</v>
      </c>
      <c r="Q490" s="10">
        <v>5.0382471000000004</v>
      </c>
      <c r="R490" s="10">
        <v>4.9677325999999997</v>
      </c>
      <c r="S490" s="10">
        <v>4.8977785999999996</v>
      </c>
      <c r="T490" s="10">
        <v>4.8294915999999999</v>
      </c>
      <c r="U490" s="10">
        <v>4.7627680999999997</v>
      </c>
      <c r="V490" s="10">
        <v>4.6960312000000002</v>
      </c>
      <c r="W490" s="10">
        <v>4.6293230000000003</v>
      </c>
      <c r="X490" s="10">
        <v>4.5632666999999998</v>
      </c>
      <c r="Y490" s="10">
        <v>4.4984831999999999</v>
      </c>
      <c r="Z490" s="10">
        <v>4.4355932999999999</v>
      </c>
      <c r="AA490" s="10">
        <v>4.3752202999999996</v>
      </c>
      <c r="AB490" s="10">
        <v>4.3178903000000002</v>
      </c>
      <c r="AC490" s="10">
        <v>4.2637685000000003</v>
      </c>
      <c r="AD490" s="10">
        <v>4.2129363</v>
      </c>
      <c r="AE490" s="10">
        <v>4.1654730999999998</v>
      </c>
      <c r="AF490" s="10">
        <v>4.1214585000000001</v>
      </c>
      <c r="AG490" s="10">
        <v>4.0809734999999998</v>
      </c>
      <c r="AH490" s="10">
        <v>4.0440598000000003</v>
      </c>
      <c r="AI490" s="10">
        <v>4.0105559</v>
      </c>
      <c r="AJ490" s="10">
        <v>3.9802330000000001</v>
      </c>
      <c r="AK490" s="10">
        <v>3.9528612000000001</v>
      </c>
      <c r="AL490" s="10">
        <v>3.9282108</v>
      </c>
      <c r="AM490" s="10">
        <v>3.9060527999999999</v>
      </c>
      <c r="AN490" s="10">
        <v>3.8861574000000001</v>
      </c>
      <c r="AO490" s="10">
        <v>3.8682948000000001</v>
      </c>
      <c r="AP490" s="10">
        <v>3.852236</v>
      </c>
      <c r="AQ490" s="10">
        <v>3.8377512</v>
      </c>
      <c r="AR490" s="10">
        <v>3.8246107999999999</v>
      </c>
      <c r="AS490" s="10">
        <v>3.8125855999999998</v>
      </c>
      <c r="AT490" s="10">
        <v>3.8014708000000001</v>
      </c>
      <c r="AU490" s="10">
        <v>3.7911834999999998</v>
      </c>
      <c r="AV490" s="10">
        <v>3.7816781000000002</v>
      </c>
      <c r="AW490" s="10">
        <v>3.7729086000000001</v>
      </c>
      <c r="AX490" s="10">
        <v>3.7648291</v>
      </c>
      <c r="AY490" s="10">
        <v>3.7573940000000001</v>
      </c>
      <c r="AZ490" s="10">
        <v>3.7505571999999998</v>
      </c>
      <c r="BA490" s="10">
        <v>3.7442730000000002</v>
      </c>
      <c r="BB490" s="10">
        <v>3.7384957000000001</v>
      </c>
      <c r="BC490" s="10">
        <v>3.7331791999999999</v>
      </c>
      <c r="BD490" s="10">
        <v>3.7282777999999999</v>
      </c>
      <c r="BE490" s="10">
        <v>3.7237458000000001</v>
      </c>
      <c r="BF490" s="10">
        <v>3.7195442000000001</v>
      </c>
      <c r="BG490" s="10">
        <v>3.7156652000000001</v>
      </c>
      <c r="BH490" s="10">
        <v>3.7121095999999998</v>
      </c>
      <c r="BI490" s="10">
        <v>3.7088782</v>
      </c>
      <c r="BJ490" s="10">
        <v>3.7059715</v>
      </c>
      <c r="BK490" s="10">
        <v>3.7033904999999998</v>
      </c>
      <c r="BL490" s="10">
        <v>3.7011357999999999</v>
      </c>
      <c r="BM490" s="10">
        <v>3.6992080999999999</v>
      </c>
      <c r="BN490" s="10">
        <v>3.6976081999999999</v>
      </c>
      <c r="BO490" s="10">
        <v>3.6963368000000001</v>
      </c>
      <c r="BP490" s="10">
        <v>3.6953946000000002</v>
      </c>
      <c r="BQ490" s="10">
        <v>3.6947823999999998</v>
      </c>
      <c r="BR490" s="10">
        <v>3.6978278000000002</v>
      </c>
      <c r="BS490" s="10">
        <v>3.7113906000000001</v>
      </c>
      <c r="BU490" s="7">
        <v>4.63</v>
      </c>
      <c r="BV490" s="7">
        <v>4.24</v>
      </c>
      <c r="BW490" s="9">
        <v>80.713499999999996</v>
      </c>
    </row>
    <row r="491" spans="1:75" x14ac:dyDescent="0.25">
      <c r="A491" s="6">
        <f t="shared" si="47"/>
        <v>45239</v>
      </c>
      <c r="B491" s="13">
        <f t="shared" si="42"/>
        <v>11</v>
      </c>
      <c r="C491" s="13">
        <f t="shared" si="43"/>
        <v>2023</v>
      </c>
      <c r="D491">
        <f t="shared" si="44"/>
        <v>202311</v>
      </c>
      <c r="E491">
        <f t="shared" si="45"/>
        <v>4</v>
      </c>
      <c r="F491">
        <f t="shared" si="46"/>
        <v>202304</v>
      </c>
      <c r="G491" t="s">
        <v>678</v>
      </c>
      <c r="H491" s="9">
        <v>5.25</v>
      </c>
      <c r="I491" s="9">
        <v>5.1866000000000003</v>
      </c>
      <c r="J491" s="10">
        <v>5.1946408000000002</v>
      </c>
      <c r="K491" s="10">
        <v>5.2179555999999998</v>
      </c>
      <c r="L491" s="10">
        <v>5.2299625000000001</v>
      </c>
      <c r="M491" s="10">
        <v>5.2235497999999998</v>
      </c>
      <c r="N491" s="10">
        <v>5.1962304000000001</v>
      </c>
      <c r="O491" s="10">
        <v>5.1506654999999997</v>
      </c>
      <c r="P491" s="10">
        <v>5.0922023000000003</v>
      </c>
      <c r="Q491" s="10">
        <v>5.0270124999999997</v>
      </c>
      <c r="R491" s="10">
        <v>4.9595476999999999</v>
      </c>
      <c r="S491" s="10">
        <v>4.8922672</v>
      </c>
      <c r="T491" s="10">
        <v>4.8260360000000002</v>
      </c>
      <c r="U491" s="10">
        <v>4.7606278</v>
      </c>
      <c r="V491" s="10">
        <v>4.6940508999999997</v>
      </c>
      <c r="W491" s="10">
        <v>4.6264158000000002</v>
      </c>
      <c r="X491" s="10">
        <v>4.5587321000000003</v>
      </c>
      <c r="Y491" s="10">
        <v>4.4920077999999997</v>
      </c>
      <c r="Z491" s="10">
        <v>4.4272507000000001</v>
      </c>
      <c r="AA491" s="10">
        <v>4.3654710999999997</v>
      </c>
      <c r="AB491" s="10">
        <v>4.3074899000000002</v>
      </c>
      <c r="AC491" s="10">
        <v>4.2534162000000002</v>
      </c>
      <c r="AD491" s="10">
        <v>4.2031913999999997</v>
      </c>
      <c r="AE491" s="10">
        <v>4.1567550000000004</v>
      </c>
      <c r="AF491" s="10">
        <v>4.1140469</v>
      </c>
      <c r="AG491" s="10">
        <v>4.0750082000000001</v>
      </c>
      <c r="AH491" s="10">
        <v>4.0395561000000004</v>
      </c>
      <c r="AI491" s="10">
        <v>4.0074978000000003</v>
      </c>
      <c r="AJ491" s="10">
        <v>3.9786085999999998</v>
      </c>
      <c r="AK491" s="10">
        <v>3.9526623000000001</v>
      </c>
      <c r="AL491" s="10">
        <v>3.9294327999999998</v>
      </c>
      <c r="AM491" s="10">
        <v>3.9086951000000001</v>
      </c>
      <c r="AN491" s="10">
        <v>3.8902230000000002</v>
      </c>
      <c r="AO491" s="10">
        <v>3.8737908000000001</v>
      </c>
      <c r="AP491" s="10">
        <v>3.8591731</v>
      </c>
      <c r="AQ491" s="10">
        <v>3.8461439999999998</v>
      </c>
      <c r="AR491" s="10">
        <v>3.8344776</v>
      </c>
      <c r="AS491" s="10">
        <v>3.8239483999999999</v>
      </c>
      <c r="AT491" s="10">
        <v>3.8143577999999998</v>
      </c>
      <c r="AU491" s="10">
        <v>3.8056266000000001</v>
      </c>
      <c r="AV491" s="10">
        <v>3.7977091000000001</v>
      </c>
      <c r="AW491" s="10">
        <v>3.790559</v>
      </c>
      <c r="AX491" s="10">
        <v>3.7841304</v>
      </c>
      <c r="AY491" s="10">
        <v>3.7783774000000001</v>
      </c>
      <c r="AZ491" s="10">
        <v>3.7732538999999998</v>
      </c>
      <c r="BA491" s="10">
        <v>3.7687138999999998</v>
      </c>
      <c r="BB491" s="10">
        <v>3.7647115000000002</v>
      </c>
      <c r="BC491" s="10">
        <v>3.7612006999999998</v>
      </c>
      <c r="BD491" s="10">
        <v>3.7581353000000002</v>
      </c>
      <c r="BE491" s="10">
        <v>3.7554694999999998</v>
      </c>
      <c r="BF491" s="10">
        <v>3.7531631000000001</v>
      </c>
      <c r="BG491" s="10">
        <v>3.7512015000000001</v>
      </c>
      <c r="BH491" s="10">
        <v>3.7495772999999999</v>
      </c>
      <c r="BI491" s="10">
        <v>3.7482829999999998</v>
      </c>
      <c r="BJ491" s="10">
        <v>3.7473112999999998</v>
      </c>
      <c r="BK491" s="10">
        <v>3.7466547000000001</v>
      </c>
      <c r="BL491" s="10">
        <v>3.7463057000000002</v>
      </c>
      <c r="BM491" s="10">
        <v>3.7462569000000001</v>
      </c>
      <c r="BN491" s="10">
        <v>3.7465009</v>
      </c>
      <c r="BO491" s="10">
        <v>3.7470302000000002</v>
      </c>
      <c r="BP491" s="10">
        <v>3.7478373999999999</v>
      </c>
      <c r="BQ491" s="10">
        <v>3.7489151000000001</v>
      </c>
      <c r="BR491" s="10">
        <v>3.7607539000000001</v>
      </c>
      <c r="BS491" s="10">
        <v>3.7811281999999999</v>
      </c>
      <c r="BU491" s="7">
        <v>4.62</v>
      </c>
      <c r="BV491" s="7">
        <v>4.28</v>
      </c>
      <c r="BW491" s="9">
        <v>80.663700000000006</v>
      </c>
    </row>
    <row r="492" spans="1:75" x14ac:dyDescent="0.25">
      <c r="A492" s="6">
        <f t="shared" si="47"/>
        <v>45240</v>
      </c>
      <c r="B492" s="13">
        <f t="shared" si="42"/>
        <v>11</v>
      </c>
      <c r="C492" s="13">
        <f t="shared" si="43"/>
        <v>2023</v>
      </c>
      <c r="D492">
        <f t="shared" si="44"/>
        <v>202311</v>
      </c>
      <c r="E492">
        <f t="shared" si="45"/>
        <v>4</v>
      </c>
      <c r="F492">
        <f t="shared" si="46"/>
        <v>202304</v>
      </c>
      <c r="G492" t="s">
        <v>679</v>
      </c>
      <c r="H492" s="9">
        <v>5.25</v>
      </c>
      <c r="I492" s="9">
        <v>5.1868999999999996</v>
      </c>
      <c r="J492" s="10">
        <v>5.1962845</v>
      </c>
      <c r="K492" s="10">
        <v>5.2185921000000004</v>
      </c>
      <c r="L492" s="10">
        <v>5.2302977000000004</v>
      </c>
      <c r="M492" s="10">
        <v>5.22431</v>
      </c>
      <c r="N492" s="10">
        <v>5.1988265</v>
      </c>
      <c r="O492" s="10">
        <v>5.1565893000000003</v>
      </c>
      <c r="P492" s="10">
        <v>5.1027190999999998</v>
      </c>
      <c r="Q492" s="10">
        <v>5.0429712999999996</v>
      </c>
      <c r="R492" s="10">
        <v>4.9815567999999999</v>
      </c>
      <c r="S492" s="10">
        <v>4.9207974999999999</v>
      </c>
      <c r="T492" s="10">
        <v>4.8613990999999999</v>
      </c>
      <c r="U492" s="10">
        <v>4.8030727000000004</v>
      </c>
      <c r="V492" s="10">
        <v>4.7440572000000003</v>
      </c>
      <c r="W492" s="10">
        <v>4.6843605999999998</v>
      </c>
      <c r="X492" s="10">
        <v>4.6246824000000002</v>
      </c>
      <c r="Y492" s="10">
        <v>4.5657202000000003</v>
      </c>
      <c r="Z492" s="10">
        <v>4.5081714000000002</v>
      </c>
      <c r="AA492" s="10">
        <v>4.4527356999999999</v>
      </c>
      <c r="AB492" s="10">
        <v>4.4000199000000002</v>
      </c>
      <c r="AC492" s="10">
        <v>4.3502103999999999</v>
      </c>
      <c r="AD492" s="10">
        <v>4.3033738000000001</v>
      </c>
      <c r="AE492" s="10">
        <v>4.2595745000000003</v>
      </c>
      <c r="AF492" s="10">
        <v>4.2188771999999997</v>
      </c>
      <c r="AG492" s="10">
        <v>4.1813482000000004</v>
      </c>
      <c r="AH492" s="10">
        <v>4.1470117999999996</v>
      </c>
      <c r="AI492" s="10">
        <v>4.1157145000000002</v>
      </c>
      <c r="AJ492" s="10">
        <v>4.0872549999999999</v>
      </c>
      <c r="AK492" s="10">
        <v>4.0614308000000001</v>
      </c>
      <c r="AL492" s="10">
        <v>4.0380393999999997</v>
      </c>
      <c r="AM492" s="10">
        <v>4.0168793000000003</v>
      </c>
      <c r="AN492" s="10">
        <v>3.9977480000000001</v>
      </c>
      <c r="AO492" s="10">
        <v>3.9804431</v>
      </c>
      <c r="AP492" s="10">
        <v>3.9647630999999999</v>
      </c>
      <c r="AQ492" s="10">
        <v>3.9505053999999999</v>
      </c>
      <c r="AR492" s="10">
        <v>3.9374677999999999</v>
      </c>
      <c r="AS492" s="10">
        <v>3.9254484999999999</v>
      </c>
      <c r="AT492" s="10">
        <v>3.9142693999999998</v>
      </c>
      <c r="AU492" s="10">
        <v>3.9038599999999999</v>
      </c>
      <c r="AV492" s="10">
        <v>3.8941794999999999</v>
      </c>
      <c r="AW492" s="10">
        <v>3.8851868999999999</v>
      </c>
      <c r="AX492" s="10">
        <v>3.8768411999999999</v>
      </c>
      <c r="AY492" s="10">
        <v>3.8691016999999999</v>
      </c>
      <c r="AZ492" s="10">
        <v>3.8619271999999998</v>
      </c>
      <c r="BA492" s="10">
        <v>3.8552770000000001</v>
      </c>
      <c r="BB492" s="10">
        <v>3.8491100999999999</v>
      </c>
      <c r="BC492" s="10">
        <v>3.8433855000000001</v>
      </c>
      <c r="BD492" s="10">
        <v>3.8380624000000001</v>
      </c>
      <c r="BE492" s="10">
        <v>3.8330999000000001</v>
      </c>
      <c r="BF492" s="10">
        <v>3.8284631999999998</v>
      </c>
      <c r="BG492" s="10">
        <v>3.8241456999999999</v>
      </c>
      <c r="BH492" s="10">
        <v>3.8201483999999999</v>
      </c>
      <c r="BI492" s="10">
        <v>3.8164722000000002</v>
      </c>
      <c r="BJ492" s="10">
        <v>3.8131178999999999</v>
      </c>
      <c r="BK492" s="10">
        <v>3.8100866</v>
      </c>
      <c r="BL492" s="10">
        <v>3.8073790999999999</v>
      </c>
      <c r="BM492" s="10">
        <v>3.8049965000000001</v>
      </c>
      <c r="BN492" s="10">
        <v>3.8029397</v>
      </c>
      <c r="BO492" s="10">
        <v>3.8012095000000001</v>
      </c>
      <c r="BP492" s="10">
        <v>3.7998069999999999</v>
      </c>
      <c r="BQ492" s="10">
        <v>3.7987331000000002</v>
      </c>
      <c r="BR492" s="10">
        <v>3.7991025</v>
      </c>
      <c r="BS492" s="10">
        <v>3.8106768999999998</v>
      </c>
      <c r="BU492" s="7">
        <v>4.66</v>
      </c>
      <c r="BV492" s="7">
        <v>4.33</v>
      </c>
      <c r="BW492" s="9">
        <v>80.2958</v>
      </c>
    </row>
    <row r="493" spans="1:75" x14ac:dyDescent="0.25">
      <c r="A493" s="6">
        <f t="shared" si="47"/>
        <v>45243</v>
      </c>
      <c r="B493" s="13">
        <f t="shared" si="42"/>
        <v>11</v>
      </c>
      <c r="C493" s="13">
        <f t="shared" si="43"/>
        <v>2023</v>
      </c>
      <c r="D493">
        <f t="shared" si="44"/>
        <v>202311</v>
      </c>
      <c r="E493">
        <f t="shared" si="45"/>
        <v>4</v>
      </c>
      <c r="F493">
        <f t="shared" si="46"/>
        <v>202304</v>
      </c>
      <c r="G493" t="s">
        <v>680</v>
      </c>
      <c r="H493" s="9">
        <v>5.25</v>
      </c>
      <c r="I493" s="9">
        <v>5.1867000000000001</v>
      </c>
      <c r="J493" s="10">
        <v>5.1978396</v>
      </c>
      <c r="K493" s="10">
        <v>5.2201180000000003</v>
      </c>
      <c r="L493" s="10">
        <v>5.2305989999999998</v>
      </c>
      <c r="M493" s="10">
        <v>5.2226897000000001</v>
      </c>
      <c r="N493" s="10">
        <v>5.1955429000000004</v>
      </c>
      <c r="O493" s="10">
        <v>5.1519224000000001</v>
      </c>
      <c r="P493" s="10">
        <v>5.0965077000000001</v>
      </c>
      <c r="Q493" s="10">
        <v>5.0349386999999997</v>
      </c>
      <c r="R493" s="10">
        <v>4.9715030999999996</v>
      </c>
      <c r="S493" s="10">
        <v>4.9088019999999997</v>
      </c>
      <c r="T493" s="10">
        <v>4.8480205999999999</v>
      </c>
      <c r="U493" s="10">
        <v>4.7892900999999997</v>
      </c>
      <c r="V493" s="10">
        <v>4.7315301999999999</v>
      </c>
      <c r="W493" s="10">
        <v>4.6746759000000004</v>
      </c>
      <c r="X493" s="10">
        <v>4.6190556000000003</v>
      </c>
      <c r="Y493" s="10">
        <v>4.5649953999999999</v>
      </c>
      <c r="Z493" s="10">
        <v>4.5128216999999999</v>
      </c>
      <c r="AA493" s="10">
        <v>4.4628626999999996</v>
      </c>
      <c r="AB493" s="10">
        <v>4.4153826</v>
      </c>
      <c r="AC493" s="10">
        <v>4.3704096000000003</v>
      </c>
      <c r="AD493" s="10">
        <v>4.3279167999999997</v>
      </c>
      <c r="AE493" s="10">
        <v>4.2878762000000004</v>
      </c>
      <c r="AF493" s="10">
        <v>4.2502595000000003</v>
      </c>
      <c r="AG493" s="10">
        <v>4.2150401000000004</v>
      </c>
      <c r="AH493" s="10">
        <v>4.1821738000000002</v>
      </c>
      <c r="AI493" s="10">
        <v>4.1515469999999999</v>
      </c>
      <c r="AJ493" s="10">
        <v>4.1230276000000003</v>
      </c>
      <c r="AK493" s="10">
        <v>4.0964824999999996</v>
      </c>
      <c r="AL493" s="10">
        <v>4.0717787000000003</v>
      </c>
      <c r="AM493" s="10">
        <v>4.0487840000000004</v>
      </c>
      <c r="AN493" s="10">
        <v>4.0273655000000002</v>
      </c>
      <c r="AO493" s="10">
        <v>4.00739</v>
      </c>
      <c r="AP493" s="10">
        <v>3.9887255000000001</v>
      </c>
      <c r="AQ493" s="10">
        <v>3.9712388000000001</v>
      </c>
      <c r="AR493" s="10">
        <v>3.9547971</v>
      </c>
      <c r="AS493" s="10">
        <v>3.9392681000000001</v>
      </c>
      <c r="AT493" s="10">
        <v>3.9245355000000002</v>
      </c>
      <c r="AU493" s="10">
        <v>3.9105574000000001</v>
      </c>
      <c r="AV493" s="10">
        <v>3.8973127000000001</v>
      </c>
      <c r="AW493" s="10">
        <v>3.8847798</v>
      </c>
      <c r="AX493" s="10">
        <v>3.8729372</v>
      </c>
      <c r="AY493" s="10">
        <v>3.8617637999999999</v>
      </c>
      <c r="AZ493" s="10">
        <v>3.8512379000000001</v>
      </c>
      <c r="BA493" s="10">
        <v>3.8413382</v>
      </c>
      <c r="BB493" s="10">
        <v>3.8320433999999999</v>
      </c>
      <c r="BC493" s="10">
        <v>3.8233320000000002</v>
      </c>
      <c r="BD493" s="10">
        <v>3.8151823999999999</v>
      </c>
      <c r="BE493" s="10">
        <v>3.8075736</v>
      </c>
      <c r="BF493" s="10">
        <v>3.8004861000000001</v>
      </c>
      <c r="BG493" s="10">
        <v>3.7939115000000001</v>
      </c>
      <c r="BH493" s="10">
        <v>3.7878455999999998</v>
      </c>
      <c r="BI493" s="10">
        <v>3.7822838000000001</v>
      </c>
      <c r="BJ493" s="10">
        <v>3.7772215999999998</v>
      </c>
      <c r="BK493" s="10">
        <v>3.7726546999999999</v>
      </c>
      <c r="BL493" s="10">
        <v>3.7685784999999998</v>
      </c>
      <c r="BM493" s="10">
        <v>3.7649886000000001</v>
      </c>
      <c r="BN493" s="10">
        <v>3.7618806</v>
      </c>
      <c r="BO493" s="10">
        <v>3.7592498000000001</v>
      </c>
      <c r="BP493" s="10">
        <v>3.7570920000000001</v>
      </c>
      <c r="BQ493" s="10">
        <v>3.7554026</v>
      </c>
      <c r="BR493" s="10">
        <v>3.7545951999999998</v>
      </c>
      <c r="BS493" s="10">
        <v>3.7679421</v>
      </c>
      <c r="BU493" s="7">
        <v>4.66</v>
      </c>
      <c r="BV493" s="7">
        <v>4.32</v>
      </c>
      <c r="BW493" s="9">
        <v>80.600999999999999</v>
      </c>
    </row>
    <row r="494" spans="1:75" x14ac:dyDescent="0.25">
      <c r="A494" s="6">
        <f t="shared" si="47"/>
        <v>45244</v>
      </c>
      <c r="B494" s="13">
        <f t="shared" si="42"/>
        <v>11</v>
      </c>
      <c r="C494" s="13">
        <f t="shared" si="43"/>
        <v>2023</v>
      </c>
      <c r="D494">
        <f t="shared" si="44"/>
        <v>202311</v>
      </c>
      <c r="E494">
        <f t="shared" si="45"/>
        <v>4</v>
      </c>
      <c r="F494">
        <f t="shared" si="46"/>
        <v>202304</v>
      </c>
      <c r="G494" t="s">
        <v>681</v>
      </c>
      <c r="H494" s="9">
        <v>5.25</v>
      </c>
      <c r="I494" s="9">
        <v>5.1871999999999998</v>
      </c>
      <c r="J494" s="10">
        <v>5.1968021999999996</v>
      </c>
      <c r="K494" s="10">
        <v>5.2135382999999997</v>
      </c>
      <c r="L494" s="10">
        <v>5.216259</v>
      </c>
      <c r="M494" s="10">
        <v>5.1976703000000004</v>
      </c>
      <c r="N494" s="10">
        <v>5.1578263</v>
      </c>
      <c r="O494" s="10">
        <v>5.1006564000000001</v>
      </c>
      <c r="P494" s="10">
        <v>5.0315574999999999</v>
      </c>
      <c r="Q494" s="10">
        <v>4.9565678999999996</v>
      </c>
      <c r="R494" s="10">
        <v>4.8800765000000004</v>
      </c>
      <c r="S494" s="10">
        <v>4.8046655999999999</v>
      </c>
      <c r="T494" s="10">
        <v>4.7315247999999999</v>
      </c>
      <c r="U494" s="10">
        <v>4.6610367999999998</v>
      </c>
      <c r="V494" s="10">
        <v>4.5924386999999998</v>
      </c>
      <c r="W494" s="10">
        <v>4.5257608999999999</v>
      </c>
      <c r="X494" s="10">
        <v>4.4613516000000004</v>
      </c>
      <c r="Y494" s="10">
        <v>4.3995566999999998</v>
      </c>
      <c r="Z494" s="10">
        <v>4.3407220999999998</v>
      </c>
      <c r="AA494" s="10">
        <v>4.2851958999999997</v>
      </c>
      <c r="AB494" s="10">
        <v>4.2332384999999997</v>
      </c>
      <c r="AC494" s="10">
        <v>4.1847855999999997</v>
      </c>
      <c r="AD494" s="10">
        <v>4.1396972999999999</v>
      </c>
      <c r="AE494" s="10">
        <v>4.0978319000000001</v>
      </c>
      <c r="AF494" s="10">
        <v>4.0590478000000001</v>
      </c>
      <c r="AG494" s="10">
        <v>4.0232047</v>
      </c>
      <c r="AH494" s="10">
        <v>3.9901564999999999</v>
      </c>
      <c r="AI494" s="10">
        <v>3.9597364000000002</v>
      </c>
      <c r="AJ494" s="10">
        <v>3.9317730000000002</v>
      </c>
      <c r="AK494" s="10">
        <v>3.9060939000000001</v>
      </c>
      <c r="AL494" s="10">
        <v>3.8825267999999999</v>
      </c>
      <c r="AM494" s="10">
        <v>3.8609000999999998</v>
      </c>
      <c r="AN494" s="10">
        <v>3.8410416000000001</v>
      </c>
      <c r="AO494" s="10">
        <v>3.8227788999999999</v>
      </c>
      <c r="AP494" s="10">
        <v>3.8059403999999999</v>
      </c>
      <c r="AQ494" s="10">
        <v>3.7903536999999998</v>
      </c>
      <c r="AR494" s="10">
        <v>3.7758468000000001</v>
      </c>
      <c r="AS494" s="10">
        <v>3.7622477999999999</v>
      </c>
      <c r="AT494" s="10">
        <v>3.7494027999999999</v>
      </c>
      <c r="AU494" s="10">
        <v>3.7372562999999999</v>
      </c>
      <c r="AV494" s="10">
        <v>3.7257863000000002</v>
      </c>
      <c r="AW494" s="10">
        <v>3.7149705000000002</v>
      </c>
      <c r="AX494" s="10">
        <v>3.7047864000000001</v>
      </c>
      <c r="AY494" s="10">
        <v>3.6952120000000002</v>
      </c>
      <c r="AZ494" s="10">
        <v>3.6862249</v>
      </c>
      <c r="BA494" s="10">
        <v>3.6778027</v>
      </c>
      <c r="BB494" s="10">
        <v>3.6699234000000001</v>
      </c>
      <c r="BC494" s="10">
        <v>3.6625646000000001</v>
      </c>
      <c r="BD494" s="10">
        <v>3.6557038999999998</v>
      </c>
      <c r="BE494" s="10">
        <v>3.6493191999999999</v>
      </c>
      <c r="BF494" s="10">
        <v>3.6433909999999998</v>
      </c>
      <c r="BG494" s="10">
        <v>3.6379125999999999</v>
      </c>
      <c r="BH494" s="10">
        <v>3.6328819000000001</v>
      </c>
      <c r="BI494" s="10">
        <v>3.6282964</v>
      </c>
      <c r="BJ494" s="10">
        <v>3.6241536000000001</v>
      </c>
      <c r="BK494" s="10">
        <v>3.6204512000000002</v>
      </c>
      <c r="BL494" s="10">
        <v>3.6171869000000001</v>
      </c>
      <c r="BM494" s="10">
        <v>3.6143581</v>
      </c>
      <c r="BN494" s="10">
        <v>3.6119625000000002</v>
      </c>
      <c r="BO494" s="10">
        <v>3.6099977000000001</v>
      </c>
      <c r="BP494" s="10">
        <v>3.6084613000000001</v>
      </c>
      <c r="BQ494" s="10">
        <v>3.607351</v>
      </c>
      <c r="BR494" s="10">
        <v>3.6091620999999998</v>
      </c>
      <c r="BS494" s="10">
        <v>3.6236288999999999</v>
      </c>
      <c r="BU494" s="7">
        <v>4.5599999999999996</v>
      </c>
      <c r="BV494" s="7">
        <v>4.16</v>
      </c>
      <c r="BW494" s="9">
        <v>81.298500000000004</v>
      </c>
    </row>
    <row r="495" spans="1:75" x14ac:dyDescent="0.25">
      <c r="A495" s="6">
        <f t="shared" si="47"/>
        <v>45245</v>
      </c>
      <c r="B495" s="13">
        <f t="shared" si="42"/>
        <v>11</v>
      </c>
      <c r="C495" s="13">
        <f t="shared" si="43"/>
        <v>2023</v>
      </c>
      <c r="D495">
        <f t="shared" si="44"/>
        <v>202311</v>
      </c>
      <c r="E495">
        <f t="shared" si="45"/>
        <v>4</v>
      </c>
      <c r="F495">
        <f t="shared" si="46"/>
        <v>202304</v>
      </c>
      <c r="G495" t="s">
        <v>682</v>
      </c>
      <c r="H495" s="9">
        <v>5.25</v>
      </c>
      <c r="I495" s="9">
        <v>5.1867999999999999</v>
      </c>
      <c r="J495" s="10">
        <v>5.1890970000000003</v>
      </c>
      <c r="K495" s="10">
        <v>5.2031073000000001</v>
      </c>
      <c r="L495" s="10">
        <v>5.2076519000000001</v>
      </c>
      <c r="M495" s="10">
        <v>5.1914346</v>
      </c>
      <c r="N495" s="10">
        <v>5.1534078000000001</v>
      </c>
      <c r="O495" s="10">
        <v>5.0975726000000003</v>
      </c>
      <c r="P495" s="10">
        <v>5.0304142000000001</v>
      </c>
      <c r="Q495" s="10">
        <v>4.9585163999999997</v>
      </c>
      <c r="R495" s="10">
        <v>4.8865736999999996</v>
      </c>
      <c r="S495" s="10">
        <v>4.8169621999999999</v>
      </c>
      <c r="T495" s="10">
        <v>4.7504562000000004</v>
      </c>
      <c r="U495" s="10">
        <v>4.6868653</v>
      </c>
      <c r="V495" s="10">
        <v>4.6249077999999999</v>
      </c>
      <c r="W495" s="10">
        <v>4.5643877000000002</v>
      </c>
      <c r="X495" s="10">
        <v>4.5055050000000003</v>
      </c>
      <c r="Y495" s="10">
        <v>4.4484579999999996</v>
      </c>
      <c r="Z495" s="10">
        <v>4.3934448000000001</v>
      </c>
      <c r="AA495" s="10">
        <v>4.3406653000000004</v>
      </c>
      <c r="AB495" s="10">
        <v>4.2902972999999998</v>
      </c>
      <c r="AC495" s="10">
        <v>4.2424400999999996</v>
      </c>
      <c r="AD495" s="10">
        <v>4.1971762000000004</v>
      </c>
      <c r="AE495" s="10">
        <v>4.1545863000000001</v>
      </c>
      <c r="AF495" s="10">
        <v>4.1147514000000003</v>
      </c>
      <c r="AG495" s="10">
        <v>4.0777538</v>
      </c>
      <c r="AH495" s="10">
        <v>4.0436442000000001</v>
      </c>
      <c r="AI495" s="10">
        <v>4.0123113999999998</v>
      </c>
      <c r="AJ495" s="10">
        <v>3.9835910999999999</v>
      </c>
      <c r="AK495" s="10">
        <v>3.9573176000000001</v>
      </c>
      <c r="AL495" s="10">
        <v>3.9333255</v>
      </c>
      <c r="AM495" s="10">
        <v>3.9114501000000002</v>
      </c>
      <c r="AN495" s="10">
        <v>3.8915259</v>
      </c>
      <c r="AO495" s="10">
        <v>3.8733876</v>
      </c>
      <c r="AP495" s="10">
        <v>3.8568704</v>
      </c>
      <c r="AQ495" s="10">
        <v>3.8418087999999999</v>
      </c>
      <c r="AR495" s="10">
        <v>3.8280375000000002</v>
      </c>
      <c r="AS495" s="10">
        <v>3.8153915999999999</v>
      </c>
      <c r="AT495" s="10">
        <v>3.8037214000000001</v>
      </c>
      <c r="AU495" s="10">
        <v>3.7929534999999999</v>
      </c>
      <c r="AV495" s="10">
        <v>3.7830377999999998</v>
      </c>
      <c r="AW495" s="10">
        <v>3.7739242000000002</v>
      </c>
      <c r="AX495" s="10">
        <v>3.7655623</v>
      </c>
      <c r="AY495" s="10">
        <v>3.7579022000000002</v>
      </c>
      <c r="AZ495" s="10">
        <v>3.7508937000000002</v>
      </c>
      <c r="BA495" s="10">
        <v>3.7444864999999998</v>
      </c>
      <c r="BB495" s="10">
        <v>3.7386306</v>
      </c>
      <c r="BC495" s="10">
        <v>3.7332757999999999</v>
      </c>
      <c r="BD495" s="10">
        <v>3.7283718000000001</v>
      </c>
      <c r="BE495" s="10">
        <v>3.7238687000000001</v>
      </c>
      <c r="BF495" s="10">
        <v>3.7197235000000002</v>
      </c>
      <c r="BG495" s="10">
        <v>3.7159255</v>
      </c>
      <c r="BH495" s="10">
        <v>3.7124728999999999</v>
      </c>
      <c r="BI495" s="10">
        <v>3.7093641000000002</v>
      </c>
      <c r="BJ495" s="10">
        <v>3.7065971000000002</v>
      </c>
      <c r="BK495" s="10">
        <v>3.7041702000000001</v>
      </c>
      <c r="BL495" s="10">
        <v>3.7020816000000001</v>
      </c>
      <c r="BM495" s="10">
        <v>3.7003295999999999</v>
      </c>
      <c r="BN495" s="10">
        <v>3.6989122999999999</v>
      </c>
      <c r="BO495" s="10">
        <v>3.6978279999999999</v>
      </c>
      <c r="BP495" s="10">
        <v>3.6970749000000001</v>
      </c>
      <c r="BQ495" s="10">
        <v>3.6966511</v>
      </c>
      <c r="BR495" s="10">
        <v>3.7007813000000001</v>
      </c>
      <c r="BS495" s="10">
        <v>3.7154303999999998</v>
      </c>
      <c r="BU495" s="7">
        <v>4.6100000000000003</v>
      </c>
      <c r="BV495" s="7">
        <v>4.2300000000000004</v>
      </c>
      <c r="BW495" s="9">
        <v>80.969499999999996</v>
      </c>
    </row>
    <row r="496" spans="1:75" x14ac:dyDescent="0.25">
      <c r="A496" s="6">
        <f t="shared" si="47"/>
        <v>45246</v>
      </c>
      <c r="B496" s="13">
        <f t="shared" si="42"/>
        <v>11</v>
      </c>
      <c r="C496" s="13">
        <f t="shared" si="43"/>
        <v>2023</v>
      </c>
      <c r="D496">
        <f t="shared" si="44"/>
        <v>202311</v>
      </c>
      <c r="E496">
        <f t="shared" si="45"/>
        <v>4</v>
      </c>
      <c r="F496">
        <f t="shared" si="46"/>
        <v>202304</v>
      </c>
      <c r="G496" t="s">
        <v>683</v>
      </c>
      <c r="H496" s="9">
        <v>5.25</v>
      </c>
      <c r="I496" s="9">
        <v>5.1874000000000002</v>
      </c>
      <c r="J496" s="10">
        <v>5.1879286999999996</v>
      </c>
      <c r="K496" s="10">
        <v>5.1988956999999996</v>
      </c>
      <c r="L496" s="10">
        <v>5.2019691999999997</v>
      </c>
      <c r="M496" s="10">
        <v>5.1851624000000003</v>
      </c>
      <c r="N496" s="10">
        <v>5.1450943999999996</v>
      </c>
      <c r="O496" s="10">
        <v>5.0858425</v>
      </c>
      <c r="P496" s="10">
        <v>5.0136472000000003</v>
      </c>
      <c r="Q496" s="10">
        <v>4.9352992999999996</v>
      </c>
      <c r="R496" s="10">
        <v>4.8558139999999996</v>
      </c>
      <c r="S496" s="10">
        <v>4.7778644000000003</v>
      </c>
      <c r="T496" s="10">
        <v>4.7024699999999999</v>
      </c>
      <c r="U496" s="10">
        <v>4.6295425999999997</v>
      </c>
      <c r="V496" s="10">
        <v>4.5573962999999997</v>
      </c>
      <c r="W496" s="10">
        <v>4.4860287000000003</v>
      </c>
      <c r="X496" s="10">
        <v>4.4161712</v>
      </c>
      <c r="Y496" s="10">
        <v>4.3485531999999996</v>
      </c>
      <c r="Z496" s="10">
        <v>4.2839042000000003</v>
      </c>
      <c r="AA496" s="10">
        <v>4.2229559999999999</v>
      </c>
      <c r="AB496" s="10">
        <v>4.1662819000000004</v>
      </c>
      <c r="AC496" s="10">
        <v>4.1138602000000004</v>
      </c>
      <c r="AD496" s="10">
        <v>4.0655295000000002</v>
      </c>
      <c r="AE496" s="10">
        <v>4.0211264</v>
      </c>
      <c r="AF496" s="10">
        <v>3.9804879999999998</v>
      </c>
      <c r="AG496" s="10">
        <v>3.9434524</v>
      </c>
      <c r="AH496" s="10">
        <v>3.9098476999999998</v>
      </c>
      <c r="AI496" s="10">
        <v>3.8794591</v>
      </c>
      <c r="AJ496" s="10">
        <v>3.8520599</v>
      </c>
      <c r="AK496" s="10">
        <v>3.8274221000000002</v>
      </c>
      <c r="AL496" s="10">
        <v>3.8053178999999999</v>
      </c>
      <c r="AM496" s="10">
        <v>3.7855205000000001</v>
      </c>
      <c r="AN496" s="10">
        <v>3.7678020000000001</v>
      </c>
      <c r="AO496" s="10">
        <v>3.7519347000000001</v>
      </c>
      <c r="AP496" s="10">
        <v>3.7376914999999999</v>
      </c>
      <c r="AQ496" s="10">
        <v>3.7248446</v>
      </c>
      <c r="AR496" s="10">
        <v>3.7131664999999998</v>
      </c>
      <c r="AS496" s="10">
        <v>3.7024298</v>
      </c>
      <c r="AT496" s="10">
        <v>3.6924367</v>
      </c>
      <c r="AU496" s="10">
        <v>3.6831204</v>
      </c>
      <c r="AV496" s="10">
        <v>3.6744504999999998</v>
      </c>
      <c r="AW496" s="10">
        <v>3.6663964999999998</v>
      </c>
      <c r="AX496" s="10">
        <v>3.6589277999999998</v>
      </c>
      <c r="AY496" s="10">
        <v>3.6520139999999999</v>
      </c>
      <c r="AZ496" s="10">
        <v>3.6456246999999999</v>
      </c>
      <c r="BA496" s="10">
        <v>3.6397292000000001</v>
      </c>
      <c r="BB496" s="10">
        <v>3.6342971999999998</v>
      </c>
      <c r="BC496" s="10">
        <v>3.6292981000000002</v>
      </c>
      <c r="BD496" s="10">
        <v>3.6247014000000002</v>
      </c>
      <c r="BE496" s="10">
        <v>3.6204767000000002</v>
      </c>
      <c r="BF496" s="10">
        <v>3.6165978000000001</v>
      </c>
      <c r="BG496" s="10">
        <v>3.6130580000000001</v>
      </c>
      <c r="BH496" s="10">
        <v>3.6098560000000002</v>
      </c>
      <c r="BI496" s="10">
        <v>3.6069905000000002</v>
      </c>
      <c r="BJ496" s="10">
        <v>3.6044600999999998</v>
      </c>
      <c r="BK496" s="10">
        <v>3.6022634</v>
      </c>
      <c r="BL496" s="10">
        <v>3.6003992</v>
      </c>
      <c r="BM496" s="10">
        <v>3.5988660000000001</v>
      </c>
      <c r="BN496" s="10">
        <v>3.5976625000000002</v>
      </c>
      <c r="BO496" s="10">
        <v>3.5967875</v>
      </c>
      <c r="BP496" s="10">
        <v>3.5962394</v>
      </c>
      <c r="BQ496" s="10">
        <v>3.5960169999999998</v>
      </c>
      <c r="BR496" s="10">
        <v>3.6012985</v>
      </c>
      <c r="BS496" s="10">
        <v>3.6170553999999999</v>
      </c>
      <c r="BU496" s="7">
        <v>4.5199999999999996</v>
      </c>
      <c r="BV496" s="7">
        <v>4.13</v>
      </c>
      <c r="BW496" s="9">
        <v>80.936599999999999</v>
      </c>
    </row>
    <row r="497" spans="1:75" x14ac:dyDescent="0.25">
      <c r="A497" s="6">
        <f t="shared" si="47"/>
        <v>45247</v>
      </c>
      <c r="B497" s="13">
        <f t="shared" si="42"/>
        <v>11</v>
      </c>
      <c r="C497" s="13">
        <f t="shared" si="43"/>
        <v>2023</v>
      </c>
      <c r="D497">
        <f t="shared" si="44"/>
        <v>202311</v>
      </c>
      <c r="E497">
        <f t="shared" si="45"/>
        <v>4</v>
      </c>
      <c r="F497">
        <f t="shared" si="46"/>
        <v>202304</v>
      </c>
      <c r="G497" t="s">
        <v>684</v>
      </c>
      <c r="H497" s="9">
        <v>5.25</v>
      </c>
      <c r="I497" s="9">
        <v>5.1881000000000004</v>
      </c>
      <c r="J497" s="10">
        <v>5.1930345999999998</v>
      </c>
      <c r="K497" s="10">
        <v>5.2019310000000001</v>
      </c>
      <c r="L497" s="10">
        <v>5.1995205999999996</v>
      </c>
      <c r="M497" s="10">
        <v>5.1776976000000001</v>
      </c>
      <c r="N497" s="10">
        <v>5.1350604999999998</v>
      </c>
      <c r="O497" s="10">
        <v>5.0750637000000003</v>
      </c>
      <c r="P497" s="10">
        <v>5.0032525999999997</v>
      </c>
      <c r="Q497" s="10">
        <v>4.9257454999999997</v>
      </c>
      <c r="R497" s="10">
        <v>4.8470130999999999</v>
      </c>
      <c r="S497" s="10">
        <v>4.7695248000000001</v>
      </c>
      <c r="T497" s="10">
        <v>4.6942706000000003</v>
      </c>
      <c r="U497" s="10">
        <v>4.6214515</v>
      </c>
      <c r="V497" s="10">
        <v>4.5501396999999999</v>
      </c>
      <c r="W497" s="10">
        <v>4.4803905999999998</v>
      </c>
      <c r="X497" s="10">
        <v>4.4126706999999996</v>
      </c>
      <c r="Y497" s="10">
        <v>4.3474443999999997</v>
      </c>
      <c r="Z497" s="10">
        <v>4.2851756999999999</v>
      </c>
      <c r="AA497" s="10">
        <v>4.2263313</v>
      </c>
      <c r="AB497" s="10">
        <v>4.1712837</v>
      </c>
      <c r="AC497" s="10">
        <v>4.1199804000000002</v>
      </c>
      <c r="AD497" s="10">
        <v>4.0722472999999999</v>
      </c>
      <c r="AE497" s="10">
        <v>4.0279086</v>
      </c>
      <c r="AF497" s="10">
        <v>3.9867887</v>
      </c>
      <c r="AG497" s="10">
        <v>3.9487133000000001</v>
      </c>
      <c r="AH497" s="10">
        <v>3.9135087</v>
      </c>
      <c r="AI497" s="10">
        <v>3.8810101000000001</v>
      </c>
      <c r="AJ497" s="10">
        <v>3.8510564</v>
      </c>
      <c r="AK497" s="10">
        <v>3.8234853000000002</v>
      </c>
      <c r="AL497" s="10">
        <v>3.7981345000000002</v>
      </c>
      <c r="AM497" s="10">
        <v>3.7748427000000002</v>
      </c>
      <c r="AN497" s="10">
        <v>3.7534478</v>
      </c>
      <c r="AO497" s="10">
        <v>3.7337874000000002</v>
      </c>
      <c r="AP497" s="10">
        <v>3.7157002000000001</v>
      </c>
      <c r="AQ497" s="10">
        <v>3.6990240999999999</v>
      </c>
      <c r="AR497" s="10">
        <v>3.6835968000000001</v>
      </c>
      <c r="AS497" s="10">
        <v>3.6692567999999999</v>
      </c>
      <c r="AT497" s="10">
        <v>3.6558614999999999</v>
      </c>
      <c r="AU497" s="10">
        <v>3.6433532999999998</v>
      </c>
      <c r="AV497" s="10">
        <v>3.6316991000000001</v>
      </c>
      <c r="AW497" s="10">
        <v>3.6208651000000001</v>
      </c>
      <c r="AX497" s="10">
        <v>3.6108175</v>
      </c>
      <c r="AY497" s="10">
        <v>3.6015229999999998</v>
      </c>
      <c r="AZ497" s="10">
        <v>3.5929479</v>
      </c>
      <c r="BA497" s="10">
        <v>3.5850583999999999</v>
      </c>
      <c r="BB497" s="10">
        <v>3.5778211</v>
      </c>
      <c r="BC497" s="10">
        <v>3.5712024000000002</v>
      </c>
      <c r="BD497" s="10">
        <v>3.5651684000000001</v>
      </c>
      <c r="BE497" s="10">
        <v>3.5596858999999998</v>
      </c>
      <c r="BF497" s="10">
        <v>3.5547243000000002</v>
      </c>
      <c r="BG497" s="10">
        <v>3.5502679000000001</v>
      </c>
      <c r="BH497" s="10">
        <v>3.5463049</v>
      </c>
      <c r="BI497" s="10">
        <v>3.5428234999999999</v>
      </c>
      <c r="BJ497" s="10">
        <v>3.5398119000000001</v>
      </c>
      <c r="BK497" s="10">
        <v>3.5372583</v>
      </c>
      <c r="BL497" s="10">
        <v>3.5351509000000001</v>
      </c>
      <c r="BM497" s="10">
        <v>3.5334780000000001</v>
      </c>
      <c r="BN497" s="10">
        <v>3.5322277</v>
      </c>
      <c r="BO497" s="10">
        <v>3.5313883000000001</v>
      </c>
      <c r="BP497" s="10">
        <v>3.530948</v>
      </c>
      <c r="BQ497" s="10">
        <v>3.5308948999999998</v>
      </c>
      <c r="BR497" s="10">
        <v>3.5381482000000002</v>
      </c>
      <c r="BS497" s="10">
        <v>3.5569823999999999</v>
      </c>
      <c r="BU497" s="7">
        <v>4.5199999999999996</v>
      </c>
      <c r="BV497" s="7">
        <v>4.0999999999999996</v>
      </c>
      <c r="BW497" s="9">
        <v>80.8249</v>
      </c>
    </row>
    <row r="498" spans="1:75" x14ac:dyDescent="0.25">
      <c r="A498" s="6">
        <f t="shared" si="47"/>
        <v>45250</v>
      </c>
      <c r="B498" s="13">
        <f t="shared" si="42"/>
        <v>11</v>
      </c>
      <c r="C498" s="13">
        <f t="shared" si="43"/>
        <v>2023</v>
      </c>
      <c r="D498">
        <f t="shared" si="44"/>
        <v>202311</v>
      </c>
      <c r="E498">
        <f t="shared" si="45"/>
        <v>4</v>
      </c>
      <c r="F498">
        <f t="shared" si="46"/>
        <v>202304</v>
      </c>
      <c r="G498" t="s">
        <v>685</v>
      </c>
      <c r="H498" s="9">
        <v>5.25</v>
      </c>
      <c r="I498" s="9">
        <v>5.1882000000000001</v>
      </c>
      <c r="J498" s="10">
        <v>5.1946189</v>
      </c>
      <c r="K498" s="10">
        <v>5.2038587999999999</v>
      </c>
      <c r="L498" s="10">
        <v>5.1998918999999999</v>
      </c>
      <c r="M498" s="10">
        <v>5.1752414</v>
      </c>
      <c r="N498" s="10">
        <v>5.1301480000000002</v>
      </c>
      <c r="O498" s="10">
        <v>5.0688336999999999</v>
      </c>
      <c r="P498" s="10">
        <v>4.9969653000000003</v>
      </c>
      <c r="Q498" s="10">
        <v>4.9207957999999996</v>
      </c>
      <c r="R498" s="10">
        <v>4.8449435999999997</v>
      </c>
      <c r="S498" s="10">
        <v>4.7717403000000003</v>
      </c>
      <c r="T498" s="10">
        <v>4.7020194999999996</v>
      </c>
      <c r="U498" s="10">
        <v>4.6355421000000003</v>
      </c>
      <c r="V498" s="10">
        <v>4.5707642000000002</v>
      </c>
      <c r="W498" s="10">
        <v>4.5074674000000003</v>
      </c>
      <c r="X498" s="10">
        <v>4.4459258000000004</v>
      </c>
      <c r="Y498" s="10">
        <v>4.3864112999999998</v>
      </c>
      <c r="Z498" s="10">
        <v>4.3291959000000002</v>
      </c>
      <c r="AA498" s="10">
        <v>4.2745536</v>
      </c>
      <c r="AB498" s="10">
        <v>4.2227060999999999</v>
      </c>
      <c r="AC498" s="10">
        <v>4.1736832000000001</v>
      </c>
      <c r="AD498" s="10">
        <v>4.1274706999999999</v>
      </c>
      <c r="AE498" s="10">
        <v>4.0840528999999997</v>
      </c>
      <c r="AF498" s="10">
        <v>4.0434140000000003</v>
      </c>
      <c r="AG498" s="10">
        <v>4.0055396999999999</v>
      </c>
      <c r="AH498" s="10">
        <v>3.9703925999999998</v>
      </c>
      <c r="AI498" s="10">
        <v>3.9378402000000001</v>
      </c>
      <c r="AJ498" s="10">
        <v>3.9077245999999999</v>
      </c>
      <c r="AK498" s="10">
        <v>3.8798868</v>
      </c>
      <c r="AL498" s="10">
        <v>3.854168</v>
      </c>
      <c r="AM498" s="10">
        <v>3.8304100999999999</v>
      </c>
      <c r="AN498" s="10">
        <v>3.8084543000000002</v>
      </c>
      <c r="AO498" s="10">
        <v>3.7881417000000002</v>
      </c>
      <c r="AP498" s="10">
        <v>3.7693143</v>
      </c>
      <c r="AQ498" s="10">
        <v>3.7518132</v>
      </c>
      <c r="AR498" s="10">
        <v>3.7354796000000001</v>
      </c>
      <c r="AS498" s="10">
        <v>3.7201553999999999</v>
      </c>
      <c r="AT498" s="10">
        <v>3.7057020999999999</v>
      </c>
      <c r="AU498" s="10">
        <v>3.6920712</v>
      </c>
      <c r="AV498" s="10">
        <v>3.6792392999999999</v>
      </c>
      <c r="AW498" s="10">
        <v>3.6671828</v>
      </c>
      <c r="AX498" s="10">
        <v>3.6558777999999998</v>
      </c>
      <c r="AY498" s="10">
        <v>3.6453011000000002</v>
      </c>
      <c r="AZ498" s="10">
        <v>3.6354288000000001</v>
      </c>
      <c r="BA498" s="10">
        <v>3.6262373999999999</v>
      </c>
      <c r="BB498" s="10">
        <v>3.6177033000000001</v>
      </c>
      <c r="BC498" s="10">
        <v>3.6098029999999999</v>
      </c>
      <c r="BD498" s="10">
        <v>3.6025125999999998</v>
      </c>
      <c r="BE498" s="10">
        <v>3.5958087999999999</v>
      </c>
      <c r="BF498" s="10">
        <v>3.5896699999999999</v>
      </c>
      <c r="BG498" s="10">
        <v>3.5840862000000002</v>
      </c>
      <c r="BH498" s="10">
        <v>3.5790513000000002</v>
      </c>
      <c r="BI498" s="10">
        <v>3.5745591000000001</v>
      </c>
      <c r="BJ498" s="10">
        <v>3.5706033000000001</v>
      </c>
      <c r="BK498" s="10">
        <v>3.5671781</v>
      </c>
      <c r="BL498" s="10">
        <v>3.5642771</v>
      </c>
      <c r="BM498" s="10">
        <v>3.5618941999999998</v>
      </c>
      <c r="BN498" s="10">
        <v>3.5600233000000001</v>
      </c>
      <c r="BO498" s="10">
        <v>3.5586582</v>
      </c>
      <c r="BP498" s="10">
        <v>3.5577926999999998</v>
      </c>
      <c r="BQ498" s="10">
        <v>3.5574207000000002</v>
      </c>
      <c r="BR498" s="10">
        <v>3.5648564999999999</v>
      </c>
      <c r="BS498" s="10">
        <v>3.5863499999999999</v>
      </c>
      <c r="BU498" s="7">
        <v>4.53</v>
      </c>
      <c r="BV498" s="7">
        <v>4.13</v>
      </c>
      <c r="BW498" s="9">
        <v>80.889200000000002</v>
      </c>
    </row>
    <row r="499" spans="1:75" x14ac:dyDescent="0.25">
      <c r="A499" s="6">
        <f t="shared" si="47"/>
        <v>45251</v>
      </c>
      <c r="B499" s="13">
        <f t="shared" si="42"/>
        <v>11</v>
      </c>
      <c r="C499" s="13">
        <f t="shared" si="43"/>
        <v>2023</v>
      </c>
      <c r="D499">
        <f t="shared" si="44"/>
        <v>202311</v>
      </c>
      <c r="E499">
        <f t="shared" si="45"/>
        <v>4</v>
      </c>
      <c r="F499">
        <f t="shared" si="46"/>
        <v>202304</v>
      </c>
      <c r="G499" t="s">
        <v>686</v>
      </c>
      <c r="H499" s="9">
        <v>5.25</v>
      </c>
      <c r="I499" s="9">
        <v>5.1885000000000003</v>
      </c>
      <c r="J499" s="10">
        <v>5.195837</v>
      </c>
      <c r="K499" s="10">
        <v>5.2092593999999997</v>
      </c>
      <c r="L499" s="10">
        <v>5.2126479999999997</v>
      </c>
      <c r="M499" s="10">
        <v>5.1960812000000001</v>
      </c>
      <c r="N499" s="10">
        <v>5.1579286</v>
      </c>
      <c r="O499" s="10">
        <v>5.1018848999999999</v>
      </c>
      <c r="P499" s="10">
        <v>5.0340942999999996</v>
      </c>
      <c r="Q499" s="10">
        <v>4.9609646999999999</v>
      </c>
      <c r="R499" s="10">
        <v>4.8861176000000004</v>
      </c>
      <c r="S499" s="10">
        <v>4.8111534000000002</v>
      </c>
      <c r="T499" s="10">
        <v>4.7367819000000004</v>
      </c>
      <c r="U499" s="10">
        <v>4.6635507</v>
      </c>
      <c r="V499" s="10">
        <v>4.5929431999999997</v>
      </c>
      <c r="W499" s="10">
        <v>4.5254519999999996</v>
      </c>
      <c r="X499" s="10">
        <v>4.4612018999999998</v>
      </c>
      <c r="Y499" s="10">
        <v>4.4003152999999999</v>
      </c>
      <c r="Z499" s="10">
        <v>4.3429146999999997</v>
      </c>
      <c r="AA499" s="10">
        <v>4.2891246000000001</v>
      </c>
      <c r="AB499" s="10">
        <v>4.2389983000000004</v>
      </c>
      <c r="AC499" s="10">
        <v>4.1923260999999998</v>
      </c>
      <c r="AD499" s="10">
        <v>4.1488373999999997</v>
      </c>
      <c r="AE499" s="10">
        <v>4.1082597999999999</v>
      </c>
      <c r="AF499" s="10">
        <v>4.0703209999999999</v>
      </c>
      <c r="AG499" s="10">
        <v>4.0347502000000004</v>
      </c>
      <c r="AH499" s="10">
        <v>4.0013006999999998</v>
      </c>
      <c r="AI499" s="10">
        <v>3.9698395</v>
      </c>
      <c r="AJ499" s="10">
        <v>3.9402658000000002</v>
      </c>
      <c r="AK499" s="10">
        <v>3.9124778999999998</v>
      </c>
      <c r="AL499" s="10">
        <v>3.8863739000000002</v>
      </c>
      <c r="AM499" s="10">
        <v>3.861853</v>
      </c>
      <c r="AN499" s="10">
        <v>3.8388135999999999</v>
      </c>
      <c r="AO499" s="10">
        <v>3.8171537</v>
      </c>
      <c r="AP499" s="10">
        <v>3.7967726000000002</v>
      </c>
      <c r="AQ499" s="10">
        <v>3.7775683999999998</v>
      </c>
      <c r="AR499" s="10">
        <v>3.7594395999999999</v>
      </c>
      <c r="AS499" s="10">
        <v>3.7422851000000001</v>
      </c>
      <c r="AT499" s="10">
        <v>3.7260133999999998</v>
      </c>
      <c r="AU499" s="10">
        <v>3.7105880999999998</v>
      </c>
      <c r="AV499" s="10">
        <v>3.6959914999999999</v>
      </c>
      <c r="AW499" s="10">
        <v>3.6822056999999999</v>
      </c>
      <c r="AX499" s="10">
        <v>3.6692125999999998</v>
      </c>
      <c r="AY499" s="10">
        <v>3.6569946</v>
      </c>
      <c r="AZ499" s="10">
        <v>3.6455337000000001</v>
      </c>
      <c r="BA499" s="10">
        <v>3.6348118999999999</v>
      </c>
      <c r="BB499" s="10">
        <v>3.6248114999999999</v>
      </c>
      <c r="BC499" s="10">
        <v>3.6155145000000002</v>
      </c>
      <c r="BD499" s="10">
        <v>3.606903</v>
      </c>
      <c r="BE499" s="10">
        <v>3.5989591999999999</v>
      </c>
      <c r="BF499" s="10">
        <v>3.591666</v>
      </c>
      <c r="BG499" s="10">
        <v>3.58501</v>
      </c>
      <c r="BH499" s="10">
        <v>3.5789791000000002</v>
      </c>
      <c r="BI499" s="10">
        <v>3.5735611</v>
      </c>
      <c r="BJ499" s="10">
        <v>3.5687437000000002</v>
      </c>
      <c r="BK499" s="10">
        <v>3.5645150000000001</v>
      </c>
      <c r="BL499" s="10">
        <v>3.5608626999999999</v>
      </c>
      <c r="BM499" s="10">
        <v>3.5577744999999998</v>
      </c>
      <c r="BN499" s="10">
        <v>3.5552385000000002</v>
      </c>
      <c r="BO499" s="10">
        <v>3.5532423</v>
      </c>
      <c r="BP499" s="10">
        <v>3.5517737999999999</v>
      </c>
      <c r="BQ499" s="10">
        <v>3.5508209000000002</v>
      </c>
      <c r="BR499" s="10">
        <v>3.5550761</v>
      </c>
      <c r="BS499" s="10">
        <v>3.5737681000000001</v>
      </c>
      <c r="BU499" s="7">
        <v>4.58</v>
      </c>
      <c r="BV499" s="7">
        <v>4.1399999999999997</v>
      </c>
      <c r="BW499" s="9">
        <v>81.121899999999997</v>
      </c>
    </row>
    <row r="500" spans="1:75" x14ac:dyDescent="0.25">
      <c r="A500" s="6">
        <f t="shared" si="47"/>
        <v>45252</v>
      </c>
      <c r="B500" s="13">
        <f t="shared" si="42"/>
        <v>11</v>
      </c>
      <c r="C500" s="13">
        <f t="shared" si="43"/>
        <v>2023</v>
      </c>
      <c r="D500">
        <f t="shared" si="44"/>
        <v>202311</v>
      </c>
      <c r="E500">
        <f t="shared" si="45"/>
        <v>4</v>
      </c>
      <c r="F500">
        <f t="shared" si="46"/>
        <v>202304</v>
      </c>
      <c r="G500" t="s">
        <v>687</v>
      </c>
      <c r="H500" s="9">
        <v>5.25</v>
      </c>
      <c r="I500" s="9">
        <v>5.1887999999999996</v>
      </c>
      <c r="J500" s="10">
        <v>5.1970774999999998</v>
      </c>
      <c r="K500" s="10">
        <v>5.2145869999999999</v>
      </c>
      <c r="L500" s="10">
        <v>5.2221786999999997</v>
      </c>
      <c r="M500" s="10">
        <v>5.2116698000000001</v>
      </c>
      <c r="N500" s="10">
        <v>5.1816294999999997</v>
      </c>
      <c r="O500" s="10">
        <v>5.1348973999999998</v>
      </c>
      <c r="P500" s="10">
        <v>5.0767388000000002</v>
      </c>
      <c r="Q500" s="10">
        <v>5.0128225999999998</v>
      </c>
      <c r="R500" s="10">
        <v>4.9474352000000001</v>
      </c>
      <c r="S500" s="10">
        <v>4.8828649000000004</v>
      </c>
      <c r="T500" s="10">
        <v>4.8198496999999998</v>
      </c>
      <c r="U500" s="10">
        <v>4.7581251</v>
      </c>
      <c r="V500" s="10">
        <v>4.6958494000000002</v>
      </c>
      <c r="W500" s="10">
        <v>4.6329753</v>
      </c>
      <c r="X500" s="10">
        <v>4.5700998000000004</v>
      </c>
      <c r="Y500" s="10">
        <v>4.5078174999999998</v>
      </c>
      <c r="Z500" s="10">
        <v>4.4467232000000001</v>
      </c>
      <c r="AA500" s="10">
        <v>4.3874138</v>
      </c>
      <c r="AB500" s="10">
        <v>4.3304068999999998</v>
      </c>
      <c r="AC500" s="10">
        <v>4.2759267000000003</v>
      </c>
      <c r="AD500" s="10">
        <v>4.2241290999999999</v>
      </c>
      <c r="AE500" s="10">
        <v>4.1751683999999996</v>
      </c>
      <c r="AF500" s="10">
        <v>4.1291988000000002</v>
      </c>
      <c r="AG500" s="10">
        <v>4.0863763000000004</v>
      </c>
      <c r="AH500" s="10">
        <v>4.0468121000000004</v>
      </c>
      <c r="AI500" s="10">
        <v>4.0103863000000004</v>
      </c>
      <c r="AJ500" s="10">
        <v>3.9769025</v>
      </c>
      <c r="AK500" s="10">
        <v>3.9461632</v>
      </c>
      <c r="AL500" s="10">
        <v>3.9179708</v>
      </c>
      <c r="AM500" s="10">
        <v>3.8921288999999999</v>
      </c>
      <c r="AN500" s="10">
        <v>3.8684398</v>
      </c>
      <c r="AO500" s="10">
        <v>3.8467061</v>
      </c>
      <c r="AP500" s="10">
        <v>3.8267312000000002</v>
      </c>
      <c r="AQ500" s="10">
        <v>3.8083176000000001</v>
      </c>
      <c r="AR500" s="10">
        <v>3.7912678999999998</v>
      </c>
      <c r="AS500" s="10">
        <v>3.7753852999999999</v>
      </c>
      <c r="AT500" s="10">
        <v>3.7604936000000002</v>
      </c>
      <c r="AU500" s="10">
        <v>3.7465202</v>
      </c>
      <c r="AV500" s="10">
        <v>3.7334241000000001</v>
      </c>
      <c r="AW500" s="10">
        <v>3.7211642</v>
      </c>
      <c r="AX500" s="10">
        <v>3.7096992000000002</v>
      </c>
      <c r="AY500" s="10">
        <v>3.6989882000000001</v>
      </c>
      <c r="AZ500" s="10">
        <v>3.68899</v>
      </c>
      <c r="BA500" s="10">
        <v>3.6796633999999999</v>
      </c>
      <c r="BB500" s="10">
        <v>3.6709676</v>
      </c>
      <c r="BC500" s="10">
        <v>3.6628612</v>
      </c>
      <c r="BD500" s="10">
        <v>3.655303</v>
      </c>
      <c r="BE500" s="10">
        <v>3.6482522999999998</v>
      </c>
      <c r="BF500" s="10">
        <v>3.6416734000000002</v>
      </c>
      <c r="BG500" s="10">
        <v>3.6355564999999999</v>
      </c>
      <c r="BH500" s="10">
        <v>3.6298987</v>
      </c>
      <c r="BI500" s="10">
        <v>3.6246971000000001</v>
      </c>
      <c r="BJ500" s="10">
        <v>3.6199487000000001</v>
      </c>
      <c r="BK500" s="10">
        <v>3.6156507000000002</v>
      </c>
      <c r="BL500" s="10">
        <v>3.6118001</v>
      </c>
      <c r="BM500" s="10">
        <v>3.6083940999999999</v>
      </c>
      <c r="BN500" s="10">
        <v>3.6054297000000002</v>
      </c>
      <c r="BO500" s="10">
        <v>3.6029040000000001</v>
      </c>
      <c r="BP500" s="10">
        <v>3.6008141999999999</v>
      </c>
      <c r="BQ500" s="10">
        <v>3.5991572000000001</v>
      </c>
      <c r="BR500" s="10">
        <v>3.5978688999999999</v>
      </c>
      <c r="BS500" s="10">
        <v>3.6097462</v>
      </c>
      <c r="BU500" s="7">
        <v>4.6100000000000003</v>
      </c>
      <c r="BV500" s="7">
        <v>4.17</v>
      </c>
      <c r="BW500" s="9">
        <v>80.938400000000001</v>
      </c>
    </row>
    <row r="501" spans="1:75" x14ac:dyDescent="0.25">
      <c r="A501" s="6">
        <f t="shared" si="47"/>
        <v>45253</v>
      </c>
      <c r="B501" s="13">
        <f t="shared" si="42"/>
        <v>11</v>
      </c>
      <c r="C501" s="13">
        <f t="shared" si="43"/>
        <v>2023</v>
      </c>
      <c r="D501">
        <f t="shared" si="44"/>
        <v>202311</v>
      </c>
      <c r="E501">
        <f t="shared" si="45"/>
        <v>4</v>
      </c>
      <c r="F501">
        <f t="shared" si="46"/>
        <v>202304</v>
      </c>
      <c r="G501" t="s">
        <v>688</v>
      </c>
      <c r="H501" s="9">
        <v>5.25</v>
      </c>
      <c r="I501" s="9">
        <v>5.1882999999999999</v>
      </c>
      <c r="J501" s="10">
        <v>5.1967938</v>
      </c>
      <c r="K501" s="10">
        <v>5.2198392</v>
      </c>
      <c r="L501" s="10">
        <v>5.2371436999999998</v>
      </c>
      <c r="M501" s="10">
        <v>5.2385381999999998</v>
      </c>
      <c r="N501" s="10">
        <v>5.2198390000000003</v>
      </c>
      <c r="O501" s="10">
        <v>5.1829102000000002</v>
      </c>
      <c r="P501" s="10">
        <v>5.1321861999999996</v>
      </c>
      <c r="Q501" s="10">
        <v>5.0734091000000001</v>
      </c>
      <c r="R501" s="10">
        <v>5.0113763999999996</v>
      </c>
      <c r="S501" s="10">
        <v>4.9488596999999999</v>
      </c>
      <c r="T501" s="10">
        <v>4.8869429000000002</v>
      </c>
      <c r="U501" s="10">
        <v>4.8256671000000004</v>
      </c>
      <c r="V501" s="10">
        <v>4.7635642999999996</v>
      </c>
      <c r="W501" s="10">
        <v>4.7007433000000001</v>
      </c>
      <c r="X501" s="10">
        <v>4.6380024000000004</v>
      </c>
      <c r="Y501" s="10">
        <v>4.5761380999999997</v>
      </c>
      <c r="Z501" s="10">
        <v>4.5159471</v>
      </c>
      <c r="AA501" s="10">
        <v>4.4582281000000004</v>
      </c>
      <c r="AB501" s="10">
        <v>4.4036232000000002</v>
      </c>
      <c r="AC501" s="10">
        <v>4.3521858</v>
      </c>
      <c r="AD501" s="10">
        <v>4.3038315000000003</v>
      </c>
      <c r="AE501" s="10">
        <v>4.2584736000000003</v>
      </c>
      <c r="AF501" s="10">
        <v>4.2160257999999997</v>
      </c>
      <c r="AG501" s="10">
        <v>4.1764032000000002</v>
      </c>
      <c r="AH501" s="10">
        <v>4.1395099999999996</v>
      </c>
      <c r="AI501" s="10">
        <v>4.1052040999999999</v>
      </c>
      <c r="AJ501" s="10">
        <v>4.0733309999999996</v>
      </c>
      <c r="AK501" s="10">
        <v>4.0437344</v>
      </c>
      <c r="AL501" s="10">
        <v>4.0162585999999996</v>
      </c>
      <c r="AM501" s="10">
        <v>3.9907485</v>
      </c>
      <c r="AN501" s="10">
        <v>3.9670481999999998</v>
      </c>
      <c r="AO501" s="10">
        <v>3.9450018999999998</v>
      </c>
      <c r="AP501" s="10">
        <v>3.9244545</v>
      </c>
      <c r="AQ501" s="10">
        <v>3.9052501999999998</v>
      </c>
      <c r="AR501" s="10">
        <v>3.8872330000000002</v>
      </c>
      <c r="AS501" s="10">
        <v>3.8702478999999999</v>
      </c>
      <c r="AT501" s="10">
        <v>3.8541587000000002</v>
      </c>
      <c r="AU501" s="10">
        <v>3.8389161000000001</v>
      </c>
      <c r="AV501" s="10">
        <v>3.8244954</v>
      </c>
      <c r="AW501" s="10">
        <v>3.8108713000000001</v>
      </c>
      <c r="AX501" s="10">
        <v>3.7980182999999998</v>
      </c>
      <c r="AY501" s="10">
        <v>3.7859118999999999</v>
      </c>
      <c r="AZ501" s="10">
        <v>3.7745266000000002</v>
      </c>
      <c r="BA501" s="10">
        <v>3.7638370999999999</v>
      </c>
      <c r="BB501" s="10">
        <v>3.7538187000000001</v>
      </c>
      <c r="BC501" s="10">
        <v>3.7444459999999999</v>
      </c>
      <c r="BD501" s="10">
        <v>3.7356938999999998</v>
      </c>
      <c r="BE501" s="10">
        <v>3.7275372999999998</v>
      </c>
      <c r="BF501" s="10">
        <v>3.7199529999999998</v>
      </c>
      <c r="BG501" s="10">
        <v>3.7129264000000002</v>
      </c>
      <c r="BH501" s="10">
        <v>3.7064452999999999</v>
      </c>
      <c r="BI501" s="10">
        <v>3.7004974000000002</v>
      </c>
      <c r="BJ501" s="10">
        <v>3.6950704000000001</v>
      </c>
      <c r="BK501" s="10">
        <v>3.6901522</v>
      </c>
      <c r="BL501" s="10">
        <v>3.6857304000000002</v>
      </c>
      <c r="BM501" s="10">
        <v>3.6817929</v>
      </c>
      <c r="BN501" s="10">
        <v>3.6783275</v>
      </c>
      <c r="BO501" s="10">
        <v>3.6753217999999999</v>
      </c>
      <c r="BP501" s="10">
        <v>3.6727636000000001</v>
      </c>
      <c r="BQ501" s="10">
        <v>3.6706406999999999</v>
      </c>
      <c r="BR501" s="10">
        <v>3.6664560000000002</v>
      </c>
      <c r="BS501" s="10">
        <v>3.6754522999999999</v>
      </c>
      <c r="BU501" s="7">
        <v>4.7</v>
      </c>
      <c r="BV501" s="7">
        <v>4.25</v>
      </c>
      <c r="BW501" s="9">
        <v>81.25</v>
      </c>
    </row>
    <row r="502" spans="1:75" x14ac:dyDescent="0.25">
      <c r="A502" s="6">
        <f t="shared" si="47"/>
        <v>45254</v>
      </c>
      <c r="B502" s="13">
        <f t="shared" si="42"/>
        <v>11</v>
      </c>
      <c r="C502" s="13">
        <f t="shared" si="43"/>
        <v>2023</v>
      </c>
      <c r="D502">
        <f t="shared" si="44"/>
        <v>202311</v>
      </c>
      <c r="E502">
        <f t="shared" si="45"/>
        <v>4</v>
      </c>
      <c r="F502">
        <f t="shared" si="46"/>
        <v>202304</v>
      </c>
      <c r="G502" t="s">
        <v>689</v>
      </c>
      <c r="H502" s="9">
        <v>5.25</v>
      </c>
      <c r="I502" s="9">
        <v>5.1889000000000003</v>
      </c>
      <c r="J502" s="10">
        <v>5.1975072999999998</v>
      </c>
      <c r="K502" s="10">
        <v>5.223058</v>
      </c>
      <c r="L502" s="10">
        <v>5.2427755999999999</v>
      </c>
      <c r="M502" s="10">
        <v>5.2461712</v>
      </c>
      <c r="N502" s="10">
        <v>5.2295043999999997</v>
      </c>
      <c r="O502" s="10">
        <v>5.1948116000000004</v>
      </c>
      <c r="P502" s="10">
        <v>5.1467951000000003</v>
      </c>
      <c r="Q502" s="10">
        <v>5.0910824000000003</v>
      </c>
      <c r="R502" s="10">
        <v>5.0322655999999997</v>
      </c>
      <c r="S502" s="10">
        <v>4.9730638999999996</v>
      </c>
      <c r="T502" s="10">
        <v>4.9144893999999999</v>
      </c>
      <c r="U502" s="10">
        <v>4.8564534000000004</v>
      </c>
      <c r="V502" s="10">
        <v>4.7972291</v>
      </c>
      <c r="W502" s="10">
        <v>4.7368370999999998</v>
      </c>
      <c r="X502" s="10">
        <v>4.6759963000000004</v>
      </c>
      <c r="Y502" s="10">
        <v>4.6154232000000004</v>
      </c>
      <c r="Z502" s="10">
        <v>4.5558347000000001</v>
      </c>
      <c r="AA502" s="10">
        <v>4.4979494000000004</v>
      </c>
      <c r="AB502" s="10">
        <v>4.4424028</v>
      </c>
      <c r="AC502" s="10">
        <v>4.3894137000000004</v>
      </c>
      <c r="AD502" s="10">
        <v>4.3390696999999996</v>
      </c>
      <c r="AE502" s="10">
        <v>4.2914564999999998</v>
      </c>
      <c r="AF502" s="10">
        <v>4.2466597999999998</v>
      </c>
      <c r="AG502" s="10">
        <v>4.2047670000000004</v>
      </c>
      <c r="AH502" s="10">
        <v>4.1658257000000001</v>
      </c>
      <c r="AI502" s="10">
        <v>4.1297155999999999</v>
      </c>
      <c r="AJ502" s="10">
        <v>4.0962709999999998</v>
      </c>
      <c r="AK502" s="10">
        <v>4.0653249999999996</v>
      </c>
      <c r="AL502" s="10">
        <v>4.0367109000000001</v>
      </c>
      <c r="AM502" s="10">
        <v>4.0102630000000001</v>
      </c>
      <c r="AN502" s="10">
        <v>3.9858144000000002</v>
      </c>
      <c r="AO502" s="10">
        <v>3.9631984</v>
      </c>
      <c r="AP502" s="10">
        <v>3.9422492</v>
      </c>
      <c r="AQ502" s="10">
        <v>3.9228000999999999</v>
      </c>
      <c r="AR502" s="10">
        <v>3.9046843</v>
      </c>
      <c r="AS502" s="10">
        <v>3.8877359</v>
      </c>
      <c r="AT502" s="10">
        <v>3.8718070999999998</v>
      </c>
      <c r="AU502" s="10">
        <v>3.8568327</v>
      </c>
      <c r="AV502" s="10">
        <v>3.8427712000000001</v>
      </c>
      <c r="AW502" s="10">
        <v>3.8295804000000002</v>
      </c>
      <c r="AX502" s="10">
        <v>3.8172183</v>
      </c>
      <c r="AY502" s="10">
        <v>3.8056429999999999</v>
      </c>
      <c r="AZ502" s="10">
        <v>3.7948124999999999</v>
      </c>
      <c r="BA502" s="10">
        <v>3.7846847000000001</v>
      </c>
      <c r="BB502" s="10">
        <v>3.7752178999999999</v>
      </c>
      <c r="BC502" s="10">
        <v>3.7663700000000002</v>
      </c>
      <c r="BD502" s="10">
        <v>3.7580988</v>
      </c>
      <c r="BE502" s="10">
        <v>3.7503625999999999</v>
      </c>
      <c r="BF502" s="10">
        <v>3.7431245</v>
      </c>
      <c r="BG502" s="10">
        <v>3.73637</v>
      </c>
      <c r="BH502" s="10">
        <v>3.7300913000000002</v>
      </c>
      <c r="BI502" s="10">
        <v>3.7242801999999999</v>
      </c>
      <c r="BJ502" s="10">
        <v>3.7189285000000001</v>
      </c>
      <c r="BK502" s="10">
        <v>3.7140282999999998</v>
      </c>
      <c r="BL502" s="10">
        <v>3.7095715</v>
      </c>
      <c r="BM502" s="10">
        <v>3.7055500000000001</v>
      </c>
      <c r="BN502" s="10">
        <v>3.7019557000000001</v>
      </c>
      <c r="BO502" s="10">
        <v>3.6987804999999998</v>
      </c>
      <c r="BP502" s="10">
        <v>3.6960164</v>
      </c>
      <c r="BQ502" s="10">
        <v>3.6936553000000001</v>
      </c>
      <c r="BR502" s="10">
        <v>3.6875711999999998</v>
      </c>
      <c r="BS502" s="10">
        <v>3.6944007999999999</v>
      </c>
      <c r="BU502" s="7">
        <v>4.7</v>
      </c>
      <c r="BV502" s="7">
        <v>4.28</v>
      </c>
      <c r="BW502" s="9">
        <v>81.641300000000001</v>
      </c>
    </row>
    <row r="503" spans="1:75" x14ac:dyDescent="0.25">
      <c r="A503" s="6">
        <f t="shared" si="47"/>
        <v>45257</v>
      </c>
      <c r="B503" s="13">
        <f t="shared" si="42"/>
        <v>11</v>
      </c>
      <c r="C503" s="13">
        <f t="shared" si="43"/>
        <v>2023</v>
      </c>
      <c r="D503">
        <f t="shared" si="44"/>
        <v>202311</v>
      </c>
      <c r="E503">
        <f t="shared" si="45"/>
        <v>4</v>
      </c>
      <c r="F503">
        <f t="shared" si="46"/>
        <v>202304</v>
      </c>
      <c r="G503" t="s">
        <v>690</v>
      </c>
      <c r="H503" s="9">
        <v>5.25</v>
      </c>
      <c r="I503" s="9">
        <v>5.1879999999999997</v>
      </c>
      <c r="J503" s="10">
        <v>5.1944986000000002</v>
      </c>
      <c r="K503" s="10">
        <v>5.2133364999999996</v>
      </c>
      <c r="L503" s="10">
        <v>5.2254415999999999</v>
      </c>
      <c r="M503" s="10">
        <v>5.2200464000000002</v>
      </c>
      <c r="N503" s="10">
        <v>5.1946298000000004</v>
      </c>
      <c r="O503" s="10">
        <v>5.1515181999999999</v>
      </c>
      <c r="P503" s="10">
        <v>5.0949168</v>
      </c>
      <c r="Q503" s="10">
        <v>5.0299281000000002</v>
      </c>
      <c r="R503" s="10">
        <v>4.9612031999999999</v>
      </c>
      <c r="S503" s="10">
        <v>4.8919921999999998</v>
      </c>
      <c r="T503" s="10">
        <v>4.8238979999999998</v>
      </c>
      <c r="U503" s="10">
        <v>4.7574465999999997</v>
      </c>
      <c r="V503" s="10">
        <v>4.6919965000000001</v>
      </c>
      <c r="W503" s="10">
        <v>4.6276412999999996</v>
      </c>
      <c r="X503" s="10">
        <v>4.5647817999999996</v>
      </c>
      <c r="Y503" s="10">
        <v>4.5038169999999997</v>
      </c>
      <c r="Z503" s="10">
        <v>4.4451457000000003</v>
      </c>
      <c r="AA503" s="10">
        <v>4.3891688000000002</v>
      </c>
      <c r="AB503" s="10">
        <v>4.3362027999999997</v>
      </c>
      <c r="AC503" s="10">
        <v>4.2862505999999998</v>
      </c>
      <c r="AD503" s="10">
        <v>4.2392421000000002</v>
      </c>
      <c r="AE503" s="10">
        <v>4.1951055000000004</v>
      </c>
      <c r="AF503" s="10">
        <v>4.1537692000000002</v>
      </c>
      <c r="AG503" s="10">
        <v>4.1151628000000002</v>
      </c>
      <c r="AH503" s="10">
        <v>4.0792020000000004</v>
      </c>
      <c r="AI503" s="10">
        <v>4.0457454000000004</v>
      </c>
      <c r="AJ503" s="10">
        <v>4.0146373999999998</v>
      </c>
      <c r="AK503" s="10">
        <v>3.9857212</v>
      </c>
      <c r="AL503" s="10">
        <v>3.9588399999999999</v>
      </c>
      <c r="AM503" s="10">
        <v>3.9338378999999999</v>
      </c>
      <c r="AN503" s="10">
        <v>3.9105582000000001</v>
      </c>
      <c r="AO503" s="10">
        <v>3.8888441999999999</v>
      </c>
      <c r="AP503" s="10">
        <v>3.8685399999999999</v>
      </c>
      <c r="AQ503" s="10">
        <v>3.8494888</v>
      </c>
      <c r="AR503" s="10">
        <v>3.8315339000000002</v>
      </c>
      <c r="AS503" s="10">
        <v>3.8145193000000002</v>
      </c>
      <c r="AT503" s="10">
        <v>3.7983096000000001</v>
      </c>
      <c r="AU503" s="10">
        <v>3.7828626999999999</v>
      </c>
      <c r="AV503" s="10">
        <v>3.7681629000000001</v>
      </c>
      <c r="AW503" s="10">
        <v>3.7541940999999999</v>
      </c>
      <c r="AX503" s="10">
        <v>3.7409401</v>
      </c>
      <c r="AY503" s="10">
        <v>3.7283851000000001</v>
      </c>
      <c r="AZ503" s="10">
        <v>3.7165129000000001</v>
      </c>
      <c r="BA503" s="10">
        <v>3.7053074000000001</v>
      </c>
      <c r="BB503" s="10">
        <v>3.6947527999999998</v>
      </c>
      <c r="BC503" s="10">
        <v>3.6848329999999998</v>
      </c>
      <c r="BD503" s="10">
        <v>3.6755317999999999</v>
      </c>
      <c r="BE503" s="10">
        <v>3.6668333</v>
      </c>
      <c r="BF503" s="10">
        <v>3.6587227000000002</v>
      </c>
      <c r="BG503" s="10">
        <v>3.6511916000000002</v>
      </c>
      <c r="BH503" s="10">
        <v>3.6442337999999999</v>
      </c>
      <c r="BI503" s="10">
        <v>3.6378433000000001</v>
      </c>
      <c r="BJ503" s="10">
        <v>3.6320136000000001</v>
      </c>
      <c r="BK503" s="10">
        <v>3.6267388999999999</v>
      </c>
      <c r="BL503" s="10">
        <v>3.6220127999999998</v>
      </c>
      <c r="BM503" s="10">
        <v>3.6178292000000001</v>
      </c>
      <c r="BN503" s="10">
        <v>3.6141819000000002</v>
      </c>
      <c r="BO503" s="10">
        <v>3.6110647999999999</v>
      </c>
      <c r="BP503" s="10">
        <v>3.6084716000000001</v>
      </c>
      <c r="BQ503" s="10">
        <v>3.6063963000000001</v>
      </c>
      <c r="BR503" s="10">
        <v>3.6041884</v>
      </c>
      <c r="BS503" s="10">
        <v>3.6173223000000001</v>
      </c>
      <c r="BU503" s="7">
        <v>4.63</v>
      </c>
      <c r="BV503" s="7">
        <v>4.21</v>
      </c>
      <c r="BW503" s="9">
        <v>81.595299999999995</v>
      </c>
    </row>
    <row r="504" spans="1:75" x14ac:dyDescent="0.25">
      <c r="A504" s="6">
        <f t="shared" si="47"/>
        <v>45258</v>
      </c>
      <c r="B504" s="13">
        <f t="shared" si="42"/>
        <v>11</v>
      </c>
      <c r="C504" s="13">
        <f t="shared" si="43"/>
        <v>2023</v>
      </c>
      <c r="D504">
        <f t="shared" si="44"/>
        <v>202311</v>
      </c>
      <c r="E504">
        <f t="shared" si="45"/>
        <v>4</v>
      </c>
      <c r="F504">
        <f t="shared" si="46"/>
        <v>202304</v>
      </c>
      <c r="G504" t="s">
        <v>691</v>
      </c>
      <c r="H504" s="9">
        <v>5.25</v>
      </c>
      <c r="I504" s="9">
        <v>5.1879</v>
      </c>
      <c r="J504" s="10">
        <v>5.1942937999999996</v>
      </c>
      <c r="K504" s="10">
        <v>5.2085955000000004</v>
      </c>
      <c r="L504" s="10">
        <v>5.215554</v>
      </c>
      <c r="M504" s="10">
        <v>5.2046343999999998</v>
      </c>
      <c r="N504" s="10">
        <v>5.1733595000000001</v>
      </c>
      <c r="O504" s="10">
        <v>5.1242638999999999</v>
      </c>
      <c r="P504" s="10">
        <v>5.0616300000000001</v>
      </c>
      <c r="Q504" s="10">
        <v>4.9907832000000001</v>
      </c>
      <c r="R504" s="10">
        <v>4.9164060999999997</v>
      </c>
      <c r="S504" s="10">
        <v>4.841691</v>
      </c>
      <c r="T504" s="10">
        <v>4.7681965000000002</v>
      </c>
      <c r="U504" s="10">
        <v>4.6965782000000003</v>
      </c>
      <c r="V504" s="10">
        <v>4.6264371000000004</v>
      </c>
      <c r="W504" s="10">
        <v>4.5579777000000004</v>
      </c>
      <c r="X504" s="10">
        <v>4.4916575999999999</v>
      </c>
      <c r="Y504" s="10">
        <v>4.4279323000000002</v>
      </c>
      <c r="Z504" s="10">
        <v>4.3672572000000001</v>
      </c>
      <c r="AA504" s="10">
        <v>4.3100899000000004</v>
      </c>
      <c r="AB504" s="10">
        <v>4.2567668000000003</v>
      </c>
      <c r="AC504" s="10">
        <v>4.2071711000000001</v>
      </c>
      <c r="AD504" s="10">
        <v>4.1610798000000004</v>
      </c>
      <c r="AE504" s="10">
        <v>4.1182680999999999</v>
      </c>
      <c r="AF504" s="10">
        <v>4.0785115000000003</v>
      </c>
      <c r="AG504" s="10">
        <v>4.0415866999999999</v>
      </c>
      <c r="AH504" s="10">
        <v>4.0072805000000002</v>
      </c>
      <c r="AI504" s="10">
        <v>3.9754293999999999</v>
      </c>
      <c r="AJ504" s="10">
        <v>3.9458848999999998</v>
      </c>
      <c r="AK504" s="10">
        <v>3.9184975</v>
      </c>
      <c r="AL504" s="10">
        <v>3.8931174999999998</v>
      </c>
      <c r="AM504" s="10">
        <v>3.8695963</v>
      </c>
      <c r="AN504" s="10">
        <v>3.8477844000000001</v>
      </c>
      <c r="AO504" s="10">
        <v>3.8275321999999998</v>
      </c>
      <c r="AP504" s="10">
        <v>3.808691</v>
      </c>
      <c r="AQ504" s="10">
        <v>3.7911112</v>
      </c>
      <c r="AR504" s="10">
        <v>3.7746434999999998</v>
      </c>
      <c r="AS504" s="10">
        <v>3.7591389999999998</v>
      </c>
      <c r="AT504" s="10">
        <v>3.7444641000000001</v>
      </c>
      <c r="AU504" s="10">
        <v>3.7305712</v>
      </c>
      <c r="AV504" s="10">
        <v>3.7174418</v>
      </c>
      <c r="AW504" s="10">
        <v>3.705057</v>
      </c>
      <c r="AX504" s="10">
        <v>3.6933980000000002</v>
      </c>
      <c r="AY504" s="10">
        <v>3.6824461999999998</v>
      </c>
      <c r="AZ504" s="10">
        <v>3.6721827</v>
      </c>
      <c r="BA504" s="10">
        <v>3.6625888</v>
      </c>
      <c r="BB504" s="10">
        <v>3.6536458000000001</v>
      </c>
      <c r="BC504" s="10">
        <v>3.6453350000000002</v>
      </c>
      <c r="BD504" s="10">
        <v>3.6376374999999999</v>
      </c>
      <c r="BE504" s="10">
        <v>3.6305347000000001</v>
      </c>
      <c r="BF504" s="10">
        <v>3.624009</v>
      </c>
      <c r="BG504" s="10">
        <v>3.6180493</v>
      </c>
      <c r="BH504" s="10">
        <v>3.6126463000000002</v>
      </c>
      <c r="BI504" s="10">
        <v>3.6077908000000001</v>
      </c>
      <c r="BJ504" s="10">
        <v>3.6034733999999999</v>
      </c>
      <c r="BK504" s="10">
        <v>3.5996847999999999</v>
      </c>
      <c r="BL504" s="10">
        <v>3.5964159000000002</v>
      </c>
      <c r="BM504" s="10">
        <v>3.5936572</v>
      </c>
      <c r="BN504" s="10">
        <v>3.5913995999999999</v>
      </c>
      <c r="BO504" s="10">
        <v>3.5896336999999998</v>
      </c>
      <c r="BP504" s="10">
        <v>3.5883501999999998</v>
      </c>
      <c r="BQ504" s="10">
        <v>3.5875398999999999</v>
      </c>
      <c r="BR504" s="10">
        <v>3.5919433999999999</v>
      </c>
      <c r="BS504" s="10">
        <v>3.6101101999999998</v>
      </c>
      <c r="BU504" s="7">
        <v>4.62</v>
      </c>
      <c r="BV504" s="7">
        <v>4.18</v>
      </c>
      <c r="BW504" s="9">
        <v>81.851100000000002</v>
      </c>
    </row>
    <row r="505" spans="1:75" x14ac:dyDescent="0.25">
      <c r="A505" s="6">
        <f t="shared" si="47"/>
        <v>45259</v>
      </c>
      <c r="B505" s="13">
        <f t="shared" si="42"/>
        <v>11</v>
      </c>
      <c r="C505" s="13">
        <f t="shared" si="43"/>
        <v>2023</v>
      </c>
      <c r="D505">
        <f t="shared" si="44"/>
        <v>202311</v>
      </c>
      <c r="E505">
        <f t="shared" si="45"/>
        <v>4</v>
      </c>
      <c r="F505">
        <f t="shared" si="46"/>
        <v>202304</v>
      </c>
      <c r="G505" t="s">
        <v>692</v>
      </c>
      <c r="H505" s="9">
        <v>5.25</v>
      </c>
      <c r="I505" s="9">
        <v>5.1879</v>
      </c>
      <c r="J505" s="10">
        <v>5.1917616999999998</v>
      </c>
      <c r="K505" s="10">
        <v>5.2053912000000002</v>
      </c>
      <c r="L505" s="10">
        <v>5.2097299000000001</v>
      </c>
      <c r="M505" s="10">
        <v>5.1947865000000002</v>
      </c>
      <c r="N505" s="10">
        <v>5.1572372</v>
      </c>
      <c r="O505" s="10">
        <v>5.0999696999999999</v>
      </c>
      <c r="P505" s="10">
        <v>5.0279065000000003</v>
      </c>
      <c r="Q505" s="10">
        <v>4.9473684999999996</v>
      </c>
      <c r="R505" s="10">
        <v>4.8639606000000004</v>
      </c>
      <c r="S505" s="10">
        <v>4.7812535</v>
      </c>
      <c r="T505" s="10">
        <v>4.7009024999999998</v>
      </c>
      <c r="U505" s="10">
        <v>4.6234111000000002</v>
      </c>
      <c r="V505" s="10">
        <v>4.5479234000000002</v>
      </c>
      <c r="W505" s="10">
        <v>4.4744517999999998</v>
      </c>
      <c r="X505" s="10">
        <v>4.4033604999999998</v>
      </c>
      <c r="Y505" s="10">
        <v>4.3350114</v>
      </c>
      <c r="Z505" s="10">
        <v>4.2697664</v>
      </c>
      <c r="AA505" s="10">
        <v>4.2079896000000003</v>
      </c>
      <c r="AB505" s="10">
        <v>4.1499600000000001</v>
      </c>
      <c r="AC505" s="10">
        <v>4.0956408</v>
      </c>
      <c r="AD505" s="10">
        <v>4.0449219999999997</v>
      </c>
      <c r="AE505" s="10">
        <v>3.9976916</v>
      </c>
      <c r="AF505" s="10">
        <v>3.9538378999999999</v>
      </c>
      <c r="AG505" s="10">
        <v>3.9132506</v>
      </c>
      <c r="AH505" s="10">
        <v>3.8758089</v>
      </c>
      <c r="AI505" s="10">
        <v>3.8413447999999999</v>
      </c>
      <c r="AJ505" s="10">
        <v>3.8096754000000002</v>
      </c>
      <c r="AK505" s="10">
        <v>3.7806164</v>
      </c>
      <c r="AL505" s="10">
        <v>3.7539837999999999</v>
      </c>
      <c r="AM505" s="10">
        <v>3.7295946</v>
      </c>
      <c r="AN505" s="10">
        <v>3.7072645999999998</v>
      </c>
      <c r="AO505" s="10">
        <v>3.6868099000000001</v>
      </c>
      <c r="AP505" s="10">
        <v>3.6680472000000002</v>
      </c>
      <c r="AQ505" s="10">
        <v>3.6507925999999999</v>
      </c>
      <c r="AR505" s="10">
        <v>3.6348620999999999</v>
      </c>
      <c r="AS505" s="10">
        <v>3.6200722999999999</v>
      </c>
      <c r="AT505" s="10">
        <v>3.6062599</v>
      </c>
      <c r="AU505" s="10">
        <v>3.5933617</v>
      </c>
      <c r="AV505" s="10">
        <v>3.5813451999999999</v>
      </c>
      <c r="AW505" s="10">
        <v>3.5701776000000001</v>
      </c>
      <c r="AX505" s="10">
        <v>3.5598263000000001</v>
      </c>
      <c r="AY505" s="10">
        <v>3.5502587000000001</v>
      </c>
      <c r="AZ505" s="10">
        <v>3.5414422000000001</v>
      </c>
      <c r="BA505" s="10">
        <v>3.533344</v>
      </c>
      <c r="BB505" s="10">
        <v>3.5259315999999998</v>
      </c>
      <c r="BC505" s="10">
        <v>3.5191723000000001</v>
      </c>
      <c r="BD505" s="10">
        <v>3.5130333999999999</v>
      </c>
      <c r="BE505" s="10">
        <v>3.5074822999999999</v>
      </c>
      <c r="BF505" s="10">
        <v>3.5024896999999999</v>
      </c>
      <c r="BG505" s="10">
        <v>3.4980408000000001</v>
      </c>
      <c r="BH505" s="10">
        <v>3.4941249000000001</v>
      </c>
      <c r="BI505" s="10">
        <v>3.4907311000000001</v>
      </c>
      <c r="BJ505" s="10">
        <v>3.4878488999999999</v>
      </c>
      <c r="BK505" s="10">
        <v>3.4854674000000001</v>
      </c>
      <c r="BL505" s="10">
        <v>3.4835758999999999</v>
      </c>
      <c r="BM505" s="10">
        <v>3.4821635999999998</v>
      </c>
      <c r="BN505" s="10">
        <v>3.4812199000000001</v>
      </c>
      <c r="BO505" s="10">
        <v>3.4807339000000002</v>
      </c>
      <c r="BP505" s="10">
        <v>3.4806949999999999</v>
      </c>
      <c r="BQ505" s="10">
        <v>3.4810922999999998</v>
      </c>
      <c r="BR505" s="10">
        <v>3.4919175</v>
      </c>
      <c r="BS505" s="10">
        <v>3.5150087000000001</v>
      </c>
      <c r="BU505" s="7">
        <v>4.54</v>
      </c>
      <c r="BV505" s="7">
        <v>4.09</v>
      </c>
      <c r="BW505" s="9">
        <v>81.916399999999996</v>
      </c>
    </row>
    <row r="506" spans="1:75" x14ac:dyDescent="0.25">
      <c r="A506" s="6">
        <f t="shared" si="47"/>
        <v>45260</v>
      </c>
      <c r="B506" s="13">
        <f t="shared" si="42"/>
        <v>11</v>
      </c>
      <c r="C506" s="13">
        <f t="shared" si="43"/>
        <v>2023</v>
      </c>
      <c r="D506">
        <f t="shared" si="44"/>
        <v>202311</v>
      </c>
      <c r="E506">
        <f t="shared" si="45"/>
        <v>4</v>
      </c>
      <c r="F506">
        <f t="shared" si="46"/>
        <v>202304</v>
      </c>
      <c r="G506" t="s">
        <v>693</v>
      </c>
      <c r="H506" s="9">
        <v>5.25</v>
      </c>
      <c r="I506" s="9">
        <v>5.1881000000000004</v>
      </c>
      <c r="J506" s="10">
        <v>5.1901247000000001</v>
      </c>
      <c r="K506" s="10">
        <v>5.2037119000000001</v>
      </c>
      <c r="L506" s="10">
        <v>5.2073442999999999</v>
      </c>
      <c r="M506" s="10">
        <v>5.1936958000000004</v>
      </c>
      <c r="N506" s="10">
        <v>5.1607814999999997</v>
      </c>
      <c r="O506" s="10">
        <v>5.1111746</v>
      </c>
      <c r="P506" s="10">
        <v>5.0492754</v>
      </c>
      <c r="Q506" s="10">
        <v>4.9805558999999997</v>
      </c>
      <c r="R506" s="10">
        <v>4.9098695000000001</v>
      </c>
      <c r="S506" s="10">
        <v>4.8401082000000004</v>
      </c>
      <c r="T506" s="10">
        <v>4.7720221</v>
      </c>
      <c r="U506" s="10">
        <v>4.7052079999999998</v>
      </c>
      <c r="V506" s="10">
        <v>4.6375839000000001</v>
      </c>
      <c r="W506" s="10">
        <v>4.5690999000000003</v>
      </c>
      <c r="X506" s="10">
        <v>4.5005965000000003</v>
      </c>
      <c r="Y506" s="10">
        <v>4.4329124000000002</v>
      </c>
      <c r="Z506" s="10">
        <v>4.3668863</v>
      </c>
      <c r="AA506" s="10">
        <v>4.3033593999999997</v>
      </c>
      <c r="AB506" s="10">
        <v>4.2430751999999998</v>
      </c>
      <c r="AC506" s="10">
        <v>4.1862903999999999</v>
      </c>
      <c r="AD506" s="10">
        <v>4.133108</v>
      </c>
      <c r="AE506" s="10">
        <v>4.0836288999999999</v>
      </c>
      <c r="AF506" s="10">
        <v>4.0379541999999997</v>
      </c>
      <c r="AG506" s="10">
        <v>3.9961864999999999</v>
      </c>
      <c r="AH506" s="10">
        <v>3.9583773999999998</v>
      </c>
      <c r="AI506" s="10">
        <v>3.9243378999999998</v>
      </c>
      <c r="AJ506" s="10">
        <v>3.8938066999999998</v>
      </c>
      <c r="AK506" s="10">
        <v>3.8665213</v>
      </c>
      <c r="AL506" s="10">
        <v>3.8422193999999998</v>
      </c>
      <c r="AM506" s="10">
        <v>3.8206395999999998</v>
      </c>
      <c r="AN506" s="10">
        <v>3.8015194000000001</v>
      </c>
      <c r="AO506" s="10">
        <v>3.7845966</v>
      </c>
      <c r="AP506" s="10">
        <v>3.7696095999999999</v>
      </c>
      <c r="AQ506" s="10">
        <v>3.7562961000000001</v>
      </c>
      <c r="AR506" s="10">
        <v>3.7443938999999999</v>
      </c>
      <c r="AS506" s="10">
        <v>3.7336412000000001</v>
      </c>
      <c r="AT506" s="10">
        <v>3.7238083999999998</v>
      </c>
      <c r="AU506" s="10">
        <v>3.7148089999999998</v>
      </c>
      <c r="AV506" s="10">
        <v>3.7065966000000001</v>
      </c>
      <c r="AW506" s="10">
        <v>3.6991242999999998</v>
      </c>
      <c r="AX506" s="10">
        <v>3.6923452999999999</v>
      </c>
      <c r="AY506" s="10">
        <v>3.6862130999999998</v>
      </c>
      <c r="AZ506" s="10">
        <v>3.6806809</v>
      </c>
      <c r="BA506" s="10">
        <v>3.6757019</v>
      </c>
      <c r="BB506" s="10">
        <v>3.6712294999999999</v>
      </c>
      <c r="BC506" s="10">
        <v>3.6672169000000001</v>
      </c>
      <c r="BD506" s="10">
        <v>3.6636175</v>
      </c>
      <c r="BE506" s="10">
        <v>3.6603845000000002</v>
      </c>
      <c r="BF506" s="10">
        <v>3.6574784</v>
      </c>
      <c r="BG506" s="10">
        <v>3.6548921000000001</v>
      </c>
      <c r="BH506" s="10">
        <v>3.6526271000000001</v>
      </c>
      <c r="BI506" s="10">
        <v>3.6506851</v>
      </c>
      <c r="BJ506" s="10">
        <v>3.6490675000000001</v>
      </c>
      <c r="BK506" s="10">
        <v>3.6477761000000002</v>
      </c>
      <c r="BL506" s="10">
        <v>3.6468124</v>
      </c>
      <c r="BM506" s="10">
        <v>3.6461779999999999</v>
      </c>
      <c r="BN506" s="10">
        <v>3.6458745000000001</v>
      </c>
      <c r="BO506" s="10">
        <v>3.6459036</v>
      </c>
      <c r="BP506" s="10">
        <v>3.6462667999999998</v>
      </c>
      <c r="BQ506" s="10">
        <v>3.6469657</v>
      </c>
      <c r="BR506" s="10">
        <v>3.6580029999999999</v>
      </c>
      <c r="BS506" s="10">
        <v>3.6797137000000002</v>
      </c>
      <c r="BU506" s="7">
        <v>4.63</v>
      </c>
      <c r="BV506" s="7">
        <v>4.22</v>
      </c>
      <c r="BW506" s="9">
        <v>81.909800000000004</v>
      </c>
    </row>
    <row r="507" spans="1:75" x14ac:dyDescent="0.25">
      <c r="A507" s="6">
        <f t="shared" si="47"/>
        <v>45261</v>
      </c>
      <c r="B507" s="13">
        <f t="shared" si="42"/>
        <v>12</v>
      </c>
      <c r="C507" s="13">
        <f t="shared" si="43"/>
        <v>2023</v>
      </c>
      <c r="D507">
        <f t="shared" si="44"/>
        <v>202312</v>
      </c>
      <c r="E507">
        <f t="shared" si="45"/>
        <v>4</v>
      </c>
      <c r="F507">
        <f t="shared" si="46"/>
        <v>202304</v>
      </c>
      <c r="G507" t="s">
        <v>694</v>
      </c>
      <c r="H507" s="9">
        <v>5.25</v>
      </c>
      <c r="I507" s="9">
        <v>5.1886000000000001</v>
      </c>
      <c r="J507" s="10">
        <v>5.1928939999999999</v>
      </c>
      <c r="K507" s="10">
        <v>5.1996418999999996</v>
      </c>
      <c r="L507" s="10">
        <v>5.1947429999999999</v>
      </c>
      <c r="M507" s="10">
        <v>5.1692977000000004</v>
      </c>
      <c r="N507" s="10">
        <v>5.1226345000000002</v>
      </c>
      <c r="O507" s="10">
        <v>5.0587030999999998</v>
      </c>
      <c r="P507" s="10">
        <v>4.9828786000000003</v>
      </c>
      <c r="Q507" s="10">
        <v>4.9002558000000001</v>
      </c>
      <c r="R507" s="10">
        <v>4.8155051000000002</v>
      </c>
      <c r="S507" s="10">
        <v>4.7316241000000003</v>
      </c>
      <c r="T507" s="10">
        <v>4.6500645</v>
      </c>
      <c r="U507" s="10">
        <v>4.5714784999999996</v>
      </c>
      <c r="V507" s="10">
        <v>4.49573</v>
      </c>
      <c r="W507" s="10">
        <v>4.4229127000000004</v>
      </c>
      <c r="X507" s="10">
        <v>4.3532643999999996</v>
      </c>
      <c r="Y507" s="10">
        <v>4.2870200000000001</v>
      </c>
      <c r="Z507" s="10">
        <v>4.2244146999999996</v>
      </c>
      <c r="AA507" s="10">
        <v>4.165686</v>
      </c>
      <c r="AB507" s="10">
        <v>4.1110129000000004</v>
      </c>
      <c r="AC507" s="10">
        <v>4.0603157000000003</v>
      </c>
      <c r="AD507" s="10">
        <v>4.0134410000000003</v>
      </c>
      <c r="AE507" s="10">
        <v>3.9702335</v>
      </c>
      <c r="AF507" s="10">
        <v>3.9305384000000001</v>
      </c>
      <c r="AG507" s="10">
        <v>3.8942019999999999</v>
      </c>
      <c r="AH507" s="10">
        <v>3.8610627000000002</v>
      </c>
      <c r="AI507" s="10">
        <v>3.8309297999999998</v>
      </c>
      <c r="AJ507" s="10">
        <v>3.8036056</v>
      </c>
      <c r="AK507" s="10">
        <v>3.7788911999999999</v>
      </c>
      <c r="AL507" s="10">
        <v>3.7565881000000001</v>
      </c>
      <c r="AM507" s="10">
        <v>3.7364983000000001</v>
      </c>
      <c r="AN507" s="10">
        <v>3.7184232000000002</v>
      </c>
      <c r="AO507" s="10">
        <v>3.7021641000000001</v>
      </c>
      <c r="AP507" s="10">
        <v>3.6875228999999998</v>
      </c>
      <c r="AQ507" s="10">
        <v>3.6743011999999999</v>
      </c>
      <c r="AR507" s="10">
        <v>3.6623001999999998</v>
      </c>
      <c r="AS507" s="10">
        <v>3.651322</v>
      </c>
      <c r="AT507" s="10">
        <v>3.6411921</v>
      </c>
      <c r="AU507" s="10">
        <v>3.6318429999999999</v>
      </c>
      <c r="AV507" s="10">
        <v>3.623237</v>
      </c>
      <c r="AW507" s="10">
        <v>3.6153362000000002</v>
      </c>
      <c r="AX507" s="10">
        <v>3.6081026</v>
      </c>
      <c r="AY507" s="10">
        <v>3.6014984000000001</v>
      </c>
      <c r="AZ507" s="10">
        <v>3.5954855999999999</v>
      </c>
      <c r="BA507" s="10">
        <v>3.5900262000000001</v>
      </c>
      <c r="BB507" s="10">
        <v>3.5850825999999998</v>
      </c>
      <c r="BC507" s="10">
        <v>3.5806165999999999</v>
      </c>
      <c r="BD507" s="10">
        <v>3.5765905</v>
      </c>
      <c r="BE507" s="10">
        <v>3.5729663</v>
      </c>
      <c r="BF507" s="10">
        <v>3.5697117</v>
      </c>
      <c r="BG507" s="10">
        <v>3.5668191999999999</v>
      </c>
      <c r="BH507" s="10">
        <v>3.5642879999999999</v>
      </c>
      <c r="BI507" s="10">
        <v>3.5621173000000002</v>
      </c>
      <c r="BJ507" s="10">
        <v>3.5603064999999998</v>
      </c>
      <c r="BK507" s="10">
        <v>3.5588546999999999</v>
      </c>
      <c r="BL507" s="10">
        <v>3.5577613000000001</v>
      </c>
      <c r="BM507" s="10">
        <v>3.5570254000000001</v>
      </c>
      <c r="BN507" s="10">
        <v>3.5566464</v>
      </c>
      <c r="BO507" s="10">
        <v>3.5566233999999999</v>
      </c>
      <c r="BP507" s="10">
        <v>3.5569557999999999</v>
      </c>
      <c r="BQ507" s="10">
        <v>3.5576428</v>
      </c>
      <c r="BR507" s="10">
        <v>3.5689888000000001</v>
      </c>
      <c r="BS507" s="10">
        <v>3.5918022999999999</v>
      </c>
      <c r="BU507" s="7">
        <v>4.51</v>
      </c>
      <c r="BV507" s="7">
        <v>4.1399999999999997</v>
      </c>
      <c r="BW507" s="9">
        <v>82.021100000000004</v>
      </c>
    </row>
    <row r="508" spans="1:75" x14ac:dyDescent="0.25">
      <c r="A508" s="6">
        <f t="shared" si="47"/>
        <v>45264</v>
      </c>
      <c r="B508" s="13">
        <f t="shared" si="42"/>
        <v>12</v>
      </c>
      <c r="C508" s="13">
        <f t="shared" si="43"/>
        <v>2023</v>
      </c>
      <c r="D508">
        <f t="shared" si="44"/>
        <v>202312</v>
      </c>
      <c r="E508">
        <f t="shared" si="45"/>
        <v>4</v>
      </c>
      <c r="F508">
        <f t="shared" si="46"/>
        <v>202304</v>
      </c>
      <c r="G508" t="s">
        <v>695</v>
      </c>
      <c r="H508" s="9">
        <v>5.25</v>
      </c>
      <c r="I508" s="9">
        <v>5.1878000000000002</v>
      </c>
      <c r="J508" s="10">
        <v>5.1933178</v>
      </c>
      <c r="K508" s="10">
        <v>5.2007684999999997</v>
      </c>
      <c r="L508" s="10">
        <v>5.1976247999999998</v>
      </c>
      <c r="M508" s="10">
        <v>5.1756146999999997</v>
      </c>
      <c r="N508" s="10">
        <v>5.1333421000000001</v>
      </c>
      <c r="O508" s="10">
        <v>5.0742818999999999</v>
      </c>
      <c r="P508" s="10">
        <v>5.0043053000000004</v>
      </c>
      <c r="Q508" s="10">
        <v>4.9294757000000002</v>
      </c>
      <c r="R508" s="10">
        <v>4.8545831000000002</v>
      </c>
      <c r="S508" s="10">
        <v>4.7823615999999998</v>
      </c>
      <c r="T508" s="10">
        <v>4.7137457999999999</v>
      </c>
      <c r="U508" s="10">
        <v>4.6486014000000004</v>
      </c>
      <c r="V508" s="10">
        <v>4.5854900000000001</v>
      </c>
      <c r="W508" s="10">
        <v>4.5241182999999996</v>
      </c>
      <c r="X508" s="10">
        <v>4.4646356999999997</v>
      </c>
      <c r="Y508" s="10">
        <v>4.4071892000000004</v>
      </c>
      <c r="Z508" s="10">
        <v>4.3519259999999997</v>
      </c>
      <c r="AA508" s="10">
        <v>4.2989952999999996</v>
      </c>
      <c r="AB508" s="10">
        <v>4.2485219000000001</v>
      </c>
      <c r="AC508" s="10">
        <v>4.2005366000000004</v>
      </c>
      <c r="AD508" s="10">
        <v>4.1550475000000002</v>
      </c>
      <c r="AE508" s="10">
        <v>4.1120606999999998</v>
      </c>
      <c r="AF508" s="10">
        <v>4.0715827000000004</v>
      </c>
      <c r="AG508" s="10">
        <v>4.0336210000000001</v>
      </c>
      <c r="AH508" s="10">
        <v>3.9981623000000002</v>
      </c>
      <c r="AI508" s="10">
        <v>3.9651052999999998</v>
      </c>
      <c r="AJ508" s="10">
        <v>3.9343257999999999</v>
      </c>
      <c r="AK508" s="10">
        <v>3.9056985000000002</v>
      </c>
      <c r="AL508" s="10">
        <v>3.8790981000000002</v>
      </c>
      <c r="AM508" s="10">
        <v>3.8544002000000002</v>
      </c>
      <c r="AN508" s="10">
        <v>3.8314796000000002</v>
      </c>
      <c r="AO508" s="10">
        <v>3.8102109</v>
      </c>
      <c r="AP508" s="10">
        <v>3.7904697999999999</v>
      </c>
      <c r="AQ508" s="10">
        <v>3.7721309999999999</v>
      </c>
      <c r="AR508" s="10">
        <v>3.7550693000000002</v>
      </c>
      <c r="AS508" s="10">
        <v>3.7391600999999999</v>
      </c>
      <c r="AT508" s="10">
        <v>3.7242924999999998</v>
      </c>
      <c r="AU508" s="10">
        <v>3.7104180000000002</v>
      </c>
      <c r="AV508" s="10">
        <v>3.6975058000000001</v>
      </c>
      <c r="AW508" s="10">
        <v>3.6855248</v>
      </c>
      <c r="AX508" s="10">
        <v>3.6744436999999999</v>
      </c>
      <c r="AY508" s="10">
        <v>3.6642318999999999</v>
      </c>
      <c r="AZ508" s="10">
        <v>3.6548581000000002</v>
      </c>
      <c r="BA508" s="10">
        <v>3.6462913000000001</v>
      </c>
      <c r="BB508" s="10">
        <v>3.6385003999999999</v>
      </c>
      <c r="BC508" s="10">
        <v>3.6314544999999998</v>
      </c>
      <c r="BD508" s="10">
        <v>3.6251224</v>
      </c>
      <c r="BE508" s="10">
        <v>3.6194731999999998</v>
      </c>
      <c r="BF508" s="10">
        <v>3.6144777000000001</v>
      </c>
      <c r="BG508" s="10">
        <v>3.6101168000000001</v>
      </c>
      <c r="BH508" s="10">
        <v>3.6063749999999999</v>
      </c>
      <c r="BI508" s="10">
        <v>3.6032367000000001</v>
      </c>
      <c r="BJ508" s="10">
        <v>3.6006863</v>
      </c>
      <c r="BK508" s="10">
        <v>3.5987081999999999</v>
      </c>
      <c r="BL508" s="10">
        <v>3.5972868</v>
      </c>
      <c r="BM508" s="10">
        <v>3.5964065000000001</v>
      </c>
      <c r="BN508" s="10">
        <v>3.5960516999999999</v>
      </c>
      <c r="BO508" s="10">
        <v>3.5962068</v>
      </c>
      <c r="BP508" s="10">
        <v>3.5968562999999998</v>
      </c>
      <c r="BQ508" s="10">
        <v>3.5979844000000001</v>
      </c>
      <c r="BR508" s="10">
        <v>3.6138482000000001</v>
      </c>
      <c r="BS508" s="10">
        <v>3.6424946999999999</v>
      </c>
      <c r="BU508" s="7">
        <v>4.59</v>
      </c>
      <c r="BV508" s="7">
        <v>4.1900000000000004</v>
      </c>
      <c r="BW508" s="9">
        <v>81.992900000000006</v>
      </c>
    </row>
    <row r="509" spans="1:75" x14ac:dyDescent="0.25">
      <c r="A509" s="6">
        <f t="shared" si="47"/>
        <v>45265</v>
      </c>
      <c r="B509" s="13">
        <f t="shared" si="42"/>
        <v>12</v>
      </c>
      <c r="C509" s="13">
        <f t="shared" si="43"/>
        <v>2023</v>
      </c>
      <c r="D509">
        <f t="shared" si="44"/>
        <v>202312</v>
      </c>
      <c r="E509">
        <f t="shared" si="45"/>
        <v>4</v>
      </c>
      <c r="F509">
        <f t="shared" si="46"/>
        <v>202304</v>
      </c>
      <c r="G509" t="s">
        <v>696</v>
      </c>
      <c r="H509" s="9">
        <v>5.25</v>
      </c>
      <c r="I509" s="9">
        <v>5.1875</v>
      </c>
      <c r="J509" s="10">
        <v>5.1908031000000001</v>
      </c>
      <c r="K509" s="10">
        <v>5.1960961000000001</v>
      </c>
      <c r="L509" s="10">
        <v>5.1867295000000002</v>
      </c>
      <c r="M509" s="10">
        <v>5.1534018000000001</v>
      </c>
      <c r="N509" s="10">
        <v>5.0957336</v>
      </c>
      <c r="O509" s="10">
        <v>5.0195628000000001</v>
      </c>
      <c r="P509" s="10">
        <v>4.9325836000000001</v>
      </c>
      <c r="Q509" s="10">
        <v>4.8425396000000003</v>
      </c>
      <c r="R509" s="10">
        <v>4.7551690000000004</v>
      </c>
      <c r="S509" s="10">
        <v>4.6734080000000002</v>
      </c>
      <c r="T509" s="10">
        <v>4.5976714999999997</v>
      </c>
      <c r="U509" s="10">
        <v>4.5273738000000003</v>
      </c>
      <c r="V509" s="10">
        <v>4.4602022999999997</v>
      </c>
      <c r="W509" s="10">
        <v>4.3955324999999998</v>
      </c>
      <c r="X509" s="10">
        <v>4.3333893999999997</v>
      </c>
      <c r="Y509" s="10">
        <v>4.2737954</v>
      </c>
      <c r="Z509" s="10">
        <v>4.2167732000000004</v>
      </c>
      <c r="AA509" s="10">
        <v>4.1623475000000001</v>
      </c>
      <c r="AB509" s="10">
        <v>4.1105356000000004</v>
      </c>
      <c r="AC509" s="10">
        <v>4.0613317000000002</v>
      </c>
      <c r="AD509" s="10">
        <v>4.0147259000000002</v>
      </c>
      <c r="AE509" s="10">
        <v>3.9707064999999999</v>
      </c>
      <c r="AF509" s="10">
        <v>3.9292617999999999</v>
      </c>
      <c r="AG509" s="10">
        <v>3.8903816999999998</v>
      </c>
      <c r="AH509" s="10">
        <v>3.8540374000000002</v>
      </c>
      <c r="AI509" s="10">
        <v>3.8201239</v>
      </c>
      <c r="AJ509" s="10">
        <v>3.7885165000000001</v>
      </c>
      <c r="AK509" s="10">
        <v>3.7590892</v>
      </c>
      <c r="AL509" s="10">
        <v>3.7317162000000001</v>
      </c>
      <c r="AM509" s="10">
        <v>3.7062726000000001</v>
      </c>
      <c r="AN509" s="10">
        <v>3.6826324000000001</v>
      </c>
      <c r="AO509" s="10">
        <v>3.6606698999999998</v>
      </c>
      <c r="AP509" s="10">
        <v>3.6402600999999999</v>
      </c>
      <c r="AQ509" s="10">
        <v>3.6212772000000002</v>
      </c>
      <c r="AR509" s="10">
        <v>3.6035952999999998</v>
      </c>
      <c r="AS509" s="10">
        <v>3.5870894999999998</v>
      </c>
      <c r="AT509" s="10">
        <v>3.5716451</v>
      </c>
      <c r="AU509" s="10">
        <v>3.5572083999999999</v>
      </c>
      <c r="AV509" s="10">
        <v>3.5437466</v>
      </c>
      <c r="AW509" s="10">
        <v>3.5312261</v>
      </c>
      <c r="AX509" s="10">
        <v>3.5196136999999998</v>
      </c>
      <c r="AY509" s="10">
        <v>3.5088762999999998</v>
      </c>
      <c r="AZ509" s="10">
        <v>3.4989805</v>
      </c>
      <c r="BA509" s="10">
        <v>3.4898931000000002</v>
      </c>
      <c r="BB509" s="10">
        <v>3.4815809</v>
      </c>
      <c r="BC509" s="10">
        <v>3.4740106000000002</v>
      </c>
      <c r="BD509" s="10">
        <v>3.467149</v>
      </c>
      <c r="BE509" s="10">
        <v>3.4609627999999999</v>
      </c>
      <c r="BF509" s="10">
        <v>3.4554212</v>
      </c>
      <c r="BG509" s="10">
        <v>3.4505045999999999</v>
      </c>
      <c r="BH509" s="10">
        <v>3.4461971</v>
      </c>
      <c r="BI509" s="10">
        <v>3.4424825999999999</v>
      </c>
      <c r="BJ509" s="10">
        <v>3.4393449999999999</v>
      </c>
      <c r="BK509" s="10">
        <v>3.4367684999999999</v>
      </c>
      <c r="BL509" s="10">
        <v>3.4347370000000002</v>
      </c>
      <c r="BM509" s="10">
        <v>3.4332345000000002</v>
      </c>
      <c r="BN509" s="10">
        <v>3.4322449000000002</v>
      </c>
      <c r="BO509" s="10">
        <v>3.4317522999999999</v>
      </c>
      <c r="BP509" s="10">
        <v>3.4317407000000002</v>
      </c>
      <c r="BQ509" s="10">
        <v>3.432194</v>
      </c>
      <c r="BR509" s="10">
        <v>3.4438217999999998</v>
      </c>
      <c r="BS509" s="10">
        <v>3.4684045999999999</v>
      </c>
      <c r="BU509" s="7">
        <v>4.49</v>
      </c>
      <c r="BV509" s="7">
        <v>4.03</v>
      </c>
      <c r="BW509" s="9">
        <v>82.053899999999999</v>
      </c>
    </row>
    <row r="510" spans="1:75" x14ac:dyDescent="0.25">
      <c r="A510" s="6">
        <f t="shared" si="47"/>
        <v>45266</v>
      </c>
      <c r="B510" s="13">
        <f t="shared" si="42"/>
        <v>12</v>
      </c>
      <c r="C510" s="13">
        <f t="shared" si="43"/>
        <v>2023</v>
      </c>
      <c r="D510">
        <f t="shared" si="44"/>
        <v>202312</v>
      </c>
      <c r="E510">
        <f t="shared" si="45"/>
        <v>4</v>
      </c>
      <c r="F510">
        <f t="shared" si="46"/>
        <v>202304</v>
      </c>
      <c r="G510" t="s">
        <v>697</v>
      </c>
      <c r="H510" s="9">
        <v>5.25</v>
      </c>
      <c r="I510" s="9">
        <v>5.1874000000000002</v>
      </c>
      <c r="J510" s="10">
        <v>5.1892693999999997</v>
      </c>
      <c r="K510" s="10">
        <v>5.1937274000000002</v>
      </c>
      <c r="L510" s="10">
        <v>5.1829473999999998</v>
      </c>
      <c r="M510" s="10">
        <v>5.1486270000000003</v>
      </c>
      <c r="N510" s="10">
        <v>5.0900831000000002</v>
      </c>
      <c r="O510" s="10">
        <v>5.0134182000000003</v>
      </c>
      <c r="P510" s="10">
        <v>4.9259548000000004</v>
      </c>
      <c r="Q510" s="10">
        <v>4.8350749000000004</v>
      </c>
      <c r="R510" s="10">
        <v>4.7461615000000004</v>
      </c>
      <c r="S510" s="10">
        <v>4.6618029999999999</v>
      </c>
      <c r="T510" s="10">
        <v>4.5823285</v>
      </c>
      <c r="U510" s="10">
        <v>4.5070661999999997</v>
      </c>
      <c r="V510" s="10">
        <v>4.4337061999999996</v>
      </c>
      <c r="W510" s="10">
        <v>4.3619409999999998</v>
      </c>
      <c r="X510" s="10">
        <v>4.2921958</v>
      </c>
      <c r="Y510" s="10">
        <v>4.2248929000000004</v>
      </c>
      <c r="Z510" s="10">
        <v>4.1604551000000001</v>
      </c>
      <c r="AA510" s="10">
        <v>4.0993072000000002</v>
      </c>
      <c r="AB510" s="10">
        <v>4.0417895000000001</v>
      </c>
      <c r="AC510" s="10">
        <v>3.9878958999999998</v>
      </c>
      <c r="AD510" s="10">
        <v>3.9375312999999998</v>
      </c>
      <c r="AE510" s="10">
        <v>3.8905986000000001</v>
      </c>
      <c r="AF510" s="10">
        <v>3.8470008999999998</v>
      </c>
      <c r="AG510" s="10">
        <v>3.8066428999999999</v>
      </c>
      <c r="AH510" s="10">
        <v>3.7694168000000001</v>
      </c>
      <c r="AI510" s="10">
        <v>3.7351568999999998</v>
      </c>
      <c r="AJ510" s="10">
        <v>3.7036793000000001</v>
      </c>
      <c r="AK510" s="10">
        <v>3.6747985000000001</v>
      </c>
      <c r="AL510" s="10">
        <v>3.6483295999999998</v>
      </c>
      <c r="AM510" s="10">
        <v>3.6240882000000001</v>
      </c>
      <c r="AN510" s="10">
        <v>3.6018892</v>
      </c>
      <c r="AO510" s="10">
        <v>3.5815475999999999</v>
      </c>
      <c r="AP510" s="10">
        <v>3.5628788999999998</v>
      </c>
      <c r="AQ510" s="10">
        <v>3.5456981000000001</v>
      </c>
      <c r="AR510" s="10">
        <v>3.5298200999999998</v>
      </c>
      <c r="AS510" s="10">
        <v>3.5150605000000001</v>
      </c>
      <c r="AT510" s="10">
        <v>3.5012546000000002</v>
      </c>
      <c r="AU510" s="10">
        <v>3.4883362</v>
      </c>
      <c r="AV510" s="10">
        <v>3.47627</v>
      </c>
      <c r="AW510" s="10">
        <v>3.4650200999999998</v>
      </c>
      <c r="AX510" s="10">
        <v>3.4545504999999999</v>
      </c>
      <c r="AY510" s="10">
        <v>3.4448257999999998</v>
      </c>
      <c r="AZ510" s="10">
        <v>3.43581</v>
      </c>
      <c r="BA510" s="10">
        <v>3.4274673</v>
      </c>
      <c r="BB510" s="10">
        <v>3.4197622000000001</v>
      </c>
      <c r="BC510" s="10">
        <v>3.4126587000000002</v>
      </c>
      <c r="BD510" s="10">
        <v>3.4061210000000002</v>
      </c>
      <c r="BE510" s="10">
        <v>3.4001136000000001</v>
      </c>
      <c r="BF510" s="10">
        <v>3.3946044999999998</v>
      </c>
      <c r="BG510" s="10">
        <v>3.3895802000000002</v>
      </c>
      <c r="BH510" s="10">
        <v>3.3850319</v>
      </c>
      <c r="BI510" s="10">
        <v>3.380951</v>
      </c>
      <c r="BJ510" s="10">
        <v>3.3773285</v>
      </c>
      <c r="BK510" s="10">
        <v>3.3741558999999999</v>
      </c>
      <c r="BL510" s="10">
        <v>3.3714244</v>
      </c>
      <c r="BM510" s="10">
        <v>3.3691252999999999</v>
      </c>
      <c r="BN510" s="10">
        <v>3.3672498000000002</v>
      </c>
      <c r="BO510" s="10">
        <v>3.3657892999999999</v>
      </c>
      <c r="BP510" s="10">
        <v>3.3647349000000002</v>
      </c>
      <c r="BQ510" s="10">
        <v>3.3640780000000001</v>
      </c>
      <c r="BR510" s="10">
        <v>3.3680004000000001</v>
      </c>
      <c r="BS510" s="10">
        <v>3.3840705999999998</v>
      </c>
      <c r="BU510" s="7">
        <v>4.47</v>
      </c>
      <c r="BV510" s="7">
        <v>3.95</v>
      </c>
      <c r="BW510" s="9">
        <v>81.983599999999996</v>
      </c>
    </row>
    <row r="511" spans="1:75" x14ac:dyDescent="0.25">
      <c r="A511" s="6">
        <f t="shared" si="47"/>
        <v>45267</v>
      </c>
      <c r="B511" s="13">
        <f t="shared" si="42"/>
        <v>12</v>
      </c>
      <c r="C511" s="13">
        <f t="shared" si="43"/>
        <v>2023</v>
      </c>
      <c r="D511">
        <f t="shared" si="44"/>
        <v>202312</v>
      </c>
      <c r="E511">
        <f t="shared" si="45"/>
        <v>4</v>
      </c>
      <c r="F511">
        <f t="shared" si="46"/>
        <v>202304</v>
      </c>
      <c r="G511" t="s">
        <v>701</v>
      </c>
      <c r="H511" s="9">
        <v>5.25</v>
      </c>
      <c r="I511" s="9">
        <v>5.1875</v>
      </c>
      <c r="J511" s="10">
        <v>5.1906863999999997</v>
      </c>
      <c r="K511" s="10">
        <v>5.1967954000000001</v>
      </c>
      <c r="L511" s="10">
        <v>5.1870627999999996</v>
      </c>
      <c r="M511" s="10">
        <v>5.1535443000000001</v>
      </c>
      <c r="N511" s="10">
        <v>5.0962132000000002</v>
      </c>
      <c r="O511" s="10">
        <v>5.0206897000000001</v>
      </c>
      <c r="P511" s="10">
        <v>4.9343425999999999</v>
      </c>
      <c r="Q511" s="10">
        <v>4.8442039000000001</v>
      </c>
      <c r="R511" s="10">
        <v>4.7553435000000004</v>
      </c>
      <c r="S511" s="10">
        <v>4.6703562999999999</v>
      </c>
      <c r="T511" s="10">
        <v>4.5895731</v>
      </c>
      <c r="U511" s="10">
        <v>4.5123917999999996</v>
      </c>
      <c r="V511" s="10">
        <v>4.4364666000000001</v>
      </c>
      <c r="W511" s="10">
        <v>4.3615177000000003</v>
      </c>
      <c r="X511" s="10">
        <v>4.2881834999999997</v>
      </c>
      <c r="Y511" s="10">
        <v>4.2171000000000003</v>
      </c>
      <c r="Z511" s="10">
        <v>4.1489037</v>
      </c>
      <c r="AA511" s="10">
        <v>4.0842334999999999</v>
      </c>
      <c r="AB511" s="10">
        <v>4.0236346000000003</v>
      </c>
      <c r="AC511" s="10">
        <v>3.9671877000000002</v>
      </c>
      <c r="AD511" s="10">
        <v>3.9148263999999999</v>
      </c>
      <c r="AE511" s="10">
        <v>3.8664825</v>
      </c>
      <c r="AF511" s="10">
        <v>3.8220879000000001</v>
      </c>
      <c r="AG511" s="10">
        <v>3.7815759</v>
      </c>
      <c r="AH511" s="10">
        <v>3.7448524000000001</v>
      </c>
      <c r="AI511" s="10">
        <v>3.7116965999999998</v>
      </c>
      <c r="AJ511" s="10">
        <v>3.6818504000000001</v>
      </c>
      <c r="AK511" s="10">
        <v>3.6550544</v>
      </c>
      <c r="AL511" s="10">
        <v>3.6310494000000002</v>
      </c>
      <c r="AM511" s="10">
        <v>3.6095769999999998</v>
      </c>
      <c r="AN511" s="10">
        <v>3.5903778000000002</v>
      </c>
      <c r="AO511" s="10">
        <v>3.5731928000000002</v>
      </c>
      <c r="AP511" s="10">
        <v>3.5577633999999998</v>
      </c>
      <c r="AQ511" s="10">
        <v>3.5438304</v>
      </c>
      <c r="AR511" s="10">
        <v>3.5311347999999998</v>
      </c>
      <c r="AS511" s="10">
        <v>3.5194177999999998</v>
      </c>
      <c r="AT511" s="10">
        <v>3.5084542000000001</v>
      </c>
      <c r="AU511" s="10">
        <v>3.4981688000000002</v>
      </c>
      <c r="AV511" s="10">
        <v>3.4885280000000001</v>
      </c>
      <c r="AW511" s="10">
        <v>3.4794977</v>
      </c>
      <c r="AX511" s="10">
        <v>3.4710440999999999</v>
      </c>
      <c r="AY511" s="10">
        <v>3.4631333999999998</v>
      </c>
      <c r="AZ511" s="10">
        <v>3.4557318000000001</v>
      </c>
      <c r="BA511" s="10">
        <v>3.4488051999999998</v>
      </c>
      <c r="BB511" s="10">
        <v>3.44232</v>
      </c>
      <c r="BC511" s="10">
        <v>3.4362423</v>
      </c>
      <c r="BD511" s="10">
        <v>3.4305381000000001</v>
      </c>
      <c r="BE511" s="10">
        <v>3.4251737000000002</v>
      </c>
      <c r="BF511" s="10">
        <v>3.4201210999999998</v>
      </c>
      <c r="BG511" s="10">
        <v>3.4153785999999999</v>
      </c>
      <c r="BH511" s="10">
        <v>3.4109516000000002</v>
      </c>
      <c r="BI511" s="10">
        <v>3.4068458000000001</v>
      </c>
      <c r="BJ511" s="10">
        <v>3.4030664000000002</v>
      </c>
      <c r="BK511" s="10">
        <v>3.3996189999999999</v>
      </c>
      <c r="BL511" s="10">
        <v>3.3965090999999998</v>
      </c>
      <c r="BM511" s="10">
        <v>3.3937422000000002</v>
      </c>
      <c r="BN511" s="10">
        <v>3.3913237000000001</v>
      </c>
      <c r="BO511" s="10">
        <v>3.3892592000000001</v>
      </c>
      <c r="BP511" s="10">
        <v>3.3875540000000002</v>
      </c>
      <c r="BQ511" s="10">
        <v>3.3862136999999999</v>
      </c>
      <c r="BR511" s="10">
        <v>3.3857775999999999</v>
      </c>
      <c r="BS511" s="10">
        <v>3.3976259</v>
      </c>
      <c r="BU511" s="7">
        <v>4.5</v>
      </c>
      <c r="BV511" s="7">
        <v>3.97</v>
      </c>
      <c r="BW511" s="9">
        <v>81.826899999999995</v>
      </c>
    </row>
    <row r="512" spans="1:75" x14ac:dyDescent="0.25">
      <c r="A512" s="6">
        <f t="shared" si="47"/>
        <v>45268</v>
      </c>
      <c r="B512" s="13">
        <f t="shared" si="42"/>
        <v>12</v>
      </c>
      <c r="C512" s="13">
        <f t="shared" si="43"/>
        <v>2023</v>
      </c>
      <c r="D512">
        <f t="shared" si="44"/>
        <v>202312</v>
      </c>
      <c r="E512">
        <f t="shared" si="45"/>
        <v>4</v>
      </c>
      <c r="F512">
        <f t="shared" si="46"/>
        <v>202304</v>
      </c>
      <c r="G512" t="s">
        <v>702</v>
      </c>
      <c r="H512" s="9">
        <v>5.25</v>
      </c>
      <c r="I512" s="9">
        <v>5.1871999999999998</v>
      </c>
      <c r="J512" s="10">
        <v>5.1920355000000002</v>
      </c>
      <c r="K512" s="10">
        <v>5.20059</v>
      </c>
      <c r="L512" s="10">
        <v>5.1954973000000004</v>
      </c>
      <c r="M512" s="10">
        <v>5.1677084999999998</v>
      </c>
      <c r="N512" s="10">
        <v>5.1163707</v>
      </c>
      <c r="O512" s="10">
        <v>5.0458246000000004</v>
      </c>
      <c r="P512" s="10">
        <v>4.9629114999999997</v>
      </c>
      <c r="Q512" s="10">
        <v>4.8737088999999996</v>
      </c>
      <c r="R512" s="10">
        <v>4.7831923999999999</v>
      </c>
      <c r="S512" s="10">
        <v>4.6945183999999998</v>
      </c>
      <c r="T512" s="10">
        <v>4.6092652000000003</v>
      </c>
      <c r="U512" s="10">
        <v>4.5281437999999996</v>
      </c>
      <c r="V512" s="10">
        <v>4.4511488999999997</v>
      </c>
      <c r="W512" s="10">
        <v>4.3782375</v>
      </c>
      <c r="X512" s="10">
        <v>4.3094146999999996</v>
      </c>
      <c r="Y512" s="10">
        <v>4.2446827999999996</v>
      </c>
      <c r="Z512" s="10">
        <v>4.1840443</v>
      </c>
      <c r="AA512" s="10">
        <v>4.1275038999999998</v>
      </c>
      <c r="AB512" s="10">
        <v>4.0750279999999997</v>
      </c>
      <c r="AC512" s="10">
        <v>4.0264158999999999</v>
      </c>
      <c r="AD512" s="10">
        <v>3.9814204000000002</v>
      </c>
      <c r="AE512" s="10">
        <v>3.9397923000000001</v>
      </c>
      <c r="AF512" s="10">
        <v>3.9012826</v>
      </c>
      <c r="AG512" s="10">
        <v>3.8656437000000001</v>
      </c>
      <c r="AH512" s="10">
        <v>3.8326406999999998</v>
      </c>
      <c r="AI512" s="10">
        <v>3.8021010999999998</v>
      </c>
      <c r="AJ512" s="10">
        <v>3.7738708999999999</v>
      </c>
      <c r="AK512" s="10">
        <v>3.7477946000000002</v>
      </c>
      <c r="AL512" s="10">
        <v>3.7237171</v>
      </c>
      <c r="AM512" s="10">
        <v>3.7014841000000001</v>
      </c>
      <c r="AN512" s="10">
        <v>3.6809402000000002</v>
      </c>
      <c r="AO512" s="10">
        <v>3.6619304000000001</v>
      </c>
      <c r="AP512" s="10">
        <v>3.6443002999999998</v>
      </c>
      <c r="AQ512" s="10">
        <v>3.6278945999999999</v>
      </c>
      <c r="AR512" s="10">
        <v>3.6125582000000001</v>
      </c>
      <c r="AS512" s="10">
        <v>3.5981367</v>
      </c>
      <c r="AT512" s="10">
        <v>3.5844947</v>
      </c>
      <c r="AU512" s="10">
        <v>3.5715848000000001</v>
      </c>
      <c r="AV512" s="10">
        <v>3.5593840000000001</v>
      </c>
      <c r="AW512" s="10">
        <v>3.5478689999999999</v>
      </c>
      <c r="AX512" s="10">
        <v>3.5370164000000002</v>
      </c>
      <c r="AY512" s="10">
        <v>3.5268033999999999</v>
      </c>
      <c r="AZ512" s="10">
        <v>3.5172064999999999</v>
      </c>
      <c r="BA512" s="10">
        <v>3.5082024999999999</v>
      </c>
      <c r="BB512" s="10">
        <v>3.4997685000000001</v>
      </c>
      <c r="BC512" s="10">
        <v>3.4918809999999998</v>
      </c>
      <c r="BD512" s="10">
        <v>3.4845169</v>
      </c>
      <c r="BE512" s="10">
        <v>3.4776530999999999</v>
      </c>
      <c r="BF512" s="10">
        <v>3.4712692000000001</v>
      </c>
      <c r="BG512" s="10">
        <v>3.4653583999999999</v>
      </c>
      <c r="BH512" s="10">
        <v>3.4599174000000001</v>
      </c>
      <c r="BI512" s="10">
        <v>3.4549428</v>
      </c>
      <c r="BJ512" s="10">
        <v>3.4504313999999998</v>
      </c>
      <c r="BK512" s="10">
        <v>3.4463797999999999</v>
      </c>
      <c r="BL512" s="10">
        <v>3.4427848999999999</v>
      </c>
      <c r="BM512" s="10">
        <v>3.4396431000000001</v>
      </c>
      <c r="BN512" s="10">
        <v>3.4369513</v>
      </c>
      <c r="BO512" s="10">
        <v>3.4347061999999999</v>
      </c>
      <c r="BP512" s="10">
        <v>3.4329044</v>
      </c>
      <c r="BQ512" s="10">
        <v>3.4315427000000001</v>
      </c>
      <c r="BR512" s="10">
        <v>3.4322225</v>
      </c>
      <c r="BS512" s="10">
        <v>3.4466462</v>
      </c>
      <c r="BU512" s="7">
        <v>4.57</v>
      </c>
      <c r="BV512" s="7">
        <v>4.0199999999999996</v>
      </c>
      <c r="BW512" s="9">
        <v>81.757199999999997</v>
      </c>
    </row>
    <row r="513" spans="1:75" x14ac:dyDescent="0.25">
      <c r="A513" s="6">
        <f t="shared" si="47"/>
        <v>45271</v>
      </c>
      <c r="B513" s="13">
        <f t="shared" si="42"/>
        <v>12</v>
      </c>
      <c r="C513" s="13">
        <f t="shared" si="43"/>
        <v>2023</v>
      </c>
      <c r="D513">
        <f t="shared" si="44"/>
        <v>202312</v>
      </c>
      <c r="E513">
        <f t="shared" si="45"/>
        <v>4</v>
      </c>
      <c r="F513">
        <f t="shared" si="46"/>
        <v>202304</v>
      </c>
      <c r="G513" t="s">
        <v>703</v>
      </c>
      <c r="H513" s="9">
        <v>5.25</v>
      </c>
      <c r="I513" s="9">
        <v>5.1875999999999998</v>
      </c>
      <c r="J513" s="10">
        <v>5.1939007999999998</v>
      </c>
      <c r="K513" s="10">
        <v>5.2056513999999998</v>
      </c>
      <c r="L513" s="10">
        <v>5.2051901000000003</v>
      </c>
      <c r="M513" s="10">
        <v>5.1830271000000003</v>
      </c>
      <c r="N513" s="10">
        <v>5.1369705999999997</v>
      </c>
      <c r="O513" s="10">
        <v>5.0708846999999997</v>
      </c>
      <c r="P513" s="10">
        <v>4.9912957999999996</v>
      </c>
      <c r="Q513" s="10">
        <v>4.9057019999999998</v>
      </c>
      <c r="R513" s="10">
        <v>4.8200374000000004</v>
      </c>
      <c r="S513" s="10">
        <v>4.7378042999999996</v>
      </c>
      <c r="T513" s="10">
        <v>4.6603808999999998</v>
      </c>
      <c r="U513" s="10">
        <v>4.5877283999999996</v>
      </c>
      <c r="V513" s="10">
        <v>4.5181082000000004</v>
      </c>
      <c r="W513" s="10">
        <v>4.4510886999999997</v>
      </c>
      <c r="X513" s="10">
        <v>4.3867574999999999</v>
      </c>
      <c r="Y513" s="10">
        <v>4.3251999000000003</v>
      </c>
      <c r="Z513" s="10">
        <v>4.2665015999999998</v>
      </c>
      <c r="AA513" s="10">
        <v>4.21075</v>
      </c>
      <c r="AB513" s="10">
        <v>4.1580095999999998</v>
      </c>
      <c r="AC513" s="10">
        <v>4.1082558999999996</v>
      </c>
      <c r="AD513" s="10">
        <v>4.0614432000000003</v>
      </c>
      <c r="AE513" s="10">
        <v>4.0175238999999996</v>
      </c>
      <c r="AF513" s="10">
        <v>3.9764504999999999</v>
      </c>
      <c r="AG513" s="10">
        <v>3.938177</v>
      </c>
      <c r="AH513" s="10">
        <v>3.9026391999999999</v>
      </c>
      <c r="AI513" s="10">
        <v>3.8697004000000002</v>
      </c>
      <c r="AJ513" s="10">
        <v>3.8392046</v>
      </c>
      <c r="AK513" s="10">
        <v>3.8109947000000002</v>
      </c>
      <c r="AL513" s="10">
        <v>3.7849138999999998</v>
      </c>
      <c r="AM513" s="10">
        <v>3.7608060999999999</v>
      </c>
      <c r="AN513" s="10">
        <v>3.7385142</v>
      </c>
      <c r="AO513" s="10">
        <v>3.7178814999999998</v>
      </c>
      <c r="AP513" s="10">
        <v>3.6987516999999999</v>
      </c>
      <c r="AQ513" s="10">
        <v>3.680968</v>
      </c>
      <c r="AR513" s="10">
        <v>3.6643734000000001</v>
      </c>
      <c r="AS513" s="10">
        <v>3.6488117999999998</v>
      </c>
      <c r="AT513" s="10">
        <v>3.6341458000000002</v>
      </c>
      <c r="AU513" s="10">
        <v>3.6203249</v>
      </c>
      <c r="AV513" s="10">
        <v>3.6073227999999999</v>
      </c>
      <c r="AW513" s="10">
        <v>3.5951127</v>
      </c>
      <c r="AX513" s="10">
        <v>3.5836679999999999</v>
      </c>
      <c r="AY513" s="10">
        <v>3.5729622000000001</v>
      </c>
      <c r="AZ513" s="10">
        <v>3.5629688000000002</v>
      </c>
      <c r="BA513" s="10">
        <v>3.5536609000000001</v>
      </c>
      <c r="BB513" s="10">
        <v>3.5450122999999998</v>
      </c>
      <c r="BC513" s="10">
        <v>3.5369961999999999</v>
      </c>
      <c r="BD513" s="10">
        <v>3.5295860000000001</v>
      </c>
      <c r="BE513" s="10">
        <v>3.5227552000000002</v>
      </c>
      <c r="BF513" s="10">
        <v>3.5164797000000001</v>
      </c>
      <c r="BG513" s="10">
        <v>3.5107487000000002</v>
      </c>
      <c r="BH513" s="10">
        <v>3.5055559000000001</v>
      </c>
      <c r="BI513" s="10">
        <v>3.5008949999999999</v>
      </c>
      <c r="BJ513" s="10">
        <v>3.4967598</v>
      </c>
      <c r="BK513" s="10">
        <v>3.4931439000000002</v>
      </c>
      <c r="BL513" s="10">
        <v>3.4900410000000002</v>
      </c>
      <c r="BM513" s="10">
        <v>3.4874448999999998</v>
      </c>
      <c r="BN513" s="10">
        <v>3.4853493000000002</v>
      </c>
      <c r="BO513" s="10">
        <v>3.4837479</v>
      </c>
      <c r="BP513" s="10">
        <v>3.4826343999999998</v>
      </c>
      <c r="BQ513" s="10">
        <v>3.4820023999999998</v>
      </c>
      <c r="BR513" s="10">
        <v>3.4876838999999999</v>
      </c>
      <c r="BS513" s="10">
        <v>3.5073484000000001</v>
      </c>
      <c r="BU513" s="7">
        <v>4.5999999999999996</v>
      </c>
      <c r="BV513" s="7">
        <v>4.08</v>
      </c>
      <c r="BW513" s="9">
        <v>81.939099999999996</v>
      </c>
    </row>
    <row r="514" spans="1:75" x14ac:dyDescent="0.25">
      <c r="A514" s="6">
        <f t="shared" si="47"/>
        <v>45272</v>
      </c>
      <c r="B514" s="13">
        <f t="shared" si="42"/>
        <v>12</v>
      </c>
      <c r="C514" s="13">
        <f t="shared" si="43"/>
        <v>2023</v>
      </c>
      <c r="D514">
        <f t="shared" si="44"/>
        <v>202312</v>
      </c>
      <c r="E514">
        <f t="shared" si="45"/>
        <v>4</v>
      </c>
      <c r="F514">
        <f t="shared" si="46"/>
        <v>202304</v>
      </c>
      <c r="G514" t="s">
        <v>704</v>
      </c>
      <c r="H514" s="9">
        <v>5.25</v>
      </c>
      <c r="I514" s="9">
        <v>5.1878000000000002</v>
      </c>
      <c r="J514" s="10">
        <v>5.1902195999999998</v>
      </c>
      <c r="K514" s="10">
        <v>5.1962238000000003</v>
      </c>
      <c r="L514" s="10">
        <v>5.1871973999999996</v>
      </c>
      <c r="M514" s="10">
        <v>5.1536076</v>
      </c>
      <c r="N514" s="10">
        <v>5.0937950000000001</v>
      </c>
      <c r="O514" s="10">
        <v>5.0124652000000003</v>
      </c>
      <c r="P514" s="10">
        <v>4.9170375000000002</v>
      </c>
      <c r="Q514" s="10">
        <v>4.8158171999999997</v>
      </c>
      <c r="R514" s="10">
        <v>4.7151747000000004</v>
      </c>
      <c r="S514" s="10">
        <v>4.6189420999999999</v>
      </c>
      <c r="T514" s="10">
        <v>4.5286165</v>
      </c>
      <c r="U514" s="10">
        <v>4.4446076000000003</v>
      </c>
      <c r="V514" s="10">
        <v>4.3658944999999996</v>
      </c>
      <c r="W514" s="10">
        <v>4.2920501</v>
      </c>
      <c r="X514" s="10">
        <v>4.2229412000000002</v>
      </c>
      <c r="Y514" s="10">
        <v>4.1584317000000004</v>
      </c>
      <c r="Z514" s="10">
        <v>4.0983858</v>
      </c>
      <c r="AA514" s="10">
        <v>4.0426700000000002</v>
      </c>
      <c r="AB514" s="10">
        <v>3.9911297999999999</v>
      </c>
      <c r="AC514" s="10">
        <v>3.9435332000000001</v>
      </c>
      <c r="AD514" s="10">
        <v>3.899629</v>
      </c>
      <c r="AE514" s="10">
        <v>3.8591646000000002</v>
      </c>
      <c r="AF514" s="10">
        <v>3.8218876000000002</v>
      </c>
      <c r="AG514" s="10">
        <v>3.7875467</v>
      </c>
      <c r="AH514" s="10">
        <v>3.755903</v>
      </c>
      <c r="AI514" s="10">
        <v>3.7267779999999999</v>
      </c>
      <c r="AJ514" s="10">
        <v>3.7000112000000001</v>
      </c>
      <c r="AK514" s="10">
        <v>3.6754406999999998</v>
      </c>
      <c r="AL514" s="10">
        <v>3.6529048</v>
      </c>
      <c r="AM514" s="10">
        <v>3.6322426999999999</v>
      </c>
      <c r="AN514" s="10">
        <v>3.6132927000000001</v>
      </c>
      <c r="AO514" s="10">
        <v>3.5958931000000001</v>
      </c>
      <c r="AP514" s="10">
        <v>3.5798830000000001</v>
      </c>
      <c r="AQ514" s="10">
        <v>3.5651006999999999</v>
      </c>
      <c r="AR514" s="10">
        <v>3.5513846</v>
      </c>
      <c r="AS514" s="10">
        <v>3.5385738</v>
      </c>
      <c r="AT514" s="10">
        <v>3.5265236</v>
      </c>
      <c r="AU514" s="10">
        <v>3.5151819</v>
      </c>
      <c r="AV514" s="10">
        <v>3.5045278</v>
      </c>
      <c r="AW514" s="10">
        <v>3.4945400000000002</v>
      </c>
      <c r="AX514" s="10">
        <v>3.4851972</v>
      </c>
      <c r="AY514" s="10">
        <v>3.4764784999999998</v>
      </c>
      <c r="AZ514" s="10">
        <v>3.4683625999999999</v>
      </c>
      <c r="BA514" s="10">
        <v>3.4608284</v>
      </c>
      <c r="BB514" s="10">
        <v>3.4538546999999999</v>
      </c>
      <c r="BC514" s="10">
        <v>3.4474203999999999</v>
      </c>
      <c r="BD514" s="10">
        <v>3.4415043000000001</v>
      </c>
      <c r="BE514" s="10">
        <v>3.4360852</v>
      </c>
      <c r="BF514" s="10">
        <v>3.4311443000000001</v>
      </c>
      <c r="BG514" s="10">
        <v>3.4266728999999998</v>
      </c>
      <c r="BH514" s="10">
        <v>3.4226659000000001</v>
      </c>
      <c r="BI514" s="10">
        <v>3.4191178999999998</v>
      </c>
      <c r="BJ514" s="10">
        <v>3.4160237000000002</v>
      </c>
      <c r="BK514" s="10">
        <v>3.4133781000000001</v>
      </c>
      <c r="BL514" s="10">
        <v>3.4111756999999998</v>
      </c>
      <c r="BM514" s="10">
        <v>3.4094112999999999</v>
      </c>
      <c r="BN514" s="10">
        <v>3.4080796000000002</v>
      </c>
      <c r="BO514" s="10">
        <v>3.4071755000000001</v>
      </c>
      <c r="BP514" s="10">
        <v>3.4066934999999998</v>
      </c>
      <c r="BQ514" s="10">
        <v>3.4066283999999998</v>
      </c>
      <c r="BR514" s="10">
        <v>3.4144785</v>
      </c>
      <c r="BS514" s="10">
        <v>3.4346599000000002</v>
      </c>
      <c r="BU514" s="7">
        <v>4.51</v>
      </c>
      <c r="BV514" s="7">
        <v>3.99</v>
      </c>
      <c r="BW514" s="9">
        <v>81.849999999999994</v>
      </c>
    </row>
    <row r="515" spans="1:75" x14ac:dyDescent="0.25">
      <c r="A515" s="6">
        <f t="shared" si="47"/>
        <v>45273</v>
      </c>
      <c r="B515" s="13">
        <f t="shared" si="42"/>
        <v>12</v>
      </c>
      <c r="C515" s="13">
        <f t="shared" si="43"/>
        <v>2023</v>
      </c>
      <c r="D515">
        <f t="shared" si="44"/>
        <v>202312</v>
      </c>
      <c r="E515">
        <f t="shared" si="45"/>
        <v>4</v>
      </c>
      <c r="F515">
        <f t="shared" si="46"/>
        <v>202304</v>
      </c>
      <c r="G515" t="s">
        <v>705</v>
      </c>
      <c r="H515" s="9">
        <v>5.25</v>
      </c>
      <c r="I515" s="9">
        <v>5.1874000000000002</v>
      </c>
      <c r="J515" s="10">
        <v>5.1910892999999998</v>
      </c>
      <c r="K515" s="10">
        <v>5.1901085</v>
      </c>
      <c r="L515" s="10">
        <v>5.1667310999999998</v>
      </c>
      <c r="M515" s="10">
        <v>5.1135482999999997</v>
      </c>
      <c r="N515" s="10">
        <v>5.0327131999999999</v>
      </c>
      <c r="O515" s="10">
        <v>4.9321631000000004</v>
      </c>
      <c r="P515" s="10">
        <v>4.8211347</v>
      </c>
      <c r="Q515" s="10">
        <v>4.7080128999999999</v>
      </c>
      <c r="R515" s="10">
        <v>4.5985645000000002</v>
      </c>
      <c r="S515" s="10">
        <v>4.4957238000000004</v>
      </c>
      <c r="T515" s="10">
        <v>4.4003065000000001</v>
      </c>
      <c r="U515" s="10">
        <v>4.3120943</v>
      </c>
      <c r="V515" s="10">
        <v>4.2294501999999996</v>
      </c>
      <c r="W515" s="10">
        <v>4.1517781999999999</v>
      </c>
      <c r="X515" s="10">
        <v>4.0789077999999996</v>
      </c>
      <c r="Y515" s="10">
        <v>4.0106655</v>
      </c>
      <c r="Z515" s="10">
        <v>3.9468781000000002</v>
      </c>
      <c r="AA515" s="10">
        <v>3.8873747999999999</v>
      </c>
      <c r="AB515" s="10">
        <v>3.831979</v>
      </c>
      <c r="AC515" s="10">
        <v>3.7805000999999998</v>
      </c>
      <c r="AD515" s="10">
        <v>3.7327458999999998</v>
      </c>
      <c r="AE515" s="10">
        <v>3.6885219999999999</v>
      </c>
      <c r="AF515" s="10">
        <v>3.6476343999999998</v>
      </c>
      <c r="AG515" s="10">
        <v>3.6098903999999998</v>
      </c>
      <c r="AH515" s="10">
        <v>3.5750996000000002</v>
      </c>
      <c r="AI515" s="10">
        <v>3.5430902</v>
      </c>
      <c r="AJ515" s="10">
        <v>3.5136981</v>
      </c>
      <c r="AK515" s="10">
        <v>3.4867580999999999</v>
      </c>
      <c r="AL515" s="10">
        <v>3.4621050000000002</v>
      </c>
      <c r="AM515" s="10">
        <v>3.4395744000000001</v>
      </c>
      <c r="AN515" s="10">
        <v>3.4190011999999999</v>
      </c>
      <c r="AO515" s="10">
        <v>3.4002202000000001</v>
      </c>
      <c r="AP515" s="10">
        <v>3.3830670999999999</v>
      </c>
      <c r="AQ515" s="10">
        <v>3.3673766999999999</v>
      </c>
      <c r="AR515" s="10">
        <v>3.3529838999999999</v>
      </c>
      <c r="AS515" s="10">
        <v>3.3397242</v>
      </c>
      <c r="AT515" s="10">
        <v>3.3274493999999999</v>
      </c>
      <c r="AU515" s="10">
        <v>3.3160942000000002</v>
      </c>
      <c r="AV515" s="10">
        <v>3.3056187000000001</v>
      </c>
      <c r="AW515" s="10">
        <v>3.2959825</v>
      </c>
      <c r="AX515" s="10">
        <v>3.2871456000000001</v>
      </c>
      <c r="AY515" s="10">
        <v>3.2790678999999998</v>
      </c>
      <c r="AZ515" s="10">
        <v>3.2717092000000001</v>
      </c>
      <c r="BA515" s="10">
        <v>3.2650293000000001</v>
      </c>
      <c r="BB515" s="10">
        <v>3.2589882999999999</v>
      </c>
      <c r="BC515" s="10">
        <v>3.2535457999999999</v>
      </c>
      <c r="BD515" s="10">
        <v>3.2486617999999998</v>
      </c>
      <c r="BE515" s="10">
        <v>3.2442962</v>
      </c>
      <c r="BF515" s="10">
        <v>3.2404134</v>
      </c>
      <c r="BG515" s="10">
        <v>3.2369976999999999</v>
      </c>
      <c r="BH515" s="10">
        <v>3.2340390000000001</v>
      </c>
      <c r="BI515" s="10">
        <v>3.2315271999999999</v>
      </c>
      <c r="BJ515" s="10">
        <v>3.2294523000000002</v>
      </c>
      <c r="BK515" s="10">
        <v>3.2278041000000002</v>
      </c>
      <c r="BL515" s="10">
        <v>3.2265725000000001</v>
      </c>
      <c r="BM515" s="10">
        <v>3.2257475000000002</v>
      </c>
      <c r="BN515" s="10">
        <v>3.2253189</v>
      </c>
      <c r="BO515" s="10">
        <v>3.2252765999999999</v>
      </c>
      <c r="BP515" s="10">
        <v>3.2256105000000002</v>
      </c>
      <c r="BQ515" s="10">
        <v>3.2263104999999999</v>
      </c>
      <c r="BR515" s="10">
        <v>3.2377047999999999</v>
      </c>
      <c r="BS515" s="10">
        <v>3.2601711999999998</v>
      </c>
      <c r="BU515" s="7">
        <v>4.3600000000000003</v>
      </c>
      <c r="BV515" s="7">
        <v>3.83</v>
      </c>
      <c r="BW515" s="9">
        <v>81.545599999999993</v>
      </c>
    </row>
    <row r="516" spans="1:75" x14ac:dyDescent="0.25">
      <c r="A516" s="6">
        <f t="shared" si="47"/>
        <v>45274</v>
      </c>
      <c r="B516" s="13">
        <f t="shared" si="42"/>
        <v>12</v>
      </c>
      <c r="C516" s="13">
        <f t="shared" si="43"/>
        <v>2023</v>
      </c>
      <c r="D516">
        <f t="shared" si="44"/>
        <v>202312</v>
      </c>
      <c r="E516">
        <f t="shared" si="45"/>
        <v>4</v>
      </c>
      <c r="F516">
        <f t="shared" si="46"/>
        <v>202304</v>
      </c>
      <c r="G516" t="s">
        <v>706</v>
      </c>
      <c r="H516" s="9">
        <v>5.25</v>
      </c>
      <c r="I516" s="9">
        <v>5.1859000000000002</v>
      </c>
      <c r="J516" s="10">
        <v>5.1903271000000002</v>
      </c>
      <c r="K516" s="10">
        <v>5.1872553999999997</v>
      </c>
      <c r="L516" s="10">
        <v>5.1624004000000001</v>
      </c>
      <c r="M516" s="10">
        <v>5.1049733000000002</v>
      </c>
      <c r="N516" s="10">
        <v>5.0164046000000004</v>
      </c>
      <c r="O516" s="10">
        <v>4.9065553</v>
      </c>
      <c r="P516" s="10">
        <v>4.7865824999999997</v>
      </c>
      <c r="Q516" s="10">
        <v>4.6654606999999997</v>
      </c>
      <c r="R516" s="10">
        <v>4.5487479000000004</v>
      </c>
      <c r="S516" s="10">
        <v>4.4391952999999997</v>
      </c>
      <c r="T516" s="10">
        <v>4.3371781</v>
      </c>
      <c r="U516" s="10">
        <v>4.2421042</v>
      </c>
      <c r="V516" s="10">
        <v>4.1517112000000003</v>
      </c>
      <c r="W516" s="10">
        <v>4.0655092000000002</v>
      </c>
      <c r="X516" s="10">
        <v>3.9838144999999998</v>
      </c>
      <c r="Y516" s="10">
        <v>3.9069406</v>
      </c>
      <c r="Z516" s="10">
        <v>3.8352013</v>
      </c>
      <c r="AA516" s="10">
        <v>3.7689130999999998</v>
      </c>
      <c r="AB516" s="10">
        <v>3.7083034000000001</v>
      </c>
      <c r="AC516" s="10">
        <v>3.6531574</v>
      </c>
      <c r="AD516" s="10">
        <v>3.6031209999999998</v>
      </c>
      <c r="AE516" s="10">
        <v>3.5578381000000001</v>
      </c>
      <c r="AF516" s="10">
        <v>3.5169527</v>
      </c>
      <c r="AG516" s="10">
        <v>3.4801103000000002</v>
      </c>
      <c r="AH516" s="10">
        <v>3.4469694999999998</v>
      </c>
      <c r="AI516" s="10">
        <v>3.4172606999999999</v>
      </c>
      <c r="AJ516" s="10">
        <v>3.3907370999999999</v>
      </c>
      <c r="AK516" s="10">
        <v>3.3671508000000001</v>
      </c>
      <c r="AL516" s="10">
        <v>3.3462538999999998</v>
      </c>
      <c r="AM516" s="10">
        <v>3.3277996000000001</v>
      </c>
      <c r="AN516" s="10">
        <v>3.3115399000000001</v>
      </c>
      <c r="AO516" s="10">
        <v>3.2972271000000002</v>
      </c>
      <c r="AP516" s="10">
        <v>3.2846142</v>
      </c>
      <c r="AQ516" s="10">
        <v>3.2734532999999999</v>
      </c>
      <c r="AR516" s="10">
        <v>3.2634968999999998</v>
      </c>
      <c r="AS516" s="10">
        <v>3.2544976000000001</v>
      </c>
      <c r="AT516" s="10">
        <v>3.2462411000000002</v>
      </c>
      <c r="AU516" s="10">
        <v>3.2386599</v>
      </c>
      <c r="AV516" s="10">
        <v>3.2317277</v>
      </c>
      <c r="AW516" s="10">
        <v>3.2254174999999998</v>
      </c>
      <c r="AX516" s="10">
        <v>3.2197026000000002</v>
      </c>
      <c r="AY516" s="10">
        <v>3.2145565</v>
      </c>
      <c r="AZ516" s="10">
        <v>3.2099522</v>
      </c>
      <c r="BA516" s="10">
        <v>3.2058631000000002</v>
      </c>
      <c r="BB516" s="10">
        <v>3.2022626000000001</v>
      </c>
      <c r="BC516" s="10">
        <v>3.1991239</v>
      </c>
      <c r="BD516" s="10">
        <v>3.1964201999999999</v>
      </c>
      <c r="BE516" s="10">
        <v>3.1941248</v>
      </c>
      <c r="BF516" s="10">
        <v>3.1922145999999998</v>
      </c>
      <c r="BG516" s="10">
        <v>3.1906816999999998</v>
      </c>
      <c r="BH516" s="10">
        <v>3.1895221999999999</v>
      </c>
      <c r="BI516" s="10">
        <v>3.1887327000000001</v>
      </c>
      <c r="BJ516" s="10">
        <v>3.1883094000000001</v>
      </c>
      <c r="BK516" s="10">
        <v>3.1882486000000001</v>
      </c>
      <c r="BL516" s="10">
        <v>3.1885466999999998</v>
      </c>
      <c r="BM516" s="10">
        <v>3.1892</v>
      </c>
      <c r="BN516" s="10">
        <v>3.1902048999999999</v>
      </c>
      <c r="BO516" s="10">
        <v>3.1915577000000002</v>
      </c>
      <c r="BP516" s="10">
        <v>3.1932546999999998</v>
      </c>
      <c r="BQ516" s="10">
        <v>3.1952923000000002</v>
      </c>
      <c r="BR516" s="10">
        <v>3.2143244000000002</v>
      </c>
      <c r="BS516" s="10">
        <v>3.2438356000000002</v>
      </c>
      <c r="BU516" s="7">
        <v>4.34</v>
      </c>
      <c r="BV516" s="7">
        <v>3.79</v>
      </c>
      <c r="BW516" s="9">
        <v>82.059399999999997</v>
      </c>
    </row>
    <row r="517" spans="1:75" x14ac:dyDescent="0.25">
      <c r="A517" s="6">
        <f t="shared" si="47"/>
        <v>45275</v>
      </c>
      <c r="B517" s="13">
        <f t="shared" si="42"/>
        <v>12</v>
      </c>
      <c r="C517" s="13">
        <f t="shared" si="43"/>
        <v>2023</v>
      </c>
      <c r="D517">
        <f t="shared" si="44"/>
        <v>202312</v>
      </c>
      <c r="E517">
        <f t="shared" si="45"/>
        <v>4</v>
      </c>
      <c r="F517">
        <f t="shared" si="46"/>
        <v>202304</v>
      </c>
      <c r="G517" t="s">
        <v>707</v>
      </c>
      <c r="H517" s="9">
        <v>5.25</v>
      </c>
      <c r="I517" s="9">
        <v>5.1858000000000004</v>
      </c>
      <c r="J517" s="10">
        <v>5.1909263000000001</v>
      </c>
      <c r="K517" s="10">
        <v>5.1946159999999999</v>
      </c>
      <c r="L517" s="10">
        <v>5.1763608999999997</v>
      </c>
      <c r="M517" s="10">
        <v>5.124587</v>
      </c>
      <c r="N517" s="10">
        <v>5.0396796999999998</v>
      </c>
      <c r="O517" s="10">
        <v>4.9287530000000004</v>
      </c>
      <c r="P517" s="10">
        <v>4.8021662999999997</v>
      </c>
      <c r="Q517" s="10">
        <v>4.6687516999999996</v>
      </c>
      <c r="R517" s="10">
        <v>4.5350171000000001</v>
      </c>
      <c r="S517" s="10">
        <v>4.4052651000000003</v>
      </c>
      <c r="T517" s="10">
        <v>4.2821404000000003</v>
      </c>
      <c r="U517" s="10">
        <v>4.1672197000000004</v>
      </c>
      <c r="V517" s="10">
        <v>4.0617555000000003</v>
      </c>
      <c r="W517" s="10">
        <v>3.9656837</v>
      </c>
      <c r="X517" s="10">
        <v>3.8785291000000002</v>
      </c>
      <c r="Y517" s="10">
        <v>3.7998132</v>
      </c>
      <c r="Z517" s="10">
        <v>3.7290576</v>
      </c>
      <c r="AA517" s="10">
        <v>3.6657864999999998</v>
      </c>
      <c r="AB517" s="10">
        <v>3.6094833999999998</v>
      </c>
      <c r="AC517" s="10">
        <v>3.5594549</v>
      </c>
      <c r="AD517" s="10">
        <v>3.514958</v>
      </c>
      <c r="AE517" s="10">
        <v>3.4752481</v>
      </c>
      <c r="AF517" s="10">
        <v>3.4395804000000001</v>
      </c>
      <c r="AG517" s="10">
        <v>3.4072117999999998</v>
      </c>
      <c r="AH517" s="10">
        <v>3.3774869999999999</v>
      </c>
      <c r="AI517" s="10">
        <v>3.3501458</v>
      </c>
      <c r="AJ517" s="10">
        <v>3.3250375000000001</v>
      </c>
      <c r="AK517" s="10">
        <v>3.3020108000000001</v>
      </c>
      <c r="AL517" s="10">
        <v>3.2809143000000001</v>
      </c>
      <c r="AM517" s="10">
        <v>3.2615973999999999</v>
      </c>
      <c r="AN517" s="10">
        <v>3.2439087</v>
      </c>
      <c r="AO517" s="10">
        <v>3.2276967999999999</v>
      </c>
      <c r="AP517" s="10">
        <v>3.2128109999999999</v>
      </c>
      <c r="AQ517" s="10">
        <v>3.1991000000000001</v>
      </c>
      <c r="AR517" s="10">
        <v>3.1864124999999999</v>
      </c>
      <c r="AS517" s="10">
        <v>3.1745977999999999</v>
      </c>
      <c r="AT517" s="10">
        <v>3.1635249999999999</v>
      </c>
      <c r="AU517" s="10">
        <v>3.1531539999999998</v>
      </c>
      <c r="AV517" s="10">
        <v>3.1434703000000002</v>
      </c>
      <c r="AW517" s="10">
        <v>3.1344587000000002</v>
      </c>
      <c r="AX517" s="10">
        <v>3.1261041999999999</v>
      </c>
      <c r="AY517" s="10">
        <v>3.1183922000000002</v>
      </c>
      <c r="AZ517" s="10">
        <v>3.1113073999999998</v>
      </c>
      <c r="BA517" s="10">
        <v>3.1048350999999998</v>
      </c>
      <c r="BB517" s="10">
        <v>3.0989602999999999</v>
      </c>
      <c r="BC517" s="10">
        <v>3.0936680000000001</v>
      </c>
      <c r="BD517" s="10">
        <v>3.0889433999999998</v>
      </c>
      <c r="BE517" s="10">
        <v>3.0847715</v>
      </c>
      <c r="BF517" s="10">
        <v>3.0811377000000002</v>
      </c>
      <c r="BG517" s="10">
        <v>3.0780287999999998</v>
      </c>
      <c r="BH517" s="10">
        <v>3.0754320000000002</v>
      </c>
      <c r="BI517" s="10">
        <v>3.0733345000000001</v>
      </c>
      <c r="BJ517" s="10">
        <v>3.0717235000000001</v>
      </c>
      <c r="BK517" s="10">
        <v>3.0705862000000002</v>
      </c>
      <c r="BL517" s="10">
        <v>3.0699098</v>
      </c>
      <c r="BM517" s="10">
        <v>3.0696815000000002</v>
      </c>
      <c r="BN517" s="10">
        <v>3.0698884999999998</v>
      </c>
      <c r="BO517" s="10">
        <v>3.0705179</v>
      </c>
      <c r="BP517" s="10">
        <v>3.0715571000000002</v>
      </c>
      <c r="BQ517" s="10">
        <v>3.0729931000000001</v>
      </c>
      <c r="BR517" s="10">
        <v>3.0892957000000001</v>
      </c>
      <c r="BS517" s="10">
        <v>3.1170843000000001</v>
      </c>
      <c r="BU517" s="7">
        <v>4.29</v>
      </c>
      <c r="BV517" s="7">
        <v>3.7</v>
      </c>
      <c r="BW517" s="9">
        <v>81.966700000000003</v>
      </c>
    </row>
    <row r="518" spans="1:75" x14ac:dyDescent="0.25">
      <c r="A518" s="6">
        <f t="shared" si="47"/>
        <v>45278</v>
      </c>
      <c r="B518" s="13">
        <f t="shared" si="42"/>
        <v>12</v>
      </c>
      <c r="C518" s="13">
        <f t="shared" si="43"/>
        <v>2023</v>
      </c>
      <c r="D518">
        <f t="shared" si="44"/>
        <v>202312</v>
      </c>
      <c r="E518">
        <f t="shared" si="45"/>
        <v>4</v>
      </c>
      <c r="F518">
        <f t="shared" si="46"/>
        <v>202304</v>
      </c>
      <c r="G518" t="s">
        <v>708</v>
      </c>
      <c r="H518" s="9">
        <v>5.25</v>
      </c>
      <c r="I518" s="9">
        <v>5.1864999999999997</v>
      </c>
      <c r="J518" s="10">
        <v>5.1952965000000004</v>
      </c>
      <c r="K518" s="10">
        <v>5.1920314999999997</v>
      </c>
      <c r="L518" s="10">
        <v>5.1620590999999996</v>
      </c>
      <c r="M518" s="10">
        <v>5.0963047000000001</v>
      </c>
      <c r="N518" s="10">
        <v>5.0000083000000002</v>
      </c>
      <c r="O518" s="10">
        <v>4.8836357000000001</v>
      </c>
      <c r="P518" s="10">
        <v>4.7577106000000002</v>
      </c>
      <c r="Q518" s="10">
        <v>4.6309171999999998</v>
      </c>
      <c r="R518" s="10">
        <v>4.5084871</v>
      </c>
      <c r="S518" s="10">
        <v>4.3929016000000001</v>
      </c>
      <c r="T518" s="10">
        <v>4.2849731999999996</v>
      </c>
      <c r="U518" s="10">
        <v>4.1843611000000003</v>
      </c>
      <c r="V518" s="10">
        <v>4.0894063000000003</v>
      </c>
      <c r="W518" s="10">
        <v>3.9997120000000002</v>
      </c>
      <c r="X518" s="10">
        <v>3.9153568999999999</v>
      </c>
      <c r="Y518" s="10">
        <v>3.8364167</v>
      </c>
      <c r="Z518" s="10">
        <v>3.7629671999999998</v>
      </c>
      <c r="AA518" s="10">
        <v>3.6950869000000002</v>
      </c>
      <c r="AB518" s="10">
        <v>3.6327880000000001</v>
      </c>
      <c r="AC518" s="10">
        <v>3.5758152000000001</v>
      </c>
      <c r="AD518" s="10">
        <v>3.5238451999999998</v>
      </c>
      <c r="AE518" s="10">
        <v>3.4765522</v>
      </c>
      <c r="AF518" s="10">
        <v>3.4336110999999998</v>
      </c>
      <c r="AG518" s="10">
        <v>3.3946979000000002</v>
      </c>
      <c r="AH518" s="10">
        <v>3.3594995000000001</v>
      </c>
      <c r="AI518" s="10">
        <v>3.3277570000000001</v>
      </c>
      <c r="AJ518" s="10">
        <v>3.2992271999999998</v>
      </c>
      <c r="AK518" s="10">
        <v>3.273666</v>
      </c>
      <c r="AL518" s="10">
        <v>3.2508292000000001</v>
      </c>
      <c r="AM518" s="10">
        <v>3.2304738</v>
      </c>
      <c r="AN518" s="10">
        <v>3.2123555000000001</v>
      </c>
      <c r="AO518" s="10">
        <v>3.1962304000000001</v>
      </c>
      <c r="AP518" s="10">
        <v>3.1818550999999999</v>
      </c>
      <c r="AQ518" s="10">
        <v>3.1689856000000001</v>
      </c>
      <c r="AR518" s="10">
        <v>3.157378</v>
      </c>
      <c r="AS518" s="10">
        <v>3.1467887000000001</v>
      </c>
      <c r="AT518" s="10">
        <v>3.1370060999999998</v>
      </c>
      <c r="AU518" s="10">
        <v>3.1279607999999999</v>
      </c>
      <c r="AV518" s="10">
        <v>3.1196233000000002</v>
      </c>
      <c r="AW518" s="10">
        <v>3.1119634</v>
      </c>
      <c r="AX518" s="10">
        <v>3.1049513000000002</v>
      </c>
      <c r="AY518" s="10">
        <v>3.0985572000000001</v>
      </c>
      <c r="AZ518" s="10">
        <v>3.0927511000000001</v>
      </c>
      <c r="BA518" s="10">
        <v>3.0875031000000002</v>
      </c>
      <c r="BB518" s="10">
        <v>3.0827833999999998</v>
      </c>
      <c r="BC518" s="10">
        <v>3.0785619999999998</v>
      </c>
      <c r="BD518" s="10">
        <v>3.0748091</v>
      </c>
      <c r="BE518" s="10">
        <v>3.0714947000000001</v>
      </c>
      <c r="BF518" s="10">
        <v>3.0685924999999998</v>
      </c>
      <c r="BG518" s="10">
        <v>3.0660949</v>
      </c>
      <c r="BH518" s="10">
        <v>3.0640005000000001</v>
      </c>
      <c r="BI518" s="10">
        <v>3.0623079999999998</v>
      </c>
      <c r="BJ518" s="10">
        <v>3.0610162000000001</v>
      </c>
      <c r="BK518" s="10">
        <v>3.0601237999999999</v>
      </c>
      <c r="BL518" s="10">
        <v>3.0596293999999999</v>
      </c>
      <c r="BM518" s="10">
        <v>3.0595317999999998</v>
      </c>
      <c r="BN518" s="10">
        <v>3.0598296</v>
      </c>
      <c r="BO518" s="10">
        <v>3.0605216</v>
      </c>
      <c r="BP518" s="10">
        <v>3.0616064000000001</v>
      </c>
      <c r="BQ518" s="10">
        <v>3.0630828000000001</v>
      </c>
      <c r="BR518" s="10">
        <v>3.0797595000000002</v>
      </c>
      <c r="BS518" s="10">
        <v>3.1081718999999999</v>
      </c>
      <c r="BU518" s="7">
        <v>4.33</v>
      </c>
      <c r="BV518" s="7">
        <v>3.71</v>
      </c>
      <c r="BW518" s="9">
        <v>81.683000000000007</v>
      </c>
    </row>
    <row r="519" spans="1:75" x14ac:dyDescent="0.25">
      <c r="A519" s="6">
        <f t="shared" si="47"/>
        <v>45279</v>
      </c>
      <c r="B519" s="13">
        <f t="shared" si="42"/>
        <v>12</v>
      </c>
      <c r="C519" s="13">
        <f t="shared" si="43"/>
        <v>2023</v>
      </c>
      <c r="D519">
        <f t="shared" si="44"/>
        <v>202312</v>
      </c>
      <c r="E519">
        <f t="shared" si="45"/>
        <v>4</v>
      </c>
      <c r="F519">
        <f t="shared" si="46"/>
        <v>202304</v>
      </c>
      <c r="G519" t="s">
        <v>709</v>
      </c>
      <c r="H519" s="9">
        <v>5.25</v>
      </c>
      <c r="I519" s="9">
        <v>5.1863000000000001</v>
      </c>
      <c r="J519" s="10">
        <v>5.1930316999999997</v>
      </c>
      <c r="K519" s="10">
        <v>5.1988970999999999</v>
      </c>
      <c r="L519" s="10">
        <v>5.1793825</v>
      </c>
      <c r="M519" s="10">
        <v>5.1245535999999996</v>
      </c>
      <c r="N519" s="10">
        <v>5.0354904999999999</v>
      </c>
      <c r="O519" s="10">
        <v>4.9194076999999998</v>
      </c>
      <c r="P519" s="10">
        <v>4.7855121</v>
      </c>
      <c r="Q519" s="10">
        <v>4.6434591999999997</v>
      </c>
      <c r="R519" s="10">
        <v>4.5004974000000004</v>
      </c>
      <c r="S519" s="10">
        <v>4.3617651999999998</v>
      </c>
      <c r="T519" s="10">
        <v>4.2304871000000004</v>
      </c>
      <c r="U519" s="10">
        <v>4.1088529999999999</v>
      </c>
      <c r="V519" s="10">
        <v>3.9984997</v>
      </c>
      <c r="W519" s="10">
        <v>3.8991144000000002</v>
      </c>
      <c r="X519" s="10">
        <v>3.8098424999999998</v>
      </c>
      <c r="Y519" s="10">
        <v>3.7298257000000001</v>
      </c>
      <c r="Z519" s="10">
        <v>3.6582062</v>
      </c>
      <c r="AA519" s="10">
        <v>3.5941285000000001</v>
      </c>
      <c r="AB519" s="10">
        <v>3.5367609999999998</v>
      </c>
      <c r="AC519" s="10">
        <v>3.4853824000000002</v>
      </c>
      <c r="AD519" s="10">
        <v>3.4393020000000001</v>
      </c>
      <c r="AE519" s="10">
        <v>3.3978275</v>
      </c>
      <c r="AF519" s="10">
        <v>3.3602664999999998</v>
      </c>
      <c r="AG519" s="10">
        <v>3.3259281999999999</v>
      </c>
      <c r="AH519" s="10">
        <v>3.2942051000000001</v>
      </c>
      <c r="AI519" s="10">
        <v>3.2648646000000001</v>
      </c>
      <c r="AJ519" s="10">
        <v>3.2377785000000001</v>
      </c>
      <c r="AK519" s="10">
        <v>3.2128173000000002</v>
      </c>
      <c r="AL519" s="10">
        <v>3.1898520000000001</v>
      </c>
      <c r="AM519" s="10">
        <v>3.1687542</v>
      </c>
      <c r="AN519" s="10">
        <v>3.1493945000000001</v>
      </c>
      <c r="AO519" s="10">
        <v>3.1316438</v>
      </c>
      <c r="AP519" s="10">
        <v>3.1153737000000001</v>
      </c>
      <c r="AQ519" s="10">
        <v>3.1004548999999999</v>
      </c>
      <c r="AR519" s="10">
        <v>3.0867583999999999</v>
      </c>
      <c r="AS519" s="10">
        <v>3.0741554</v>
      </c>
      <c r="AT519" s="10">
        <v>3.0625293999999998</v>
      </c>
      <c r="AU519" s="10">
        <v>3.0518299</v>
      </c>
      <c r="AV519" s="10">
        <v>3.0420294000000001</v>
      </c>
      <c r="AW519" s="10">
        <v>3.0331000000000001</v>
      </c>
      <c r="AX519" s="10">
        <v>3.0250138</v>
      </c>
      <c r="AY519" s="10">
        <v>3.0177431000000001</v>
      </c>
      <c r="AZ519" s="10">
        <v>3.01126</v>
      </c>
      <c r="BA519" s="10">
        <v>3.0055366999999999</v>
      </c>
      <c r="BB519" s="10">
        <v>3.0005454</v>
      </c>
      <c r="BC519" s="10">
        <v>2.9962582000000002</v>
      </c>
      <c r="BD519" s="10">
        <v>2.9926474000000001</v>
      </c>
      <c r="BE519" s="10">
        <v>2.9896851</v>
      </c>
      <c r="BF519" s="10">
        <v>2.9873446000000001</v>
      </c>
      <c r="BG519" s="10">
        <v>2.9856041000000002</v>
      </c>
      <c r="BH519" s="10">
        <v>2.9844436000000001</v>
      </c>
      <c r="BI519" s="10">
        <v>2.9838428000000001</v>
      </c>
      <c r="BJ519" s="10">
        <v>2.9837815999999999</v>
      </c>
      <c r="BK519" s="10">
        <v>2.9842398999999999</v>
      </c>
      <c r="BL519" s="10">
        <v>2.9851975999999998</v>
      </c>
      <c r="BM519" s="10">
        <v>2.9866343999999998</v>
      </c>
      <c r="BN519" s="10">
        <v>2.9885302999999999</v>
      </c>
      <c r="BO519" s="10">
        <v>2.9908649999999999</v>
      </c>
      <c r="BP519" s="10">
        <v>2.9936186</v>
      </c>
      <c r="BQ519" s="10">
        <v>2.9967706999999999</v>
      </c>
      <c r="BR519" s="10">
        <v>3.0230972</v>
      </c>
      <c r="BS519" s="10">
        <v>3.0597460999999999</v>
      </c>
      <c r="BU519" s="7">
        <v>4.3099999999999996</v>
      </c>
      <c r="BV519" s="7">
        <v>3.68</v>
      </c>
      <c r="BW519" s="9">
        <v>81.961600000000004</v>
      </c>
    </row>
    <row r="520" spans="1:75" x14ac:dyDescent="0.25">
      <c r="A520" s="6">
        <f t="shared" si="47"/>
        <v>45280</v>
      </c>
      <c r="B520" s="13">
        <f t="shared" si="42"/>
        <v>12</v>
      </c>
      <c r="C520" s="13">
        <f t="shared" si="43"/>
        <v>2023</v>
      </c>
      <c r="D520">
        <f t="shared" si="44"/>
        <v>202312</v>
      </c>
      <c r="E520">
        <f t="shared" si="45"/>
        <v>4</v>
      </c>
      <c r="F520">
        <f t="shared" si="46"/>
        <v>202304</v>
      </c>
      <c r="G520" t="s">
        <v>710</v>
      </c>
      <c r="H520" s="9">
        <v>5.25</v>
      </c>
      <c r="I520" s="9">
        <v>5.1863999999999999</v>
      </c>
      <c r="J520" s="10">
        <v>5.1903601999999998</v>
      </c>
      <c r="K520" s="10">
        <v>5.1762921999999998</v>
      </c>
      <c r="L520" s="10">
        <v>5.1287039999999999</v>
      </c>
      <c r="M520" s="10">
        <v>5.0380022999999996</v>
      </c>
      <c r="N520" s="10">
        <v>4.9093055000000003</v>
      </c>
      <c r="O520" s="10">
        <v>4.7554125000000003</v>
      </c>
      <c r="P520" s="10">
        <v>4.5911429000000004</v>
      </c>
      <c r="Q520" s="10">
        <v>4.4296062000000003</v>
      </c>
      <c r="R520" s="10">
        <v>4.2787176999999996</v>
      </c>
      <c r="S520" s="10">
        <v>4.1416816000000001</v>
      </c>
      <c r="T520" s="10">
        <v>4.0186801000000001</v>
      </c>
      <c r="U520" s="10">
        <v>3.9085143000000002</v>
      </c>
      <c r="V520" s="10">
        <v>3.8076943999999999</v>
      </c>
      <c r="W520" s="10">
        <v>3.7149103000000001</v>
      </c>
      <c r="X520" s="10">
        <v>3.6296911999999999</v>
      </c>
      <c r="Y520" s="10">
        <v>3.5515626999999999</v>
      </c>
      <c r="Z520" s="10">
        <v>3.4800509000000002</v>
      </c>
      <c r="AA520" s="10">
        <v>3.4146842999999998</v>
      </c>
      <c r="AB520" s="10">
        <v>3.3550076999999998</v>
      </c>
      <c r="AC520" s="10">
        <v>3.3006462000000001</v>
      </c>
      <c r="AD520" s="10">
        <v>3.2512474999999998</v>
      </c>
      <c r="AE520" s="10">
        <v>3.2064574000000001</v>
      </c>
      <c r="AF520" s="10">
        <v>3.1659218999999998</v>
      </c>
      <c r="AG520" s="10">
        <v>3.1292886000000002</v>
      </c>
      <c r="AH520" s="10">
        <v>3.0962196</v>
      </c>
      <c r="AI520" s="10">
        <v>3.0664658999999999</v>
      </c>
      <c r="AJ520" s="10">
        <v>3.0398087</v>
      </c>
      <c r="AK520" s="10">
        <v>3.0160282999999999</v>
      </c>
      <c r="AL520" s="10">
        <v>2.9949051</v>
      </c>
      <c r="AM520" s="10">
        <v>2.9762203999999999</v>
      </c>
      <c r="AN520" s="10">
        <v>2.9597544</v>
      </c>
      <c r="AO520" s="10">
        <v>2.9452878</v>
      </c>
      <c r="AP520" s="10">
        <v>2.9326015000000001</v>
      </c>
      <c r="AQ520" s="10">
        <v>2.9214760000000002</v>
      </c>
      <c r="AR520" s="10">
        <v>2.9116919000000001</v>
      </c>
      <c r="AS520" s="10">
        <v>2.9030300000000002</v>
      </c>
      <c r="AT520" s="10">
        <v>2.8952952999999999</v>
      </c>
      <c r="AU520" s="10">
        <v>2.8884115000000001</v>
      </c>
      <c r="AV520" s="10">
        <v>2.8823389000000001</v>
      </c>
      <c r="AW520" s="10">
        <v>2.8770373999999999</v>
      </c>
      <c r="AX520" s="10">
        <v>2.8724669999999999</v>
      </c>
      <c r="AY520" s="10">
        <v>2.8685879000000001</v>
      </c>
      <c r="AZ520" s="10">
        <v>2.8653599999999999</v>
      </c>
      <c r="BA520" s="10">
        <v>2.8627433</v>
      </c>
      <c r="BB520" s="10">
        <v>2.8606980000000002</v>
      </c>
      <c r="BC520" s="10">
        <v>2.8591839999999999</v>
      </c>
      <c r="BD520" s="10">
        <v>2.8581612999999999</v>
      </c>
      <c r="BE520" s="10">
        <v>2.8575900999999999</v>
      </c>
      <c r="BF520" s="10">
        <v>2.8574351999999998</v>
      </c>
      <c r="BG520" s="10">
        <v>2.8576826</v>
      </c>
      <c r="BH520" s="10">
        <v>2.8583243</v>
      </c>
      <c r="BI520" s="10">
        <v>2.8593521000000002</v>
      </c>
      <c r="BJ520" s="10">
        <v>2.8607580000000001</v>
      </c>
      <c r="BK520" s="10">
        <v>2.8625340000000001</v>
      </c>
      <c r="BL520" s="10">
        <v>2.8646718</v>
      </c>
      <c r="BM520" s="10">
        <v>2.8671636</v>
      </c>
      <c r="BN520" s="10">
        <v>2.8700009999999998</v>
      </c>
      <c r="BO520" s="10">
        <v>2.8731762000000001</v>
      </c>
      <c r="BP520" s="10">
        <v>2.876681</v>
      </c>
      <c r="BQ520" s="10">
        <v>2.8805073000000001</v>
      </c>
      <c r="BR520" s="10">
        <v>2.9097464999999998</v>
      </c>
      <c r="BS520" s="10">
        <v>2.9484119999999998</v>
      </c>
      <c r="BU520" s="7">
        <v>4.09</v>
      </c>
      <c r="BV520" s="7">
        <v>3.52</v>
      </c>
      <c r="BW520" s="9">
        <v>81.581800000000001</v>
      </c>
    </row>
    <row r="521" spans="1:75" x14ac:dyDescent="0.25">
      <c r="A521" s="6">
        <f t="shared" si="47"/>
        <v>45281</v>
      </c>
      <c r="B521" s="13">
        <f t="shared" ref="B521:B584" si="48">MONTH(A521)</f>
        <v>12</v>
      </c>
      <c r="C521" s="13">
        <f t="shared" ref="C521:C584" si="49">YEAR(A521)</f>
        <v>2023</v>
      </c>
      <c r="D521">
        <f t="shared" ref="D521:D584" si="50">C521*100+B521</f>
        <v>202312</v>
      </c>
      <c r="E521">
        <f t="shared" ref="E521:E584" si="51">IF(B521&lt;4,1,IF(B521&lt;7,2,IF(B521&lt;10,3,4)))</f>
        <v>4</v>
      </c>
      <c r="F521">
        <f t="shared" ref="F521:F584" si="52">C521*100+E521</f>
        <v>202304</v>
      </c>
      <c r="G521" t="s">
        <v>711</v>
      </c>
      <c r="H521" s="9">
        <v>5.25</v>
      </c>
      <c r="I521" s="9">
        <v>5.1860999999999997</v>
      </c>
      <c r="J521" s="10">
        <v>5.1964383999999999</v>
      </c>
      <c r="K521" s="10">
        <v>5.1850889999999996</v>
      </c>
      <c r="L521" s="10">
        <v>5.1390270999999998</v>
      </c>
      <c r="M521" s="10">
        <v>5.0507612000000002</v>
      </c>
      <c r="N521" s="10">
        <v>4.9254686999999997</v>
      </c>
      <c r="O521" s="10">
        <v>4.7738750000000003</v>
      </c>
      <c r="P521" s="10">
        <v>4.6100035999999998</v>
      </c>
      <c r="Q521" s="10">
        <v>4.4470102999999996</v>
      </c>
      <c r="R521" s="10">
        <v>4.2926446</v>
      </c>
      <c r="S521" s="10">
        <v>4.1503237999999998</v>
      </c>
      <c r="T521" s="10">
        <v>4.0201729999999998</v>
      </c>
      <c r="U521" s="10">
        <v>3.9011111000000001</v>
      </c>
      <c r="V521" s="10">
        <v>3.7898985999999999</v>
      </c>
      <c r="W521" s="10">
        <v>3.6856876000000001</v>
      </c>
      <c r="X521" s="10">
        <v>3.5887107999999999</v>
      </c>
      <c r="Y521" s="10">
        <v>3.4991978000000001</v>
      </c>
      <c r="Z521" s="10">
        <v>3.4173784999999999</v>
      </c>
      <c r="AA521" s="10">
        <v>3.3434857999999998</v>
      </c>
      <c r="AB521" s="10">
        <v>3.2776396999999999</v>
      </c>
      <c r="AC521" s="10">
        <v>3.2193976000000002</v>
      </c>
      <c r="AD521" s="10">
        <v>3.1681390999999999</v>
      </c>
      <c r="AE521" s="10">
        <v>3.1232416999999999</v>
      </c>
      <c r="AF521" s="10">
        <v>3.0840831</v>
      </c>
      <c r="AG521" s="10">
        <v>3.0500425</v>
      </c>
      <c r="AH521" s="10">
        <v>3.0205353000000001</v>
      </c>
      <c r="AI521" s="10">
        <v>2.9951606000000002</v>
      </c>
      <c r="AJ521" s="10">
        <v>2.9735744</v>
      </c>
      <c r="AK521" s="10">
        <v>2.9554318999999998</v>
      </c>
      <c r="AL521" s="10">
        <v>2.9403880999999998</v>
      </c>
      <c r="AM521" s="10">
        <v>2.9280989000000002</v>
      </c>
      <c r="AN521" s="10">
        <v>2.9182195000000002</v>
      </c>
      <c r="AO521" s="10">
        <v>2.9104051000000002</v>
      </c>
      <c r="AP521" s="10">
        <v>2.9043114000000001</v>
      </c>
      <c r="AQ521" s="10">
        <v>2.8995936000000002</v>
      </c>
      <c r="AR521" s="10">
        <v>2.8959069999999998</v>
      </c>
      <c r="AS521" s="10">
        <v>2.8929071999999998</v>
      </c>
      <c r="AT521" s="10">
        <v>2.8902999999999999</v>
      </c>
      <c r="AU521" s="10">
        <v>2.8880142000000002</v>
      </c>
      <c r="AV521" s="10">
        <v>2.8860402000000001</v>
      </c>
      <c r="AW521" s="10">
        <v>2.8843684999999999</v>
      </c>
      <c r="AX521" s="10">
        <v>2.8829894</v>
      </c>
      <c r="AY521" s="10">
        <v>2.8818933000000002</v>
      </c>
      <c r="AZ521" s="10">
        <v>2.8810706000000001</v>
      </c>
      <c r="BA521" s="10">
        <v>2.8805116000000002</v>
      </c>
      <c r="BB521" s="10">
        <v>2.8802069000000001</v>
      </c>
      <c r="BC521" s="10">
        <v>2.8801465999999998</v>
      </c>
      <c r="BD521" s="10">
        <v>2.8803212999999999</v>
      </c>
      <c r="BE521" s="10">
        <v>2.8807214000000001</v>
      </c>
      <c r="BF521" s="10">
        <v>2.8813398000000001</v>
      </c>
      <c r="BG521" s="10">
        <v>2.8821816999999998</v>
      </c>
      <c r="BH521" s="10">
        <v>2.8832553999999999</v>
      </c>
      <c r="BI521" s="10">
        <v>2.8845691000000002</v>
      </c>
      <c r="BJ521" s="10">
        <v>2.8861311999999999</v>
      </c>
      <c r="BK521" s="10">
        <v>2.8879500999999999</v>
      </c>
      <c r="BL521" s="10">
        <v>2.890034</v>
      </c>
      <c r="BM521" s="10">
        <v>2.8923912000000001</v>
      </c>
      <c r="BN521" s="10">
        <v>2.8950301999999999</v>
      </c>
      <c r="BO521" s="10">
        <v>2.8979591</v>
      </c>
      <c r="BP521" s="10">
        <v>2.9011863999999998</v>
      </c>
      <c r="BQ521" s="10">
        <v>2.9047201999999999</v>
      </c>
      <c r="BR521" s="10">
        <v>2.9323215</v>
      </c>
      <c r="BS521" s="10">
        <v>2.9699466999999999</v>
      </c>
      <c r="BU521" s="7">
        <v>4.07</v>
      </c>
      <c r="BV521" s="7">
        <v>3.54</v>
      </c>
      <c r="BW521" s="9">
        <v>81.403099999999995</v>
      </c>
    </row>
    <row r="522" spans="1:75" x14ac:dyDescent="0.25">
      <c r="A522" s="6">
        <f t="shared" si="47"/>
        <v>45282</v>
      </c>
      <c r="B522" s="13">
        <f t="shared" si="48"/>
        <v>12</v>
      </c>
      <c r="C522" s="13">
        <f t="shared" si="49"/>
        <v>2023</v>
      </c>
      <c r="D522">
        <f t="shared" si="50"/>
        <v>202312</v>
      </c>
      <c r="E522">
        <f t="shared" si="51"/>
        <v>4</v>
      </c>
      <c r="F522">
        <f t="shared" si="52"/>
        <v>202304</v>
      </c>
      <c r="G522" t="s">
        <v>712</v>
      </c>
      <c r="H522" s="9">
        <v>5.25</v>
      </c>
      <c r="I522" s="9">
        <v>5.1867000000000001</v>
      </c>
      <c r="J522" s="10">
        <v>5.1868270000000001</v>
      </c>
      <c r="K522" s="10">
        <v>5.1776799000000002</v>
      </c>
      <c r="L522" s="10">
        <v>5.1344070999999998</v>
      </c>
      <c r="M522" s="10">
        <v>5.0440946000000002</v>
      </c>
      <c r="N522" s="10">
        <v>4.9117914999999996</v>
      </c>
      <c r="O522" s="10">
        <v>4.7507482999999997</v>
      </c>
      <c r="P522" s="10">
        <v>4.5772614000000003</v>
      </c>
      <c r="Q522" s="10">
        <v>4.4049275999999997</v>
      </c>
      <c r="R522" s="10">
        <v>4.2417813999999998</v>
      </c>
      <c r="S522" s="10">
        <v>4.0913297000000002</v>
      </c>
      <c r="T522" s="10">
        <v>3.9543841999999998</v>
      </c>
      <c r="U522" s="10">
        <v>3.8305880000000001</v>
      </c>
      <c r="V522" s="10">
        <v>3.7183419999999998</v>
      </c>
      <c r="W522" s="10">
        <v>3.6166852</v>
      </c>
      <c r="X522" s="10">
        <v>3.5249752000000001</v>
      </c>
      <c r="Y522" s="10">
        <v>3.4425658000000001</v>
      </c>
      <c r="Z522" s="10">
        <v>3.3688113</v>
      </c>
      <c r="AA522" s="10">
        <v>3.3030686</v>
      </c>
      <c r="AB522" s="10">
        <v>3.2446923999999999</v>
      </c>
      <c r="AC522" s="10">
        <v>3.1930394</v>
      </c>
      <c r="AD522" s="10">
        <v>3.1474690000000001</v>
      </c>
      <c r="AE522" s="10">
        <v>3.1073385</v>
      </c>
      <c r="AF522" s="10">
        <v>3.0720052999999998</v>
      </c>
      <c r="AG522" s="10">
        <v>3.0408284000000001</v>
      </c>
      <c r="AH522" s="10">
        <v>3.0132224999999999</v>
      </c>
      <c r="AI522" s="10">
        <v>2.9888556999999998</v>
      </c>
      <c r="AJ522" s="10">
        <v>2.9674667000000001</v>
      </c>
      <c r="AK522" s="10">
        <v>2.9487930000000002</v>
      </c>
      <c r="AL522" s="10">
        <v>2.9325727000000001</v>
      </c>
      <c r="AM522" s="10">
        <v>2.9185441000000001</v>
      </c>
      <c r="AN522" s="10">
        <v>2.9064451999999998</v>
      </c>
      <c r="AO522" s="10">
        <v>2.8960138999999998</v>
      </c>
      <c r="AP522" s="10">
        <v>2.8869883999999999</v>
      </c>
      <c r="AQ522" s="10">
        <v>2.8791066999999999</v>
      </c>
      <c r="AR522" s="10">
        <v>2.8721066999999998</v>
      </c>
      <c r="AS522" s="10">
        <v>2.8657268</v>
      </c>
      <c r="AT522" s="10">
        <v>2.8597451</v>
      </c>
      <c r="AU522" s="10">
        <v>2.8541178</v>
      </c>
      <c r="AV522" s="10">
        <v>2.8488502000000002</v>
      </c>
      <c r="AW522" s="10">
        <v>2.8439475999999999</v>
      </c>
      <c r="AX522" s="10">
        <v>2.8394149999999998</v>
      </c>
      <c r="AY522" s="10">
        <v>2.8352577999999999</v>
      </c>
      <c r="AZ522" s="10">
        <v>2.8314813000000001</v>
      </c>
      <c r="BA522" s="10">
        <v>2.8280905999999999</v>
      </c>
      <c r="BB522" s="10">
        <v>2.825091</v>
      </c>
      <c r="BC522" s="10">
        <v>2.8224876999999999</v>
      </c>
      <c r="BD522" s="10">
        <v>2.8202859999999998</v>
      </c>
      <c r="BE522" s="10">
        <v>2.8184912</v>
      </c>
      <c r="BF522" s="10">
        <v>2.8171086000000001</v>
      </c>
      <c r="BG522" s="10">
        <v>2.8161447000000002</v>
      </c>
      <c r="BH522" s="10">
        <v>2.8156062999999998</v>
      </c>
      <c r="BI522" s="10">
        <v>2.8155001</v>
      </c>
      <c r="BJ522" s="10">
        <v>2.8158327000000001</v>
      </c>
      <c r="BK522" s="10">
        <v>2.816611</v>
      </c>
      <c r="BL522" s="10">
        <v>2.8178415999999999</v>
      </c>
      <c r="BM522" s="10">
        <v>2.8195312000000001</v>
      </c>
      <c r="BN522" s="10">
        <v>2.8216866</v>
      </c>
      <c r="BO522" s="10">
        <v>2.8243144999999998</v>
      </c>
      <c r="BP522" s="10">
        <v>2.8274216000000001</v>
      </c>
      <c r="BQ522" s="10">
        <v>2.8310146</v>
      </c>
      <c r="BR522" s="10">
        <v>2.8622648000000002</v>
      </c>
      <c r="BS522" s="10">
        <v>2.9072496000000001</v>
      </c>
      <c r="BU522" s="7">
        <v>4.03</v>
      </c>
      <c r="BV522" s="7">
        <v>3.51</v>
      </c>
      <c r="BW522" s="9">
        <v>81.712000000000003</v>
      </c>
    </row>
    <row r="523" spans="1:75" x14ac:dyDescent="0.25">
      <c r="A523" s="6">
        <f t="shared" si="47"/>
        <v>45285</v>
      </c>
      <c r="B523" s="13">
        <f t="shared" si="48"/>
        <v>12</v>
      </c>
      <c r="C523" s="13">
        <f t="shared" si="49"/>
        <v>2023</v>
      </c>
      <c r="D523">
        <f t="shared" si="50"/>
        <v>202312</v>
      </c>
      <c r="E523">
        <f t="shared" si="51"/>
        <v>4</v>
      </c>
      <c r="F523">
        <f t="shared" si="52"/>
        <v>202304</v>
      </c>
      <c r="G523" t="s">
        <v>713</v>
      </c>
      <c r="H523" s="9">
        <v>5.25</v>
      </c>
      <c r="I523" s="9" t="e">
        <v>#N/A</v>
      </c>
      <c r="J523" s="10" t="e">
        <v>#N/A</v>
      </c>
      <c r="K523" s="10" t="e">
        <v>#N/A</v>
      </c>
      <c r="L523" s="10" t="e">
        <v>#N/A</v>
      </c>
      <c r="M523" s="10" t="e">
        <v>#N/A</v>
      </c>
      <c r="N523" s="10" t="e">
        <v>#N/A</v>
      </c>
      <c r="O523" s="10" t="e">
        <v>#N/A</v>
      </c>
      <c r="P523" s="10" t="e">
        <v>#N/A</v>
      </c>
      <c r="Q523" s="10" t="e">
        <v>#N/A</v>
      </c>
      <c r="R523" s="10" t="e">
        <v>#N/A</v>
      </c>
      <c r="S523" s="10" t="e">
        <v>#N/A</v>
      </c>
      <c r="T523" s="10" t="e">
        <v>#N/A</v>
      </c>
      <c r="U523" s="10" t="e">
        <v>#N/A</v>
      </c>
      <c r="V523" s="10" t="e">
        <v>#N/A</v>
      </c>
      <c r="W523" s="10" t="e">
        <v>#N/A</v>
      </c>
      <c r="X523" s="10" t="e">
        <v>#N/A</v>
      </c>
      <c r="Y523" s="10" t="e">
        <v>#N/A</v>
      </c>
      <c r="Z523" s="10" t="e">
        <v>#N/A</v>
      </c>
      <c r="AA523" s="10" t="e">
        <v>#N/A</v>
      </c>
      <c r="AB523" s="10" t="e">
        <v>#N/A</v>
      </c>
      <c r="AC523" s="10" t="e">
        <v>#N/A</v>
      </c>
      <c r="AD523" s="10" t="e">
        <v>#N/A</v>
      </c>
      <c r="AE523" s="10" t="e">
        <v>#N/A</v>
      </c>
      <c r="AF523" s="10" t="e">
        <v>#N/A</v>
      </c>
      <c r="AG523" s="10" t="e">
        <v>#N/A</v>
      </c>
      <c r="AH523" s="10" t="e">
        <v>#N/A</v>
      </c>
      <c r="AI523" s="10" t="e">
        <v>#N/A</v>
      </c>
      <c r="AJ523" s="10" t="e">
        <v>#N/A</v>
      </c>
      <c r="AK523" s="10" t="e">
        <v>#N/A</v>
      </c>
      <c r="AL523" s="10" t="e">
        <v>#N/A</v>
      </c>
      <c r="AM523" s="10" t="e">
        <v>#N/A</v>
      </c>
      <c r="AN523" s="10" t="e">
        <v>#N/A</v>
      </c>
      <c r="AO523" s="10" t="e">
        <v>#N/A</v>
      </c>
      <c r="AP523" s="10" t="e">
        <v>#N/A</v>
      </c>
      <c r="AQ523" s="10" t="e">
        <v>#N/A</v>
      </c>
      <c r="AR523" s="10" t="e">
        <v>#N/A</v>
      </c>
      <c r="AS523" s="10" t="e">
        <v>#N/A</v>
      </c>
      <c r="AT523" s="10" t="e">
        <v>#N/A</v>
      </c>
      <c r="AU523" s="10" t="e">
        <v>#N/A</v>
      </c>
      <c r="AV523" s="10" t="e">
        <v>#N/A</v>
      </c>
      <c r="AW523" s="10" t="e">
        <v>#N/A</v>
      </c>
      <c r="AX523" s="10" t="e">
        <v>#N/A</v>
      </c>
      <c r="AY523" s="10" t="e">
        <v>#N/A</v>
      </c>
      <c r="AZ523" s="10" t="e">
        <v>#N/A</v>
      </c>
      <c r="BA523" s="10" t="e">
        <v>#N/A</v>
      </c>
      <c r="BB523" s="10" t="e">
        <v>#N/A</v>
      </c>
      <c r="BC523" s="10" t="e">
        <v>#N/A</v>
      </c>
      <c r="BD523" s="10" t="e">
        <v>#N/A</v>
      </c>
      <c r="BE523" s="10" t="e">
        <v>#N/A</v>
      </c>
      <c r="BF523" s="10" t="e">
        <v>#N/A</v>
      </c>
      <c r="BG523" s="10" t="e">
        <v>#N/A</v>
      </c>
      <c r="BH523" s="10" t="e">
        <v>#N/A</v>
      </c>
      <c r="BI523" s="10" t="e">
        <v>#N/A</v>
      </c>
      <c r="BJ523" s="10" t="e">
        <v>#N/A</v>
      </c>
      <c r="BK523" s="10" t="e">
        <v>#N/A</v>
      </c>
      <c r="BL523" s="10" t="e">
        <v>#N/A</v>
      </c>
      <c r="BM523" s="10" t="e">
        <v>#N/A</v>
      </c>
      <c r="BN523" s="10" t="e">
        <v>#N/A</v>
      </c>
      <c r="BO523" s="10" t="e">
        <v>#N/A</v>
      </c>
      <c r="BP523" s="10" t="e">
        <v>#N/A</v>
      </c>
      <c r="BQ523" s="10" t="e">
        <v>#N/A</v>
      </c>
      <c r="BR523" s="10" t="e">
        <v>#N/A</v>
      </c>
      <c r="BS523" s="10" t="e">
        <v>#N/A</v>
      </c>
      <c r="BU523" s="7" t="e">
        <v>#N/A</v>
      </c>
      <c r="BV523" s="7">
        <v>3.5</v>
      </c>
      <c r="BW523" s="9" t="e">
        <v>#N/A</v>
      </c>
    </row>
    <row r="524" spans="1:75" x14ac:dyDescent="0.25">
      <c r="A524" s="6">
        <f t="shared" si="47"/>
        <v>45286</v>
      </c>
      <c r="B524" s="13">
        <f t="shared" si="48"/>
        <v>12</v>
      </c>
      <c r="C524" s="13">
        <f t="shared" si="49"/>
        <v>2023</v>
      </c>
      <c r="D524">
        <f t="shared" si="50"/>
        <v>202312</v>
      </c>
      <c r="E524">
        <f t="shared" si="51"/>
        <v>4</v>
      </c>
      <c r="F524">
        <f t="shared" si="52"/>
        <v>202304</v>
      </c>
      <c r="G524" t="s">
        <v>714</v>
      </c>
      <c r="H524" s="9">
        <v>5.25</v>
      </c>
      <c r="I524" s="9" t="e">
        <v>#N/A</v>
      </c>
      <c r="J524" s="10" t="e">
        <v>#N/A</v>
      </c>
      <c r="K524" s="10" t="e">
        <v>#N/A</v>
      </c>
      <c r="L524" s="10" t="e">
        <v>#N/A</v>
      </c>
      <c r="M524" s="10" t="e">
        <v>#N/A</v>
      </c>
      <c r="N524" s="10" t="e">
        <v>#N/A</v>
      </c>
      <c r="O524" s="10" t="e">
        <v>#N/A</v>
      </c>
      <c r="P524" s="10" t="e">
        <v>#N/A</v>
      </c>
      <c r="Q524" s="10" t="e">
        <v>#N/A</v>
      </c>
      <c r="R524" s="10" t="e">
        <v>#N/A</v>
      </c>
      <c r="S524" s="10" t="e">
        <v>#N/A</v>
      </c>
      <c r="T524" s="10" t="e">
        <v>#N/A</v>
      </c>
      <c r="U524" s="10" t="e">
        <v>#N/A</v>
      </c>
      <c r="V524" s="10" t="e">
        <v>#N/A</v>
      </c>
      <c r="W524" s="10" t="e">
        <v>#N/A</v>
      </c>
      <c r="X524" s="10" t="e">
        <v>#N/A</v>
      </c>
      <c r="Y524" s="10" t="e">
        <v>#N/A</v>
      </c>
      <c r="Z524" s="10" t="e">
        <v>#N/A</v>
      </c>
      <c r="AA524" s="10" t="e">
        <v>#N/A</v>
      </c>
      <c r="AB524" s="10" t="e">
        <v>#N/A</v>
      </c>
      <c r="AC524" s="10" t="e">
        <v>#N/A</v>
      </c>
      <c r="AD524" s="10" t="e">
        <v>#N/A</v>
      </c>
      <c r="AE524" s="10" t="e">
        <v>#N/A</v>
      </c>
      <c r="AF524" s="10" t="e">
        <v>#N/A</v>
      </c>
      <c r="AG524" s="10" t="e">
        <v>#N/A</v>
      </c>
      <c r="AH524" s="10" t="e">
        <v>#N/A</v>
      </c>
      <c r="AI524" s="10" t="e">
        <v>#N/A</v>
      </c>
      <c r="AJ524" s="10" t="e">
        <v>#N/A</v>
      </c>
      <c r="AK524" s="10" t="e">
        <v>#N/A</v>
      </c>
      <c r="AL524" s="10" t="e">
        <v>#N/A</v>
      </c>
      <c r="AM524" s="10" t="e">
        <v>#N/A</v>
      </c>
      <c r="AN524" s="10" t="e">
        <v>#N/A</v>
      </c>
      <c r="AO524" s="10" t="e">
        <v>#N/A</v>
      </c>
      <c r="AP524" s="10" t="e">
        <v>#N/A</v>
      </c>
      <c r="AQ524" s="10" t="e">
        <v>#N/A</v>
      </c>
      <c r="AR524" s="10" t="e">
        <v>#N/A</v>
      </c>
      <c r="AS524" s="10" t="e">
        <v>#N/A</v>
      </c>
      <c r="AT524" s="10" t="e">
        <v>#N/A</v>
      </c>
      <c r="AU524" s="10" t="e">
        <v>#N/A</v>
      </c>
      <c r="AV524" s="10" t="e">
        <v>#N/A</v>
      </c>
      <c r="AW524" s="10" t="e">
        <v>#N/A</v>
      </c>
      <c r="AX524" s="10" t="e">
        <v>#N/A</v>
      </c>
      <c r="AY524" s="10" t="e">
        <v>#N/A</v>
      </c>
      <c r="AZ524" s="10" t="e">
        <v>#N/A</v>
      </c>
      <c r="BA524" s="10" t="e">
        <v>#N/A</v>
      </c>
      <c r="BB524" s="10" t="e">
        <v>#N/A</v>
      </c>
      <c r="BC524" s="10" t="e">
        <v>#N/A</v>
      </c>
      <c r="BD524" s="10" t="e">
        <v>#N/A</v>
      </c>
      <c r="BE524" s="10" t="e">
        <v>#N/A</v>
      </c>
      <c r="BF524" s="10" t="e">
        <v>#N/A</v>
      </c>
      <c r="BG524" s="10" t="e">
        <v>#N/A</v>
      </c>
      <c r="BH524" s="10" t="e">
        <v>#N/A</v>
      </c>
      <c r="BI524" s="10" t="e">
        <v>#N/A</v>
      </c>
      <c r="BJ524" s="10" t="e">
        <v>#N/A</v>
      </c>
      <c r="BK524" s="10" t="e">
        <v>#N/A</v>
      </c>
      <c r="BL524" s="10" t="e">
        <v>#N/A</v>
      </c>
      <c r="BM524" s="10" t="e">
        <v>#N/A</v>
      </c>
      <c r="BN524" s="10" t="e">
        <v>#N/A</v>
      </c>
      <c r="BO524" s="10" t="e">
        <v>#N/A</v>
      </c>
      <c r="BP524" s="10" t="e">
        <v>#N/A</v>
      </c>
      <c r="BQ524" s="10" t="e">
        <v>#N/A</v>
      </c>
      <c r="BR524" s="10" t="e">
        <v>#N/A</v>
      </c>
      <c r="BS524" s="10" t="e">
        <v>#N/A</v>
      </c>
      <c r="BU524" s="7" t="e">
        <v>#N/A</v>
      </c>
      <c r="BV524" s="7" t="e">
        <v>#N/A</v>
      </c>
      <c r="BW524" s="9" t="e">
        <v>#N/A</v>
      </c>
    </row>
    <row r="525" spans="1:75" x14ac:dyDescent="0.25">
      <c r="A525" s="6">
        <f t="shared" si="47"/>
        <v>45287</v>
      </c>
      <c r="B525" s="13">
        <f t="shared" si="48"/>
        <v>12</v>
      </c>
      <c r="C525" s="13">
        <f t="shared" si="49"/>
        <v>2023</v>
      </c>
      <c r="D525">
        <f t="shared" si="50"/>
        <v>202312</v>
      </c>
      <c r="E525">
        <f t="shared" si="51"/>
        <v>4</v>
      </c>
      <c r="F525">
        <f t="shared" si="52"/>
        <v>202304</v>
      </c>
      <c r="G525" t="s">
        <v>715</v>
      </c>
      <c r="H525" s="9">
        <v>5.25</v>
      </c>
      <c r="I525" s="9">
        <v>5.1863000000000001</v>
      </c>
      <c r="J525" s="10">
        <v>5.1909615000000002</v>
      </c>
      <c r="K525" s="10">
        <v>5.1735559000000002</v>
      </c>
      <c r="L525" s="10">
        <v>5.1219989999999997</v>
      </c>
      <c r="M525" s="10">
        <v>5.0228539999999997</v>
      </c>
      <c r="N525" s="10">
        <v>4.8803131999999998</v>
      </c>
      <c r="O525" s="10">
        <v>4.7103463999999997</v>
      </c>
      <c r="P525" s="10">
        <v>4.5295012000000003</v>
      </c>
      <c r="Q525" s="10">
        <v>4.3525520000000002</v>
      </c>
      <c r="R525" s="10">
        <v>4.1882704000000004</v>
      </c>
      <c r="S525" s="10">
        <v>4.0398230000000002</v>
      </c>
      <c r="T525" s="10">
        <v>3.9073338</v>
      </c>
      <c r="U525" s="10">
        <v>3.7896519999999998</v>
      </c>
      <c r="V525" s="10">
        <v>3.6832962</v>
      </c>
      <c r="W525" s="10">
        <v>3.5867190999999998</v>
      </c>
      <c r="X525" s="10">
        <v>3.4991444999999999</v>
      </c>
      <c r="Y525" s="10">
        <v>3.4197931000000001</v>
      </c>
      <c r="Z525" s="10">
        <v>3.3478854999999998</v>
      </c>
      <c r="AA525" s="10">
        <v>3.2826453999999998</v>
      </c>
      <c r="AB525" s="10">
        <v>3.2233478999999998</v>
      </c>
      <c r="AC525" s="10">
        <v>3.1694979000000001</v>
      </c>
      <c r="AD525" s="10">
        <v>3.1206624999999999</v>
      </c>
      <c r="AE525" s="10">
        <v>3.0764067000000002</v>
      </c>
      <c r="AF525" s="10">
        <v>3.0362958</v>
      </c>
      <c r="AG525" s="10">
        <v>2.9998963999999999</v>
      </c>
      <c r="AH525" s="10">
        <v>2.9668041000000001</v>
      </c>
      <c r="AI525" s="10">
        <v>2.9367776999999999</v>
      </c>
      <c r="AJ525" s="10">
        <v>2.9096320000000002</v>
      </c>
      <c r="AK525" s="10">
        <v>2.8851806999999998</v>
      </c>
      <c r="AL525" s="10">
        <v>2.8632374999999999</v>
      </c>
      <c r="AM525" s="10">
        <v>2.8436168999999998</v>
      </c>
      <c r="AN525" s="10">
        <v>2.8261327000000001</v>
      </c>
      <c r="AO525" s="10">
        <v>2.8105988000000002</v>
      </c>
      <c r="AP525" s="10">
        <v>2.7968294999999999</v>
      </c>
      <c r="AQ525" s="10">
        <v>2.7846388000000002</v>
      </c>
      <c r="AR525" s="10">
        <v>2.7738404000000001</v>
      </c>
      <c r="AS525" s="10">
        <v>2.7642487</v>
      </c>
      <c r="AT525" s="10">
        <v>2.7556956000000001</v>
      </c>
      <c r="AU525" s="10">
        <v>2.7481106999999998</v>
      </c>
      <c r="AV525" s="10">
        <v>2.7414564000000001</v>
      </c>
      <c r="AW525" s="10">
        <v>2.7356948999999999</v>
      </c>
      <c r="AX525" s="10">
        <v>2.7307885000000001</v>
      </c>
      <c r="AY525" s="10">
        <v>2.7266995000000001</v>
      </c>
      <c r="AZ525" s="10">
        <v>2.7233903000000002</v>
      </c>
      <c r="BA525" s="10">
        <v>2.7208228999999999</v>
      </c>
      <c r="BB525" s="10">
        <v>2.7189599000000002</v>
      </c>
      <c r="BC525" s="10">
        <v>2.7177633999999999</v>
      </c>
      <c r="BD525" s="10">
        <v>2.7171957999999998</v>
      </c>
      <c r="BE525" s="10">
        <v>2.7172193</v>
      </c>
      <c r="BF525" s="10">
        <v>2.7177986999999999</v>
      </c>
      <c r="BG525" s="10">
        <v>2.7189111000000001</v>
      </c>
      <c r="BH525" s="10">
        <v>2.7205382</v>
      </c>
      <c r="BI525" s="10">
        <v>2.7226615999999999</v>
      </c>
      <c r="BJ525" s="10">
        <v>2.7252629000000002</v>
      </c>
      <c r="BK525" s="10">
        <v>2.7283235000000001</v>
      </c>
      <c r="BL525" s="10">
        <v>2.7318251</v>
      </c>
      <c r="BM525" s="10">
        <v>2.7357493000000002</v>
      </c>
      <c r="BN525" s="10">
        <v>2.7400775999999998</v>
      </c>
      <c r="BO525" s="10">
        <v>2.7447914999999998</v>
      </c>
      <c r="BP525" s="10">
        <v>2.7498729000000002</v>
      </c>
      <c r="BQ525" s="10">
        <v>2.7553030000000001</v>
      </c>
      <c r="BR525" s="10">
        <v>2.7943916999999998</v>
      </c>
      <c r="BS525" s="10">
        <v>2.8427077999999999</v>
      </c>
      <c r="BU525" s="7">
        <v>3.98</v>
      </c>
      <c r="BV525" s="7">
        <v>3.45</v>
      </c>
      <c r="BW525" s="9">
        <v>81.781800000000004</v>
      </c>
    </row>
    <row r="526" spans="1:75" x14ac:dyDescent="0.25">
      <c r="A526" s="6">
        <f t="shared" ref="A526:A589" si="53">+A521+7</f>
        <v>45288</v>
      </c>
      <c r="B526" s="13">
        <f t="shared" si="48"/>
        <v>12</v>
      </c>
      <c r="C526" s="13">
        <f t="shared" si="49"/>
        <v>2023</v>
      </c>
      <c r="D526">
        <f t="shared" si="50"/>
        <v>202312</v>
      </c>
      <c r="E526">
        <f t="shared" si="51"/>
        <v>4</v>
      </c>
      <c r="F526">
        <f t="shared" si="52"/>
        <v>202304</v>
      </c>
      <c r="G526" t="s">
        <v>716</v>
      </c>
      <c r="H526" s="9">
        <v>5.25</v>
      </c>
      <c r="I526" s="9">
        <v>5.1867000000000001</v>
      </c>
      <c r="J526" s="10">
        <v>5.1895677999999998</v>
      </c>
      <c r="K526" s="10">
        <v>5.1726131999999998</v>
      </c>
      <c r="L526" s="10">
        <v>5.1224169000000002</v>
      </c>
      <c r="M526" s="10">
        <v>5.0221714000000004</v>
      </c>
      <c r="N526" s="10">
        <v>4.8756446000000002</v>
      </c>
      <c r="O526" s="10">
        <v>4.6992779000000002</v>
      </c>
      <c r="P526" s="10">
        <v>4.5117504000000004</v>
      </c>
      <c r="Q526" s="10">
        <v>4.3292444000000003</v>
      </c>
      <c r="R526" s="10">
        <v>4.1609976</v>
      </c>
      <c r="S526" s="10">
        <v>4.0105288000000003</v>
      </c>
      <c r="T526" s="10">
        <v>3.8774288000000001</v>
      </c>
      <c r="U526" s="10">
        <v>3.7600844000000002</v>
      </c>
      <c r="V526" s="10">
        <v>3.6546970999999999</v>
      </c>
      <c r="W526" s="10">
        <v>3.5595077000000002</v>
      </c>
      <c r="X526" s="10">
        <v>3.4737190999999998</v>
      </c>
      <c r="Y526" s="10">
        <v>3.396531</v>
      </c>
      <c r="Z526" s="10">
        <v>3.3271438999999998</v>
      </c>
      <c r="AA526" s="10">
        <v>3.2647605999999998</v>
      </c>
      <c r="AB526" s="10">
        <v>3.2086242999999999</v>
      </c>
      <c r="AC526" s="10">
        <v>3.1581996999999999</v>
      </c>
      <c r="AD526" s="10">
        <v>3.1130236999999998</v>
      </c>
      <c r="AE526" s="10">
        <v>3.0726315999999998</v>
      </c>
      <c r="AF526" s="10">
        <v>3.0365584999999999</v>
      </c>
      <c r="AG526" s="10">
        <v>3.0043413000000001</v>
      </c>
      <c r="AH526" s="10">
        <v>2.9755486000000002</v>
      </c>
      <c r="AI526" s="10">
        <v>2.9499127000000001</v>
      </c>
      <c r="AJ526" s="10">
        <v>2.9272163</v>
      </c>
      <c r="AK526" s="10">
        <v>2.9072414000000002</v>
      </c>
      <c r="AL526" s="10">
        <v>2.8897697999999998</v>
      </c>
      <c r="AM526" s="10">
        <v>2.8745842000000001</v>
      </c>
      <c r="AN526" s="10">
        <v>2.8614665000000001</v>
      </c>
      <c r="AO526" s="10">
        <v>2.8501987999999998</v>
      </c>
      <c r="AP526" s="10">
        <v>2.8405635</v>
      </c>
      <c r="AQ526" s="10">
        <v>2.8323426</v>
      </c>
      <c r="AR526" s="10">
        <v>2.8253181999999999</v>
      </c>
      <c r="AS526" s="10">
        <v>2.8192727</v>
      </c>
      <c r="AT526" s="10">
        <v>2.8140135000000002</v>
      </c>
      <c r="AU526" s="10">
        <v>2.8094722999999999</v>
      </c>
      <c r="AV526" s="10">
        <v>2.8056185</v>
      </c>
      <c r="AW526" s="10">
        <v>2.8024214000000001</v>
      </c>
      <c r="AX526" s="10">
        <v>2.7998504</v>
      </c>
      <c r="AY526" s="10">
        <v>2.7978748000000002</v>
      </c>
      <c r="AZ526" s="10">
        <v>2.7964641000000001</v>
      </c>
      <c r="BA526" s="10">
        <v>2.7955874999999999</v>
      </c>
      <c r="BB526" s="10">
        <v>2.7952145000000002</v>
      </c>
      <c r="BC526" s="10">
        <v>2.7953144000000001</v>
      </c>
      <c r="BD526" s="10">
        <v>2.7958565000000002</v>
      </c>
      <c r="BE526" s="10">
        <v>2.7968103000000002</v>
      </c>
      <c r="BF526" s="10">
        <v>2.7981482999999998</v>
      </c>
      <c r="BG526" s="10">
        <v>2.7998596</v>
      </c>
      <c r="BH526" s="10">
        <v>2.8019379</v>
      </c>
      <c r="BI526" s="10">
        <v>2.8043768999999998</v>
      </c>
      <c r="BJ526" s="10">
        <v>2.8071704999999998</v>
      </c>
      <c r="BK526" s="10">
        <v>2.8103123999999999</v>
      </c>
      <c r="BL526" s="10">
        <v>2.8137965</v>
      </c>
      <c r="BM526" s="10">
        <v>2.8176166999999999</v>
      </c>
      <c r="BN526" s="10">
        <v>2.8217664999999998</v>
      </c>
      <c r="BO526" s="10">
        <v>2.8262399</v>
      </c>
      <c r="BP526" s="10">
        <v>2.8310306999999999</v>
      </c>
      <c r="BQ526" s="10">
        <v>2.8361326</v>
      </c>
      <c r="BR526" s="10">
        <v>2.872865</v>
      </c>
      <c r="BS526" s="10">
        <v>2.9188304999999999</v>
      </c>
      <c r="BU526" s="7">
        <v>4</v>
      </c>
      <c r="BV526" s="7">
        <v>3.5</v>
      </c>
      <c r="BW526" s="9">
        <v>81.560100000000006</v>
      </c>
    </row>
    <row r="527" spans="1:75" x14ac:dyDescent="0.25">
      <c r="A527" s="6">
        <f t="shared" si="53"/>
        <v>45289</v>
      </c>
      <c r="B527" s="13">
        <f t="shared" si="48"/>
        <v>12</v>
      </c>
      <c r="C527" s="13">
        <f t="shared" si="49"/>
        <v>2023</v>
      </c>
      <c r="D527">
        <f t="shared" si="50"/>
        <v>202312</v>
      </c>
      <c r="E527">
        <f t="shared" si="51"/>
        <v>4</v>
      </c>
      <c r="F527">
        <f t="shared" si="52"/>
        <v>202304</v>
      </c>
      <c r="G527" t="s">
        <v>717</v>
      </c>
      <c r="H527" s="9">
        <v>5.25</v>
      </c>
      <c r="I527" s="9">
        <v>5.1868999999999996</v>
      </c>
      <c r="J527" s="10">
        <v>5.1895508000000001</v>
      </c>
      <c r="K527" s="10">
        <v>5.1750026</v>
      </c>
      <c r="L527" s="10">
        <v>5.1291067000000004</v>
      </c>
      <c r="M527" s="10">
        <v>5.0351691000000001</v>
      </c>
      <c r="N527" s="10">
        <v>4.8947086999999998</v>
      </c>
      <c r="O527" s="10">
        <v>4.7205715000000001</v>
      </c>
      <c r="P527" s="10">
        <v>4.5311807999999996</v>
      </c>
      <c r="Q527" s="10">
        <v>4.3435053999999997</v>
      </c>
      <c r="R527" s="10">
        <v>4.1679997000000002</v>
      </c>
      <c r="S527" s="10">
        <v>4.0092528999999999</v>
      </c>
      <c r="T527" s="10">
        <v>3.8681587999999998</v>
      </c>
      <c r="U527" s="10">
        <v>3.7439483</v>
      </c>
      <c r="V527" s="10">
        <v>3.6339157000000002</v>
      </c>
      <c r="W527" s="10">
        <v>3.5364749</v>
      </c>
      <c r="X527" s="10">
        <v>3.4505761000000001</v>
      </c>
      <c r="Y527" s="10">
        <v>3.3751660999999999</v>
      </c>
      <c r="Z527" s="10">
        <v>3.3091922</v>
      </c>
      <c r="AA527" s="10">
        <v>3.2516039999999999</v>
      </c>
      <c r="AB527" s="10">
        <v>3.2013905999999999</v>
      </c>
      <c r="AC527" s="10">
        <v>3.1577358000000002</v>
      </c>
      <c r="AD527" s="10">
        <v>3.1198814000000001</v>
      </c>
      <c r="AE527" s="10">
        <v>3.0870677</v>
      </c>
      <c r="AF527" s="10">
        <v>3.0585347999999999</v>
      </c>
      <c r="AG527" s="10">
        <v>3.0335242999999998</v>
      </c>
      <c r="AH527" s="10">
        <v>3.0113595000000002</v>
      </c>
      <c r="AI527" s="10">
        <v>2.9917305000000001</v>
      </c>
      <c r="AJ527" s="10">
        <v>2.9744291</v>
      </c>
      <c r="AK527" s="10">
        <v>2.9592466000000002</v>
      </c>
      <c r="AL527" s="10">
        <v>2.9459740999999999</v>
      </c>
      <c r="AM527" s="10">
        <v>2.9344033</v>
      </c>
      <c r="AN527" s="10">
        <v>2.9243256</v>
      </c>
      <c r="AO527" s="10">
        <v>2.9155323000000002</v>
      </c>
      <c r="AP527" s="10">
        <v>2.9078149</v>
      </c>
      <c r="AQ527" s="10">
        <v>2.9009648000000001</v>
      </c>
      <c r="AR527" s="10">
        <v>2.8947731999999999</v>
      </c>
      <c r="AS527" s="10">
        <v>2.8890318000000001</v>
      </c>
      <c r="AT527" s="10">
        <v>2.8835670000000002</v>
      </c>
      <c r="AU527" s="10">
        <v>2.8783607999999998</v>
      </c>
      <c r="AV527" s="10">
        <v>2.8734381</v>
      </c>
      <c r="AW527" s="10">
        <v>2.8688235</v>
      </c>
      <c r="AX527" s="10">
        <v>2.8645418999999999</v>
      </c>
      <c r="AY527" s="10">
        <v>2.8606180999999999</v>
      </c>
      <c r="AZ527" s="10">
        <v>2.8570768000000002</v>
      </c>
      <c r="BA527" s="10">
        <v>2.8539428999999998</v>
      </c>
      <c r="BB527" s="10">
        <v>2.8512412</v>
      </c>
      <c r="BC527" s="10">
        <v>2.8489963999999999</v>
      </c>
      <c r="BD527" s="10">
        <v>2.8472333000000001</v>
      </c>
      <c r="BE527" s="10">
        <v>2.8459767999999999</v>
      </c>
      <c r="BF527" s="10">
        <v>2.8452476</v>
      </c>
      <c r="BG527" s="10">
        <v>2.8450486000000001</v>
      </c>
      <c r="BH527" s="10">
        <v>2.8453778000000001</v>
      </c>
      <c r="BI527" s="10">
        <v>2.8462331000000001</v>
      </c>
      <c r="BJ527" s="10">
        <v>2.8476126000000002</v>
      </c>
      <c r="BK527" s="10">
        <v>2.8495143000000001</v>
      </c>
      <c r="BL527" s="10">
        <v>2.8519361000000001</v>
      </c>
      <c r="BM527" s="10">
        <v>2.854876</v>
      </c>
      <c r="BN527" s="10">
        <v>2.8583319999999999</v>
      </c>
      <c r="BO527" s="10">
        <v>2.8623021999999998</v>
      </c>
      <c r="BP527" s="10">
        <v>2.8667843999999998</v>
      </c>
      <c r="BQ527" s="10">
        <v>2.8717766999999998</v>
      </c>
      <c r="BR527" s="10">
        <v>2.9116018000000001</v>
      </c>
      <c r="BS527" s="10">
        <v>2.9648184</v>
      </c>
      <c r="BU527" s="7">
        <v>3.98</v>
      </c>
      <c r="BV527" s="7">
        <v>3.54</v>
      </c>
      <c r="BW527" s="9">
        <v>81.687299999999993</v>
      </c>
    </row>
    <row r="528" spans="1:75" x14ac:dyDescent="0.25">
      <c r="A528" s="6">
        <f t="shared" si="53"/>
        <v>45292</v>
      </c>
      <c r="B528" s="13">
        <f t="shared" si="48"/>
        <v>1</v>
      </c>
      <c r="C528" s="13">
        <f t="shared" si="49"/>
        <v>2024</v>
      </c>
      <c r="D528">
        <f t="shared" si="50"/>
        <v>202401</v>
      </c>
      <c r="E528">
        <f t="shared" si="51"/>
        <v>1</v>
      </c>
      <c r="F528">
        <f t="shared" si="52"/>
        <v>202401</v>
      </c>
      <c r="G528" t="s">
        <v>718</v>
      </c>
      <c r="H528" s="9">
        <v>5.25</v>
      </c>
      <c r="I528" s="9" t="e">
        <v>#N/A</v>
      </c>
      <c r="J528" s="10" t="e">
        <v>#N/A</v>
      </c>
      <c r="K528" s="10" t="e">
        <v>#N/A</v>
      </c>
      <c r="L528" s="10" t="e">
        <v>#N/A</v>
      </c>
      <c r="M528" s="10" t="e">
        <v>#N/A</v>
      </c>
      <c r="N528" s="10" t="e">
        <v>#N/A</v>
      </c>
      <c r="O528" s="10" t="e">
        <v>#N/A</v>
      </c>
      <c r="P528" s="10" t="e">
        <v>#N/A</v>
      </c>
      <c r="Q528" s="10" t="e">
        <v>#N/A</v>
      </c>
      <c r="R528" s="10" t="e">
        <v>#N/A</v>
      </c>
      <c r="S528" s="10" t="e">
        <v>#N/A</v>
      </c>
      <c r="T528" s="10" t="e">
        <v>#N/A</v>
      </c>
      <c r="U528" s="10" t="e">
        <v>#N/A</v>
      </c>
      <c r="V528" s="10" t="e">
        <v>#N/A</v>
      </c>
      <c r="W528" s="10" t="e">
        <v>#N/A</v>
      </c>
      <c r="X528" s="10" t="e">
        <v>#N/A</v>
      </c>
      <c r="Y528" s="10" t="e">
        <v>#N/A</v>
      </c>
      <c r="Z528" s="10" t="e">
        <v>#N/A</v>
      </c>
      <c r="AA528" s="10" t="e">
        <v>#N/A</v>
      </c>
      <c r="AB528" s="10" t="e">
        <v>#N/A</v>
      </c>
      <c r="AC528" s="10" t="e">
        <v>#N/A</v>
      </c>
      <c r="AD528" s="10" t="e">
        <v>#N/A</v>
      </c>
      <c r="AE528" s="10" t="e">
        <v>#N/A</v>
      </c>
      <c r="AF528" s="10" t="e">
        <v>#N/A</v>
      </c>
      <c r="AG528" s="10" t="e">
        <v>#N/A</v>
      </c>
      <c r="AH528" s="10" t="e">
        <v>#N/A</v>
      </c>
      <c r="AI528" s="10" t="e">
        <v>#N/A</v>
      </c>
      <c r="AJ528" s="10" t="e">
        <v>#N/A</v>
      </c>
      <c r="AK528" s="10" t="e">
        <v>#N/A</v>
      </c>
      <c r="AL528" s="10" t="e">
        <v>#N/A</v>
      </c>
      <c r="AM528" s="10" t="e">
        <v>#N/A</v>
      </c>
      <c r="AN528" s="10" t="e">
        <v>#N/A</v>
      </c>
      <c r="AO528" s="10" t="e">
        <v>#N/A</v>
      </c>
      <c r="AP528" s="10" t="e">
        <v>#N/A</v>
      </c>
      <c r="AQ528" s="10" t="e">
        <v>#N/A</v>
      </c>
      <c r="AR528" s="10" t="e">
        <v>#N/A</v>
      </c>
      <c r="AS528" s="10" t="e">
        <v>#N/A</v>
      </c>
      <c r="AT528" s="10" t="e">
        <v>#N/A</v>
      </c>
      <c r="AU528" s="10" t="e">
        <v>#N/A</v>
      </c>
      <c r="AV528" s="10" t="e">
        <v>#N/A</v>
      </c>
      <c r="AW528" s="10" t="e">
        <v>#N/A</v>
      </c>
      <c r="AX528" s="10" t="e">
        <v>#N/A</v>
      </c>
      <c r="AY528" s="10" t="e">
        <v>#N/A</v>
      </c>
      <c r="AZ528" s="10" t="e">
        <v>#N/A</v>
      </c>
      <c r="BA528" s="10" t="e">
        <v>#N/A</v>
      </c>
      <c r="BB528" s="10" t="e">
        <v>#N/A</v>
      </c>
      <c r="BC528" s="10" t="e">
        <v>#N/A</v>
      </c>
      <c r="BD528" s="10" t="e">
        <v>#N/A</v>
      </c>
      <c r="BE528" s="10" t="e">
        <v>#N/A</v>
      </c>
      <c r="BF528" s="10" t="e">
        <v>#N/A</v>
      </c>
      <c r="BG528" s="10" t="e">
        <v>#N/A</v>
      </c>
      <c r="BH528" s="10" t="e">
        <v>#N/A</v>
      </c>
      <c r="BI528" s="10" t="e">
        <v>#N/A</v>
      </c>
      <c r="BJ528" s="10" t="e">
        <v>#N/A</v>
      </c>
      <c r="BK528" s="10" t="e">
        <v>#N/A</v>
      </c>
      <c r="BL528" s="10" t="e">
        <v>#N/A</v>
      </c>
      <c r="BM528" s="10" t="e">
        <v>#N/A</v>
      </c>
      <c r="BN528" s="10" t="e">
        <v>#N/A</v>
      </c>
      <c r="BO528" s="10" t="e">
        <v>#N/A</v>
      </c>
      <c r="BP528" s="10" t="e">
        <v>#N/A</v>
      </c>
      <c r="BQ528" s="10" t="e">
        <v>#N/A</v>
      </c>
      <c r="BR528" s="10" t="e">
        <v>#N/A</v>
      </c>
      <c r="BS528" s="10" t="e">
        <v>#N/A</v>
      </c>
      <c r="BU528" s="7" t="e">
        <v>#N/A</v>
      </c>
      <c r="BV528" s="7" t="e">
        <v>#N/A</v>
      </c>
      <c r="BW528" s="9" t="e">
        <v>#N/A</v>
      </c>
    </row>
    <row r="529" spans="1:75" x14ac:dyDescent="0.25">
      <c r="A529" s="6">
        <f t="shared" si="53"/>
        <v>45293</v>
      </c>
      <c r="B529" s="13">
        <f t="shared" si="48"/>
        <v>1</v>
      </c>
      <c r="C529" s="13">
        <f t="shared" si="49"/>
        <v>2024</v>
      </c>
      <c r="D529">
        <f t="shared" si="50"/>
        <v>202401</v>
      </c>
      <c r="E529">
        <f t="shared" si="51"/>
        <v>1</v>
      </c>
      <c r="F529">
        <f t="shared" si="52"/>
        <v>202401</v>
      </c>
      <c r="G529" t="s">
        <v>719</v>
      </c>
      <c r="H529" s="9">
        <v>5.25</v>
      </c>
      <c r="I529" s="9">
        <v>5.1863000000000001</v>
      </c>
      <c r="J529" s="10">
        <v>5.1869458000000002</v>
      </c>
      <c r="K529" s="10">
        <v>5.1737152000000002</v>
      </c>
      <c r="L529" s="10">
        <v>5.1274641000000001</v>
      </c>
      <c r="M529" s="10">
        <v>5.0330693000000002</v>
      </c>
      <c r="N529" s="10">
        <v>4.8948083999999996</v>
      </c>
      <c r="O529" s="10">
        <v>4.7267552000000004</v>
      </c>
      <c r="P529" s="10">
        <v>4.5455904</v>
      </c>
      <c r="Q529" s="10">
        <v>4.3673209000000002</v>
      </c>
      <c r="R529" s="10">
        <v>4.2024467000000003</v>
      </c>
      <c r="S529" s="10">
        <v>4.0550731000000004</v>
      </c>
      <c r="T529" s="10">
        <v>3.9257072000000002</v>
      </c>
      <c r="U529" s="10">
        <v>3.8133507</v>
      </c>
      <c r="V529" s="10">
        <v>3.7135649000000002</v>
      </c>
      <c r="W529" s="10">
        <v>3.6243989000000001</v>
      </c>
      <c r="X529" s="10">
        <v>3.5449014999999999</v>
      </c>
      <c r="Y529" s="10">
        <v>3.4741183000000002</v>
      </c>
      <c r="Z529" s="10">
        <v>3.4110950999999998</v>
      </c>
      <c r="AA529" s="10">
        <v>3.3548802000000002</v>
      </c>
      <c r="AB529" s="10">
        <v>3.3045933000000001</v>
      </c>
      <c r="AC529" s="10">
        <v>3.2596362000000001</v>
      </c>
      <c r="AD529" s="10">
        <v>3.2194791</v>
      </c>
      <c r="AE529" s="10">
        <v>3.1835906</v>
      </c>
      <c r="AF529" s="10">
        <v>3.1514395999999998</v>
      </c>
      <c r="AG529" s="10">
        <v>3.1224959999999999</v>
      </c>
      <c r="AH529" s="10">
        <v>3.0962854000000002</v>
      </c>
      <c r="AI529" s="10">
        <v>3.0725845000000001</v>
      </c>
      <c r="AJ529" s="10">
        <v>3.0512400999999998</v>
      </c>
      <c r="AK529" s="10">
        <v>3.0320982000000001</v>
      </c>
      <c r="AL529" s="10">
        <v>3.0150047999999998</v>
      </c>
      <c r="AM529" s="10">
        <v>2.9998064000000002</v>
      </c>
      <c r="AN529" s="10">
        <v>2.9863491</v>
      </c>
      <c r="AO529" s="10">
        <v>2.9744790000000001</v>
      </c>
      <c r="AP529" s="10">
        <v>2.9640426</v>
      </c>
      <c r="AQ529" s="10">
        <v>2.9548858999999998</v>
      </c>
      <c r="AR529" s="10">
        <v>2.9468551000000001</v>
      </c>
      <c r="AS529" s="10">
        <v>2.9397964999999999</v>
      </c>
      <c r="AT529" s="10">
        <v>2.9335732999999999</v>
      </c>
      <c r="AU529" s="10">
        <v>2.9281397</v>
      </c>
      <c r="AV529" s="10">
        <v>2.9234808999999999</v>
      </c>
      <c r="AW529" s="10">
        <v>2.9195818</v>
      </c>
      <c r="AX529" s="10">
        <v>2.9164273000000001</v>
      </c>
      <c r="AY529" s="10">
        <v>2.9140025999999999</v>
      </c>
      <c r="AZ529" s="10">
        <v>2.9122925</v>
      </c>
      <c r="BA529" s="10">
        <v>2.9112821000000002</v>
      </c>
      <c r="BB529" s="10">
        <v>2.9109563999999999</v>
      </c>
      <c r="BC529" s="10">
        <v>2.9113003000000002</v>
      </c>
      <c r="BD529" s="10">
        <v>2.912299</v>
      </c>
      <c r="BE529" s="10">
        <v>2.9139373000000002</v>
      </c>
      <c r="BF529" s="10">
        <v>2.9161996000000001</v>
      </c>
      <c r="BG529" s="10">
        <v>2.9190670000000001</v>
      </c>
      <c r="BH529" s="10">
        <v>2.9225194999999999</v>
      </c>
      <c r="BI529" s="10">
        <v>2.9265371</v>
      </c>
      <c r="BJ529" s="10">
        <v>2.9310996999999999</v>
      </c>
      <c r="BK529" s="10">
        <v>2.9361872</v>
      </c>
      <c r="BL529" s="10">
        <v>2.9417797000000001</v>
      </c>
      <c r="BM529" s="10">
        <v>2.9478570999999998</v>
      </c>
      <c r="BN529" s="10">
        <v>2.9543993999999998</v>
      </c>
      <c r="BO529" s="10">
        <v>2.9613863999999999</v>
      </c>
      <c r="BP529" s="10">
        <v>2.9687983999999998</v>
      </c>
      <c r="BQ529" s="10">
        <v>2.9766149999999998</v>
      </c>
      <c r="BR529" s="10">
        <v>3.0309689999999998</v>
      </c>
      <c r="BS529" s="10">
        <v>3.0953135999999999</v>
      </c>
      <c r="BU529" s="7">
        <v>4.0599999999999996</v>
      </c>
      <c r="BV529" s="7">
        <v>3.65</v>
      </c>
      <c r="BW529" s="9">
        <v>81.417900000000003</v>
      </c>
    </row>
    <row r="530" spans="1:75" x14ac:dyDescent="0.25">
      <c r="A530" s="6">
        <f t="shared" si="53"/>
        <v>45294</v>
      </c>
      <c r="B530" s="13">
        <f t="shared" si="48"/>
        <v>1</v>
      </c>
      <c r="C530" s="13">
        <f t="shared" si="49"/>
        <v>2024</v>
      </c>
      <c r="D530">
        <f t="shared" si="50"/>
        <v>202401</v>
      </c>
      <c r="E530">
        <f t="shared" si="51"/>
        <v>1</v>
      </c>
      <c r="F530">
        <f t="shared" si="52"/>
        <v>202401</v>
      </c>
      <c r="G530" t="s">
        <v>720</v>
      </c>
      <c r="H530" s="9">
        <v>5.25</v>
      </c>
      <c r="I530" s="9">
        <v>5.1863000000000001</v>
      </c>
      <c r="J530" s="10">
        <v>5.1879346000000002</v>
      </c>
      <c r="K530" s="10">
        <v>5.1698623000000001</v>
      </c>
      <c r="L530" s="10">
        <v>5.1217679</v>
      </c>
      <c r="M530" s="10">
        <v>5.0292523999999998</v>
      </c>
      <c r="N530" s="10">
        <v>4.8955915000000001</v>
      </c>
      <c r="O530" s="10">
        <v>4.7327474</v>
      </c>
      <c r="P530" s="10">
        <v>4.5561572999999997</v>
      </c>
      <c r="Q530" s="10">
        <v>4.3801250999999999</v>
      </c>
      <c r="R530" s="10">
        <v>4.2145865999999996</v>
      </c>
      <c r="S530" s="10">
        <v>4.0638513999999999</v>
      </c>
      <c r="T530" s="10">
        <v>3.9292761</v>
      </c>
      <c r="U530" s="10">
        <v>3.8103908999999998</v>
      </c>
      <c r="V530" s="10">
        <v>3.7037410999999998</v>
      </c>
      <c r="W530" s="10">
        <v>3.6077142000000002</v>
      </c>
      <c r="X530" s="10">
        <v>3.5214569999999998</v>
      </c>
      <c r="Y530" s="10">
        <v>3.4441131</v>
      </c>
      <c r="Z530" s="10">
        <v>3.3748263000000001</v>
      </c>
      <c r="AA530" s="10">
        <v>3.3127428999999999</v>
      </c>
      <c r="AB530" s="10">
        <v>3.2570771000000001</v>
      </c>
      <c r="AC530" s="10">
        <v>3.2073119000000001</v>
      </c>
      <c r="AD530" s="10">
        <v>3.1629961</v>
      </c>
      <c r="AE530" s="10">
        <v>3.1236763999999999</v>
      </c>
      <c r="AF530" s="10">
        <v>3.0889000000000002</v>
      </c>
      <c r="AG530" s="10">
        <v>3.0582151</v>
      </c>
      <c r="AH530" s="10">
        <v>3.0311935000000001</v>
      </c>
      <c r="AI530" s="10">
        <v>3.0075392999999999</v>
      </c>
      <c r="AJ530" s="10">
        <v>2.9870022000000001</v>
      </c>
      <c r="AK530" s="10">
        <v>2.9693309999999999</v>
      </c>
      <c r="AL530" s="10">
        <v>2.9542744999999999</v>
      </c>
      <c r="AM530" s="10">
        <v>2.9415821000000002</v>
      </c>
      <c r="AN530" s="10">
        <v>2.9310025999999998</v>
      </c>
      <c r="AO530" s="10">
        <v>2.9222850999999999</v>
      </c>
      <c r="AP530" s="10">
        <v>2.9151788000000001</v>
      </c>
      <c r="AQ530" s="10">
        <v>2.9094326000000001</v>
      </c>
      <c r="AR530" s="10">
        <v>2.9047955000000001</v>
      </c>
      <c r="AS530" s="10">
        <v>2.9010166000000002</v>
      </c>
      <c r="AT530" s="10">
        <v>2.8978771000000001</v>
      </c>
      <c r="AU530" s="10">
        <v>2.8953139999999999</v>
      </c>
      <c r="AV530" s="10">
        <v>2.8933122</v>
      </c>
      <c r="AW530" s="10">
        <v>2.8918564</v>
      </c>
      <c r="AX530" s="10">
        <v>2.8909313999999999</v>
      </c>
      <c r="AY530" s="10">
        <v>2.8905219</v>
      </c>
      <c r="AZ530" s="10">
        <v>2.8906127000000001</v>
      </c>
      <c r="BA530" s="10">
        <v>2.8911885000000002</v>
      </c>
      <c r="BB530" s="10">
        <v>2.8922341</v>
      </c>
      <c r="BC530" s="10">
        <v>2.8937341999999999</v>
      </c>
      <c r="BD530" s="10">
        <v>2.8956737000000001</v>
      </c>
      <c r="BE530" s="10">
        <v>2.8980372000000001</v>
      </c>
      <c r="BF530" s="10">
        <v>2.9008110999999999</v>
      </c>
      <c r="BG530" s="10">
        <v>2.9039899</v>
      </c>
      <c r="BH530" s="10">
        <v>2.9075703000000002</v>
      </c>
      <c r="BI530" s="10">
        <v>2.9115490999999998</v>
      </c>
      <c r="BJ530" s="10">
        <v>2.9159234000000001</v>
      </c>
      <c r="BK530" s="10">
        <v>2.9206896000000002</v>
      </c>
      <c r="BL530" s="10">
        <v>2.9258448000000001</v>
      </c>
      <c r="BM530" s="10">
        <v>2.9313858000000002</v>
      </c>
      <c r="BN530" s="10">
        <v>2.9373092999999999</v>
      </c>
      <c r="BO530" s="10">
        <v>2.9436122</v>
      </c>
      <c r="BP530" s="10">
        <v>2.9502913999999998</v>
      </c>
      <c r="BQ530" s="10">
        <v>2.9573434999999999</v>
      </c>
      <c r="BR530" s="10">
        <v>3.0068421000000001</v>
      </c>
      <c r="BS530" s="10">
        <v>3.0660859999999999</v>
      </c>
      <c r="BU530" s="7">
        <v>4.07</v>
      </c>
      <c r="BV530" s="7">
        <v>3.61</v>
      </c>
      <c r="BW530" s="9">
        <v>81.665300000000002</v>
      </c>
    </row>
    <row r="531" spans="1:75" x14ac:dyDescent="0.25">
      <c r="A531" s="6">
        <f t="shared" si="53"/>
        <v>45295</v>
      </c>
      <c r="B531" s="13">
        <f t="shared" si="48"/>
        <v>1</v>
      </c>
      <c r="C531" s="13">
        <f t="shared" si="49"/>
        <v>2024</v>
      </c>
      <c r="D531">
        <f t="shared" si="50"/>
        <v>202401</v>
      </c>
      <c r="E531">
        <f t="shared" si="51"/>
        <v>1</v>
      </c>
      <c r="F531">
        <f t="shared" si="52"/>
        <v>202401</v>
      </c>
      <c r="G531" t="s">
        <v>721</v>
      </c>
      <c r="H531" s="9">
        <v>5.25</v>
      </c>
      <c r="I531" s="9">
        <v>5.1870000000000003</v>
      </c>
      <c r="J531" s="10">
        <v>5.1847630999999996</v>
      </c>
      <c r="K531" s="10">
        <v>5.1706678000000004</v>
      </c>
      <c r="L531" s="10">
        <v>5.1289198999999996</v>
      </c>
      <c r="M531" s="10">
        <v>5.0490297999999996</v>
      </c>
      <c r="N531" s="10">
        <v>4.9325416000000004</v>
      </c>
      <c r="O531" s="10">
        <v>4.7903403999999998</v>
      </c>
      <c r="P531" s="10">
        <v>4.6344699</v>
      </c>
      <c r="Q531" s="10">
        <v>4.4767792000000002</v>
      </c>
      <c r="R531" s="10">
        <v>4.3259129999999999</v>
      </c>
      <c r="S531" s="10">
        <v>4.1861157999999996</v>
      </c>
      <c r="T531" s="10">
        <v>4.0594066</v>
      </c>
      <c r="U531" s="10">
        <v>3.9458215999999999</v>
      </c>
      <c r="V531" s="10">
        <v>3.8430555000000002</v>
      </c>
      <c r="W531" s="10">
        <v>3.7499595999999999</v>
      </c>
      <c r="X531" s="10">
        <v>3.6659828999999999</v>
      </c>
      <c r="Y531" s="10">
        <v>3.5905711999999999</v>
      </c>
      <c r="Z531" s="10">
        <v>3.5231710999999999</v>
      </c>
      <c r="AA531" s="10">
        <v>3.4632312000000001</v>
      </c>
      <c r="AB531" s="10">
        <v>3.4101861000000002</v>
      </c>
      <c r="AC531" s="10">
        <v>3.3634252999999998</v>
      </c>
      <c r="AD531" s="10">
        <v>3.3223291000000001</v>
      </c>
      <c r="AE531" s="10">
        <v>3.2862764000000002</v>
      </c>
      <c r="AF531" s="10">
        <v>3.2546461</v>
      </c>
      <c r="AG531" s="10">
        <v>3.2268181999999999</v>
      </c>
      <c r="AH531" s="10">
        <v>3.2022270000000002</v>
      </c>
      <c r="AI531" s="10">
        <v>3.1805764000000001</v>
      </c>
      <c r="AJ531" s="10">
        <v>3.1616533000000002</v>
      </c>
      <c r="AK531" s="10">
        <v>3.1452434</v>
      </c>
      <c r="AL531" s="10">
        <v>3.1311331</v>
      </c>
      <c r="AM531" s="10">
        <v>3.1191087999999998</v>
      </c>
      <c r="AN531" s="10">
        <v>3.1089566</v>
      </c>
      <c r="AO531" s="10">
        <v>3.1004627</v>
      </c>
      <c r="AP531" s="10">
        <v>3.0934135</v>
      </c>
      <c r="AQ531" s="10">
        <v>3.0875952</v>
      </c>
      <c r="AR531" s="10">
        <v>3.0827939999999998</v>
      </c>
      <c r="AS531" s="10">
        <v>3.0787962000000002</v>
      </c>
      <c r="AT531" s="10">
        <v>3.0754177999999999</v>
      </c>
      <c r="AU531" s="10">
        <v>3.0726057</v>
      </c>
      <c r="AV531" s="10">
        <v>3.0703431000000001</v>
      </c>
      <c r="AW531" s="10">
        <v>3.0686133</v>
      </c>
      <c r="AX531" s="10">
        <v>3.0673992999999999</v>
      </c>
      <c r="AY531" s="10">
        <v>3.0666845</v>
      </c>
      <c r="AZ531" s="10">
        <v>3.066452</v>
      </c>
      <c r="BA531" s="10">
        <v>3.0666848999999998</v>
      </c>
      <c r="BB531" s="10">
        <v>3.0673664999999999</v>
      </c>
      <c r="BC531" s="10">
        <v>3.0684798999999998</v>
      </c>
      <c r="BD531" s="10">
        <v>3.0700083</v>
      </c>
      <c r="BE531" s="10">
        <v>3.0719349999999999</v>
      </c>
      <c r="BF531" s="10">
        <v>3.0742444999999998</v>
      </c>
      <c r="BG531" s="10">
        <v>3.0769278999999998</v>
      </c>
      <c r="BH531" s="10">
        <v>3.0799780999999999</v>
      </c>
      <c r="BI531" s="10">
        <v>3.0833879999999998</v>
      </c>
      <c r="BJ531" s="10">
        <v>3.0871504999999999</v>
      </c>
      <c r="BK531" s="10">
        <v>3.0912582999999998</v>
      </c>
      <c r="BL531" s="10">
        <v>3.0957043</v>
      </c>
      <c r="BM531" s="10">
        <v>3.1004814000000001</v>
      </c>
      <c r="BN531" s="10">
        <v>3.1055825000000001</v>
      </c>
      <c r="BO531" s="10">
        <v>3.1110004</v>
      </c>
      <c r="BP531" s="10">
        <v>3.1167281</v>
      </c>
      <c r="BQ531" s="10">
        <v>3.1227581999999998</v>
      </c>
      <c r="BR531" s="10">
        <v>3.1648269999999998</v>
      </c>
      <c r="BS531" s="10">
        <v>3.2155847999999998</v>
      </c>
      <c r="BU531" s="7">
        <v>4.22</v>
      </c>
      <c r="BV531" s="7">
        <v>3.74</v>
      </c>
      <c r="BW531" s="9">
        <v>81.942700000000002</v>
      </c>
    </row>
    <row r="532" spans="1:75" x14ac:dyDescent="0.25">
      <c r="A532" s="6">
        <f t="shared" si="53"/>
        <v>45296</v>
      </c>
      <c r="B532" s="13">
        <f t="shared" si="48"/>
        <v>1</v>
      </c>
      <c r="C532" s="13">
        <f t="shared" si="49"/>
        <v>2024</v>
      </c>
      <c r="D532">
        <f t="shared" si="50"/>
        <v>202401</v>
      </c>
      <c r="E532">
        <f t="shared" si="51"/>
        <v>1</v>
      </c>
      <c r="F532">
        <f t="shared" si="52"/>
        <v>202401</v>
      </c>
      <c r="G532" t="s">
        <v>722</v>
      </c>
      <c r="H532" s="9">
        <v>5.25</v>
      </c>
      <c r="I532" s="9">
        <v>5.1868999999999996</v>
      </c>
      <c r="J532" s="10">
        <v>5.1873271000000001</v>
      </c>
      <c r="K532" s="10">
        <v>5.1720791999999998</v>
      </c>
      <c r="L532" s="10">
        <v>5.1334346999999996</v>
      </c>
      <c r="M532" s="10">
        <v>5.0598045000000003</v>
      </c>
      <c r="N532" s="10">
        <v>4.9517376000000004</v>
      </c>
      <c r="O532" s="10">
        <v>4.8187670000000002</v>
      </c>
      <c r="P532" s="10">
        <v>4.6723584999999996</v>
      </c>
      <c r="Q532" s="10">
        <v>4.5243145</v>
      </c>
      <c r="R532" s="10">
        <v>4.3831626999999997</v>
      </c>
      <c r="S532" s="10">
        <v>4.2534108000000002</v>
      </c>
      <c r="T532" s="10">
        <v>4.1364166999999998</v>
      </c>
      <c r="U532" s="10">
        <v>4.0318582999999997</v>
      </c>
      <c r="V532" s="10">
        <v>3.9368302000000002</v>
      </c>
      <c r="W532" s="10">
        <v>3.8500800000000002</v>
      </c>
      <c r="X532" s="10">
        <v>3.7711019000000001</v>
      </c>
      <c r="Y532" s="10">
        <v>3.6993871</v>
      </c>
      <c r="Z532" s="10">
        <v>3.6344272000000002</v>
      </c>
      <c r="AA532" s="10">
        <v>3.5757159000000001</v>
      </c>
      <c r="AB532" s="10">
        <v>3.5227607999999999</v>
      </c>
      <c r="AC532" s="10">
        <v>3.4751452</v>
      </c>
      <c r="AD532" s="10">
        <v>3.4324758000000002</v>
      </c>
      <c r="AE532" s="10">
        <v>3.3943576000000002</v>
      </c>
      <c r="AF532" s="10">
        <v>3.3603955999999999</v>
      </c>
      <c r="AG532" s="10">
        <v>3.3301962999999999</v>
      </c>
      <c r="AH532" s="10">
        <v>3.3033904999999999</v>
      </c>
      <c r="AI532" s="10">
        <v>3.2797228</v>
      </c>
      <c r="AJ532" s="10">
        <v>3.2589695999999999</v>
      </c>
      <c r="AK532" s="10">
        <v>3.2409067999999999</v>
      </c>
      <c r="AL532" s="10">
        <v>3.2253104000000001</v>
      </c>
      <c r="AM532" s="10">
        <v>3.2119566000000002</v>
      </c>
      <c r="AN532" s="10">
        <v>3.2006214000000002</v>
      </c>
      <c r="AO532" s="10">
        <v>3.1910807999999999</v>
      </c>
      <c r="AP532" s="10">
        <v>3.1831111000000001</v>
      </c>
      <c r="AQ532" s="10">
        <v>3.1764880999999998</v>
      </c>
      <c r="AR532" s="10">
        <v>3.1709879000000001</v>
      </c>
      <c r="AS532" s="10">
        <v>3.1663868000000002</v>
      </c>
      <c r="AT532" s="10">
        <v>3.1624897999999999</v>
      </c>
      <c r="AU532" s="10">
        <v>3.1592315000000002</v>
      </c>
      <c r="AV532" s="10">
        <v>3.1565820000000002</v>
      </c>
      <c r="AW532" s="10">
        <v>3.1545114000000001</v>
      </c>
      <c r="AX532" s="10">
        <v>3.1529896000000002</v>
      </c>
      <c r="AY532" s="10">
        <v>3.1519868999999998</v>
      </c>
      <c r="AZ532" s="10">
        <v>3.1514731999999999</v>
      </c>
      <c r="BA532" s="10">
        <v>3.1514186</v>
      </c>
      <c r="BB532" s="10">
        <v>3.1517933</v>
      </c>
      <c r="BC532" s="10">
        <v>3.1525672</v>
      </c>
      <c r="BD532" s="10">
        <v>3.1537104999999999</v>
      </c>
      <c r="BE532" s="10">
        <v>3.1551931999999998</v>
      </c>
      <c r="BF532" s="10">
        <v>3.1569896000000002</v>
      </c>
      <c r="BG532" s="10">
        <v>3.1590924</v>
      </c>
      <c r="BH532" s="10">
        <v>3.1614995000000001</v>
      </c>
      <c r="BI532" s="10">
        <v>3.1642087000000001</v>
      </c>
      <c r="BJ532" s="10">
        <v>3.1672178999999998</v>
      </c>
      <c r="BK532" s="10">
        <v>3.170525</v>
      </c>
      <c r="BL532" s="10">
        <v>3.1741275999999998</v>
      </c>
      <c r="BM532" s="10">
        <v>3.1780238999999999</v>
      </c>
      <c r="BN532" s="10">
        <v>3.1822113999999999</v>
      </c>
      <c r="BO532" s="10">
        <v>3.1866881999999999</v>
      </c>
      <c r="BP532" s="10">
        <v>3.191452</v>
      </c>
      <c r="BQ532" s="10">
        <v>3.1965007000000001</v>
      </c>
      <c r="BR532" s="10">
        <v>3.2325005999999998</v>
      </c>
      <c r="BS532" s="10">
        <v>3.2772655999999998</v>
      </c>
      <c r="BU532" s="7">
        <v>4.24</v>
      </c>
      <c r="BV532" s="7">
        <v>3.81</v>
      </c>
      <c r="BW532" s="9">
        <v>82.131500000000003</v>
      </c>
    </row>
    <row r="533" spans="1:75" x14ac:dyDescent="0.25">
      <c r="A533" s="6">
        <f t="shared" si="53"/>
        <v>45299</v>
      </c>
      <c r="B533" s="13">
        <f t="shared" si="48"/>
        <v>1</v>
      </c>
      <c r="C533" s="13">
        <f t="shared" si="49"/>
        <v>2024</v>
      </c>
      <c r="D533">
        <f t="shared" si="50"/>
        <v>202401</v>
      </c>
      <c r="E533">
        <f t="shared" si="51"/>
        <v>1</v>
      </c>
      <c r="F533">
        <f t="shared" si="52"/>
        <v>202401</v>
      </c>
      <c r="G533" t="s">
        <v>723</v>
      </c>
      <c r="H533" s="9">
        <v>5.25</v>
      </c>
      <c r="I533" s="9">
        <v>5.1868999999999996</v>
      </c>
      <c r="J533" s="10">
        <v>5.1875371000000001</v>
      </c>
      <c r="K533" s="10">
        <v>5.1723518000000004</v>
      </c>
      <c r="L533" s="10">
        <v>5.1318123</v>
      </c>
      <c r="M533" s="10">
        <v>5.0538828000000002</v>
      </c>
      <c r="N533" s="10">
        <v>4.9407069999999997</v>
      </c>
      <c r="O533" s="10">
        <v>4.8022983000000004</v>
      </c>
      <c r="P533" s="10">
        <v>4.6506226000000002</v>
      </c>
      <c r="Q533" s="10">
        <v>4.4975445000000001</v>
      </c>
      <c r="R533" s="10">
        <v>4.3519113999999997</v>
      </c>
      <c r="S533" s="10">
        <v>4.2180825000000004</v>
      </c>
      <c r="T533" s="10">
        <v>4.0980800999999998</v>
      </c>
      <c r="U533" s="10">
        <v>3.9915984999999998</v>
      </c>
      <c r="V533" s="10">
        <v>3.8957126999999998</v>
      </c>
      <c r="W533" s="10">
        <v>3.8090535999999999</v>
      </c>
      <c r="X533" s="10">
        <v>3.7309025</v>
      </c>
      <c r="Y533" s="10">
        <v>3.6605376000000001</v>
      </c>
      <c r="Z533" s="10">
        <v>3.5972374999999999</v>
      </c>
      <c r="AA533" s="10">
        <v>3.5402832000000002</v>
      </c>
      <c r="AB533" s="10">
        <v>3.4890080000000001</v>
      </c>
      <c r="AC533" s="10">
        <v>3.4429542</v>
      </c>
      <c r="AD533" s="10">
        <v>3.4017156000000002</v>
      </c>
      <c r="AE533" s="10">
        <v>3.3648842000000001</v>
      </c>
      <c r="AF533" s="10">
        <v>3.3320520999999999</v>
      </c>
      <c r="AG533" s="10">
        <v>3.3028127999999999</v>
      </c>
      <c r="AH533" s="10">
        <v>3.2767879</v>
      </c>
      <c r="AI533" s="10">
        <v>3.2537294999999999</v>
      </c>
      <c r="AJ533" s="10">
        <v>3.2334263999999999</v>
      </c>
      <c r="AK533" s="10">
        <v>3.2156666</v>
      </c>
      <c r="AL533" s="10">
        <v>3.2002381999999998</v>
      </c>
      <c r="AM533" s="10">
        <v>3.1869299</v>
      </c>
      <c r="AN533" s="10">
        <v>3.1755298000000001</v>
      </c>
      <c r="AO533" s="10">
        <v>3.1658259000000002</v>
      </c>
      <c r="AP533" s="10">
        <v>3.1576069000000002</v>
      </c>
      <c r="AQ533" s="10">
        <v>3.1506609000000001</v>
      </c>
      <c r="AR533" s="10">
        <v>3.1447761000000001</v>
      </c>
      <c r="AS533" s="10">
        <v>3.1397409000000001</v>
      </c>
      <c r="AT533" s="10">
        <v>3.1353719999999998</v>
      </c>
      <c r="AU533" s="10">
        <v>3.1316117999999999</v>
      </c>
      <c r="AV533" s="10">
        <v>3.1284377999999999</v>
      </c>
      <c r="AW533" s="10">
        <v>3.1258268999999999</v>
      </c>
      <c r="AX533" s="10">
        <v>3.1237564999999998</v>
      </c>
      <c r="AY533" s="10">
        <v>3.1222037999999999</v>
      </c>
      <c r="AZ533" s="10">
        <v>3.1211457999999999</v>
      </c>
      <c r="BA533" s="10">
        <v>3.1205599999999998</v>
      </c>
      <c r="BB533" s="10">
        <v>3.1204234</v>
      </c>
      <c r="BC533" s="10">
        <v>3.1207132999999998</v>
      </c>
      <c r="BD533" s="10">
        <v>3.1214067999999999</v>
      </c>
      <c r="BE533" s="10">
        <v>3.1224812000000002</v>
      </c>
      <c r="BF533" s="10">
        <v>3.1239165</v>
      </c>
      <c r="BG533" s="10">
        <v>3.1257071999999999</v>
      </c>
      <c r="BH533" s="10">
        <v>3.1278529000000002</v>
      </c>
      <c r="BI533" s="10">
        <v>3.1303531000000002</v>
      </c>
      <c r="BJ533" s="10">
        <v>3.1332076</v>
      </c>
      <c r="BK533" s="10">
        <v>3.1364157000000001</v>
      </c>
      <c r="BL533" s="10">
        <v>3.139977</v>
      </c>
      <c r="BM533" s="10">
        <v>3.1438912999999999</v>
      </c>
      <c r="BN533" s="10">
        <v>3.1481579000000002</v>
      </c>
      <c r="BO533" s="10">
        <v>3.1527764999999999</v>
      </c>
      <c r="BP533" s="10">
        <v>3.1577465999999998</v>
      </c>
      <c r="BQ533" s="10">
        <v>3.1630677999999999</v>
      </c>
      <c r="BR533" s="10">
        <v>3.2019753999999998</v>
      </c>
      <c r="BS533" s="10">
        <v>3.2511538999999998</v>
      </c>
      <c r="BU533" s="7">
        <v>4.1900000000000004</v>
      </c>
      <c r="BV533" s="7">
        <v>3.77</v>
      </c>
      <c r="BW533" s="9">
        <v>82.180800000000005</v>
      </c>
    </row>
    <row r="534" spans="1:75" x14ac:dyDescent="0.25">
      <c r="A534" s="6">
        <f t="shared" si="53"/>
        <v>45300</v>
      </c>
      <c r="B534" s="13">
        <f t="shared" si="48"/>
        <v>1</v>
      </c>
      <c r="C534" s="13">
        <f t="shared" si="49"/>
        <v>2024</v>
      </c>
      <c r="D534">
        <f t="shared" si="50"/>
        <v>202401</v>
      </c>
      <c r="E534">
        <f t="shared" si="51"/>
        <v>1</v>
      </c>
      <c r="F534">
        <f t="shared" si="52"/>
        <v>202401</v>
      </c>
      <c r="G534" t="s">
        <v>724</v>
      </c>
      <c r="H534" s="9">
        <v>5.25</v>
      </c>
      <c r="I534" s="9">
        <v>5.1867000000000001</v>
      </c>
      <c r="J534" s="10">
        <v>5.1852612000000002</v>
      </c>
      <c r="K534" s="10">
        <v>5.1702462999999996</v>
      </c>
      <c r="L534" s="10">
        <v>5.1298316000000002</v>
      </c>
      <c r="M534" s="10">
        <v>5.0519414999999999</v>
      </c>
      <c r="N534" s="10">
        <v>4.9396490999999996</v>
      </c>
      <c r="O534" s="10">
        <v>4.8037638999999999</v>
      </c>
      <c r="P534" s="10">
        <v>4.6561959999999996</v>
      </c>
      <c r="Q534" s="10">
        <v>4.5079649000000002</v>
      </c>
      <c r="R534" s="10">
        <v>4.3668256999999997</v>
      </c>
      <c r="S534" s="10">
        <v>4.2366576</v>
      </c>
      <c r="T534" s="10">
        <v>4.1187677000000003</v>
      </c>
      <c r="U534" s="10">
        <v>4.0132621999999998</v>
      </c>
      <c r="V534" s="10">
        <v>3.9177742000000002</v>
      </c>
      <c r="W534" s="10">
        <v>3.8311198000000002</v>
      </c>
      <c r="X534" s="10">
        <v>3.7526541999999998</v>
      </c>
      <c r="Y534" s="10">
        <v>3.6817291000000001</v>
      </c>
      <c r="Z534" s="10">
        <v>3.6176968999999999</v>
      </c>
      <c r="AA534" s="10">
        <v>3.5599118000000001</v>
      </c>
      <c r="AB534" s="10">
        <v>3.5077647000000001</v>
      </c>
      <c r="AC534" s="10">
        <v>3.4607923</v>
      </c>
      <c r="AD534" s="10">
        <v>3.4185682000000002</v>
      </c>
      <c r="AE534" s="10">
        <v>3.3806642</v>
      </c>
      <c r="AF534" s="10">
        <v>3.3466521999999999</v>
      </c>
      <c r="AG534" s="10">
        <v>3.3161052999999998</v>
      </c>
      <c r="AH534" s="10">
        <v>3.2886324999999998</v>
      </c>
      <c r="AI534" s="10">
        <v>3.2640061</v>
      </c>
      <c r="AJ534" s="10">
        <v>3.2420445999999998</v>
      </c>
      <c r="AK534" s="10">
        <v>3.2225655</v>
      </c>
      <c r="AL534" s="10">
        <v>3.2053862</v>
      </c>
      <c r="AM534" s="10">
        <v>3.1903250000000001</v>
      </c>
      <c r="AN534" s="10">
        <v>3.1771994000000001</v>
      </c>
      <c r="AO534" s="10">
        <v>3.1658271999999998</v>
      </c>
      <c r="AP534" s="10">
        <v>3.1560261999999999</v>
      </c>
      <c r="AQ534" s="10">
        <v>3.1476142</v>
      </c>
      <c r="AR534" s="10">
        <v>3.1404089000000002</v>
      </c>
      <c r="AS534" s="10">
        <v>3.1342281999999999</v>
      </c>
      <c r="AT534" s="10">
        <v>3.1289080999999999</v>
      </c>
      <c r="AU534" s="10">
        <v>3.1243834000000001</v>
      </c>
      <c r="AV534" s="10">
        <v>3.1206223999999998</v>
      </c>
      <c r="AW534" s="10">
        <v>3.1175928000000002</v>
      </c>
      <c r="AX534" s="10">
        <v>3.1152628</v>
      </c>
      <c r="AY534" s="10">
        <v>3.1136004000000002</v>
      </c>
      <c r="AZ534" s="10">
        <v>3.1125734999999999</v>
      </c>
      <c r="BA534" s="10">
        <v>3.1121503000000001</v>
      </c>
      <c r="BB534" s="10">
        <v>3.1122987000000002</v>
      </c>
      <c r="BC534" s="10">
        <v>3.1129867999999998</v>
      </c>
      <c r="BD534" s="10">
        <v>3.1141825000000001</v>
      </c>
      <c r="BE534" s="10">
        <v>3.1158538999999998</v>
      </c>
      <c r="BF534" s="10">
        <v>3.117972</v>
      </c>
      <c r="BG534" s="10">
        <v>3.1205215000000002</v>
      </c>
      <c r="BH534" s="10">
        <v>3.1234918</v>
      </c>
      <c r="BI534" s="10">
        <v>3.1268718999999998</v>
      </c>
      <c r="BJ534" s="10">
        <v>3.1306511000000001</v>
      </c>
      <c r="BK534" s="10">
        <v>3.1348186</v>
      </c>
      <c r="BL534" s="10">
        <v>3.1393635</v>
      </c>
      <c r="BM534" s="10">
        <v>3.1442751000000002</v>
      </c>
      <c r="BN534" s="10">
        <v>3.1495424000000001</v>
      </c>
      <c r="BO534" s="10">
        <v>3.1551547000000002</v>
      </c>
      <c r="BP534" s="10">
        <v>3.1611012999999999</v>
      </c>
      <c r="BQ534" s="10">
        <v>3.1673711999999998</v>
      </c>
      <c r="BR534" s="10">
        <v>3.2111431000000001</v>
      </c>
      <c r="BS534" s="10">
        <v>3.2636286999999999</v>
      </c>
      <c r="BU534" s="7">
        <v>4.21</v>
      </c>
      <c r="BV534" s="7">
        <v>3.79</v>
      </c>
      <c r="BW534" s="9">
        <v>82.150800000000004</v>
      </c>
    </row>
    <row r="535" spans="1:75" x14ac:dyDescent="0.25">
      <c r="A535" s="6">
        <f t="shared" si="53"/>
        <v>45301</v>
      </c>
      <c r="B535" s="13">
        <f t="shared" si="48"/>
        <v>1</v>
      </c>
      <c r="C535" s="13">
        <f t="shared" si="49"/>
        <v>2024</v>
      </c>
      <c r="D535">
        <f t="shared" si="50"/>
        <v>202401</v>
      </c>
      <c r="E535">
        <f t="shared" si="51"/>
        <v>1</v>
      </c>
      <c r="F535">
        <f t="shared" si="52"/>
        <v>202401</v>
      </c>
      <c r="G535" t="s">
        <v>725</v>
      </c>
      <c r="H535" s="9">
        <v>5.25</v>
      </c>
      <c r="I535" s="9">
        <v>5.1871999999999998</v>
      </c>
      <c r="J535" s="10">
        <v>5.1850911999999996</v>
      </c>
      <c r="K535" s="10">
        <v>5.1708219</v>
      </c>
      <c r="L535" s="10">
        <v>5.1309503000000003</v>
      </c>
      <c r="M535" s="10">
        <v>5.0544507999999997</v>
      </c>
      <c r="N535" s="10">
        <v>4.9451799000000003</v>
      </c>
      <c r="O535" s="10">
        <v>4.8134886000000003</v>
      </c>
      <c r="P535" s="10">
        <v>4.6711023999999997</v>
      </c>
      <c r="Q535" s="10">
        <v>4.5282673999999998</v>
      </c>
      <c r="R535" s="10">
        <v>4.3923388000000001</v>
      </c>
      <c r="S535" s="10">
        <v>4.2669033000000001</v>
      </c>
      <c r="T535" s="10">
        <v>4.1533587000000001</v>
      </c>
      <c r="U535" s="10">
        <v>4.0516975999999998</v>
      </c>
      <c r="V535" s="10">
        <v>3.9600377</v>
      </c>
      <c r="W535" s="10">
        <v>3.8771955</v>
      </c>
      <c r="X535" s="10">
        <v>3.8023256000000001</v>
      </c>
      <c r="Y535" s="10">
        <v>3.7345796</v>
      </c>
      <c r="Z535" s="10">
        <v>3.6731094999999998</v>
      </c>
      <c r="AA535" s="10">
        <v>3.6170692999999998</v>
      </c>
      <c r="AB535" s="10">
        <v>3.5657097000000002</v>
      </c>
      <c r="AC535" s="10">
        <v>3.5186568</v>
      </c>
      <c r="AD535" s="10">
        <v>3.4756281000000002</v>
      </c>
      <c r="AE535" s="10">
        <v>3.4363391999999999</v>
      </c>
      <c r="AF535" s="10">
        <v>3.4005057999999999</v>
      </c>
      <c r="AG535" s="10">
        <v>3.367845</v>
      </c>
      <c r="AH535" s="10">
        <v>3.3380884000000002</v>
      </c>
      <c r="AI535" s="10">
        <v>3.3110529999999998</v>
      </c>
      <c r="AJ535" s="10">
        <v>3.2865853999999999</v>
      </c>
      <c r="AK535" s="10">
        <v>3.2645311000000001</v>
      </c>
      <c r="AL535" s="10">
        <v>3.2447357999999999</v>
      </c>
      <c r="AM535" s="10">
        <v>3.2270458999999998</v>
      </c>
      <c r="AN535" s="10">
        <v>3.2113071</v>
      </c>
      <c r="AO535" s="10">
        <v>3.1973650999999998</v>
      </c>
      <c r="AP535" s="10">
        <v>3.1850660999999998</v>
      </c>
      <c r="AQ535" s="10">
        <v>3.1742558999999999</v>
      </c>
      <c r="AR535" s="10">
        <v>3.1647802999999999</v>
      </c>
      <c r="AS535" s="10">
        <v>3.1564854000000002</v>
      </c>
      <c r="AT535" s="10">
        <v>3.1492323</v>
      </c>
      <c r="AU535" s="10">
        <v>3.1429566000000002</v>
      </c>
      <c r="AV535" s="10">
        <v>3.1376165999999999</v>
      </c>
      <c r="AW535" s="10">
        <v>3.1331706000000001</v>
      </c>
      <c r="AX535" s="10">
        <v>3.1295768000000002</v>
      </c>
      <c r="AY535" s="10">
        <v>3.1267934999999998</v>
      </c>
      <c r="AZ535" s="10">
        <v>3.1247790000000002</v>
      </c>
      <c r="BA535" s="10">
        <v>3.1234915999999999</v>
      </c>
      <c r="BB535" s="10">
        <v>3.1228894999999999</v>
      </c>
      <c r="BC535" s="10">
        <v>3.1229309999999999</v>
      </c>
      <c r="BD535" s="10">
        <v>3.1235745000000001</v>
      </c>
      <c r="BE535" s="10">
        <v>3.1247780999999999</v>
      </c>
      <c r="BF535" s="10">
        <v>3.1265040000000002</v>
      </c>
      <c r="BG535" s="10">
        <v>3.1287318000000002</v>
      </c>
      <c r="BH535" s="10">
        <v>3.1314456000000002</v>
      </c>
      <c r="BI535" s="10">
        <v>3.1346295999999998</v>
      </c>
      <c r="BJ535" s="10">
        <v>3.1382682000000002</v>
      </c>
      <c r="BK535" s="10">
        <v>3.1423454</v>
      </c>
      <c r="BL535" s="10">
        <v>3.1468455</v>
      </c>
      <c r="BM535" s="10">
        <v>3.1517528000000001</v>
      </c>
      <c r="BN535" s="10">
        <v>3.1570515000000001</v>
      </c>
      <c r="BO535" s="10">
        <v>3.1627257000000002</v>
      </c>
      <c r="BP535" s="10">
        <v>3.1687596999999998</v>
      </c>
      <c r="BQ535" s="10">
        <v>3.1751377000000001</v>
      </c>
      <c r="BR535" s="10">
        <v>3.2197924000000002</v>
      </c>
      <c r="BS535" s="10">
        <v>3.2731349000000001</v>
      </c>
      <c r="BU535" s="7">
        <v>4.22</v>
      </c>
      <c r="BV535" s="7">
        <v>3.82</v>
      </c>
      <c r="BW535" s="9">
        <v>82.191100000000006</v>
      </c>
    </row>
    <row r="536" spans="1:75" x14ac:dyDescent="0.25">
      <c r="A536" s="6">
        <f t="shared" si="53"/>
        <v>45302</v>
      </c>
      <c r="B536" s="13">
        <f t="shared" si="48"/>
        <v>1</v>
      </c>
      <c r="C536" s="13">
        <f t="shared" si="49"/>
        <v>2024</v>
      </c>
      <c r="D536">
        <f t="shared" si="50"/>
        <v>202401</v>
      </c>
      <c r="E536">
        <f t="shared" si="51"/>
        <v>1</v>
      </c>
      <c r="F536">
        <f t="shared" si="52"/>
        <v>202401</v>
      </c>
      <c r="G536" t="s">
        <v>726</v>
      </c>
      <c r="H536" s="9">
        <v>5.25</v>
      </c>
      <c r="I536" s="9">
        <v>5.1875999999999998</v>
      </c>
      <c r="J536" s="10">
        <v>5.1883039000000002</v>
      </c>
      <c r="K536" s="10">
        <v>5.1673171</v>
      </c>
      <c r="L536" s="10">
        <v>5.1189593999999996</v>
      </c>
      <c r="M536" s="10">
        <v>5.0346507999999996</v>
      </c>
      <c r="N536" s="10">
        <v>4.9187015000000001</v>
      </c>
      <c r="O536" s="10">
        <v>4.7829969999999999</v>
      </c>
      <c r="P536" s="10">
        <v>4.6394120000000001</v>
      </c>
      <c r="Q536" s="10">
        <v>4.4977175000000003</v>
      </c>
      <c r="R536" s="10">
        <v>4.3643033999999998</v>
      </c>
      <c r="S536" s="10">
        <v>4.2417531999999998</v>
      </c>
      <c r="T536" s="10">
        <v>4.1308655999999999</v>
      </c>
      <c r="U536" s="10">
        <v>4.0309255999999998</v>
      </c>
      <c r="V536" s="10">
        <v>3.9389314999999998</v>
      </c>
      <c r="W536" s="10">
        <v>3.8538378999999998</v>
      </c>
      <c r="X536" s="10">
        <v>3.7754856999999999</v>
      </c>
      <c r="Y536" s="10">
        <v>3.7037130999999999</v>
      </c>
      <c r="Z536" s="10">
        <v>3.6383589000000001</v>
      </c>
      <c r="AA536" s="10">
        <v>3.5792639999999998</v>
      </c>
      <c r="AB536" s="10">
        <v>3.5262153000000001</v>
      </c>
      <c r="AC536" s="10">
        <v>3.4788019999999999</v>
      </c>
      <c r="AD536" s="10">
        <v>3.4365684000000001</v>
      </c>
      <c r="AE536" s="10">
        <v>3.3990567999999999</v>
      </c>
      <c r="AF536" s="10">
        <v>3.3658098000000001</v>
      </c>
      <c r="AG536" s="10">
        <v>3.3363711</v>
      </c>
      <c r="AH536" s="10">
        <v>3.3103155000000002</v>
      </c>
      <c r="AI536" s="10">
        <v>3.2873739999999998</v>
      </c>
      <c r="AJ536" s="10">
        <v>3.2673260000000002</v>
      </c>
      <c r="AK536" s="10">
        <v>3.2499503000000001</v>
      </c>
      <c r="AL536" s="10">
        <v>3.2350254999999999</v>
      </c>
      <c r="AM536" s="10">
        <v>3.2223310000000001</v>
      </c>
      <c r="AN536" s="10">
        <v>3.2116454999999999</v>
      </c>
      <c r="AO536" s="10">
        <v>3.2027477000000002</v>
      </c>
      <c r="AP536" s="10">
        <v>3.195417</v>
      </c>
      <c r="AQ536" s="10">
        <v>3.189432</v>
      </c>
      <c r="AR536" s="10">
        <v>3.1845716999999998</v>
      </c>
      <c r="AS536" s="10">
        <v>3.180615</v>
      </c>
      <c r="AT536" s="10">
        <v>3.1773707</v>
      </c>
      <c r="AU536" s="10">
        <v>3.1747784000000001</v>
      </c>
      <c r="AV536" s="10">
        <v>3.1728144999999999</v>
      </c>
      <c r="AW536" s="10">
        <v>3.1714547999999998</v>
      </c>
      <c r="AX536" s="10">
        <v>3.1706755000000002</v>
      </c>
      <c r="AY536" s="10">
        <v>3.1704526</v>
      </c>
      <c r="AZ536" s="10">
        <v>3.1707622</v>
      </c>
      <c r="BA536" s="10">
        <v>3.1715805000000001</v>
      </c>
      <c r="BB536" s="10">
        <v>3.1728833999999999</v>
      </c>
      <c r="BC536" s="10">
        <v>3.1746470000000002</v>
      </c>
      <c r="BD536" s="10">
        <v>3.1768474000000002</v>
      </c>
      <c r="BE536" s="10">
        <v>3.1794606999999999</v>
      </c>
      <c r="BF536" s="10">
        <v>3.1824648999999998</v>
      </c>
      <c r="BG536" s="10">
        <v>3.1858464</v>
      </c>
      <c r="BH536" s="10">
        <v>3.1895940999999999</v>
      </c>
      <c r="BI536" s="10">
        <v>3.1936968000000001</v>
      </c>
      <c r="BJ536" s="10">
        <v>3.1981434000000002</v>
      </c>
      <c r="BK536" s="10">
        <v>3.2029226999999998</v>
      </c>
      <c r="BL536" s="10">
        <v>3.2080234000000001</v>
      </c>
      <c r="BM536" s="10">
        <v>3.2134345</v>
      </c>
      <c r="BN536" s="10">
        <v>3.2191448</v>
      </c>
      <c r="BO536" s="10">
        <v>3.2251430000000001</v>
      </c>
      <c r="BP536" s="10">
        <v>3.2314181999999998</v>
      </c>
      <c r="BQ536" s="10">
        <v>3.2379589000000002</v>
      </c>
      <c r="BR536" s="10">
        <v>3.2822065</v>
      </c>
      <c r="BS536" s="10">
        <v>3.3335096000000002</v>
      </c>
      <c r="BU536" s="7">
        <v>4.25</v>
      </c>
      <c r="BV536" s="7">
        <v>3.85</v>
      </c>
      <c r="BW536" s="9">
        <v>82.156300000000002</v>
      </c>
    </row>
    <row r="537" spans="1:75" x14ac:dyDescent="0.25">
      <c r="A537" s="6">
        <f t="shared" si="53"/>
        <v>45303</v>
      </c>
      <c r="B537" s="13">
        <f t="shared" si="48"/>
        <v>1</v>
      </c>
      <c r="C537" s="13">
        <f t="shared" si="49"/>
        <v>2024</v>
      </c>
      <c r="D537">
        <f t="shared" si="50"/>
        <v>202401</v>
      </c>
      <c r="E537">
        <f t="shared" si="51"/>
        <v>1</v>
      </c>
      <c r="F537">
        <f t="shared" si="52"/>
        <v>202401</v>
      </c>
      <c r="G537" t="s">
        <v>727</v>
      </c>
      <c r="H537" s="9">
        <v>5.25</v>
      </c>
      <c r="I537" s="9">
        <v>5.1883999999999997</v>
      </c>
      <c r="J537" s="10">
        <v>5.1887350000000003</v>
      </c>
      <c r="K537" s="10">
        <v>5.1604989000000003</v>
      </c>
      <c r="L537" s="10">
        <v>5.0990228999999996</v>
      </c>
      <c r="M537" s="10">
        <v>4.9954140000000002</v>
      </c>
      <c r="N537" s="10">
        <v>4.8574653000000003</v>
      </c>
      <c r="O537" s="10">
        <v>4.7009555000000001</v>
      </c>
      <c r="P537" s="10">
        <v>4.5407209000000002</v>
      </c>
      <c r="Q537" s="10">
        <v>4.3873024999999997</v>
      </c>
      <c r="R537" s="10">
        <v>4.2463179000000002</v>
      </c>
      <c r="S537" s="10">
        <v>4.1196491999999996</v>
      </c>
      <c r="T537" s="10">
        <v>4.0067671999999996</v>
      </c>
      <c r="U537" s="10">
        <v>3.9063379999999999</v>
      </c>
      <c r="V537" s="10">
        <v>3.8150971</v>
      </c>
      <c r="W537" s="10">
        <v>3.7317977999999998</v>
      </c>
      <c r="X537" s="10">
        <v>3.6560160000000002</v>
      </c>
      <c r="Y537" s="10">
        <v>3.5873251000000002</v>
      </c>
      <c r="Z537" s="10">
        <v>3.5252984999999999</v>
      </c>
      <c r="AA537" s="10">
        <v>3.4695121000000002</v>
      </c>
      <c r="AB537" s="10">
        <v>3.4195369000000002</v>
      </c>
      <c r="AC537" s="10">
        <v>3.374933</v>
      </c>
      <c r="AD537" s="10">
        <v>3.3352586</v>
      </c>
      <c r="AE537" s="10">
        <v>3.3000704000000001</v>
      </c>
      <c r="AF537" s="10">
        <v>3.2689254000000001</v>
      </c>
      <c r="AG537" s="10">
        <v>3.2413816</v>
      </c>
      <c r="AH537" s="10">
        <v>3.2170317000000002</v>
      </c>
      <c r="AI537" s="10">
        <v>3.1956270999999998</v>
      </c>
      <c r="AJ537" s="10">
        <v>3.1769634999999998</v>
      </c>
      <c r="AK537" s="10">
        <v>3.1608361</v>
      </c>
      <c r="AL537" s="10">
        <v>3.1470400000000001</v>
      </c>
      <c r="AM537" s="10">
        <v>3.1353707000000002</v>
      </c>
      <c r="AN537" s="10">
        <v>3.1256235999999999</v>
      </c>
      <c r="AO537" s="10">
        <v>3.1175937</v>
      </c>
      <c r="AP537" s="10">
        <v>3.1110766000000001</v>
      </c>
      <c r="AQ537" s="10">
        <v>3.1058674000000002</v>
      </c>
      <c r="AR537" s="10">
        <v>3.1017614999999998</v>
      </c>
      <c r="AS537" s="10">
        <v>3.0985542000000001</v>
      </c>
      <c r="AT537" s="10">
        <v>3.0960678000000001</v>
      </c>
      <c r="AU537" s="10">
        <v>3.0942432000000002</v>
      </c>
      <c r="AV537" s="10">
        <v>3.0930544000000002</v>
      </c>
      <c r="AW537" s="10">
        <v>3.0924751000000001</v>
      </c>
      <c r="AX537" s="10">
        <v>3.0924792999999999</v>
      </c>
      <c r="AY537" s="10">
        <v>3.0930407</v>
      </c>
      <c r="AZ537" s="10">
        <v>3.0941333000000002</v>
      </c>
      <c r="BA537" s="10">
        <v>3.0957309</v>
      </c>
      <c r="BB537" s="10">
        <v>3.0978072000000001</v>
      </c>
      <c r="BC537" s="10">
        <v>3.1003362999999999</v>
      </c>
      <c r="BD537" s="10">
        <v>3.1032918999999999</v>
      </c>
      <c r="BE537" s="10">
        <v>3.1066479</v>
      </c>
      <c r="BF537" s="10">
        <v>3.1103806999999999</v>
      </c>
      <c r="BG537" s="10">
        <v>3.1144783999999999</v>
      </c>
      <c r="BH537" s="10">
        <v>3.1189320999999999</v>
      </c>
      <c r="BI537" s="10">
        <v>3.1237330000000001</v>
      </c>
      <c r="BJ537" s="10">
        <v>3.1288724000000001</v>
      </c>
      <c r="BK537" s="10">
        <v>3.1343415000000001</v>
      </c>
      <c r="BL537" s="10">
        <v>3.1401313000000002</v>
      </c>
      <c r="BM537" s="10">
        <v>3.1462333</v>
      </c>
      <c r="BN537" s="10">
        <v>3.1526383999999998</v>
      </c>
      <c r="BO537" s="10">
        <v>3.1593379000000001</v>
      </c>
      <c r="BP537" s="10">
        <v>3.1663231999999999</v>
      </c>
      <c r="BQ537" s="10">
        <v>3.1735852000000002</v>
      </c>
      <c r="BR537" s="10">
        <v>3.2224387999999999</v>
      </c>
      <c r="BS537" s="10">
        <v>3.2788018999999999</v>
      </c>
      <c r="BU537" s="7">
        <v>4.18</v>
      </c>
      <c r="BV537" s="7">
        <v>3.8</v>
      </c>
      <c r="BW537" s="9">
        <v>82.344700000000003</v>
      </c>
    </row>
    <row r="538" spans="1:75" x14ac:dyDescent="0.25">
      <c r="A538" s="6">
        <f t="shared" si="53"/>
        <v>45306</v>
      </c>
      <c r="B538" s="13">
        <f t="shared" si="48"/>
        <v>1</v>
      </c>
      <c r="C538" s="13">
        <f t="shared" si="49"/>
        <v>2024</v>
      </c>
      <c r="D538">
        <f t="shared" si="50"/>
        <v>202401</v>
      </c>
      <c r="E538">
        <f t="shared" si="51"/>
        <v>1</v>
      </c>
      <c r="F538">
        <f t="shared" si="52"/>
        <v>202401</v>
      </c>
      <c r="G538" t="s">
        <v>728</v>
      </c>
      <c r="H538" s="9">
        <v>5.25</v>
      </c>
      <c r="I538" s="9">
        <v>5.1874000000000002</v>
      </c>
      <c r="J538" s="10">
        <v>5.1864986999999996</v>
      </c>
      <c r="K538" s="10">
        <v>5.1613939000000002</v>
      </c>
      <c r="L538" s="10">
        <v>5.1015344999999996</v>
      </c>
      <c r="M538" s="10">
        <v>4.9956199000000003</v>
      </c>
      <c r="N538" s="10">
        <v>4.8521907999999998</v>
      </c>
      <c r="O538" s="10">
        <v>4.6889729999999998</v>
      </c>
      <c r="P538" s="10">
        <v>4.5229898000000004</v>
      </c>
      <c r="Q538" s="10">
        <v>4.3655984999999999</v>
      </c>
      <c r="R538" s="10">
        <v>4.2226676999999997</v>
      </c>
      <c r="S538" s="10">
        <v>4.0950553999999997</v>
      </c>
      <c r="T538" s="10">
        <v>3.9821699000000002</v>
      </c>
      <c r="U538" s="10">
        <v>3.8821870000000001</v>
      </c>
      <c r="V538" s="10">
        <v>3.7914805999999999</v>
      </c>
      <c r="W538" s="10">
        <v>3.7087614000000002</v>
      </c>
      <c r="X538" s="10">
        <v>3.6335690999999999</v>
      </c>
      <c r="Y538" s="10">
        <v>3.5654406999999999</v>
      </c>
      <c r="Z538" s="10">
        <v>3.5039132999999998</v>
      </c>
      <c r="AA538" s="10">
        <v>3.4485261999999999</v>
      </c>
      <c r="AB538" s="10">
        <v>3.3988263000000001</v>
      </c>
      <c r="AC538" s="10">
        <v>3.3543965999999998</v>
      </c>
      <c r="AD538" s="10">
        <v>3.3148308000000002</v>
      </c>
      <c r="AE538" s="10">
        <v>3.2797206000000001</v>
      </c>
      <c r="AF538" s="10">
        <v>3.2486581999999999</v>
      </c>
      <c r="AG538" s="10">
        <v>3.2212367999999998</v>
      </c>
      <c r="AH538" s="10">
        <v>3.1970774999999998</v>
      </c>
      <c r="AI538" s="10">
        <v>3.1759309</v>
      </c>
      <c r="AJ538" s="10">
        <v>3.1575840999999998</v>
      </c>
      <c r="AK538" s="10">
        <v>3.1418233</v>
      </c>
      <c r="AL538" s="10">
        <v>3.1284345999999998</v>
      </c>
      <c r="AM538" s="10">
        <v>3.1172049999999998</v>
      </c>
      <c r="AN538" s="10">
        <v>3.1079205999999999</v>
      </c>
      <c r="AO538" s="10">
        <v>3.1003677999999999</v>
      </c>
      <c r="AP538" s="10">
        <v>3.0943333000000002</v>
      </c>
      <c r="AQ538" s="10">
        <v>3.0896034000000001</v>
      </c>
      <c r="AR538" s="10">
        <v>3.0859646000000001</v>
      </c>
      <c r="AS538" s="10">
        <v>3.0832033000000001</v>
      </c>
      <c r="AT538" s="10">
        <v>3.0811348000000001</v>
      </c>
      <c r="AU538" s="10">
        <v>3.0797021999999998</v>
      </c>
      <c r="AV538" s="10">
        <v>3.0788836000000002</v>
      </c>
      <c r="AW538" s="10">
        <v>3.0786570000000002</v>
      </c>
      <c r="AX538" s="10">
        <v>3.0790008000000002</v>
      </c>
      <c r="AY538" s="10">
        <v>3.0798928999999999</v>
      </c>
      <c r="AZ538" s="10">
        <v>3.0813115</v>
      </c>
      <c r="BA538" s="10">
        <v>3.0832348000000001</v>
      </c>
      <c r="BB538" s="10">
        <v>3.0856409</v>
      </c>
      <c r="BC538" s="10">
        <v>3.088508</v>
      </c>
      <c r="BD538" s="10">
        <v>3.0918142999999998</v>
      </c>
      <c r="BE538" s="10">
        <v>3.0955377999999998</v>
      </c>
      <c r="BF538" s="10">
        <v>3.0996584</v>
      </c>
      <c r="BG538" s="10">
        <v>3.1041661999999999</v>
      </c>
      <c r="BH538" s="10">
        <v>3.109054</v>
      </c>
      <c r="BI538" s="10">
        <v>3.1143149000000001</v>
      </c>
      <c r="BJ538" s="10">
        <v>3.1199422000000001</v>
      </c>
      <c r="BK538" s="10">
        <v>3.1259288000000001</v>
      </c>
      <c r="BL538" s="10">
        <v>3.1322676999999999</v>
      </c>
      <c r="BM538" s="10">
        <v>3.1389521999999999</v>
      </c>
      <c r="BN538" s="10">
        <v>3.1459752999999999</v>
      </c>
      <c r="BO538" s="10">
        <v>3.15333</v>
      </c>
      <c r="BP538" s="10">
        <v>3.1610095</v>
      </c>
      <c r="BQ538" s="10">
        <v>3.1690068</v>
      </c>
      <c r="BR538" s="10">
        <v>3.2230363</v>
      </c>
      <c r="BS538" s="10">
        <v>3.2852853999999998</v>
      </c>
      <c r="BU538" s="7">
        <v>4.16</v>
      </c>
      <c r="BV538" s="7">
        <v>3.8</v>
      </c>
      <c r="BW538" s="9">
        <v>82.275300000000001</v>
      </c>
    </row>
    <row r="539" spans="1:75" x14ac:dyDescent="0.25">
      <c r="A539" s="6">
        <f t="shared" si="53"/>
        <v>45307</v>
      </c>
      <c r="B539" s="13">
        <f t="shared" si="48"/>
        <v>1</v>
      </c>
      <c r="C539" s="13">
        <f t="shared" si="49"/>
        <v>2024</v>
      </c>
      <c r="D539">
        <f t="shared" si="50"/>
        <v>202401</v>
      </c>
      <c r="E539">
        <f t="shared" si="51"/>
        <v>1</v>
      </c>
      <c r="F539">
        <f t="shared" si="52"/>
        <v>202401</v>
      </c>
      <c r="G539" t="s">
        <v>729</v>
      </c>
      <c r="H539" s="9">
        <v>5.25</v>
      </c>
      <c r="I539" s="9">
        <v>5.1875999999999998</v>
      </c>
      <c r="J539" s="10">
        <v>5.1912832</v>
      </c>
      <c r="K539" s="10">
        <v>5.1664072000000001</v>
      </c>
      <c r="L539" s="10">
        <v>5.1080097000000002</v>
      </c>
      <c r="M539" s="10">
        <v>5.0063493000000001</v>
      </c>
      <c r="N539" s="10">
        <v>4.8679759999999996</v>
      </c>
      <c r="O539" s="10">
        <v>4.7086041999999999</v>
      </c>
      <c r="P539" s="10">
        <v>4.5445595000000001</v>
      </c>
      <c r="Q539" s="10">
        <v>4.3872499999999999</v>
      </c>
      <c r="R539" s="10">
        <v>4.2424888000000003</v>
      </c>
      <c r="S539" s="10">
        <v>4.1116752999999999</v>
      </c>
      <c r="T539" s="10">
        <v>3.9942375999999999</v>
      </c>
      <c r="U539" s="10">
        <v>3.8892679000000001</v>
      </c>
      <c r="V539" s="10">
        <v>3.7938850999999998</v>
      </c>
      <c r="W539" s="10">
        <v>3.7070630000000002</v>
      </c>
      <c r="X539" s="10">
        <v>3.6284901999999999</v>
      </c>
      <c r="Y539" s="10">
        <v>3.557852</v>
      </c>
      <c r="Z539" s="10">
        <v>3.4948342000000001</v>
      </c>
      <c r="AA539" s="10">
        <v>3.4391248000000001</v>
      </c>
      <c r="AB539" s="10">
        <v>3.3903463999999999</v>
      </c>
      <c r="AC539" s="10">
        <v>3.3478821000000001</v>
      </c>
      <c r="AD539" s="10">
        <v>3.3110591</v>
      </c>
      <c r="AE539" s="10">
        <v>3.2792031000000001</v>
      </c>
      <c r="AF539" s="10">
        <v>3.2516403</v>
      </c>
      <c r="AG539" s="10">
        <v>3.2276975000000001</v>
      </c>
      <c r="AH539" s="10">
        <v>3.2067727000000001</v>
      </c>
      <c r="AI539" s="10">
        <v>3.1885810000000001</v>
      </c>
      <c r="AJ539" s="10">
        <v>3.1729261000000002</v>
      </c>
      <c r="AK539" s="10">
        <v>3.1596107</v>
      </c>
      <c r="AL539" s="10">
        <v>3.1484378</v>
      </c>
      <c r="AM539" s="10">
        <v>3.1392107</v>
      </c>
      <c r="AN539" s="10">
        <v>3.1317324000000002</v>
      </c>
      <c r="AO539" s="10">
        <v>3.1258056999999999</v>
      </c>
      <c r="AP539" s="10">
        <v>3.1212339999999998</v>
      </c>
      <c r="AQ539" s="10">
        <v>3.1178202000000002</v>
      </c>
      <c r="AR539" s="10">
        <v>3.1153673999999998</v>
      </c>
      <c r="AS539" s="10">
        <v>3.1136786000000001</v>
      </c>
      <c r="AT539" s="10">
        <v>3.1125797999999998</v>
      </c>
      <c r="AU539" s="10">
        <v>3.1120196999999998</v>
      </c>
      <c r="AV539" s="10">
        <v>3.1119886999999999</v>
      </c>
      <c r="AW539" s="10">
        <v>3.1124767000000002</v>
      </c>
      <c r="AX539" s="10">
        <v>3.1134738999999998</v>
      </c>
      <c r="AY539" s="10">
        <v>3.1149705000000001</v>
      </c>
      <c r="AZ539" s="10">
        <v>3.1169565000000001</v>
      </c>
      <c r="BA539" s="10">
        <v>3.1194223000000001</v>
      </c>
      <c r="BB539" s="10">
        <v>3.1223578000000001</v>
      </c>
      <c r="BC539" s="10">
        <v>3.1257533</v>
      </c>
      <c r="BD539" s="10">
        <v>3.1295988000000001</v>
      </c>
      <c r="BE539" s="10">
        <v>3.1338846</v>
      </c>
      <c r="BF539" s="10">
        <v>3.1386004999999999</v>
      </c>
      <c r="BG539" s="10">
        <v>3.1437357000000001</v>
      </c>
      <c r="BH539" s="10">
        <v>3.1492789000000001</v>
      </c>
      <c r="BI539" s="10">
        <v>3.1552190000000002</v>
      </c>
      <c r="BJ539" s="10">
        <v>3.1615448000000002</v>
      </c>
      <c r="BK539" s="10">
        <v>3.1682450000000002</v>
      </c>
      <c r="BL539" s="10">
        <v>3.1753084</v>
      </c>
      <c r="BM539" s="10">
        <v>3.1827239999999999</v>
      </c>
      <c r="BN539" s="10">
        <v>3.1904802999999999</v>
      </c>
      <c r="BO539" s="10">
        <v>3.1985663</v>
      </c>
      <c r="BP539" s="10">
        <v>3.2069709</v>
      </c>
      <c r="BQ539" s="10">
        <v>3.2156826000000001</v>
      </c>
      <c r="BR539" s="10">
        <v>3.2737519000000002</v>
      </c>
      <c r="BS539" s="10">
        <v>3.3398984999999999</v>
      </c>
      <c r="BU539" s="7">
        <v>4.1900000000000004</v>
      </c>
      <c r="BV539" s="7">
        <v>3.83</v>
      </c>
      <c r="BW539" s="9">
        <v>82.208399999999997</v>
      </c>
    </row>
    <row r="540" spans="1:75" x14ac:dyDescent="0.25">
      <c r="A540" s="6">
        <f t="shared" si="53"/>
        <v>45308</v>
      </c>
      <c r="B540" s="13">
        <f t="shared" si="48"/>
        <v>1</v>
      </c>
      <c r="C540" s="13">
        <f t="shared" si="49"/>
        <v>2024</v>
      </c>
      <c r="D540">
        <f t="shared" si="50"/>
        <v>202401</v>
      </c>
      <c r="E540">
        <f t="shared" si="51"/>
        <v>1</v>
      </c>
      <c r="F540">
        <f t="shared" si="52"/>
        <v>202401</v>
      </c>
      <c r="G540" t="s">
        <v>730</v>
      </c>
      <c r="H540" s="9">
        <v>5.25</v>
      </c>
      <c r="I540" s="9">
        <v>5.1879999999999997</v>
      </c>
      <c r="J540" s="10">
        <v>5.1870647999999999</v>
      </c>
      <c r="K540" s="10">
        <v>5.1803457999999996</v>
      </c>
      <c r="L540" s="10">
        <v>5.1485105000000004</v>
      </c>
      <c r="M540" s="10">
        <v>5.0809502000000002</v>
      </c>
      <c r="N540" s="10">
        <v>4.9811300000000003</v>
      </c>
      <c r="O540" s="10">
        <v>4.8598482000000001</v>
      </c>
      <c r="P540" s="10">
        <v>4.7298052000000004</v>
      </c>
      <c r="Q540" s="10">
        <v>4.6007116999999997</v>
      </c>
      <c r="R540" s="10">
        <v>4.4787318999999997</v>
      </c>
      <c r="S540" s="10">
        <v>4.3664604000000002</v>
      </c>
      <c r="T540" s="10">
        <v>4.2645356999999997</v>
      </c>
      <c r="U540" s="10">
        <v>4.1724997000000004</v>
      </c>
      <c r="V540" s="10">
        <v>4.0877527000000002</v>
      </c>
      <c r="W540" s="10">
        <v>4.0093645000000002</v>
      </c>
      <c r="X540" s="10">
        <v>3.9370579000000001</v>
      </c>
      <c r="Y540" s="10">
        <v>3.8705528999999999</v>
      </c>
      <c r="Z540" s="10">
        <v>3.8095699000000001</v>
      </c>
      <c r="AA540" s="10">
        <v>3.7538311000000002</v>
      </c>
      <c r="AB540" s="10">
        <v>3.7030482999999998</v>
      </c>
      <c r="AC540" s="10">
        <v>3.6569007999999998</v>
      </c>
      <c r="AD540" s="10">
        <v>3.6150617999999999</v>
      </c>
      <c r="AE540" s="10">
        <v>3.5772029000000001</v>
      </c>
      <c r="AF540" s="10">
        <v>3.5429957000000001</v>
      </c>
      <c r="AG540" s="10">
        <v>3.5121131999999999</v>
      </c>
      <c r="AH540" s="10">
        <v>3.4842456999999998</v>
      </c>
      <c r="AI540" s="10">
        <v>3.4591839000000002</v>
      </c>
      <c r="AJ540" s="10">
        <v>3.4367527</v>
      </c>
      <c r="AK540" s="10">
        <v>3.4167765000000001</v>
      </c>
      <c r="AL540" s="10">
        <v>3.3990794000000002</v>
      </c>
      <c r="AM540" s="10">
        <v>3.3834865000000001</v>
      </c>
      <c r="AN540" s="10">
        <v>3.3698220999999999</v>
      </c>
      <c r="AO540" s="10">
        <v>3.3579105</v>
      </c>
      <c r="AP540" s="10">
        <v>3.3475765000000002</v>
      </c>
      <c r="AQ540" s="10">
        <v>3.3386445</v>
      </c>
      <c r="AR540" s="10">
        <v>3.3309389</v>
      </c>
      <c r="AS540" s="10">
        <v>3.3242843999999998</v>
      </c>
      <c r="AT540" s="10">
        <v>3.3185256000000001</v>
      </c>
      <c r="AU540" s="10">
        <v>3.3136055</v>
      </c>
      <c r="AV540" s="10">
        <v>3.3094972999999999</v>
      </c>
      <c r="AW540" s="10">
        <v>3.3061737</v>
      </c>
      <c r="AX540" s="10">
        <v>3.3036078999999998</v>
      </c>
      <c r="AY540" s="10">
        <v>3.3017729</v>
      </c>
      <c r="AZ540" s="10">
        <v>3.3006414999999998</v>
      </c>
      <c r="BA540" s="10">
        <v>3.3001868999999999</v>
      </c>
      <c r="BB540" s="10">
        <v>3.3003819000000001</v>
      </c>
      <c r="BC540" s="10">
        <v>3.3011997000000002</v>
      </c>
      <c r="BD540" s="10">
        <v>3.3026130999999999</v>
      </c>
      <c r="BE540" s="10">
        <v>3.3045952999999999</v>
      </c>
      <c r="BF540" s="10">
        <v>3.3071204999999999</v>
      </c>
      <c r="BG540" s="10">
        <v>3.3101696</v>
      </c>
      <c r="BH540" s="10">
        <v>3.3137253000000002</v>
      </c>
      <c r="BI540" s="10">
        <v>3.3177699999999999</v>
      </c>
      <c r="BJ540" s="10">
        <v>3.3222865000000001</v>
      </c>
      <c r="BK540" s="10">
        <v>3.3272571000000002</v>
      </c>
      <c r="BL540" s="10">
        <v>3.3326646000000002</v>
      </c>
      <c r="BM540" s="10">
        <v>3.3384915999999998</v>
      </c>
      <c r="BN540" s="10">
        <v>3.3447203999999999</v>
      </c>
      <c r="BO540" s="10">
        <v>3.3513339000000002</v>
      </c>
      <c r="BP540" s="10">
        <v>3.3583145000000001</v>
      </c>
      <c r="BQ540" s="10">
        <v>3.3656448000000001</v>
      </c>
      <c r="BR540" s="10">
        <v>3.4160227000000001</v>
      </c>
      <c r="BS540" s="10">
        <v>3.4747675</v>
      </c>
      <c r="BU540" s="7">
        <v>4.38</v>
      </c>
      <c r="BV540" s="7">
        <v>3.98</v>
      </c>
      <c r="BW540" s="9">
        <v>82.421400000000006</v>
      </c>
    </row>
    <row r="541" spans="1:75" x14ac:dyDescent="0.25">
      <c r="A541" s="6">
        <f t="shared" si="53"/>
        <v>45309</v>
      </c>
      <c r="B541" s="13">
        <f t="shared" si="48"/>
        <v>1</v>
      </c>
      <c r="C541" s="13">
        <f t="shared" si="49"/>
        <v>2024</v>
      </c>
      <c r="D541">
        <f t="shared" si="50"/>
        <v>202401</v>
      </c>
      <c r="E541">
        <f t="shared" si="51"/>
        <v>1</v>
      </c>
      <c r="F541">
        <f t="shared" si="52"/>
        <v>202401</v>
      </c>
      <c r="G541" t="s">
        <v>731</v>
      </c>
      <c r="H541" s="9">
        <v>5.25</v>
      </c>
      <c r="I541" s="9">
        <v>5.1882999999999999</v>
      </c>
      <c r="J541" s="10">
        <v>5.1869164000000003</v>
      </c>
      <c r="K541" s="10">
        <v>5.1776901000000004</v>
      </c>
      <c r="L541" s="10">
        <v>5.1408351999999997</v>
      </c>
      <c r="M541" s="10">
        <v>5.0663888999999998</v>
      </c>
      <c r="N541" s="10">
        <v>4.9579611999999997</v>
      </c>
      <c r="O541" s="10">
        <v>4.8290191</v>
      </c>
      <c r="P541" s="10">
        <v>4.6930677000000003</v>
      </c>
      <c r="Q541" s="10">
        <v>4.5596575000000001</v>
      </c>
      <c r="R541" s="10">
        <v>4.4343028999999996</v>
      </c>
      <c r="S541" s="10">
        <v>4.3189016999999996</v>
      </c>
      <c r="T541" s="10">
        <v>4.2137297</v>
      </c>
      <c r="U541" s="10">
        <v>4.1179306000000002</v>
      </c>
      <c r="V541" s="10">
        <v>4.0287191</v>
      </c>
      <c r="W541" s="10">
        <v>3.9452891999999999</v>
      </c>
      <c r="X541" s="10">
        <v>3.8677035000000002</v>
      </c>
      <c r="Y541" s="10">
        <v>3.7960221999999999</v>
      </c>
      <c r="Z541" s="10">
        <v>3.7303058</v>
      </c>
      <c r="AA541" s="10">
        <v>3.670617</v>
      </c>
      <c r="AB541" s="10">
        <v>3.6169267000000001</v>
      </c>
      <c r="AC541" s="10">
        <v>3.5688651999999998</v>
      </c>
      <c r="AD541" s="10">
        <v>3.5259830999999999</v>
      </c>
      <c r="AE541" s="10">
        <v>3.4878293999999999</v>
      </c>
      <c r="AF541" s="10">
        <v>3.4539534000000001</v>
      </c>
      <c r="AG541" s="10">
        <v>3.4239054000000002</v>
      </c>
      <c r="AH541" s="10">
        <v>3.3972655</v>
      </c>
      <c r="AI541" s="10">
        <v>3.3737640999999998</v>
      </c>
      <c r="AJ541" s="10">
        <v>3.3531784</v>
      </c>
      <c r="AK541" s="10">
        <v>3.3352845000000002</v>
      </c>
      <c r="AL541" s="10">
        <v>3.3198588999999998</v>
      </c>
      <c r="AM541" s="10">
        <v>3.3066783000000002</v>
      </c>
      <c r="AN541" s="10">
        <v>3.2955192000000002</v>
      </c>
      <c r="AO541" s="10">
        <v>3.2861579000000001</v>
      </c>
      <c r="AP541" s="10">
        <v>3.2783712999999999</v>
      </c>
      <c r="AQ541" s="10">
        <v>3.2719356999999998</v>
      </c>
      <c r="AR541" s="10">
        <v>3.2666274999999998</v>
      </c>
      <c r="AS541" s="10">
        <v>3.2622235000000002</v>
      </c>
      <c r="AT541" s="10">
        <v>3.2585313</v>
      </c>
      <c r="AU541" s="10">
        <v>3.2554962999999999</v>
      </c>
      <c r="AV541" s="10">
        <v>3.2531021999999998</v>
      </c>
      <c r="AW541" s="10">
        <v>3.2513323000000001</v>
      </c>
      <c r="AX541" s="10">
        <v>3.2501701000000001</v>
      </c>
      <c r="AY541" s="10">
        <v>3.2495992</v>
      </c>
      <c r="AZ541" s="10">
        <v>3.249603</v>
      </c>
      <c r="BA541" s="10">
        <v>3.250165</v>
      </c>
      <c r="BB541" s="10">
        <v>3.2512688000000001</v>
      </c>
      <c r="BC541" s="10">
        <v>3.2528977000000001</v>
      </c>
      <c r="BD541" s="10">
        <v>3.2550354000000001</v>
      </c>
      <c r="BE541" s="10">
        <v>3.2576651999999999</v>
      </c>
      <c r="BF541" s="10">
        <v>3.2607713</v>
      </c>
      <c r="BG541" s="10">
        <v>3.2643407999999998</v>
      </c>
      <c r="BH541" s="10">
        <v>3.2683613</v>
      </c>
      <c r="BI541" s="10">
        <v>3.2728207</v>
      </c>
      <c r="BJ541" s="10">
        <v>3.2777067999999998</v>
      </c>
      <c r="BK541" s="10">
        <v>3.2830073999999998</v>
      </c>
      <c r="BL541" s="10">
        <v>3.2887100999999999</v>
      </c>
      <c r="BM541" s="10">
        <v>3.2948029999999999</v>
      </c>
      <c r="BN541" s="10">
        <v>3.3012736999999999</v>
      </c>
      <c r="BO541" s="10">
        <v>3.3081098999999998</v>
      </c>
      <c r="BP541" s="10">
        <v>3.3152995999999999</v>
      </c>
      <c r="BQ541" s="10">
        <v>3.3228304</v>
      </c>
      <c r="BR541" s="10">
        <v>3.3743970000000001</v>
      </c>
      <c r="BS541" s="10">
        <v>3.4345602</v>
      </c>
      <c r="BU541" s="7">
        <v>4.3099999999999996</v>
      </c>
      <c r="BV541" s="7">
        <v>3.94</v>
      </c>
      <c r="BW541" s="9">
        <v>82.471000000000004</v>
      </c>
    </row>
    <row r="542" spans="1:75" x14ac:dyDescent="0.25">
      <c r="A542" s="6">
        <f t="shared" si="53"/>
        <v>45310</v>
      </c>
      <c r="B542" s="13">
        <f t="shared" si="48"/>
        <v>1</v>
      </c>
      <c r="C542" s="13">
        <f t="shared" si="49"/>
        <v>2024</v>
      </c>
      <c r="D542">
        <f t="shared" si="50"/>
        <v>202401</v>
      </c>
      <c r="E542">
        <f t="shared" si="51"/>
        <v>1</v>
      </c>
      <c r="F542">
        <f t="shared" si="52"/>
        <v>202401</v>
      </c>
      <c r="G542" t="s">
        <v>732</v>
      </c>
      <c r="H542" s="9">
        <v>5.25</v>
      </c>
      <c r="I542" s="9">
        <v>5.1875999999999998</v>
      </c>
      <c r="J542" s="10">
        <v>5.1887527999999996</v>
      </c>
      <c r="K542" s="10">
        <v>5.1780002999999999</v>
      </c>
      <c r="L542" s="10">
        <v>5.1399207999999996</v>
      </c>
      <c r="M542" s="10">
        <v>5.0660791999999999</v>
      </c>
      <c r="N542" s="10">
        <v>4.9607850999999998</v>
      </c>
      <c r="O542" s="10">
        <v>4.8358841999999997</v>
      </c>
      <c r="P542" s="10">
        <v>4.7040654999999996</v>
      </c>
      <c r="Q542" s="10">
        <v>4.5747957000000001</v>
      </c>
      <c r="R542" s="10">
        <v>4.4535067000000002</v>
      </c>
      <c r="S542" s="10">
        <v>4.3424420000000001</v>
      </c>
      <c r="T542" s="10">
        <v>4.2414709000000004</v>
      </c>
      <c r="U542" s="10">
        <v>4.1495841000000002</v>
      </c>
      <c r="V542" s="10">
        <v>4.0640079</v>
      </c>
      <c r="W542" s="10">
        <v>3.9839484000000001</v>
      </c>
      <c r="X542" s="10">
        <v>3.9094061999999998</v>
      </c>
      <c r="Y542" s="10">
        <v>3.8403786000000002</v>
      </c>
      <c r="Z542" s="10">
        <v>3.7768635000000002</v>
      </c>
      <c r="AA542" s="10">
        <v>3.718861</v>
      </c>
      <c r="AB542" s="10">
        <v>3.6663114999999999</v>
      </c>
      <c r="AC542" s="10">
        <v>3.6188894999999999</v>
      </c>
      <c r="AD542" s="10">
        <v>3.5761943</v>
      </c>
      <c r="AE542" s="10">
        <v>3.5378231000000002</v>
      </c>
      <c r="AF542" s="10">
        <v>3.5033734999999999</v>
      </c>
      <c r="AG542" s="10">
        <v>3.4724444000000001</v>
      </c>
      <c r="AH542" s="10">
        <v>3.4446637</v>
      </c>
      <c r="AI542" s="10">
        <v>3.4197932</v>
      </c>
      <c r="AJ542" s="10">
        <v>3.3976326000000001</v>
      </c>
      <c r="AK542" s="10">
        <v>3.3779807000000002</v>
      </c>
      <c r="AL542" s="10">
        <v>3.3606364000000002</v>
      </c>
      <c r="AM542" s="10">
        <v>3.3453992000000001</v>
      </c>
      <c r="AN542" s="10">
        <v>3.332068</v>
      </c>
      <c r="AO542" s="10">
        <v>3.3204416999999999</v>
      </c>
      <c r="AP542" s="10">
        <v>3.3103197</v>
      </c>
      <c r="AQ542" s="10">
        <v>3.3015010999999999</v>
      </c>
      <c r="AR542" s="10">
        <v>3.2937846999999998</v>
      </c>
      <c r="AS542" s="10">
        <v>3.2869698000000001</v>
      </c>
      <c r="AT542" s="10">
        <v>3.2808836000000001</v>
      </c>
      <c r="AU542" s="10">
        <v>3.2754764999999999</v>
      </c>
      <c r="AV542" s="10">
        <v>3.2707334000000001</v>
      </c>
      <c r="AW542" s="10">
        <v>3.2666390999999999</v>
      </c>
      <c r="AX542" s="10">
        <v>3.2631784000000001</v>
      </c>
      <c r="AY542" s="10">
        <v>3.2603360000000001</v>
      </c>
      <c r="AZ542" s="10">
        <v>3.2580966999999998</v>
      </c>
      <c r="BA542" s="10">
        <v>3.2564451999999999</v>
      </c>
      <c r="BB542" s="10">
        <v>3.2553664000000002</v>
      </c>
      <c r="BC542" s="10">
        <v>3.2548450999999998</v>
      </c>
      <c r="BD542" s="10">
        <v>3.2548659</v>
      </c>
      <c r="BE542" s="10">
        <v>3.2554135999999998</v>
      </c>
      <c r="BF542" s="10">
        <v>3.2564736000000001</v>
      </c>
      <c r="BG542" s="10">
        <v>3.2580330000000002</v>
      </c>
      <c r="BH542" s="10">
        <v>3.2600796000000001</v>
      </c>
      <c r="BI542" s="10">
        <v>3.2626013</v>
      </c>
      <c r="BJ542" s="10">
        <v>3.2655858000000002</v>
      </c>
      <c r="BK542" s="10">
        <v>3.269021</v>
      </c>
      <c r="BL542" s="10">
        <v>3.2728947000000002</v>
      </c>
      <c r="BM542" s="10">
        <v>3.2771946999999999</v>
      </c>
      <c r="BN542" s="10">
        <v>3.2819086999999998</v>
      </c>
      <c r="BO542" s="10">
        <v>3.2870246000000001</v>
      </c>
      <c r="BP542" s="10">
        <v>3.2925303000000001</v>
      </c>
      <c r="BQ542" s="10">
        <v>3.2984133999999998</v>
      </c>
      <c r="BR542" s="10">
        <v>3.3409002999999999</v>
      </c>
      <c r="BS542" s="10">
        <v>3.3935567</v>
      </c>
      <c r="BU542" s="7">
        <v>4.29</v>
      </c>
      <c r="BV542" s="7">
        <v>3.92</v>
      </c>
      <c r="BW542" s="9">
        <v>82.372200000000007</v>
      </c>
    </row>
    <row r="543" spans="1:75" x14ac:dyDescent="0.25">
      <c r="A543" s="6">
        <f t="shared" si="53"/>
        <v>45313</v>
      </c>
      <c r="B543" s="13">
        <f t="shared" si="48"/>
        <v>1</v>
      </c>
      <c r="C543" s="13">
        <f t="shared" si="49"/>
        <v>2024</v>
      </c>
      <c r="D543">
        <f t="shared" si="50"/>
        <v>202401</v>
      </c>
      <c r="E543">
        <f t="shared" si="51"/>
        <v>1</v>
      </c>
      <c r="F543">
        <f t="shared" si="52"/>
        <v>202401</v>
      </c>
      <c r="G543" t="s">
        <v>733</v>
      </c>
      <c r="H543" s="9">
        <v>5.25</v>
      </c>
      <c r="I543" s="9">
        <v>5.1879</v>
      </c>
      <c r="J543" s="10">
        <v>5.1876758000000001</v>
      </c>
      <c r="K543" s="10">
        <v>5.1735163000000002</v>
      </c>
      <c r="L543" s="10">
        <v>5.1304359000000002</v>
      </c>
      <c r="M543" s="10">
        <v>5.0506997</v>
      </c>
      <c r="N543" s="10">
        <v>4.9406131999999996</v>
      </c>
      <c r="O543" s="10">
        <v>4.8124133000000002</v>
      </c>
      <c r="P543" s="10">
        <v>4.6785996000000001</v>
      </c>
      <c r="Q543" s="10">
        <v>4.5482889999999996</v>
      </c>
      <c r="R543" s="10">
        <v>4.4266204</v>
      </c>
      <c r="S543" s="10">
        <v>4.3151827999999997</v>
      </c>
      <c r="T543" s="10">
        <v>4.2142325999999999</v>
      </c>
      <c r="U543" s="10">
        <v>4.1228926000000001</v>
      </c>
      <c r="V543" s="10">
        <v>4.0394158999999998</v>
      </c>
      <c r="W543" s="10">
        <v>3.9630131</v>
      </c>
      <c r="X543" s="10">
        <v>3.8932351000000001</v>
      </c>
      <c r="Y543" s="10">
        <v>3.8296296999999999</v>
      </c>
      <c r="Z543" s="10">
        <v>3.7717453000000001</v>
      </c>
      <c r="AA543" s="10">
        <v>3.7191320999999999</v>
      </c>
      <c r="AB543" s="10">
        <v>3.6713504000000001</v>
      </c>
      <c r="AC543" s="10">
        <v>3.6280057999999999</v>
      </c>
      <c r="AD543" s="10">
        <v>3.5887163000000002</v>
      </c>
      <c r="AE543" s="10">
        <v>3.5530986000000002</v>
      </c>
      <c r="AF543" s="10">
        <v>3.5207690999999999</v>
      </c>
      <c r="AG543" s="10">
        <v>3.4913457999999999</v>
      </c>
      <c r="AH543" s="10">
        <v>3.4644813999999999</v>
      </c>
      <c r="AI543" s="10">
        <v>3.4399885000000001</v>
      </c>
      <c r="AJ543" s="10">
        <v>3.4177247999999998</v>
      </c>
      <c r="AK543" s="10">
        <v>3.3975468000000002</v>
      </c>
      <c r="AL543" s="10">
        <v>3.3793112999999999</v>
      </c>
      <c r="AM543" s="10">
        <v>3.3628757999999999</v>
      </c>
      <c r="AN543" s="10">
        <v>3.3480968999999998</v>
      </c>
      <c r="AO543" s="10">
        <v>3.3348315999999998</v>
      </c>
      <c r="AP543" s="10">
        <v>3.322937</v>
      </c>
      <c r="AQ543" s="10">
        <v>3.3122699999999998</v>
      </c>
      <c r="AR543" s="10">
        <v>3.3026875000000002</v>
      </c>
      <c r="AS543" s="10">
        <v>3.2940466000000002</v>
      </c>
      <c r="AT543" s="10">
        <v>3.2862231</v>
      </c>
      <c r="AU543" s="10">
        <v>3.2791755</v>
      </c>
      <c r="AV543" s="10">
        <v>3.2728858999999999</v>
      </c>
      <c r="AW543" s="10">
        <v>3.2673356999999998</v>
      </c>
      <c r="AX543" s="10">
        <v>3.2625066999999999</v>
      </c>
      <c r="AY543" s="10">
        <v>3.2583806000000002</v>
      </c>
      <c r="AZ543" s="10">
        <v>3.2549391000000001</v>
      </c>
      <c r="BA543" s="10">
        <v>3.2521639000000002</v>
      </c>
      <c r="BB543" s="10">
        <v>3.2500366000000001</v>
      </c>
      <c r="BC543" s="10">
        <v>3.2485390999999999</v>
      </c>
      <c r="BD543" s="10">
        <v>3.2476528999999998</v>
      </c>
      <c r="BE543" s="10">
        <v>3.2473597000000001</v>
      </c>
      <c r="BF543" s="10">
        <v>3.2476419999999999</v>
      </c>
      <c r="BG543" s="10">
        <v>3.2484853</v>
      </c>
      <c r="BH543" s="10">
        <v>3.2498762999999999</v>
      </c>
      <c r="BI543" s="10">
        <v>3.2518020000000001</v>
      </c>
      <c r="BJ543" s="10">
        <v>3.2542491</v>
      </c>
      <c r="BK543" s="10">
        <v>3.2572043000000002</v>
      </c>
      <c r="BL543" s="10">
        <v>3.2606544</v>
      </c>
      <c r="BM543" s="10">
        <v>3.2645862999999999</v>
      </c>
      <c r="BN543" s="10">
        <v>3.2689867000000001</v>
      </c>
      <c r="BO543" s="10">
        <v>3.2738421999999998</v>
      </c>
      <c r="BP543" s="10">
        <v>3.2791399000000001</v>
      </c>
      <c r="BQ543" s="10">
        <v>3.2848663999999999</v>
      </c>
      <c r="BR543" s="10">
        <v>3.3273443999999999</v>
      </c>
      <c r="BS543" s="10">
        <v>3.3810345000000002</v>
      </c>
      <c r="BU543" s="7">
        <v>4.3099999999999996</v>
      </c>
      <c r="BV543" s="7">
        <v>3.91</v>
      </c>
      <c r="BW543" s="9">
        <v>82.614800000000002</v>
      </c>
    </row>
    <row r="544" spans="1:75" x14ac:dyDescent="0.25">
      <c r="A544" s="6">
        <f t="shared" si="53"/>
        <v>45314</v>
      </c>
      <c r="B544" s="13">
        <f t="shared" si="48"/>
        <v>1</v>
      </c>
      <c r="C544" s="13">
        <f t="shared" si="49"/>
        <v>2024</v>
      </c>
      <c r="D544">
        <f t="shared" si="50"/>
        <v>202401</v>
      </c>
      <c r="E544">
        <f t="shared" si="51"/>
        <v>1</v>
      </c>
      <c r="F544">
        <f t="shared" si="52"/>
        <v>202401</v>
      </c>
      <c r="G544" t="s">
        <v>734</v>
      </c>
      <c r="H544" s="9">
        <v>5.25</v>
      </c>
      <c r="I544" s="9">
        <v>5.1872999999999996</v>
      </c>
      <c r="J544" s="10">
        <v>5.1859941000000003</v>
      </c>
      <c r="K544" s="10">
        <v>5.1749590000000003</v>
      </c>
      <c r="L544" s="10">
        <v>5.1400496000000002</v>
      </c>
      <c r="M544" s="10">
        <v>5.0725395999999998</v>
      </c>
      <c r="N544" s="10">
        <v>4.9760911999999999</v>
      </c>
      <c r="O544" s="10">
        <v>4.8604414</v>
      </c>
      <c r="P544" s="10">
        <v>4.7365585000000001</v>
      </c>
      <c r="Q544" s="10">
        <v>4.6134215999999997</v>
      </c>
      <c r="R544" s="10">
        <v>4.4966809999999997</v>
      </c>
      <c r="S544" s="10">
        <v>4.3890212000000002</v>
      </c>
      <c r="T544" s="10">
        <v>4.2910855999999997</v>
      </c>
      <c r="U544" s="10">
        <v>4.2025816999999996</v>
      </c>
      <c r="V544" s="10">
        <v>4.1210901</v>
      </c>
      <c r="W544" s="10">
        <v>4.0457403000000003</v>
      </c>
      <c r="X544" s="10">
        <v>3.9762845000000002</v>
      </c>
      <c r="Y544" s="10">
        <v>3.9124720000000002</v>
      </c>
      <c r="Z544" s="10">
        <v>3.8540524</v>
      </c>
      <c r="AA544" s="10">
        <v>3.8007773999999999</v>
      </c>
      <c r="AB544" s="10">
        <v>3.7523740000000001</v>
      </c>
      <c r="AC544" s="10">
        <v>3.7084834</v>
      </c>
      <c r="AD544" s="10">
        <v>3.6687280000000002</v>
      </c>
      <c r="AE544" s="10">
        <v>3.6327286999999999</v>
      </c>
      <c r="AF544" s="10">
        <v>3.6001064</v>
      </c>
      <c r="AG544" s="10">
        <v>3.5704832</v>
      </c>
      <c r="AH544" s="10">
        <v>3.5435145000000001</v>
      </c>
      <c r="AI544" s="10">
        <v>3.5190070000000002</v>
      </c>
      <c r="AJ544" s="10">
        <v>3.4968102999999999</v>
      </c>
      <c r="AK544" s="10">
        <v>3.4767730999999999</v>
      </c>
      <c r="AL544" s="10">
        <v>3.4587441000000001</v>
      </c>
      <c r="AM544" s="10">
        <v>3.4425726999999999</v>
      </c>
      <c r="AN544" s="10">
        <v>3.4281076000000001</v>
      </c>
      <c r="AO544" s="10">
        <v>3.4151975999999999</v>
      </c>
      <c r="AP544" s="10">
        <v>3.4036919999999999</v>
      </c>
      <c r="AQ544" s="10">
        <v>3.3934397000000001</v>
      </c>
      <c r="AR544" s="10">
        <v>3.3842894000000001</v>
      </c>
      <c r="AS544" s="10">
        <v>3.3760902000000002</v>
      </c>
      <c r="AT544" s="10">
        <v>3.3687071999999998</v>
      </c>
      <c r="AU544" s="10">
        <v>3.3620912000000001</v>
      </c>
      <c r="AV544" s="10">
        <v>3.3562224999999999</v>
      </c>
      <c r="AW544" s="10">
        <v>3.3510808999999999</v>
      </c>
      <c r="AX544" s="10">
        <v>3.3466464999999999</v>
      </c>
      <c r="AY544" s="10">
        <v>3.3428993999999999</v>
      </c>
      <c r="AZ544" s="10">
        <v>3.3398194999999999</v>
      </c>
      <c r="BA544" s="10">
        <v>3.3373868999999998</v>
      </c>
      <c r="BB544" s="10">
        <v>3.3355815</v>
      </c>
      <c r="BC544" s="10">
        <v>3.3343834999999999</v>
      </c>
      <c r="BD544" s="10">
        <v>3.3337726999999999</v>
      </c>
      <c r="BE544" s="10">
        <v>3.3337292999999999</v>
      </c>
      <c r="BF544" s="10">
        <v>3.3342339999999999</v>
      </c>
      <c r="BG544" s="10">
        <v>3.3352710999999999</v>
      </c>
      <c r="BH544" s="10">
        <v>3.3368259</v>
      </c>
      <c r="BI544" s="10">
        <v>3.3388838999999999</v>
      </c>
      <c r="BJ544" s="10">
        <v>3.3414304000000001</v>
      </c>
      <c r="BK544" s="10">
        <v>3.3444509</v>
      </c>
      <c r="BL544" s="10">
        <v>3.3479307</v>
      </c>
      <c r="BM544" s="10">
        <v>3.3518553</v>
      </c>
      <c r="BN544" s="10">
        <v>3.3562099000000001</v>
      </c>
      <c r="BO544" s="10">
        <v>3.3609800000000001</v>
      </c>
      <c r="BP544" s="10">
        <v>3.3661511000000002</v>
      </c>
      <c r="BQ544" s="10">
        <v>3.3717084000000002</v>
      </c>
      <c r="BR544" s="10">
        <v>3.4123271000000002</v>
      </c>
      <c r="BS544" s="10">
        <v>3.4630551999999999</v>
      </c>
      <c r="BU544" s="7">
        <v>4.38</v>
      </c>
      <c r="BV544" s="7">
        <v>4</v>
      </c>
      <c r="BW544" s="9">
        <v>82.455100000000002</v>
      </c>
    </row>
    <row r="545" spans="1:75" x14ac:dyDescent="0.25">
      <c r="A545" s="6">
        <f t="shared" si="53"/>
        <v>45315</v>
      </c>
      <c r="B545" s="13">
        <f t="shared" si="48"/>
        <v>1</v>
      </c>
      <c r="C545" s="13">
        <f t="shared" si="49"/>
        <v>2024</v>
      </c>
      <c r="D545">
        <f t="shared" si="50"/>
        <v>202401</v>
      </c>
      <c r="E545">
        <f t="shared" si="51"/>
        <v>1</v>
      </c>
      <c r="F545">
        <f t="shared" si="52"/>
        <v>202401</v>
      </c>
      <c r="G545" t="s">
        <v>735</v>
      </c>
      <c r="H545" s="9">
        <v>5.25</v>
      </c>
      <c r="I545" s="9">
        <v>5.1875</v>
      </c>
      <c r="J545" s="10">
        <v>5.1849090000000002</v>
      </c>
      <c r="K545" s="10">
        <v>5.1767840999999999</v>
      </c>
      <c r="L545" s="10">
        <v>5.1466114999999997</v>
      </c>
      <c r="M545" s="10">
        <v>5.0856415999999998</v>
      </c>
      <c r="N545" s="10">
        <v>4.9962078999999999</v>
      </c>
      <c r="O545" s="10">
        <v>4.8863583999999998</v>
      </c>
      <c r="P545" s="10">
        <v>4.7669034000000003</v>
      </c>
      <c r="Q545" s="10">
        <v>4.6468661999999998</v>
      </c>
      <c r="R545" s="10">
        <v>4.5323209000000002</v>
      </c>
      <c r="S545" s="10">
        <v>4.4261775999999999</v>
      </c>
      <c r="T545" s="10">
        <v>4.3293257000000001</v>
      </c>
      <c r="U545" s="10">
        <v>4.2413793999999996</v>
      </c>
      <c r="V545" s="10">
        <v>4.1600153999999998</v>
      </c>
      <c r="W545" s="10">
        <v>4.0844407</v>
      </c>
      <c r="X545" s="10">
        <v>4.0144536000000004</v>
      </c>
      <c r="Y545" s="10">
        <v>3.9498500999999999</v>
      </c>
      <c r="Z545" s="10">
        <v>3.8904258999999999</v>
      </c>
      <c r="AA545" s="10">
        <v>3.8359793999999998</v>
      </c>
      <c r="AB545" s="10">
        <v>3.7862836999999998</v>
      </c>
      <c r="AC545" s="10">
        <v>3.7410260000000002</v>
      </c>
      <c r="AD545" s="10">
        <v>3.6998742999999998</v>
      </c>
      <c r="AE545" s="10">
        <v>3.6624949999999998</v>
      </c>
      <c r="AF545" s="10">
        <v>3.6285549000000001</v>
      </c>
      <c r="AG545" s="10">
        <v>3.5977218</v>
      </c>
      <c r="AH545" s="10">
        <v>3.5696826000000001</v>
      </c>
      <c r="AI545" s="10">
        <v>3.5442338000000002</v>
      </c>
      <c r="AJ545" s="10">
        <v>3.5212096000000002</v>
      </c>
      <c r="AK545" s="10">
        <v>3.5004431999999999</v>
      </c>
      <c r="AL545" s="10">
        <v>3.4817681</v>
      </c>
      <c r="AM545" s="10">
        <v>3.4650181</v>
      </c>
      <c r="AN545" s="10">
        <v>3.4500266000000002</v>
      </c>
      <c r="AO545" s="10">
        <v>3.4366270999999999</v>
      </c>
      <c r="AP545" s="10">
        <v>3.4246533000000001</v>
      </c>
      <c r="AQ545" s="10">
        <v>3.4139387999999999</v>
      </c>
      <c r="AR545" s="10">
        <v>3.4043168000000001</v>
      </c>
      <c r="AS545" s="10">
        <v>3.3956214</v>
      </c>
      <c r="AT545" s="10">
        <v>3.3877060000000001</v>
      </c>
      <c r="AU545" s="10">
        <v>3.3805230000000002</v>
      </c>
      <c r="AV545" s="10">
        <v>3.3740549</v>
      </c>
      <c r="AW545" s="10">
        <v>3.3682839000000002</v>
      </c>
      <c r="AX545" s="10">
        <v>3.3631924</v>
      </c>
      <c r="AY545" s="10">
        <v>3.3587628999999999</v>
      </c>
      <c r="AZ545" s="10">
        <v>3.3549775999999998</v>
      </c>
      <c r="BA545" s="10">
        <v>3.3518189</v>
      </c>
      <c r="BB545" s="10">
        <v>3.3492692000000002</v>
      </c>
      <c r="BC545" s="10">
        <v>3.3473107999999998</v>
      </c>
      <c r="BD545" s="10">
        <v>3.3459260999999998</v>
      </c>
      <c r="BE545" s="10">
        <v>3.3450975000000001</v>
      </c>
      <c r="BF545" s="10">
        <v>3.344808</v>
      </c>
      <c r="BG545" s="10">
        <v>3.3450446</v>
      </c>
      <c r="BH545" s="10">
        <v>3.3457951000000001</v>
      </c>
      <c r="BI545" s="10">
        <v>3.3470471000000002</v>
      </c>
      <c r="BJ545" s="10">
        <v>3.3487885999999998</v>
      </c>
      <c r="BK545" s="10">
        <v>3.3510073</v>
      </c>
      <c r="BL545" s="10">
        <v>3.3536910999999998</v>
      </c>
      <c r="BM545" s="10">
        <v>3.3568278</v>
      </c>
      <c r="BN545" s="10">
        <v>3.3604050000000001</v>
      </c>
      <c r="BO545" s="10">
        <v>3.3644107000000001</v>
      </c>
      <c r="BP545" s="10">
        <v>3.3688327</v>
      </c>
      <c r="BQ545" s="10">
        <v>3.3736587999999998</v>
      </c>
      <c r="BR545" s="10">
        <v>3.4103029</v>
      </c>
      <c r="BS545" s="10">
        <v>3.4577190999999998</v>
      </c>
      <c r="BU545" s="7">
        <v>4.38</v>
      </c>
      <c r="BV545" s="7">
        <v>4</v>
      </c>
      <c r="BW545" s="9">
        <v>82.660799999999995</v>
      </c>
    </row>
    <row r="546" spans="1:75" x14ac:dyDescent="0.25">
      <c r="A546" s="6">
        <f t="shared" si="53"/>
        <v>45316</v>
      </c>
      <c r="B546" s="13">
        <f t="shared" si="48"/>
        <v>1</v>
      </c>
      <c r="C546" s="13">
        <f t="shared" si="49"/>
        <v>2024</v>
      </c>
      <c r="D546">
        <f t="shared" si="50"/>
        <v>202401</v>
      </c>
      <c r="E546">
        <f t="shared" si="51"/>
        <v>1</v>
      </c>
      <c r="F546">
        <f t="shared" si="52"/>
        <v>202401</v>
      </c>
      <c r="G546" t="s">
        <v>736</v>
      </c>
      <c r="H546" s="9">
        <v>5.25</v>
      </c>
      <c r="I546" s="9">
        <v>5.1882000000000001</v>
      </c>
      <c r="J546" s="10">
        <v>5.1848684</v>
      </c>
      <c r="K546" s="10">
        <v>5.1711606000000003</v>
      </c>
      <c r="L546" s="10">
        <v>5.1350126999999999</v>
      </c>
      <c r="M546" s="10">
        <v>5.0678324999999997</v>
      </c>
      <c r="N546" s="10">
        <v>4.9714397999999997</v>
      </c>
      <c r="O546" s="10">
        <v>4.8557014000000001</v>
      </c>
      <c r="P546" s="10">
        <v>4.7312193999999996</v>
      </c>
      <c r="Q546" s="10">
        <v>4.6063979000000002</v>
      </c>
      <c r="R546" s="10">
        <v>4.4865811000000004</v>
      </c>
      <c r="S546" s="10">
        <v>4.3743689999999997</v>
      </c>
      <c r="T546" s="10">
        <v>4.2709707999999997</v>
      </c>
      <c r="U546" s="10">
        <v>4.1762113999999997</v>
      </c>
      <c r="V546" s="10">
        <v>4.0885337000000002</v>
      </c>
      <c r="W546" s="10">
        <v>4.0073987999999998</v>
      </c>
      <c r="X546" s="10">
        <v>3.9327614999999998</v>
      </c>
      <c r="Y546" s="10">
        <v>3.8645738000000001</v>
      </c>
      <c r="Z546" s="10">
        <v>3.8027880000000001</v>
      </c>
      <c r="AA546" s="10">
        <v>3.7473586000000001</v>
      </c>
      <c r="AB546" s="10">
        <v>3.6981440000000001</v>
      </c>
      <c r="AC546" s="10">
        <v>3.6546449999999999</v>
      </c>
      <c r="AD546" s="10">
        <v>3.6162787000000001</v>
      </c>
      <c r="AE546" s="10">
        <v>3.5824606999999999</v>
      </c>
      <c r="AF546" s="10">
        <v>3.5526068</v>
      </c>
      <c r="AG546" s="10">
        <v>3.5261338000000002</v>
      </c>
      <c r="AH546" s="10">
        <v>3.5025116999999999</v>
      </c>
      <c r="AI546" s="10">
        <v>3.4814745999999999</v>
      </c>
      <c r="AJ546" s="10">
        <v>3.4628378</v>
      </c>
      <c r="AK546" s="10">
        <v>3.4464158</v>
      </c>
      <c r="AL546" s="10">
        <v>3.4320232000000002</v>
      </c>
      <c r="AM546" s="10">
        <v>3.4194751999999999</v>
      </c>
      <c r="AN546" s="10">
        <v>3.4085863000000001</v>
      </c>
      <c r="AO546" s="10">
        <v>3.3991712000000001</v>
      </c>
      <c r="AP546" s="10">
        <v>3.3910448999999998</v>
      </c>
      <c r="AQ546" s="10">
        <v>3.3840221000000001</v>
      </c>
      <c r="AR546" s="10">
        <v>3.3779175000000001</v>
      </c>
      <c r="AS546" s="10">
        <v>3.3725459999999998</v>
      </c>
      <c r="AT546" s="10">
        <v>3.3677491000000002</v>
      </c>
      <c r="AU546" s="10">
        <v>3.3634868999999998</v>
      </c>
      <c r="AV546" s="10">
        <v>3.3597524000000001</v>
      </c>
      <c r="AW546" s="10">
        <v>3.3565382000000001</v>
      </c>
      <c r="AX546" s="10">
        <v>3.3538372999999999</v>
      </c>
      <c r="AY546" s="10">
        <v>3.3516423</v>
      </c>
      <c r="AZ546" s="10">
        <v>3.3499462000000002</v>
      </c>
      <c r="BA546" s="10">
        <v>3.3487417000000002</v>
      </c>
      <c r="BB546" s="10">
        <v>3.3480216</v>
      </c>
      <c r="BC546" s="10">
        <v>3.3477787999999999</v>
      </c>
      <c r="BD546" s="10">
        <v>3.3480059999999998</v>
      </c>
      <c r="BE546" s="10">
        <v>3.3486961000000002</v>
      </c>
      <c r="BF546" s="10">
        <v>3.3498415000000001</v>
      </c>
      <c r="BG546" s="10">
        <v>3.3514322000000001</v>
      </c>
      <c r="BH546" s="10">
        <v>3.3534578000000002</v>
      </c>
      <c r="BI546" s="10">
        <v>3.3559079999999999</v>
      </c>
      <c r="BJ546" s="10">
        <v>3.3587723999999999</v>
      </c>
      <c r="BK546" s="10">
        <v>3.3620404000000002</v>
      </c>
      <c r="BL546" s="10">
        <v>3.3657018000000001</v>
      </c>
      <c r="BM546" s="10">
        <v>3.3697460000000001</v>
      </c>
      <c r="BN546" s="10">
        <v>3.3741628000000001</v>
      </c>
      <c r="BO546" s="10">
        <v>3.3789414999999998</v>
      </c>
      <c r="BP546" s="10">
        <v>3.3840720000000002</v>
      </c>
      <c r="BQ546" s="10">
        <v>3.3895436999999999</v>
      </c>
      <c r="BR546" s="10">
        <v>3.4289336000000001</v>
      </c>
      <c r="BS546" s="10">
        <v>3.4778424999999999</v>
      </c>
      <c r="BU546" s="7">
        <v>4.37</v>
      </c>
      <c r="BV546" s="7">
        <v>3.99</v>
      </c>
      <c r="BW546" s="9">
        <v>82.627899999999997</v>
      </c>
    </row>
    <row r="547" spans="1:75" x14ac:dyDescent="0.25">
      <c r="A547" s="6">
        <f t="shared" si="53"/>
        <v>45317</v>
      </c>
      <c r="B547" s="13">
        <f t="shared" si="48"/>
        <v>1</v>
      </c>
      <c r="C547" s="13">
        <f t="shared" si="49"/>
        <v>2024</v>
      </c>
      <c r="D547">
        <f t="shared" si="50"/>
        <v>202401</v>
      </c>
      <c r="E547">
        <f t="shared" si="51"/>
        <v>1</v>
      </c>
      <c r="F547">
        <f t="shared" si="52"/>
        <v>202401</v>
      </c>
      <c r="G547" t="s">
        <v>737</v>
      </c>
      <c r="H547" s="9">
        <v>5.25</v>
      </c>
      <c r="I547" s="9">
        <v>5.1882000000000001</v>
      </c>
      <c r="J547" s="10">
        <v>5.1874973999999998</v>
      </c>
      <c r="K547" s="10">
        <v>5.1729279000000004</v>
      </c>
      <c r="L547" s="10">
        <v>5.1327997999999999</v>
      </c>
      <c r="M547" s="10">
        <v>5.0586389</v>
      </c>
      <c r="N547" s="10">
        <v>4.9538674</v>
      </c>
      <c r="O547" s="10">
        <v>4.8295180999999996</v>
      </c>
      <c r="P547" s="10">
        <v>4.6976255</v>
      </c>
      <c r="Q547" s="10">
        <v>4.5675298</v>
      </c>
      <c r="R547" s="10">
        <v>4.4446446000000002</v>
      </c>
      <c r="S547" s="10">
        <v>4.3316486999999997</v>
      </c>
      <c r="T547" s="10">
        <v>4.229031</v>
      </c>
      <c r="U547" s="10">
        <v>4.1361011000000003</v>
      </c>
      <c r="V547" s="10">
        <v>4.0503140000000002</v>
      </c>
      <c r="W547" s="10">
        <v>3.9708169</v>
      </c>
      <c r="X547" s="10">
        <v>3.8974764999999998</v>
      </c>
      <c r="Y547" s="10">
        <v>3.8301566</v>
      </c>
      <c r="Z547" s="10">
        <v>3.7687214999999998</v>
      </c>
      <c r="AA547" s="10">
        <v>3.7130375999999998</v>
      </c>
      <c r="AB547" s="10">
        <v>3.6629307999999998</v>
      </c>
      <c r="AC547" s="10">
        <v>3.6180496</v>
      </c>
      <c r="AD547" s="10">
        <v>3.5779926999999998</v>
      </c>
      <c r="AE547" s="10">
        <v>3.5423570999999998</v>
      </c>
      <c r="AF547" s="10">
        <v>3.5107401</v>
      </c>
      <c r="AG547" s="10">
        <v>3.4827398999999999</v>
      </c>
      <c r="AH547" s="10">
        <v>3.4579816000000001</v>
      </c>
      <c r="AI547" s="10">
        <v>3.4362127</v>
      </c>
      <c r="AJ547" s="10">
        <v>3.4172153999999999</v>
      </c>
      <c r="AK547" s="10">
        <v>3.4007711</v>
      </c>
      <c r="AL547" s="10">
        <v>3.3866611999999998</v>
      </c>
      <c r="AM547" s="10">
        <v>3.3746676999999998</v>
      </c>
      <c r="AN547" s="10">
        <v>3.3645722</v>
      </c>
      <c r="AO547" s="10">
        <v>3.3561559999999999</v>
      </c>
      <c r="AP547" s="10">
        <v>3.3492011000000002</v>
      </c>
      <c r="AQ547" s="10">
        <v>3.3434889999999999</v>
      </c>
      <c r="AR547" s="10">
        <v>3.3388013000000001</v>
      </c>
      <c r="AS547" s="10">
        <v>3.3349198000000002</v>
      </c>
      <c r="AT547" s="10">
        <v>3.3316558999999999</v>
      </c>
      <c r="AU547" s="10">
        <v>3.3289534000000001</v>
      </c>
      <c r="AV547" s="10">
        <v>3.3267924999999998</v>
      </c>
      <c r="AW547" s="10">
        <v>3.3251534</v>
      </c>
      <c r="AX547" s="10">
        <v>3.3240162</v>
      </c>
      <c r="AY547" s="10">
        <v>3.3233611999999999</v>
      </c>
      <c r="AZ547" s="10">
        <v>3.3231685999999998</v>
      </c>
      <c r="BA547" s="10">
        <v>3.3234184999999998</v>
      </c>
      <c r="BB547" s="10">
        <v>3.3240911</v>
      </c>
      <c r="BC547" s="10">
        <v>3.3251667</v>
      </c>
      <c r="BD547" s="10">
        <v>3.3266254000000002</v>
      </c>
      <c r="BE547" s="10">
        <v>3.3284473999999999</v>
      </c>
      <c r="BF547" s="10">
        <v>3.3306155</v>
      </c>
      <c r="BG547" s="10">
        <v>3.3331238000000001</v>
      </c>
      <c r="BH547" s="10">
        <v>3.3359694000000002</v>
      </c>
      <c r="BI547" s="10">
        <v>3.3391495</v>
      </c>
      <c r="BJ547" s="10">
        <v>3.3426615000000002</v>
      </c>
      <c r="BK547" s="10">
        <v>3.3465023999999999</v>
      </c>
      <c r="BL547" s="10">
        <v>3.3506695</v>
      </c>
      <c r="BM547" s="10">
        <v>3.3551601</v>
      </c>
      <c r="BN547" s="10">
        <v>3.3599711999999999</v>
      </c>
      <c r="BO547" s="10">
        <v>3.3651000999999998</v>
      </c>
      <c r="BP547" s="10">
        <v>3.3705441</v>
      </c>
      <c r="BQ547" s="10">
        <v>3.3763003</v>
      </c>
      <c r="BR547" s="10">
        <v>3.4170300999999998</v>
      </c>
      <c r="BS547" s="10">
        <v>3.4670204999999998</v>
      </c>
      <c r="BU547" s="7">
        <v>4.34</v>
      </c>
      <c r="BV547" s="7">
        <v>3.97</v>
      </c>
      <c r="BW547" s="9">
        <v>82.648700000000005</v>
      </c>
    </row>
    <row r="548" spans="1:75" x14ac:dyDescent="0.25">
      <c r="A548" s="6">
        <f t="shared" si="53"/>
        <v>45320</v>
      </c>
      <c r="B548" s="13">
        <f t="shared" si="48"/>
        <v>1</v>
      </c>
      <c r="C548" s="13">
        <f t="shared" si="49"/>
        <v>2024</v>
      </c>
      <c r="D548">
        <f t="shared" si="50"/>
        <v>202401</v>
      </c>
      <c r="E548">
        <f t="shared" si="51"/>
        <v>1</v>
      </c>
      <c r="F548">
        <f t="shared" si="52"/>
        <v>202401</v>
      </c>
      <c r="G548" t="s">
        <v>738</v>
      </c>
      <c r="H548" s="9">
        <v>5.25</v>
      </c>
      <c r="I548" s="9">
        <v>5.1879</v>
      </c>
      <c r="J548" s="10">
        <v>5.1864936999999998</v>
      </c>
      <c r="K548" s="10">
        <v>5.1663777</v>
      </c>
      <c r="L548" s="10">
        <v>5.1185650000000003</v>
      </c>
      <c r="M548" s="10">
        <v>5.0334146999999998</v>
      </c>
      <c r="N548" s="10">
        <v>4.9173387999999996</v>
      </c>
      <c r="O548" s="10">
        <v>4.7828564</v>
      </c>
      <c r="P548" s="10">
        <v>4.6430781999999997</v>
      </c>
      <c r="Q548" s="10">
        <v>4.5071275999999996</v>
      </c>
      <c r="R548" s="10">
        <v>4.3797940999999998</v>
      </c>
      <c r="S548" s="10">
        <v>4.2627777</v>
      </c>
      <c r="T548" s="10">
        <v>4.1567100000000003</v>
      </c>
      <c r="U548" s="10">
        <v>4.0609840999999998</v>
      </c>
      <c r="V548" s="10">
        <v>3.9735798999999998</v>
      </c>
      <c r="W548" s="10">
        <v>3.8936277000000001</v>
      </c>
      <c r="X548" s="10">
        <v>3.8207013000000001</v>
      </c>
      <c r="Y548" s="10">
        <v>3.7543714000000001</v>
      </c>
      <c r="Z548" s="10">
        <v>3.6942089999999999</v>
      </c>
      <c r="AA548" s="10">
        <v>3.6397875000000002</v>
      </c>
      <c r="AB548" s="10">
        <v>3.5906908999999998</v>
      </c>
      <c r="AC548" s="10">
        <v>3.546554</v>
      </c>
      <c r="AD548" s="10">
        <v>3.5070247999999999</v>
      </c>
      <c r="AE548" s="10">
        <v>3.4717498</v>
      </c>
      <c r="AF548" s="10">
        <v>3.4403758</v>
      </c>
      <c r="AG548" s="10">
        <v>3.4125505</v>
      </c>
      <c r="AH548" s="10">
        <v>3.3879402999999999</v>
      </c>
      <c r="AI548" s="10">
        <v>3.3662987000000002</v>
      </c>
      <c r="AJ548" s="10">
        <v>3.3474039000000002</v>
      </c>
      <c r="AK548" s="10">
        <v>3.3310331</v>
      </c>
      <c r="AL548" s="10">
        <v>3.316964</v>
      </c>
      <c r="AM548" s="10">
        <v>3.3049745000000001</v>
      </c>
      <c r="AN548" s="10">
        <v>3.2948420999999999</v>
      </c>
      <c r="AO548" s="10">
        <v>3.2863443999999999</v>
      </c>
      <c r="AP548" s="10">
        <v>3.2792593000000001</v>
      </c>
      <c r="AQ548" s="10">
        <v>3.2733642999999999</v>
      </c>
      <c r="AR548" s="10">
        <v>3.268437</v>
      </c>
      <c r="AS548" s="10">
        <v>3.2642552</v>
      </c>
      <c r="AT548" s="10">
        <v>3.2606278</v>
      </c>
      <c r="AU548" s="10">
        <v>3.2575020000000001</v>
      </c>
      <c r="AV548" s="10">
        <v>3.2548634000000001</v>
      </c>
      <c r="AW548" s="10">
        <v>3.2526972000000001</v>
      </c>
      <c r="AX548" s="10">
        <v>3.2509888999999998</v>
      </c>
      <c r="AY548" s="10">
        <v>3.2497237999999999</v>
      </c>
      <c r="AZ548" s="10">
        <v>3.2488872999999998</v>
      </c>
      <c r="BA548" s="10">
        <v>3.2484649000000001</v>
      </c>
      <c r="BB548" s="10">
        <v>3.2484419</v>
      </c>
      <c r="BC548" s="10">
        <v>3.2488036999999998</v>
      </c>
      <c r="BD548" s="10">
        <v>3.2495357999999999</v>
      </c>
      <c r="BE548" s="10">
        <v>3.2506235000000001</v>
      </c>
      <c r="BF548" s="10">
        <v>3.2520544</v>
      </c>
      <c r="BG548" s="10">
        <v>3.2538288</v>
      </c>
      <c r="BH548" s="10">
        <v>3.2559509000000002</v>
      </c>
      <c r="BI548" s="10">
        <v>3.2584247999999998</v>
      </c>
      <c r="BJ548" s="10">
        <v>3.2612549999999998</v>
      </c>
      <c r="BK548" s="10">
        <v>3.2644457</v>
      </c>
      <c r="BL548" s="10">
        <v>3.2680009999999999</v>
      </c>
      <c r="BM548" s="10">
        <v>3.2719252999999999</v>
      </c>
      <c r="BN548" s="10">
        <v>3.2762229</v>
      </c>
      <c r="BO548" s="10">
        <v>3.2808978999999998</v>
      </c>
      <c r="BP548" s="10">
        <v>3.2859547999999998</v>
      </c>
      <c r="BQ548" s="10">
        <v>3.2913975999999998</v>
      </c>
      <c r="BR548" s="10">
        <v>3.3317771999999999</v>
      </c>
      <c r="BS548" s="10">
        <v>3.3833080999999998</v>
      </c>
      <c r="BU548" s="7">
        <v>4.2699999999999996</v>
      </c>
      <c r="BV548" s="7">
        <v>3.88</v>
      </c>
      <c r="BW548" s="9">
        <v>82.607299999999995</v>
      </c>
    </row>
    <row r="549" spans="1:75" x14ac:dyDescent="0.25">
      <c r="A549" s="6">
        <f t="shared" si="53"/>
        <v>45321</v>
      </c>
      <c r="B549" s="13">
        <f t="shared" si="48"/>
        <v>1</v>
      </c>
      <c r="C549" s="13">
        <f t="shared" si="49"/>
        <v>2024</v>
      </c>
      <c r="D549">
        <f t="shared" si="50"/>
        <v>202401</v>
      </c>
      <c r="E549">
        <f t="shared" si="51"/>
        <v>1</v>
      </c>
      <c r="F549">
        <f t="shared" si="52"/>
        <v>202401</v>
      </c>
      <c r="G549" t="s">
        <v>739</v>
      </c>
      <c r="H549" s="9">
        <v>5.25</v>
      </c>
      <c r="I549" s="9">
        <v>5.1883999999999997</v>
      </c>
      <c r="J549" s="10">
        <v>5.1869579999999997</v>
      </c>
      <c r="K549" s="10">
        <v>5.1684799999999997</v>
      </c>
      <c r="L549" s="10">
        <v>5.1244585999999996</v>
      </c>
      <c r="M549" s="10">
        <v>5.0467744999999997</v>
      </c>
      <c r="N549" s="10">
        <v>4.9411632000000001</v>
      </c>
      <c r="O549" s="10">
        <v>4.8183483999999996</v>
      </c>
      <c r="P549" s="10">
        <v>4.6897798000000002</v>
      </c>
      <c r="Q549" s="10">
        <v>4.5638500999999998</v>
      </c>
      <c r="R549" s="10">
        <v>4.4450089999999998</v>
      </c>
      <c r="S549" s="10">
        <v>4.3352313999999996</v>
      </c>
      <c r="T549" s="10">
        <v>4.2351082</v>
      </c>
      <c r="U549" s="10">
        <v>4.1444714999999999</v>
      </c>
      <c r="V549" s="10">
        <v>4.0609405000000001</v>
      </c>
      <c r="W549" s="10">
        <v>3.9836651999999999</v>
      </c>
      <c r="X549" s="10">
        <v>3.9124211999999998</v>
      </c>
      <c r="Y549" s="10">
        <v>3.8469814000000002</v>
      </c>
      <c r="Z549" s="10">
        <v>3.7871190000000001</v>
      </c>
      <c r="AA549" s="10">
        <v>3.7326093</v>
      </c>
      <c r="AB549" s="10">
        <v>3.6831920999999999</v>
      </c>
      <c r="AC549" s="10">
        <v>3.6384810000000001</v>
      </c>
      <c r="AD549" s="10">
        <v>3.598061</v>
      </c>
      <c r="AE549" s="10">
        <v>3.5615152999999999</v>
      </c>
      <c r="AF549" s="10">
        <v>3.5284276000000001</v>
      </c>
      <c r="AG549" s="10">
        <v>3.4983825</v>
      </c>
      <c r="AH549" s="10">
        <v>3.4710035000000001</v>
      </c>
      <c r="AI549" s="10">
        <v>3.4460909000000002</v>
      </c>
      <c r="AJ549" s="10">
        <v>3.4234947999999998</v>
      </c>
      <c r="AK549" s="10">
        <v>3.4030642000000002</v>
      </c>
      <c r="AL549" s="10">
        <v>3.3846482</v>
      </c>
      <c r="AM549" s="10">
        <v>3.3680965999999999</v>
      </c>
      <c r="AN549" s="10">
        <v>3.3532586000000002</v>
      </c>
      <c r="AO549" s="10">
        <v>3.3399833999999999</v>
      </c>
      <c r="AP549" s="10">
        <v>3.3281206999999999</v>
      </c>
      <c r="AQ549" s="10">
        <v>3.3175195999999998</v>
      </c>
      <c r="AR549" s="10">
        <v>3.3080295</v>
      </c>
      <c r="AS549" s="10">
        <v>3.2994998999999998</v>
      </c>
      <c r="AT549" s="10">
        <v>3.2917964999999998</v>
      </c>
      <c r="AU549" s="10">
        <v>3.2848739</v>
      </c>
      <c r="AV549" s="10">
        <v>3.2787166999999999</v>
      </c>
      <c r="AW549" s="10">
        <v>3.2733089999999998</v>
      </c>
      <c r="AX549" s="10">
        <v>3.2686354</v>
      </c>
      <c r="AY549" s="10">
        <v>3.2646803000000002</v>
      </c>
      <c r="AZ549" s="10">
        <v>3.2614279000000002</v>
      </c>
      <c r="BA549" s="10">
        <v>3.2588628000000002</v>
      </c>
      <c r="BB549" s="10">
        <v>3.2569694</v>
      </c>
      <c r="BC549" s="10">
        <v>3.2557320000000001</v>
      </c>
      <c r="BD549" s="10">
        <v>3.2551350000000001</v>
      </c>
      <c r="BE549" s="10">
        <v>3.2551629000000002</v>
      </c>
      <c r="BF549" s="10">
        <v>3.2557996999999999</v>
      </c>
      <c r="BG549" s="10">
        <v>3.2570285000000001</v>
      </c>
      <c r="BH549" s="10">
        <v>3.258832</v>
      </c>
      <c r="BI549" s="10">
        <v>3.2611929000000002</v>
      </c>
      <c r="BJ549" s="10">
        <v>3.2640937000000001</v>
      </c>
      <c r="BK549" s="10">
        <v>3.2675171000000001</v>
      </c>
      <c r="BL549" s="10">
        <v>3.2714458999999998</v>
      </c>
      <c r="BM549" s="10">
        <v>3.2758626</v>
      </c>
      <c r="BN549" s="10">
        <v>3.2807499999999998</v>
      </c>
      <c r="BO549" s="10">
        <v>3.2860906000000001</v>
      </c>
      <c r="BP549" s="10">
        <v>3.2918672</v>
      </c>
      <c r="BQ549" s="10">
        <v>3.2980624000000001</v>
      </c>
      <c r="BR549" s="10">
        <v>3.3430422000000002</v>
      </c>
      <c r="BS549" s="10">
        <v>3.3986548000000001</v>
      </c>
      <c r="BU549" s="7">
        <v>4.33</v>
      </c>
      <c r="BV549" s="7">
        <v>3.9</v>
      </c>
      <c r="BW549" s="9">
        <v>82.384299999999996</v>
      </c>
    </row>
    <row r="550" spans="1:75" x14ac:dyDescent="0.25">
      <c r="A550" s="6">
        <f t="shared" si="53"/>
        <v>45322</v>
      </c>
      <c r="B550" s="13">
        <f t="shared" si="48"/>
        <v>1</v>
      </c>
      <c r="C550" s="13">
        <f t="shared" si="49"/>
        <v>2024</v>
      </c>
      <c r="D550">
        <f t="shared" si="50"/>
        <v>202401</v>
      </c>
      <c r="E550">
        <f t="shared" si="51"/>
        <v>1</v>
      </c>
      <c r="F550">
        <f t="shared" si="52"/>
        <v>202401</v>
      </c>
      <c r="G550" t="s">
        <v>740</v>
      </c>
      <c r="H550" s="9">
        <v>5.25</v>
      </c>
      <c r="I550" s="9">
        <v>5.1881000000000004</v>
      </c>
      <c r="J550" s="10">
        <v>5.1819325999999997</v>
      </c>
      <c r="K550" s="10">
        <v>5.1503085999999998</v>
      </c>
      <c r="L550" s="10">
        <v>5.0887986999999999</v>
      </c>
      <c r="M550" s="10">
        <v>4.9931459</v>
      </c>
      <c r="N550" s="10">
        <v>4.8711301000000002</v>
      </c>
      <c r="O550" s="10">
        <v>4.7343362000000004</v>
      </c>
      <c r="P550" s="10">
        <v>4.5946926000000001</v>
      </c>
      <c r="Q550" s="10">
        <v>4.4605300000000003</v>
      </c>
      <c r="R550" s="10">
        <v>4.3360110000000001</v>
      </c>
      <c r="S550" s="10">
        <v>4.2224447999999999</v>
      </c>
      <c r="T550" s="10">
        <v>4.1198302</v>
      </c>
      <c r="U550" s="10">
        <v>4.0272195000000002</v>
      </c>
      <c r="V550" s="10">
        <v>3.9413366000000001</v>
      </c>
      <c r="W550" s="10">
        <v>3.8612251</v>
      </c>
      <c r="X550" s="10">
        <v>3.7867907999999999</v>
      </c>
      <c r="Y550" s="10">
        <v>3.7179365</v>
      </c>
      <c r="Z550" s="10">
        <v>3.6545652</v>
      </c>
      <c r="AA550" s="10">
        <v>3.5965824</v>
      </c>
      <c r="AB550" s="10">
        <v>3.5438521999999999</v>
      </c>
      <c r="AC550" s="10">
        <v>3.4960920999999998</v>
      </c>
      <c r="AD550" s="10">
        <v>3.4529857000000002</v>
      </c>
      <c r="AE550" s="10">
        <v>3.4142152000000001</v>
      </c>
      <c r="AF550" s="10">
        <v>3.3794629</v>
      </c>
      <c r="AG550" s="10">
        <v>3.3484123000000001</v>
      </c>
      <c r="AH550" s="10">
        <v>3.3207564999999999</v>
      </c>
      <c r="AI550" s="10">
        <v>3.2962463</v>
      </c>
      <c r="AJ550" s="10">
        <v>3.2746526999999999</v>
      </c>
      <c r="AK550" s="10">
        <v>3.2557459999999998</v>
      </c>
      <c r="AL550" s="10">
        <v>3.2392965999999999</v>
      </c>
      <c r="AM550" s="10">
        <v>3.2250754000000001</v>
      </c>
      <c r="AN550" s="10">
        <v>3.2128526000000002</v>
      </c>
      <c r="AO550" s="10">
        <v>3.2023986999999998</v>
      </c>
      <c r="AP550" s="10">
        <v>3.1934844999999998</v>
      </c>
      <c r="AQ550" s="10">
        <v>3.1858803999999998</v>
      </c>
      <c r="AR550" s="10">
        <v>3.1793567</v>
      </c>
      <c r="AS550" s="10">
        <v>3.1736841999999998</v>
      </c>
      <c r="AT550" s="10">
        <v>3.1686629000000002</v>
      </c>
      <c r="AU550" s="10">
        <v>3.1642364999999999</v>
      </c>
      <c r="AV550" s="10">
        <v>3.160393</v>
      </c>
      <c r="AW550" s="10">
        <v>3.1571199000000001</v>
      </c>
      <c r="AX550" s="10">
        <v>3.1544048</v>
      </c>
      <c r="AY550" s="10">
        <v>3.1522356999999999</v>
      </c>
      <c r="AZ550" s="10">
        <v>3.1505999999999998</v>
      </c>
      <c r="BA550" s="10">
        <v>3.1494856000000002</v>
      </c>
      <c r="BB550" s="10">
        <v>3.1488800000000001</v>
      </c>
      <c r="BC550" s="10">
        <v>3.1487710999999998</v>
      </c>
      <c r="BD550" s="10">
        <v>3.1491465000000001</v>
      </c>
      <c r="BE550" s="10">
        <v>3.1499939000000001</v>
      </c>
      <c r="BF550" s="10">
        <v>3.1513018000000002</v>
      </c>
      <c r="BG550" s="10">
        <v>3.1530629000000001</v>
      </c>
      <c r="BH550" s="10">
        <v>3.1552707999999998</v>
      </c>
      <c r="BI550" s="10">
        <v>3.1579190000000001</v>
      </c>
      <c r="BJ550" s="10">
        <v>3.1610014</v>
      </c>
      <c r="BK550" s="10">
        <v>3.1645113999999999</v>
      </c>
      <c r="BL550" s="10">
        <v>3.1684426999999999</v>
      </c>
      <c r="BM550" s="10">
        <v>3.1727891000000001</v>
      </c>
      <c r="BN550" s="10">
        <v>3.1775440000000001</v>
      </c>
      <c r="BO550" s="10">
        <v>3.1827011000000001</v>
      </c>
      <c r="BP550" s="10">
        <v>3.1882541999999998</v>
      </c>
      <c r="BQ550" s="10">
        <v>3.1941967</v>
      </c>
      <c r="BR550" s="10">
        <v>3.2373375000000002</v>
      </c>
      <c r="BS550" s="10">
        <v>3.2908241999999999</v>
      </c>
      <c r="BU550" s="7">
        <v>4.22</v>
      </c>
      <c r="BV550" s="7">
        <v>3.79</v>
      </c>
      <c r="BW550" s="9">
        <v>82.621499999999997</v>
      </c>
    </row>
    <row r="551" spans="1:75" x14ac:dyDescent="0.25">
      <c r="A551" s="6">
        <f t="shared" si="53"/>
        <v>45323</v>
      </c>
      <c r="B551" s="13">
        <f t="shared" si="48"/>
        <v>2</v>
      </c>
      <c r="C551" s="13">
        <f t="shared" si="49"/>
        <v>2024</v>
      </c>
      <c r="D551">
        <f t="shared" si="50"/>
        <v>202402</v>
      </c>
      <c r="E551">
        <f t="shared" si="51"/>
        <v>1</v>
      </c>
      <c r="F551">
        <f t="shared" si="52"/>
        <v>202401</v>
      </c>
      <c r="G551" t="s">
        <v>741</v>
      </c>
      <c r="H551" s="9">
        <v>5.25</v>
      </c>
      <c r="I551" s="9">
        <v>5.1878000000000002</v>
      </c>
      <c r="J551" s="10">
        <v>5.1843307000000003</v>
      </c>
      <c r="K551" s="10">
        <v>5.1616550999999999</v>
      </c>
      <c r="L551" s="10">
        <v>5.1100726999999999</v>
      </c>
      <c r="M551" s="10">
        <v>5.0244027999999998</v>
      </c>
      <c r="N551" s="10">
        <v>4.9106955000000001</v>
      </c>
      <c r="O551" s="10">
        <v>4.7796438999999999</v>
      </c>
      <c r="P551" s="10">
        <v>4.6421660999999999</v>
      </c>
      <c r="Q551" s="10">
        <v>4.5062578999999996</v>
      </c>
      <c r="R551" s="10">
        <v>4.3762499000000004</v>
      </c>
      <c r="S551" s="10">
        <v>4.2541212000000002</v>
      </c>
      <c r="T551" s="10">
        <v>4.1406957999999996</v>
      </c>
      <c r="U551" s="10">
        <v>4.0357456999999997</v>
      </c>
      <c r="V551" s="10">
        <v>3.9378179000000002</v>
      </c>
      <c r="W551" s="10">
        <v>3.8465082000000002</v>
      </c>
      <c r="X551" s="10">
        <v>3.7618965000000002</v>
      </c>
      <c r="Y551" s="10">
        <v>3.6840595999999999</v>
      </c>
      <c r="Z551" s="10">
        <v>3.6130745000000002</v>
      </c>
      <c r="AA551" s="10">
        <v>3.5490208999999999</v>
      </c>
      <c r="AB551" s="10">
        <v>3.4918613000000001</v>
      </c>
      <c r="AC551" s="10">
        <v>3.4411219000000002</v>
      </c>
      <c r="AD551" s="10">
        <v>3.3962268</v>
      </c>
      <c r="AE551" s="10">
        <v>3.3565982999999999</v>
      </c>
      <c r="AF551" s="10">
        <v>3.3216592</v>
      </c>
      <c r="AG551" s="10">
        <v>3.2908330000000001</v>
      </c>
      <c r="AH551" s="10">
        <v>3.2635881000000002</v>
      </c>
      <c r="AI551" s="10">
        <v>3.2396148999999999</v>
      </c>
      <c r="AJ551" s="10">
        <v>3.2186724999999998</v>
      </c>
      <c r="AK551" s="10">
        <v>3.2005191000000002</v>
      </c>
      <c r="AL551" s="10">
        <v>3.1849129</v>
      </c>
      <c r="AM551" s="10">
        <v>3.1716129999999998</v>
      </c>
      <c r="AN551" s="10">
        <v>3.1603775999999999</v>
      </c>
      <c r="AO551" s="10">
        <v>3.1509649999999998</v>
      </c>
      <c r="AP551" s="10">
        <v>3.1431339999999999</v>
      </c>
      <c r="AQ551" s="10">
        <v>3.1366429999999998</v>
      </c>
      <c r="AR551" s="10">
        <v>3.1312503999999999</v>
      </c>
      <c r="AS551" s="10">
        <v>3.1267147999999998</v>
      </c>
      <c r="AT551" s="10">
        <v>3.1228286999999999</v>
      </c>
      <c r="AU551" s="10">
        <v>3.1195347</v>
      </c>
      <c r="AV551" s="10">
        <v>3.1168171</v>
      </c>
      <c r="AW551" s="10">
        <v>3.1146598999999999</v>
      </c>
      <c r="AX551" s="10">
        <v>3.1130472999999999</v>
      </c>
      <c r="AY551" s="10">
        <v>3.1119634999999999</v>
      </c>
      <c r="AZ551" s="10">
        <v>3.1113925999999998</v>
      </c>
      <c r="BA551" s="10">
        <v>3.1113187</v>
      </c>
      <c r="BB551" s="10">
        <v>3.1117260999999998</v>
      </c>
      <c r="BC551" s="10">
        <v>3.1125986999999999</v>
      </c>
      <c r="BD551" s="10">
        <v>3.1139207999999998</v>
      </c>
      <c r="BE551" s="10">
        <v>3.1156765000000002</v>
      </c>
      <c r="BF551" s="10">
        <v>3.1178512</v>
      </c>
      <c r="BG551" s="10">
        <v>3.1204358999999999</v>
      </c>
      <c r="BH551" s="10">
        <v>3.1234231000000001</v>
      </c>
      <c r="BI551" s="10">
        <v>3.1268050999999999</v>
      </c>
      <c r="BJ551" s="10">
        <v>3.1305746999999999</v>
      </c>
      <c r="BK551" s="10">
        <v>3.1347241000000001</v>
      </c>
      <c r="BL551" s="10">
        <v>3.1392459000000001</v>
      </c>
      <c r="BM551" s="10">
        <v>3.1441325999999998</v>
      </c>
      <c r="BN551" s="10">
        <v>3.1493766000000001</v>
      </c>
      <c r="BO551" s="10">
        <v>3.1549705000000001</v>
      </c>
      <c r="BP551" s="10">
        <v>3.1609067999999998</v>
      </c>
      <c r="BQ551" s="10">
        <v>3.1671779</v>
      </c>
      <c r="BR551" s="10">
        <v>3.2112845999999999</v>
      </c>
      <c r="BS551" s="10">
        <v>3.2647526</v>
      </c>
      <c r="BU551" s="7">
        <v>4.24</v>
      </c>
      <c r="BV551" s="7">
        <v>3.76</v>
      </c>
      <c r="BW551" s="9">
        <v>82.474400000000003</v>
      </c>
    </row>
    <row r="552" spans="1:75" x14ac:dyDescent="0.25">
      <c r="A552" s="6">
        <f t="shared" si="53"/>
        <v>45324</v>
      </c>
      <c r="B552" s="13">
        <f t="shared" si="48"/>
        <v>2</v>
      </c>
      <c r="C552" s="13">
        <f t="shared" si="49"/>
        <v>2024</v>
      </c>
      <c r="D552">
        <f t="shared" si="50"/>
        <v>202402</v>
      </c>
      <c r="E552">
        <f t="shared" si="51"/>
        <v>1</v>
      </c>
      <c r="F552">
        <f t="shared" si="52"/>
        <v>202401</v>
      </c>
      <c r="G552" t="s">
        <v>742</v>
      </c>
      <c r="H552" s="9">
        <v>5.25</v>
      </c>
      <c r="I552" s="9">
        <v>5.1885000000000003</v>
      </c>
      <c r="J552" s="10">
        <v>5.1810986000000003</v>
      </c>
      <c r="K552" s="10">
        <v>5.1687959000000001</v>
      </c>
      <c r="L552" s="10">
        <v>5.1308084000000003</v>
      </c>
      <c r="M552" s="10">
        <v>5.0609634999999997</v>
      </c>
      <c r="N552" s="10">
        <v>4.9644914</v>
      </c>
      <c r="O552" s="10">
        <v>4.8513273999999997</v>
      </c>
      <c r="P552" s="10">
        <v>4.7330914999999996</v>
      </c>
      <c r="Q552" s="10">
        <v>4.6182891000000001</v>
      </c>
      <c r="R552" s="10">
        <v>4.5105414000000001</v>
      </c>
      <c r="S552" s="10">
        <v>4.4107979999999998</v>
      </c>
      <c r="T552" s="10">
        <v>4.3182790999999998</v>
      </c>
      <c r="U552" s="10">
        <v>4.2314125000000002</v>
      </c>
      <c r="V552" s="10">
        <v>4.1478409000000003</v>
      </c>
      <c r="W552" s="10">
        <v>4.0672927999999997</v>
      </c>
      <c r="X552" s="10">
        <v>3.9902348999999999</v>
      </c>
      <c r="Y552" s="10">
        <v>3.9171312999999999</v>
      </c>
      <c r="Z552" s="10">
        <v>3.8484460999999999</v>
      </c>
      <c r="AA552" s="10">
        <v>3.7846460999999998</v>
      </c>
      <c r="AB552" s="10">
        <v>3.7260905000000002</v>
      </c>
      <c r="AC552" s="10">
        <v>3.6726510000000001</v>
      </c>
      <c r="AD552" s="10">
        <v>3.6240602000000002</v>
      </c>
      <c r="AE552" s="10">
        <v>3.5800488000000001</v>
      </c>
      <c r="AF552" s="10">
        <v>3.5403475000000002</v>
      </c>
      <c r="AG552" s="10">
        <v>3.5046886000000002</v>
      </c>
      <c r="AH552" s="10">
        <v>3.4728061000000001</v>
      </c>
      <c r="AI552" s="10">
        <v>3.4444485</v>
      </c>
      <c r="AJ552" s="10">
        <v>3.4193696999999998</v>
      </c>
      <c r="AK552" s="10">
        <v>3.3973222000000001</v>
      </c>
      <c r="AL552" s="10">
        <v>3.3780587</v>
      </c>
      <c r="AM552" s="10">
        <v>3.3613325999999999</v>
      </c>
      <c r="AN552" s="10">
        <v>3.3468966999999998</v>
      </c>
      <c r="AO552" s="10">
        <v>3.3345039000000001</v>
      </c>
      <c r="AP552" s="10">
        <v>3.3239071999999998</v>
      </c>
      <c r="AQ552" s="10">
        <v>3.3148597</v>
      </c>
      <c r="AR552" s="10">
        <v>3.3071141000000002</v>
      </c>
      <c r="AS552" s="10">
        <v>3.3004235999999998</v>
      </c>
      <c r="AT552" s="10">
        <v>3.2945734999999998</v>
      </c>
      <c r="AU552" s="10">
        <v>3.2894925000000002</v>
      </c>
      <c r="AV552" s="10">
        <v>3.2851490999999999</v>
      </c>
      <c r="AW552" s="10">
        <v>3.2815115000000001</v>
      </c>
      <c r="AX552" s="10">
        <v>3.2785479999999998</v>
      </c>
      <c r="AY552" s="10">
        <v>3.276227</v>
      </c>
      <c r="AZ552" s="10">
        <v>3.2745166999999999</v>
      </c>
      <c r="BA552" s="10">
        <v>3.2733854999999998</v>
      </c>
      <c r="BB552" s="10">
        <v>3.2728016000000002</v>
      </c>
      <c r="BC552" s="10">
        <v>3.2727335000000002</v>
      </c>
      <c r="BD552" s="10">
        <v>3.2731493</v>
      </c>
      <c r="BE552" s="10">
        <v>3.2740174999999998</v>
      </c>
      <c r="BF552" s="10">
        <v>3.2753100000000002</v>
      </c>
      <c r="BG552" s="10">
        <v>3.2770158</v>
      </c>
      <c r="BH552" s="10">
        <v>3.279128</v>
      </c>
      <c r="BI552" s="10">
        <v>3.2816399999999999</v>
      </c>
      <c r="BJ552" s="10">
        <v>3.2845453</v>
      </c>
      <c r="BK552" s="10">
        <v>3.2878371</v>
      </c>
      <c r="BL552" s="10">
        <v>3.2915087999999999</v>
      </c>
      <c r="BM552" s="10">
        <v>3.2955537000000001</v>
      </c>
      <c r="BN552" s="10">
        <v>3.2999651999999999</v>
      </c>
      <c r="BO552" s="10">
        <v>3.3047366999999999</v>
      </c>
      <c r="BP552" s="10">
        <v>3.3098614</v>
      </c>
      <c r="BQ552" s="10">
        <v>3.3153328000000002</v>
      </c>
      <c r="BR552" s="10">
        <v>3.3549177000000001</v>
      </c>
      <c r="BS552" s="10">
        <v>3.4043849000000002</v>
      </c>
      <c r="BU552" s="7">
        <v>4.43</v>
      </c>
      <c r="BV552" s="7">
        <v>3.92</v>
      </c>
      <c r="BW552" s="9">
        <v>82.5077</v>
      </c>
    </row>
    <row r="553" spans="1:75" x14ac:dyDescent="0.25">
      <c r="A553" s="6">
        <f t="shared" si="53"/>
        <v>45327</v>
      </c>
      <c r="B553" s="13">
        <f t="shared" si="48"/>
        <v>2</v>
      </c>
      <c r="C553" s="13">
        <f t="shared" si="49"/>
        <v>2024</v>
      </c>
      <c r="D553">
        <f t="shared" si="50"/>
        <v>202402</v>
      </c>
      <c r="E553">
        <f t="shared" si="51"/>
        <v>1</v>
      </c>
      <c r="F553">
        <f t="shared" si="52"/>
        <v>202401</v>
      </c>
      <c r="G553" t="s">
        <v>743</v>
      </c>
      <c r="H553" s="9">
        <v>5.25</v>
      </c>
      <c r="I553" s="9">
        <v>5.1883999999999997</v>
      </c>
      <c r="J553" s="10">
        <v>5.1834436000000004</v>
      </c>
      <c r="K553" s="10">
        <v>5.1678597999999996</v>
      </c>
      <c r="L553" s="10">
        <v>5.1348197000000004</v>
      </c>
      <c r="M553" s="10">
        <v>5.0772466999999999</v>
      </c>
      <c r="N553" s="10">
        <v>4.9979082000000004</v>
      </c>
      <c r="O553" s="10">
        <v>4.9020260000000002</v>
      </c>
      <c r="P553" s="10">
        <v>4.7967801000000003</v>
      </c>
      <c r="Q553" s="10">
        <v>4.6884772000000003</v>
      </c>
      <c r="R553" s="10">
        <v>4.5819403000000003</v>
      </c>
      <c r="S553" s="10">
        <v>4.4804639999999996</v>
      </c>
      <c r="T553" s="10">
        <v>4.3862252000000002</v>
      </c>
      <c r="U553" s="10">
        <v>4.2995466000000002</v>
      </c>
      <c r="V553" s="10">
        <v>4.2182966999999998</v>
      </c>
      <c r="W553" s="10">
        <v>4.1418647999999996</v>
      </c>
      <c r="X553" s="10">
        <v>4.0702769999999999</v>
      </c>
      <c r="Y553" s="10">
        <v>4.0035562000000002</v>
      </c>
      <c r="Z553" s="10">
        <v>3.9417260999999999</v>
      </c>
      <c r="AA553" s="10">
        <v>3.8848121</v>
      </c>
      <c r="AB553" s="10">
        <v>3.8327757</v>
      </c>
      <c r="AC553" s="10">
        <v>3.7853431999999998</v>
      </c>
      <c r="AD553" s="10">
        <v>3.7421864</v>
      </c>
      <c r="AE553" s="10">
        <v>3.7029755999999998</v>
      </c>
      <c r="AF553" s="10">
        <v>3.6673809999999998</v>
      </c>
      <c r="AG553" s="10">
        <v>3.6350742</v>
      </c>
      <c r="AH553" s="10">
        <v>3.6057462</v>
      </c>
      <c r="AI553" s="10">
        <v>3.5791789999999999</v>
      </c>
      <c r="AJ553" s="10">
        <v>3.5551808</v>
      </c>
      <c r="AK553" s="10">
        <v>3.5335588000000002</v>
      </c>
      <c r="AL553" s="10">
        <v>3.5141201999999998</v>
      </c>
      <c r="AM553" s="10">
        <v>3.4966732</v>
      </c>
      <c r="AN553" s="10">
        <v>3.4810248000000001</v>
      </c>
      <c r="AO553" s="10">
        <v>3.4669824999999999</v>
      </c>
      <c r="AP553" s="10">
        <v>3.4543542</v>
      </c>
      <c r="AQ553" s="10">
        <v>3.4429471</v>
      </c>
      <c r="AR553" s="10">
        <v>3.4325687</v>
      </c>
      <c r="AS553" s="10">
        <v>3.4230266999999999</v>
      </c>
      <c r="AT553" s="10">
        <v>3.4141569999999999</v>
      </c>
      <c r="AU553" s="10">
        <v>3.4059211999999999</v>
      </c>
      <c r="AV553" s="10">
        <v>3.3983158000000002</v>
      </c>
      <c r="AW553" s="10">
        <v>3.391337</v>
      </c>
      <c r="AX553" s="10">
        <v>3.3849811000000001</v>
      </c>
      <c r="AY553" s="10">
        <v>3.3792445999999998</v>
      </c>
      <c r="AZ553" s="10">
        <v>3.3741237000000002</v>
      </c>
      <c r="BA553" s="10">
        <v>3.3696147999999999</v>
      </c>
      <c r="BB553" s="10">
        <v>3.3657142000000002</v>
      </c>
      <c r="BC553" s="10">
        <v>3.3624182999999999</v>
      </c>
      <c r="BD553" s="10">
        <v>3.3597234</v>
      </c>
      <c r="BE553" s="10">
        <v>3.3576258999999999</v>
      </c>
      <c r="BF553" s="10">
        <v>3.3561212999999999</v>
      </c>
      <c r="BG553" s="10">
        <v>3.3552018000000001</v>
      </c>
      <c r="BH553" s="10">
        <v>3.3548581999999998</v>
      </c>
      <c r="BI553" s="10">
        <v>3.3550811999999999</v>
      </c>
      <c r="BJ553" s="10">
        <v>3.3558615999999999</v>
      </c>
      <c r="BK553" s="10">
        <v>3.3571903000000001</v>
      </c>
      <c r="BL553" s="10">
        <v>3.3590580000000001</v>
      </c>
      <c r="BM553" s="10">
        <v>3.3614557</v>
      </c>
      <c r="BN553" s="10">
        <v>3.3643738999999999</v>
      </c>
      <c r="BO553" s="10">
        <v>3.3678037000000001</v>
      </c>
      <c r="BP553" s="10">
        <v>3.3717356999999999</v>
      </c>
      <c r="BQ553" s="10">
        <v>3.3761608000000001</v>
      </c>
      <c r="BR553" s="10">
        <v>3.4121519999999999</v>
      </c>
      <c r="BS553" s="10">
        <v>3.4611282999999999</v>
      </c>
      <c r="BU553" s="7">
        <v>4.49</v>
      </c>
      <c r="BV553" s="7">
        <v>4</v>
      </c>
      <c r="BW553" s="9">
        <v>81.993799999999993</v>
      </c>
    </row>
    <row r="554" spans="1:75" x14ac:dyDescent="0.25">
      <c r="A554" s="6">
        <f t="shared" si="53"/>
        <v>45328</v>
      </c>
      <c r="B554" s="13">
        <f t="shared" si="48"/>
        <v>2</v>
      </c>
      <c r="C554" s="13">
        <f t="shared" si="49"/>
        <v>2024</v>
      </c>
      <c r="D554">
        <f t="shared" si="50"/>
        <v>202402</v>
      </c>
      <c r="E554">
        <f t="shared" si="51"/>
        <v>1</v>
      </c>
      <c r="F554">
        <f t="shared" si="52"/>
        <v>202401</v>
      </c>
      <c r="G554" t="s">
        <v>744</v>
      </c>
      <c r="H554" s="9">
        <v>5.25</v>
      </c>
      <c r="I554" s="9">
        <v>5.1894</v>
      </c>
      <c r="J554" s="10">
        <v>5.1834636999999999</v>
      </c>
      <c r="K554" s="10">
        <v>5.1643863999999997</v>
      </c>
      <c r="L554" s="10">
        <v>5.1270356000000001</v>
      </c>
      <c r="M554" s="10">
        <v>5.0645870000000004</v>
      </c>
      <c r="N554" s="10">
        <v>4.9802979000000001</v>
      </c>
      <c r="O554" s="10">
        <v>4.8808309999999997</v>
      </c>
      <c r="P554" s="10">
        <v>4.7733169000000002</v>
      </c>
      <c r="Q554" s="10">
        <v>4.6638856000000004</v>
      </c>
      <c r="R554" s="10">
        <v>4.5565648000000003</v>
      </c>
      <c r="S554" s="10">
        <v>4.4538570999999996</v>
      </c>
      <c r="T554" s="10">
        <v>4.3573573999999997</v>
      </c>
      <c r="U554" s="10">
        <v>4.2673702000000002</v>
      </c>
      <c r="V554" s="10">
        <v>4.1831063000000004</v>
      </c>
      <c r="W554" s="10">
        <v>4.1043107000000001</v>
      </c>
      <c r="X554" s="10">
        <v>4.0309542</v>
      </c>
      <c r="Y554" s="10">
        <v>3.9630049000000001</v>
      </c>
      <c r="Z554" s="10">
        <v>3.9004313000000002</v>
      </c>
      <c r="AA554" s="10">
        <v>3.8432037999999999</v>
      </c>
      <c r="AB554" s="10">
        <v>3.7912205999999999</v>
      </c>
      <c r="AC554" s="10">
        <v>3.7441122999999998</v>
      </c>
      <c r="AD554" s="10">
        <v>3.7014480999999999</v>
      </c>
      <c r="AE554" s="10">
        <v>3.6627949000000002</v>
      </c>
      <c r="AF554" s="10">
        <v>3.6277202000000002</v>
      </c>
      <c r="AG554" s="10">
        <v>3.5957925999999998</v>
      </c>
      <c r="AH554" s="10">
        <v>3.5666194</v>
      </c>
      <c r="AI554" s="10">
        <v>3.5399848999999999</v>
      </c>
      <c r="AJ554" s="10">
        <v>3.5157231000000002</v>
      </c>
      <c r="AK554" s="10">
        <v>3.4936669</v>
      </c>
      <c r="AL554" s="10">
        <v>3.4736494000000002</v>
      </c>
      <c r="AM554" s="10">
        <v>3.4555045</v>
      </c>
      <c r="AN554" s="10">
        <v>3.4390651999999999</v>
      </c>
      <c r="AO554" s="10">
        <v>3.4241646000000001</v>
      </c>
      <c r="AP554" s="10">
        <v>3.4106366000000001</v>
      </c>
      <c r="AQ554" s="10">
        <v>3.3983140999999999</v>
      </c>
      <c r="AR554" s="10">
        <v>3.3870304999999998</v>
      </c>
      <c r="AS554" s="10">
        <v>3.3766193000000002</v>
      </c>
      <c r="AT554" s="10">
        <v>3.3669337000000001</v>
      </c>
      <c r="AU554" s="10">
        <v>3.3579349999999999</v>
      </c>
      <c r="AV554" s="10">
        <v>3.3496212000000001</v>
      </c>
      <c r="AW554" s="10">
        <v>3.3419895999999998</v>
      </c>
      <c r="AX554" s="10">
        <v>3.3350379000000001</v>
      </c>
      <c r="AY554" s="10">
        <v>3.3287637999999999</v>
      </c>
      <c r="AZ554" s="10">
        <v>3.3231649000000001</v>
      </c>
      <c r="BA554" s="10">
        <v>3.3182388999999999</v>
      </c>
      <c r="BB554" s="10">
        <v>3.3139834000000001</v>
      </c>
      <c r="BC554" s="10">
        <v>3.3103959999999999</v>
      </c>
      <c r="BD554" s="10">
        <v>3.3074743999999998</v>
      </c>
      <c r="BE554" s="10">
        <v>3.3052161</v>
      </c>
      <c r="BF554" s="10">
        <v>3.3036164000000001</v>
      </c>
      <c r="BG554" s="10">
        <v>3.3026577000000001</v>
      </c>
      <c r="BH554" s="10">
        <v>3.3023188999999999</v>
      </c>
      <c r="BI554" s="10">
        <v>3.3025788</v>
      </c>
      <c r="BJ554" s="10">
        <v>3.3034161000000002</v>
      </c>
      <c r="BK554" s="10">
        <v>3.3048096999999999</v>
      </c>
      <c r="BL554" s="10">
        <v>3.3067383000000001</v>
      </c>
      <c r="BM554" s="10">
        <v>3.3091807000000002</v>
      </c>
      <c r="BN554" s="10">
        <v>3.3121157999999999</v>
      </c>
      <c r="BO554" s="10">
        <v>3.3155222000000002</v>
      </c>
      <c r="BP554" s="10">
        <v>3.3193790000000001</v>
      </c>
      <c r="BQ554" s="10">
        <v>3.3236645999999999</v>
      </c>
      <c r="BR554" s="10">
        <v>3.3572734</v>
      </c>
      <c r="BS554" s="10">
        <v>3.4014300999999998</v>
      </c>
      <c r="BU554" s="7">
        <v>4.43</v>
      </c>
      <c r="BV554" s="7">
        <v>3.94</v>
      </c>
      <c r="BW554" s="9">
        <v>82.221900000000005</v>
      </c>
    </row>
    <row r="555" spans="1:75" x14ac:dyDescent="0.25">
      <c r="A555" s="6">
        <f t="shared" si="53"/>
        <v>45329</v>
      </c>
      <c r="B555" s="13">
        <f t="shared" si="48"/>
        <v>2</v>
      </c>
      <c r="C555" s="13">
        <f t="shared" si="49"/>
        <v>2024</v>
      </c>
      <c r="D555">
        <f t="shared" si="50"/>
        <v>202402</v>
      </c>
      <c r="E555">
        <f t="shared" si="51"/>
        <v>1</v>
      </c>
      <c r="F555">
        <f t="shared" si="52"/>
        <v>202401</v>
      </c>
      <c r="G555" t="s">
        <v>745</v>
      </c>
      <c r="H555" s="9">
        <v>5.25</v>
      </c>
      <c r="I555" s="9">
        <v>5.1890000000000001</v>
      </c>
      <c r="J555" s="10">
        <v>5.1841197000000001</v>
      </c>
      <c r="K555" s="10">
        <v>5.1656370999999996</v>
      </c>
      <c r="L555" s="10">
        <v>5.1278486000000001</v>
      </c>
      <c r="M555" s="10">
        <v>5.0659045000000003</v>
      </c>
      <c r="N555" s="10">
        <v>4.9838412999999999</v>
      </c>
      <c r="O555" s="10">
        <v>4.8876809999999997</v>
      </c>
      <c r="P555" s="10">
        <v>4.783944</v>
      </c>
      <c r="Q555" s="10">
        <v>4.6781153</v>
      </c>
      <c r="R555" s="10">
        <v>4.574001</v>
      </c>
      <c r="S555" s="10">
        <v>4.4741635999999998</v>
      </c>
      <c r="T555" s="10">
        <v>4.380077</v>
      </c>
      <c r="U555" s="10">
        <v>4.2922424000000001</v>
      </c>
      <c r="V555" s="10">
        <v>4.2099333000000003</v>
      </c>
      <c r="W555" s="10">
        <v>4.1328601000000003</v>
      </c>
      <c r="X555" s="10">
        <v>4.0609484</v>
      </c>
      <c r="Y555" s="10">
        <v>3.9941211000000001</v>
      </c>
      <c r="Z555" s="10">
        <v>3.9323011000000001</v>
      </c>
      <c r="AA555" s="10">
        <v>3.8754138</v>
      </c>
      <c r="AB555" s="10">
        <v>3.8233340999999998</v>
      </c>
      <c r="AC555" s="10">
        <v>3.7757546</v>
      </c>
      <c r="AD555" s="10">
        <v>3.7323263</v>
      </c>
      <c r="AE555" s="10">
        <v>3.6926982000000002</v>
      </c>
      <c r="AF555" s="10">
        <v>3.6565197</v>
      </c>
      <c r="AG555" s="10">
        <v>3.6234413000000001</v>
      </c>
      <c r="AH555" s="10">
        <v>3.5931367999999999</v>
      </c>
      <c r="AI555" s="10">
        <v>3.5654119</v>
      </c>
      <c r="AJ555" s="10">
        <v>3.5401177000000001</v>
      </c>
      <c r="AK555" s="10">
        <v>3.5171041999999999</v>
      </c>
      <c r="AL555" s="10">
        <v>3.4962214</v>
      </c>
      <c r="AM555" s="10">
        <v>3.4773201</v>
      </c>
      <c r="AN555" s="10">
        <v>3.4602504999999999</v>
      </c>
      <c r="AO555" s="10">
        <v>3.4448628000000001</v>
      </c>
      <c r="AP555" s="10">
        <v>3.4310076</v>
      </c>
      <c r="AQ555" s="10">
        <v>3.4185349999999999</v>
      </c>
      <c r="AR555" s="10">
        <v>3.4072954000000002</v>
      </c>
      <c r="AS555" s="10">
        <v>3.3971393000000001</v>
      </c>
      <c r="AT555" s="10">
        <v>3.3879334999999999</v>
      </c>
      <c r="AU555" s="10">
        <v>3.3796265000000001</v>
      </c>
      <c r="AV555" s="10">
        <v>3.3721915999999998</v>
      </c>
      <c r="AW555" s="10">
        <v>3.3656019000000001</v>
      </c>
      <c r="AX555" s="10">
        <v>3.3598303999999999</v>
      </c>
      <c r="AY555" s="10">
        <v>3.3548505999999998</v>
      </c>
      <c r="AZ555" s="10">
        <v>3.3506353999999998</v>
      </c>
      <c r="BA555" s="10">
        <v>3.3471581000000001</v>
      </c>
      <c r="BB555" s="10">
        <v>3.344392</v>
      </c>
      <c r="BC555" s="10">
        <v>3.3423101000000002</v>
      </c>
      <c r="BD555" s="10">
        <v>3.3408856999999998</v>
      </c>
      <c r="BE555" s="10">
        <v>3.3400918000000002</v>
      </c>
      <c r="BF555" s="10">
        <v>3.3399030000000001</v>
      </c>
      <c r="BG555" s="10">
        <v>3.3402989999999999</v>
      </c>
      <c r="BH555" s="10">
        <v>3.3412611000000001</v>
      </c>
      <c r="BI555" s="10">
        <v>3.3427704</v>
      </c>
      <c r="BJ555" s="10">
        <v>3.3448082000000001</v>
      </c>
      <c r="BK555" s="10">
        <v>3.3473557999999999</v>
      </c>
      <c r="BL555" s="10">
        <v>3.3503945000000002</v>
      </c>
      <c r="BM555" s="10">
        <v>3.3539055000000002</v>
      </c>
      <c r="BN555" s="10">
        <v>3.3578698999999999</v>
      </c>
      <c r="BO555" s="10">
        <v>3.3622690999999998</v>
      </c>
      <c r="BP555" s="10">
        <v>3.3670844</v>
      </c>
      <c r="BQ555" s="10">
        <v>3.3722968999999998</v>
      </c>
      <c r="BR555" s="10">
        <v>3.4109571999999999</v>
      </c>
      <c r="BS555" s="10">
        <v>3.4597630000000001</v>
      </c>
      <c r="BU555" s="7">
        <v>4.4800000000000004</v>
      </c>
      <c r="BV555" s="7">
        <v>4</v>
      </c>
      <c r="BW555" s="9">
        <v>82.523899999999998</v>
      </c>
    </row>
    <row r="556" spans="1:75" x14ac:dyDescent="0.25">
      <c r="A556" s="6">
        <f t="shared" si="53"/>
        <v>45330</v>
      </c>
      <c r="B556" s="13">
        <f t="shared" si="48"/>
        <v>2</v>
      </c>
      <c r="C556" s="13">
        <f t="shared" si="49"/>
        <v>2024</v>
      </c>
      <c r="D556">
        <f t="shared" si="50"/>
        <v>202402</v>
      </c>
      <c r="E556">
        <f t="shared" si="51"/>
        <v>1</v>
      </c>
      <c r="F556">
        <f t="shared" si="52"/>
        <v>202401</v>
      </c>
      <c r="G556" t="s">
        <v>746</v>
      </c>
      <c r="H556" s="9">
        <v>5.25</v>
      </c>
      <c r="I556" s="9">
        <v>5.1879999999999997</v>
      </c>
      <c r="J556" s="10">
        <v>5.1825599000000002</v>
      </c>
      <c r="K556" s="10">
        <v>5.1710200999999998</v>
      </c>
      <c r="L556" s="10">
        <v>5.1430100000000003</v>
      </c>
      <c r="M556" s="10">
        <v>5.0892860999999998</v>
      </c>
      <c r="N556" s="10">
        <v>5.0095948999999997</v>
      </c>
      <c r="O556" s="10">
        <v>4.9130456000000002</v>
      </c>
      <c r="P556" s="10">
        <v>4.8090488999999996</v>
      </c>
      <c r="Q556" s="10">
        <v>4.7030608000000003</v>
      </c>
      <c r="R556" s="10">
        <v>4.5984802</v>
      </c>
      <c r="S556" s="10">
        <v>4.4977678000000001</v>
      </c>
      <c r="T556" s="10">
        <v>4.4033538999999999</v>
      </c>
      <c r="U556" s="10">
        <v>4.3165857000000001</v>
      </c>
      <c r="V556" s="10">
        <v>4.2368703999999999</v>
      </c>
      <c r="W556" s="10">
        <v>4.1636537999999996</v>
      </c>
      <c r="X556" s="10">
        <v>4.0965590000000001</v>
      </c>
      <c r="Y556" s="10">
        <v>4.0352063999999999</v>
      </c>
      <c r="Z556" s="10">
        <v>3.9792168000000001</v>
      </c>
      <c r="AA556" s="10">
        <v>3.928213</v>
      </c>
      <c r="AB556" s="10">
        <v>3.8818122000000002</v>
      </c>
      <c r="AC556" s="10">
        <v>3.8396186000000001</v>
      </c>
      <c r="AD556" s="10">
        <v>3.8012348</v>
      </c>
      <c r="AE556" s="10">
        <v>3.7662616</v>
      </c>
      <c r="AF556" s="10">
        <v>3.7343001999999998</v>
      </c>
      <c r="AG556" s="10">
        <v>3.7049528999999999</v>
      </c>
      <c r="AH556" s="10">
        <v>3.6778594999999998</v>
      </c>
      <c r="AI556" s="10">
        <v>3.6528483</v>
      </c>
      <c r="AJ556" s="10">
        <v>3.6298059999999999</v>
      </c>
      <c r="AK556" s="10">
        <v>3.6086181000000002</v>
      </c>
      <c r="AL556" s="10">
        <v>3.5891704999999998</v>
      </c>
      <c r="AM556" s="10">
        <v>3.5713496999999998</v>
      </c>
      <c r="AN556" s="10">
        <v>3.5550413000000001</v>
      </c>
      <c r="AO556" s="10">
        <v>3.5401313000000001</v>
      </c>
      <c r="AP556" s="10">
        <v>3.5265059999999999</v>
      </c>
      <c r="AQ556" s="10">
        <v>3.5140511999999999</v>
      </c>
      <c r="AR556" s="10">
        <v>3.5026527999999999</v>
      </c>
      <c r="AS556" s="10">
        <v>3.492197</v>
      </c>
      <c r="AT556" s="10">
        <v>3.4825837000000002</v>
      </c>
      <c r="AU556" s="10">
        <v>3.4737740000000001</v>
      </c>
      <c r="AV556" s="10">
        <v>3.4657464999999998</v>
      </c>
      <c r="AW556" s="10">
        <v>3.4584795000000002</v>
      </c>
      <c r="AX556" s="10">
        <v>3.4519510000000002</v>
      </c>
      <c r="AY556" s="10">
        <v>3.4461396999999998</v>
      </c>
      <c r="AZ556" s="10">
        <v>3.4410237000000001</v>
      </c>
      <c r="BA556" s="10">
        <v>3.4365812</v>
      </c>
      <c r="BB556" s="10">
        <v>3.4327907</v>
      </c>
      <c r="BC556" s="10">
        <v>3.4296305</v>
      </c>
      <c r="BD556" s="10">
        <v>3.4270787999999999</v>
      </c>
      <c r="BE556" s="10">
        <v>3.4251138999999999</v>
      </c>
      <c r="BF556" s="10">
        <v>3.4237150000000001</v>
      </c>
      <c r="BG556" s="10">
        <v>3.4228638999999998</v>
      </c>
      <c r="BH556" s="10">
        <v>3.4225436999999999</v>
      </c>
      <c r="BI556" s="10">
        <v>3.4227373000000001</v>
      </c>
      <c r="BJ556" s="10">
        <v>3.4234276000000001</v>
      </c>
      <c r="BK556" s="10">
        <v>3.4245975</v>
      </c>
      <c r="BL556" s="10">
        <v>3.4262299999999999</v>
      </c>
      <c r="BM556" s="10">
        <v>3.4283079999999999</v>
      </c>
      <c r="BN556" s="10">
        <v>3.4308144</v>
      </c>
      <c r="BO556" s="10">
        <v>3.4337322000000001</v>
      </c>
      <c r="BP556" s="10">
        <v>3.4370441999999999</v>
      </c>
      <c r="BQ556" s="10">
        <v>3.4407334000000001</v>
      </c>
      <c r="BR556" s="10">
        <v>3.4700072999999998</v>
      </c>
      <c r="BS556" s="10">
        <v>3.5096235</v>
      </c>
      <c r="BU556" s="7">
        <v>4.55</v>
      </c>
      <c r="BV556" s="7">
        <v>4.0599999999999996</v>
      </c>
      <c r="BW556" s="9">
        <v>82.388300000000001</v>
      </c>
    </row>
    <row r="557" spans="1:75" x14ac:dyDescent="0.25">
      <c r="A557" s="6">
        <f t="shared" si="53"/>
        <v>45331</v>
      </c>
      <c r="B557" s="13">
        <f t="shared" si="48"/>
        <v>2</v>
      </c>
      <c r="C557" s="13">
        <f t="shared" si="49"/>
        <v>2024</v>
      </c>
      <c r="D557">
        <f t="shared" si="50"/>
        <v>202402</v>
      </c>
      <c r="E557">
        <f t="shared" si="51"/>
        <v>1</v>
      </c>
      <c r="F557">
        <f t="shared" si="52"/>
        <v>202401</v>
      </c>
      <c r="G557" t="s">
        <v>747</v>
      </c>
      <c r="H557" s="9">
        <v>5.25</v>
      </c>
      <c r="I557" s="9">
        <v>5.1885000000000003</v>
      </c>
      <c r="J557" s="10">
        <v>5.1829739999999997</v>
      </c>
      <c r="K557" s="10">
        <v>5.1678312000000002</v>
      </c>
      <c r="L557" s="10">
        <v>5.1350043999999997</v>
      </c>
      <c r="M557" s="10">
        <v>5.0810604000000001</v>
      </c>
      <c r="N557" s="10">
        <v>5.0096257</v>
      </c>
      <c r="O557" s="10">
        <v>4.9257526</v>
      </c>
      <c r="P557" s="10">
        <v>4.8347306999999997</v>
      </c>
      <c r="Q557" s="10">
        <v>4.7412763</v>
      </c>
      <c r="R557" s="10">
        <v>4.6490660999999998</v>
      </c>
      <c r="S557" s="10">
        <v>4.5607471000000004</v>
      </c>
      <c r="T557" s="10">
        <v>4.4777113000000002</v>
      </c>
      <c r="U557" s="10">
        <v>4.4001298000000002</v>
      </c>
      <c r="V557" s="10">
        <v>4.3261238000000004</v>
      </c>
      <c r="W557" s="10">
        <v>4.2552664</v>
      </c>
      <c r="X557" s="10">
        <v>4.1877652999999997</v>
      </c>
      <c r="Y557" s="10">
        <v>4.1238257000000003</v>
      </c>
      <c r="Z557" s="10">
        <v>4.0636532000000001</v>
      </c>
      <c r="AA557" s="10">
        <v>4.0074551999999999</v>
      </c>
      <c r="AB557" s="10">
        <v>3.9553791999999999</v>
      </c>
      <c r="AC557" s="10">
        <v>3.9073036000000001</v>
      </c>
      <c r="AD557" s="10">
        <v>3.8630306999999999</v>
      </c>
      <c r="AE557" s="10">
        <v>3.8223607999999998</v>
      </c>
      <c r="AF557" s="10">
        <v>3.7850945999999999</v>
      </c>
      <c r="AG557" s="10">
        <v>3.7510338999999999</v>
      </c>
      <c r="AH557" s="10">
        <v>3.7199814999999998</v>
      </c>
      <c r="AI557" s="10">
        <v>3.6917498000000002</v>
      </c>
      <c r="AJ557" s="10">
        <v>3.6661545000000002</v>
      </c>
      <c r="AK557" s="10">
        <v>3.6430106000000002</v>
      </c>
      <c r="AL557" s="10">
        <v>3.6221331999999999</v>
      </c>
      <c r="AM557" s="10">
        <v>3.6033379999999999</v>
      </c>
      <c r="AN557" s="10">
        <v>3.5864398999999998</v>
      </c>
      <c r="AO557" s="10">
        <v>3.5712540000000002</v>
      </c>
      <c r="AP557" s="10">
        <v>3.5575960000000002</v>
      </c>
      <c r="AQ557" s="10">
        <v>3.5452808999999998</v>
      </c>
      <c r="AR557" s="10">
        <v>3.5341238000000001</v>
      </c>
      <c r="AS557" s="10">
        <v>3.5239403</v>
      </c>
      <c r="AT557" s="10">
        <v>3.5145689999999998</v>
      </c>
      <c r="AU557" s="10">
        <v>3.5059521999999999</v>
      </c>
      <c r="AV557" s="10">
        <v>3.4980614999999999</v>
      </c>
      <c r="AW557" s="10">
        <v>3.4908679999999999</v>
      </c>
      <c r="AX557" s="10">
        <v>3.4843427</v>
      </c>
      <c r="AY557" s="10">
        <v>3.4784570000000001</v>
      </c>
      <c r="AZ557" s="10">
        <v>3.473182</v>
      </c>
      <c r="BA557" s="10">
        <v>3.4684889000000001</v>
      </c>
      <c r="BB557" s="10">
        <v>3.4643489999999999</v>
      </c>
      <c r="BC557" s="10">
        <v>3.4607334000000001</v>
      </c>
      <c r="BD557" s="10">
        <v>3.4576134000000001</v>
      </c>
      <c r="BE557" s="10">
        <v>3.4549601000000001</v>
      </c>
      <c r="BF557" s="10">
        <v>3.4527481999999998</v>
      </c>
      <c r="BG557" s="10">
        <v>3.4509672999999998</v>
      </c>
      <c r="BH557" s="10">
        <v>3.4496112000000001</v>
      </c>
      <c r="BI557" s="10">
        <v>3.4486739000000002</v>
      </c>
      <c r="BJ557" s="10">
        <v>3.4481492</v>
      </c>
      <c r="BK557" s="10">
        <v>3.4480309</v>
      </c>
      <c r="BL557" s="10">
        <v>3.4483128000000001</v>
      </c>
      <c r="BM557" s="10">
        <v>3.4489888</v>
      </c>
      <c r="BN557" s="10">
        <v>3.4500527000000001</v>
      </c>
      <c r="BO557" s="10">
        <v>3.4514984000000002</v>
      </c>
      <c r="BP557" s="10">
        <v>3.4533197000000002</v>
      </c>
      <c r="BQ557" s="10">
        <v>3.4555104999999999</v>
      </c>
      <c r="BR557" s="10">
        <v>3.4760114</v>
      </c>
      <c r="BS557" s="10">
        <v>3.5079091999999998</v>
      </c>
      <c r="BU557" s="7">
        <v>4.57</v>
      </c>
      <c r="BV557" s="7">
        <v>4.0599999999999996</v>
      </c>
      <c r="BW557" s="9">
        <v>82.477599999999995</v>
      </c>
    </row>
    <row r="558" spans="1:75" x14ac:dyDescent="0.25">
      <c r="A558" s="6">
        <f t="shared" si="53"/>
        <v>45334</v>
      </c>
      <c r="B558" s="13">
        <f t="shared" si="48"/>
        <v>2</v>
      </c>
      <c r="C558" s="13">
        <f t="shared" si="49"/>
        <v>2024</v>
      </c>
      <c r="D558">
        <f t="shared" si="50"/>
        <v>202402</v>
      </c>
      <c r="E558">
        <f t="shared" si="51"/>
        <v>1</v>
      </c>
      <c r="F558">
        <f t="shared" si="52"/>
        <v>202401</v>
      </c>
      <c r="G558" t="s">
        <v>748</v>
      </c>
      <c r="H558" s="9">
        <v>5.25</v>
      </c>
      <c r="I558" s="9">
        <v>5.1882000000000001</v>
      </c>
      <c r="J558" s="10">
        <v>5.1822813999999999</v>
      </c>
      <c r="K558" s="10">
        <v>5.1596266999999996</v>
      </c>
      <c r="L558" s="10">
        <v>5.1197986999999996</v>
      </c>
      <c r="M558" s="10">
        <v>5.0581494999999999</v>
      </c>
      <c r="N558" s="10">
        <v>4.9790009</v>
      </c>
      <c r="O558" s="10">
        <v>4.8882089000000004</v>
      </c>
      <c r="P558" s="10">
        <v>4.7921037999999996</v>
      </c>
      <c r="Q558" s="10">
        <v>4.6957531000000001</v>
      </c>
      <c r="R558" s="10">
        <v>4.6026030000000002</v>
      </c>
      <c r="S558" s="10">
        <v>4.5143342999999998</v>
      </c>
      <c r="T558" s="10">
        <v>4.4317773999999996</v>
      </c>
      <c r="U558" s="10">
        <v>4.3545467000000002</v>
      </c>
      <c r="V558" s="10">
        <v>4.2814094000000003</v>
      </c>
      <c r="W558" s="10">
        <v>4.2121206000000004</v>
      </c>
      <c r="X558" s="10">
        <v>4.1467814000000001</v>
      </c>
      <c r="Y558" s="10">
        <v>4.0854904999999997</v>
      </c>
      <c r="Z558" s="10">
        <v>4.0283467000000002</v>
      </c>
      <c r="AA558" s="10">
        <v>3.9754508999999998</v>
      </c>
      <c r="AB558" s="10">
        <v>3.9268328000000001</v>
      </c>
      <c r="AC558" s="10">
        <v>3.8822597000000001</v>
      </c>
      <c r="AD558" s="10">
        <v>3.8414373999999998</v>
      </c>
      <c r="AE558" s="10">
        <v>3.8040706000000002</v>
      </c>
      <c r="AF558" s="10">
        <v>3.7698637000000002</v>
      </c>
      <c r="AG558" s="10">
        <v>3.7385228000000001</v>
      </c>
      <c r="AH558" s="10">
        <v>3.7097734999999998</v>
      </c>
      <c r="AI558" s="10">
        <v>3.6834356000000001</v>
      </c>
      <c r="AJ558" s="10">
        <v>3.6593553999999999</v>
      </c>
      <c r="AK558" s="10">
        <v>3.6373783</v>
      </c>
      <c r="AL558" s="10">
        <v>3.6173500000000001</v>
      </c>
      <c r="AM558" s="10">
        <v>3.5991167000000002</v>
      </c>
      <c r="AN558" s="10">
        <v>3.5825238000000001</v>
      </c>
      <c r="AO558" s="10">
        <v>3.5674171000000001</v>
      </c>
      <c r="AP558" s="10">
        <v>3.5536425999999999</v>
      </c>
      <c r="AQ558" s="10">
        <v>3.5410458999999999</v>
      </c>
      <c r="AR558" s="10">
        <v>3.5294728000000002</v>
      </c>
      <c r="AS558" s="10">
        <v>3.5187691000000001</v>
      </c>
      <c r="AT558" s="10">
        <v>3.5088021</v>
      </c>
      <c r="AU558" s="10">
        <v>3.4995337000000002</v>
      </c>
      <c r="AV558" s="10">
        <v>3.4909522000000002</v>
      </c>
      <c r="AW558" s="10">
        <v>3.4830458000000002</v>
      </c>
      <c r="AX558" s="10">
        <v>3.4758024999999999</v>
      </c>
      <c r="AY558" s="10">
        <v>3.4692107999999999</v>
      </c>
      <c r="AZ558" s="10">
        <v>3.4632586000000001</v>
      </c>
      <c r="BA558" s="10">
        <v>3.4579342</v>
      </c>
      <c r="BB558" s="10">
        <v>3.4532259000000001</v>
      </c>
      <c r="BC558" s="10">
        <v>3.4491217000000001</v>
      </c>
      <c r="BD558" s="10">
        <v>3.4456099</v>
      </c>
      <c r="BE558" s="10">
        <v>3.4426787000000001</v>
      </c>
      <c r="BF558" s="10">
        <v>3.4403163000000001</v>
      </c>
      <c r="BG558" s="10">
        <v>3.4385118000000001</v>
      </c>
      <c r="BH558" s="10">
        <v>3.4372544999999999</v>
      </c>
      <c r="BI558" s="10">
        <v>3.4365334999999999</v>
      </c>
      <c r="BJ558" s="10">
        <v>3.4363381</v>
      </c>
      <c r="BK558" s="10">
        <v>3.4366576000000002</v>
      </c>
      <c r="BL558" s="10">
        <v>3.4374812000000001</v>
      </c>
      <c r="BM558" s="10">
        <v>3.4387981000000001</v>
      </c>
      <c r="BN558" s="10">
        <v>3.4405975</v>
      </c>
      <c r="BO558" s="10">
        <v>3.4428687999999998</v>
      </c>
      <c r="BP558" s="10">
        <v>3.4456011000000002</v>
      </c>
      <c r="BQ558" s="10">
        <v>3.4487836999999999</v>
      </c>
      <c r="BR558" s="10">
        <v>3.4765153999999998</v>
      </c>
      <c r="BS558" s="10">
        <v>3.5164127000000001</v>
      </c>
      <c r="BU558" s="7">
        <v>4.55</v>
      </c>
      <c r="BV558" s="7">
        <v>4.0599999999999996</v>
      </c>
      <c r="BW558" s="9">
        <v>82.420100000000005</v>
      </c>
    </row>
    <row r="559" spans="1:75" x14ac:dyDescent="0.25">
      <c r="A559" s="6">
        <f t="shared" si="53"/>
        <v>45335</v>
      </c>
      <c r="B559" s="13">
        <f t="shared" si="48"/>
        <v>2</v>
      </c>
      <c r="C559" s="13">
        <f t="shared" si="49"/>
        <v>2024</v>
      </c>
      <c r="D559">
        <f t="shared" si="50"/>
        <v>202402</v>
      </c>
      <c r="E559">
        <f t="shared" si="51"/>
        <v>1</v>
      </c>
      <c r="F559">
        <f t="shared" si="52"/>
        <v>202401</v>
      </c>
      <c r="G559" t="s">
        <v>749</v>
      </c>
      <c r="H559" s="9">
        <v>5.25</v>
      </c>
      <c r="I559" s="9">
        <v>5.1887999999999996</v>
      </c>
      <c r="J559" s="10">
        <v>5.1881858999999997</v>
      </c>
      <c r="K559" s="10">
        <v>5.1836932999999998</v>
      </c>
      <c r="L559" s="10">
        <v>5.1655557999999999</v>
      </c>
      <c r="M559" s="10">
        <v>5.1288004000000003</v>
      </c>
      <c r="N559" s="10">
        <v>5.0743339000000001</v>
      </c>
      <c r="O559" s="10">
        <v>5.0060332000000001</v>
      </c>
      <c r="P559" s="10">
        <v>4.9286785000000002</v>
      </c>
      <c r="Q559" s="10">
        <v>4.8473027999999996</v>
      </c>
      <c r="R559" s="10">
        <v>4.7657832000000004</v>
      </c>
      <c r="S559" s="10">
        <v>4.6866225000000004</v>
      </c>
      <c r="T559" s="10">
        <v>4.6112273999999998</v>
      </c>
      <c r="U559" s="10">
        <v>4.5397856000000001</v>
      </c>
      <c r="V559" s="10">
        <v>4.4711454000000002</v>
      </c>
      <c r="W559" s="10">
        <v>4.4051049000000004</v>
      </c>
      <c r="X559" s="10">
        <v>4.3418329</v>
      </c>
      <c r="Y559" s="10">
        <v>4.2814959999999997</v>
      </c>
      <c r="Z559" s="10">
        <v>4.2242607999999997</v>
      </c>
      <c r="AA559" s="10">
        <v>4.1702959999999996</v>
      </c>
      <c r="AB559" s="10">
        <v>4.1197084999999998</v>
      </c>
      <c r="AC559" s="10">
        <v>4.0723782000000002</v>
      </c>
      <c r="AD559" s="10">
        <v>4.0281327999999998</v>
      </c>
      <c r="AE559" s="10">
        <v>3.9867979999999998</v>
      </c>
      <c r="AF559" s="10">
        <v>3.9481999999999999</v>
      </c>
      <c r="AG559" s="10">
        <v>3.912166</v>
      </c>
      <c r="AH559" s="10">
        <v>3.8785314</v>
      </c>
      <c r="AI559" s="10">
        <v>3.8471725999999999</v>
      </c>
      <c r="AJ559" s="10">
        <v>3.8179786999999998</v>
      </c>
      <c r="AK559" s="10">
        <v>3.7908376000000001</v>
      </c>
      <c r="AL559" s="10">
        <v>3.7656371000000002</v>
      </c>
      <c r="AM559" s="10">
        <v>3.7422662</v>
      </c>
      <c r="AN559" s="10">
        <v>3.7206128000000001</v>
      </c>
      <c r="AO559" s="10">
        <v>3.7005648999999998</v>
      </c>
      <c r="AP559" s="10">
        <v>3.6820111999999998</v>
      </c>
      <c r="AQ559" s="10">
        <v>3.6648396999999999</v>
      </c>
      <c r="AR559" s="10">
        <v>3.6489384999999999</v>
      </c>
      <c r="AS559" s="10">
        <v>3.6341961999999999</v>
      </c>
      <c r="AT559" s="10">
        <v>3.6205107999999999</v>
      </c>
      <c r="AU559" s="10">
        <v>3.6078328000000002</v>
      </c>
      <c r="AV559" s="10">
        <v>3.5961314</v>
      </c>
      <c r="AW559" s="10">
        <v>3.5853749000000001</v>
      </c>
      <c r="AX559" s="10">
        <v>3.5755319999999999</v>
      </c>
      <c r="AY559" s="10">
        <v>3.5665713999999999</v>
      </c>
      <c r="AZ559" s="10">
        <v>3.5584617000000001</v>
      </c>
      <c r="BA559" s="10">
        <v>3.5511715000000001</v>
      </c>
      <c r="BB559" s="10">
        <v>3.5446696000000002</v>
      </c>
      <c r="BC559" s="10">
        <v>3.5389244999999998</v>
      </c>
      <c r="BD559" s="10">
        <v>3.5339049</v>
      </c>
      <c r="BE559" s="10">
        <v>3.5295793999999998</v>
      </c>
      <c r="BF559" s="10">
        <v>3.5259184000000001</v>
      </c>
      <c r="BG559" s="10">
        <v>3.5228996000000001</v>
      </c>
      <c r="BH559" s="10">
        <v>3.5205036000000001</v>
      </c>
      <c r="BI559" s="10">
        <v>3.5187107000000002</v>
      </c>
      <c r="BJ559" s="10">
        <v>3.5175011</v>
      </c>
      <c r="BK559" s="10">
        <v>3.5168553</v>
      </c>
      <c r="BL559" s="10">
        <v>3.5167535999999999</v>
      </c>
      <c r="BM559" s="10">
        <v>3.5171763999999999</v>
      </c>
      <c r="BN559" s="10">
        <v>3.5181040000000001</v>
      </c>
      <c r="BO559" s="10">
        <v>3.5195167999999999</v>
      </c>
      <c r="BP559" s="10">
        <v>3.5213950000000001</v>
      </c>
      <c r="BQ559" s="10">
        <v>3.5237191999999999</v>
      </c>
      <c r="BR559" s="10">
        <v>3.5461056000000002</v>
      </c>
      <c r="BS559" s="10">
        <v>3.5806898</v>
      </c>
      <c r="BU559" s="7">
        <v>4.68</v>
      </c>
      <c r="BV559" s="7">
        <v>4.16</v>
      </c>
      <c r="BW559" s="9">
        <v>82.645799999999994</v>
      </c>
    </row>
    <row r="560" spans="1:75" x14ac:dyDescent="0.25">
      <c r="A560" s="6">
        <f t="shared" si="53"/>
        <v>45336</v>
      </c>
      <c r="B560" s="13">
        <f t="shared" si="48"/>
        <v>2</v>
      </c>
      <c r="C560" s="13">
        <f t="shared" si="49"/>
        <v>2024</v>
      </c>
      <c r="D560">
        <f t="shared" si="50"/>
        <v>202402</v>
      </c>
      <c r="E560">
        <f t="shared" si="51"/>
        <v>1</v>
      </c>
      <c r="F560">
        <f t="shared" si="52"/>
        <v>202401</v>
      </c>
      <c r="G560" t="s">
        <v>750</v>
      </c>
      <c r="H560" s="9">
        <v>5.25</v>
      </c>
      <c r="I560" s="9">
        <v>5.1887999999999996</v>
      </c>
      <c r="J560" s="10">
        <v>5.1880091999999998</v>
      </c>
      <c r="K560" s="10">
        <v>5.1727223000000002</v>
      </c>
      <c r="L560" s="10">
        <v>5.1387647000000003</v>
      </c>
      <c r="M560" s="10">
        <v>5.0808974999999998</v>
      </c>
      <c r="N560" s="10">
        <v>5.0034232999999997</v>
      </c>
      <c r="O560" s="10">
        <v>4.9132822999999997</v>
      </c>
      <c r="P560" s="10">
        <v>4.8171087000000004</v>
      </c>
      <c r="Q560" s="10">
        <v>4.7201411000000002</v>
      </c>
      <c r="R560" s="10">
        <v>4.6258691000000001</v>
      </c>
      <c r="S560" s="10">
        <v>4.5361149000000003</v>
      </c>
      <c r="T560" s="10">
        <v>4.4515704999999999</v>
      </c>
      <c r="U560" s="10">
        <v>4.3721217000000001</v>
      </c>
      <c r="V560" s="10">
        <v>4.2962258000000002</v>
      </c>
      <c r="W560" s="10">
        <v>4.2235702000000002</v>
      </c>
      <c r="X560" s="10">
        <v>4.1543115999999998</v>
      </c>
      <c r="Y560" s="10">
        <v>4.0886037000000002</v>
      </c>
      <c r="Z560" s="10">
        <v>4.0266007000000004</v>
      </c>
      <c r="AA560" s="10">
        <v>3.9684588000000001</v>
      </c>
      <c r="AB560" s="10">
        <v>3.9142782</v>
      </c>
      <c r="AC560" s="10">
        <v>3.8639540999999999</v>
      </c>
      <c r="AD560" s="10">
        <v>3.8173347</v>
      </c>
      <c r="AE560" s="10">
        <v>3.7742665</v>
      </c>
      <c r="AF560" s="10">
        <v>3.7345959</v>
      </c>
      <c r="AG560" s="10">
        <v>3.6981709999999999</v>
      </c>
      <c r="AH560" s="10">
        <v>3.6648353999999999</v>
      </c>
      <c r="AI560" s="10">
        <v>3.6344178</v>
      </c>
      <c r="AJ560" s="10">
        <v>3.6067429</v>
      </c>
      <c r="AK560" s="10">
        <v>3.5816341999999999</v>
      </c>
      <c r="AL560" s="10">
        <v>3.5589154000000001</v>
      </c>
      <c r="AM560" s="10">
        <v>3.5384107999999999</v>
      </c>
      <c r="AN560" s="10">
        <v>3.5199443000000001</v>
      </c>
      <c r="AO560" s="10">
        <v>3.5033394000000002</v>
      </c>
      <c r="AP560" s="10">
        <v>3.4884206</v>
      </c>
      <c r="AQ560" s="10">
        <v>3.4750114999999999</v>
      </c>
      <c r="AR560" s="10">
        <v>3.4629357999999999</v>
      </c>
      <c r="AS560" s="10">
        <v>3.4520179999999998</v>
      </c>
      <c r="AT560" s="10">
        <v>3.4421010999999999</v>
      </c>
      <c r="AU560" s="10">
        <v>3.4331236000000001</v>
      </c>
      <c r="AV560" s="10">
        <v>3.4250531999999998</v>
      </c>
      <c r="AW560" s="10">
        <v>3.4178573000000001</v>
      </c>
      <c r="AX560" s="10">
        <v>3.4115031</v>
      </c>
      <c r="AY560" s="10">
        <v>3.4059583</v>
      </c>
      <c r="AZ560" s="10">
        <v>3.4011903000000001</v>
      </c>
      <c r="BA560" s="10">
        <v>3.3971665</v>
      </c>
      <c r="BB560" s="10">
        <v>3.3938545000000002</v>
      </c>
      <c r="BC560" s="10">
        <v>3.3912214999999999</v>
      </c>
      <c r="BD560" s="10">
        <v>3.3892351999999999</v>
      </c>
      <c r="BE560" s="10">
        <v>3.3878629</v>
      </c>
      <c r="BF560" s="10">
        <v>3.3870746</v>
      </c>
      <c r="BG560" s="10">
        <v>3.3868512000000002</v>
      </c>
      <c r="BH560" s="10">
        <v>3.3871766000000001</v>
      </c>
      <c r="BI560" s="10">
        <v>3.3880347</v>
      </c>
      <c r="BJ560" s="10">
        <v>3.3894093999999999</v>
      </c>
      <c r="BK560" s="10">
        <v>3.3912846000000001</v>
      </c>
      <c r="BL560" s="10">
        <v>3.3936443000000001</v>
      </c>
      <c r="BM560" s="10">
        <v>3.3964723000000001</v>
      </c>
      <c r="BN560" s="10">
        <v>3.3997525999999998</v>
      </c>
      <c r="BO560" s="10">
        <v>3.4034691000000001</v>
      </c>
      <c r="BP560" s="10">
        <v>3.4076057</v>
      </c>
      <c r="BQ560" s="10">
        <v>3.4121462999999999</v>
      </c>
      <c r="BR560" s="10">
        <v>3.4469229000000001</v>
      </c>
      <c r="BS560" s="10">
        <v>3.4918809999999998</v>
      </c>
      <c r="BU560" s="7">
        <v>4.54</v>
      </c>
      <c r="BV560" s="7">
        <v>4.03</v>
      </c>
      <c r="BW560" s="9">
        <v>82.271500000000003</v>
      </c>
    </row>
    <row r="561" spans="1:75" x14ac:dyDescent="0.25">
      <c r="A561" s="6">
        <f t="shared" si="53"/>
        <v>45337</v>
      </c>
      <c r="B561" s="13">
        <f t="shared" si="48"/>
        <v>2</v>
      </c>
      <c r="C561" s="13">
        <f t="shared" si="49"/>
        <v>2024</v>
      </c>
      <c r="D561">
        <f t="shared" si="50"/>
        <v>202402</v>
      </c>
      <c r="E561">
        <f t="shared" si="51"/>
        <v>1</v>
      </c>
      <c r="F561">
        <f t="shared" si="52"/>
        <v>202401</v>
      </c>
      <c r="G561" t="s">
        <v>751</v>
      </c>
      <c r="H561" s="9">
        <v>5.25</v>
      </c>
      <c r="I561" s="9">
        <v>5.1885000000000003</v>
      </c>
      <c r="J561" s="10">
        <v>5.1880239000000001</v>
      </c>
      <c r="K561" s="10">
        <v>5.1752238999999998</v>
      </c>
      <c r="L561" s="10">
        <v>5.1408756000000002</v>
      </c>
      <c r="M561" s="10">
        <v>5.0804251999999996</v>
      </c>
      <c r="N561" s="10">
        <v>4.9988979000000002</v>
      </c>
      <c r="O561" s="10">
        <v>4.9046984</v>
      </c>
      <c r="P561" s="10">
        <v>4.8050229</v>
      </c>
      <c r="Q561" s="10">
        <v>4.7051970000000001</v>
      </c>
      <c r="R561" s="10">
        <v>4.6086052000000004</v>
      </c>
      <c r="S561" s="10">
        <v>4.5169708999999996</v>
      </c>
      <c r="T561" s="10">
        <v>4.4310836</v>
      </c>
      <c r="U561" s="10">
        <v>4.3508426</v>
      </c>
      <c r="V561" s="10">
        <v>4.2746959999999996</v>
      </c>
      <c r="W561" s="10">
        <v>4.2023130000000002</v>
      </c>
      <c r="X561" s="10">
        <v>4.1339208000000003</v>
      </c>
      <c r="Y561" s="10">
        <v>4.069744</v>
      </c>
      <c r="Z561" s="10">
        <v>4.0100078000000003</v>
      </c>
      <c r="AA561" s="10">
        <v>3.9549392999999999</v>
      </c>
      <c r="AB561" s="10">
        <v>3.9046501999999998</v>
      </c>
      <c r="AC561" s="10">
        <v>3.8588209</v>
      </c>
      <c r="AD561" s="10">
        <v>3.8170307000000001</v>
      </c>
      <c r="AE561" s="10">
        <v>3.7788571000000002</v>
      </c>
      <c r="AF561" s="10">
        <v>3.7438779000000002</v>
      </c>
      <c r="AG561" s="10">
        <v>3.7116723</v>
      </c>
      <c r="AH561" s="10">
        <v>3.6818599000000001</v>
      </c>
      <c r="AI561" s="10">
        <v>3.6542648</v>
      </c>
      <c r="AJ561" s="10">
        <v>3.6287745999999999</v>
      </c>
      <c r="AK561" s="10">
        <v>3.6052756000000001</v>
      </c>
      <c r="AL561" s="10">
        <v>3.5836543999999999</v>
      </c>
      <c r="AM561" s="10">
        <v>3.5637981000000001</v>
      </c>
      <c r="AN561" s="10">
        <v>3.5455933000000002</v>
      </c>
      <c r="AO561" s="10">
        <v>3.5289264999999999</v>
      </c>
      <c r="AP561" s="10">
        <v>3.5136848999999999</v>
      </c>
      <c r="AQ561" s="10">
        <v>3.4997550999999998</v>
      </c>
      <c r="AR561" s="10">
        <v>3.4870236000000001</v>
      </c>
      <c r="AS561" s="10">
        <v>3.4753775</v>
      </c>
      <c r="AT561" s="10">
        <v>3.4647168000000002</v>
      </c>
      <c r="AU561" s="10">
        <v>3.4550011</v>
      </c>
      <c r="AV561" s="10">
        <v>3.4462065000000002</v>
      </c>
      <c r="AW561" s="10">
        <v>3.4383088000000002</v>
      </c>
      <c r="AX561" s="10">
        <v>3.4312839999999998</v>
      </c>
      <c r="AY561" s="10">
        <v>3.4251081999999999</v>
      </c>
      <c r="AZ561" s="10">
        <v>3.4197573999999999</v>
      </c>
      <c r="BA561" s="10">
        <v>3.4152073000000001</v>
      </c>
      <c r="BB561" s="10">
        <v>3.4114341000000001</v>
      </c>
      <c r="BC561" s="10">
        <v>3.4084137000000001</v>
      </c>
      <c r="BD561" s="10">
        <v>3.4061221000000002</v>
      </c>
      <c r="BE561" s="10">
        <v>3.4045353</v>
      </c>
      <c r="BF561" s="10">
        <v>3.4036284999999999</v>
      </c>
      <c r="BG561" s="10">
        <v>3.4033745</v>
      </c>
      <c r="BH561" s="10">
        <v>3.4037449999999998</v>
      </c>
      <c r="BI561" s="10">
        <v>3.4047119000000001</v>
      </c>
      <c r="BJ561" s="10">
        <v>3.406247</v>
      </c>
      <c r="BK561" s="10">
        <v>3.4083222000000002</v>
      </c>
      <c r="BL561" s="10">
        <v>3.4109091999999999</v>
      </c>
      <c r="BM561" s="10">
        <v>3.41398</v>
      </c>
      <c r="BN561" s="10">
        <v>3.4175064000000002</v>
      </c>
      <c r="BO561" s="10">
        <v>3.4214601999999998</v>
      </c>
      <c r="BP561" s="10">
        <v>3.4258133000000002</v>
      </c>
      <c r="BQ561" s="10">
        <v>3.4305374</v>
      </c>
      <c r="BR561" s="10">
        <v>3.4656180000000001</v>
      </c>
      <c r="BS561" s="10">
        <v>3.5101486999999998</v>
      </c>
      <c r="BU561" s="7">
        <v>4.57</v>
      </c>
      <c r="BV561" s="7">
        <v>4.05</v>
      </c>
      <c r="BW561" s="9">
        <v>82.303200000000004</v>
      </c>
    </row>
    <row r="562" spans="1:75" x14ac:dyDescent="0.25">
      <c r="A562" s="6">
        <f t="shared" si="53"/>
        <v>45338</v>
      </c>
      <c r="B562" s="13">
        <f t="shared" si="48"/>
        <v>2</v>
      </c>
      <c r="C562" s="13">
        <f t="shared" si="49"/>
        <v>2024</v>
      </c>
      <c r="D562">
        <f t="shared" si="50"/>
        <v>202402</v>
      </c>
      <c r="E562">
        <f t="shared" si="51"/>
        <v>1</v>
      </c>
      <c r="F562">
        <f t="shared" si="52"/>
        <v>202401</v>
      </c>
      <c r="G562" t="s">
        <v>752</v>
      </c>
      <c r="H562" s="9">
        <v>5.25</v>
      </c>
      <c r="I562" s="9">
        <v>5.1881000000000004</v>
      </c>
      <c r="J562" s="10">
        <v>5.1871783000000002</v>
      </c>
      <c r="K562" s="10">
        <v>5.1761794999999999</v>
      </c>
      <c r="L562" s="10">
        <v>5.1498881000000001</v>
      </c>
      <c r="M562" s="10">
        <v>5.1035442</v>
      </c>
      <c r="N562" s="10">
        <v>5.0396502999999999</v>
      </c>
      <c r="O562" s="10">
        <v>4.9637761999999999</v>
      </c>
      <c r="P562" s="10">
        <v>4.8818611000000001</v>
      </c>
      <c r="Q562" s="10">
        <v>4.7988825000000004</v>
      </c>
      <c r="R562" s="10">
        <v>4.7181438</v>
      </c>
      <c r="S562" s="10">
        <v>4.6413389</v>
      </c>
      <c r="T562" s="10">
        <v>4.5687810000000004</v>
      </c>
      <c r="U562" s="10">
        <v>4.4997816999999998</v>
      </c>
      <c r="V562" s="10">
        <v>4.4320706999999997</v>
      </c>
      <c r="W562" s="10">
        <v>4.3653385</v>
      </c>
      <c r="X562" s="10">
        <v>4.3000376999999999</v>
      </c>
      <c r="Y562" s="10">
        <v>4.2366187000000002</v>
      </c>
      <c r="Z562" s="10">
        <v>4.1755319999999996</v>
      </c>
      <c r="AA562" s="10">
        <v>4.1172301999999998</v>
      </c>
      <c r="AB562" s="10">
        <v>4.0620944000000003</v>
      </c>
      <c r="AC562" s="10">
        <v>4.0101830999999999</v>
      </c>
      <c r="AD562" s="10">
        <v>3.9614636000000001</v>
      </c>
      <c r="AE562" s="10">
        <v>3.9159011000000001</v>
      </c>
      <c r="AF562" s="10">
        <v>3.8734608000000001</v>
      </c>
      <c r="AG562" s="10">
        <v>3.8341097999999998</v>
      </c>
      <c r="AH562" s="10">
        <v>3.7977946</v>
      </c>
      <c r="AI562" s="10">
        <v>3.7643795999999998</v>
      </c>
      <c r="AJ562" s="10">
        <v>3.7337075999999998</v>
      </c>
      <c r="AK562" s="10">
        <v>3.7056200000000001</v>
      </c>
      <c r="AL562" s="10">
        <v>3.6799585000000001</v>
      </c>
      <c r="AM562" s="10">
        <v>3.6565656999999998</v>
      </c>
      <c r="AN562" s="10">
        <v>3.6352831999999999</v>
      </c>
      <c r="AO562" s="10">
        <v>3.6159528000000001</v>
      </c>
      <c r="AP562" s="10">
        <v>3.5984167999999999</v>
      </c>
      <c r="AQ562" s="10">
        <v>3.5825170000000002</v>
      </c>
      <c r="AR562" s="10">
        <v>3.5680952000000001</v>
      </c>
      <c r="AS562" s="10">
        <v>3.5549935000000001</v>
      </c>
      <c r="AT562" s="10">
        <v>3.5430706999999999</v>
      </c>
      <c r="AU562" s="10">
        <v>3.5322594999999999</v>
      </c>
      <c r="AV562" s="10">
        <v>3.5225135000000001</v>
      </c>
      <c r="AW562" s="10">
        <v>3.5137860000000001</v>
      </c>
      <c r="AX562" s="10">
        <v>3.5060302999999999</v>
      </c>
      <c r="AY562" s="10">
        <v>3.4991998</v>
      </c>
      <c r="AZ562" s="10">
        <v>3.4932479999999999</v>
      </c>
      <c r="BA562" s="10">
        <v>3.4881281</v>
      </c>
      <c r="BB562" s="10">
        <v>3.4837935999999998</v>
      </c>
      <c r="BC562" s="10">
        <v>3.4801978</v>
      </c>
      <c r="BD562" s="10">
        <v>3.4772940000000001</v>
      </c>
      <c r="BE562" s="10">
        <v>3.4750358000000001</v>
      </c>
      <c r="BF562" s="10">
        <v>3.4733805000000002</v>
      </c>
      <c r="BG562" s="10">
        <v>3.4723033000000001</v>
      </c>
      <c r="BH562" s="10">
        <v>3.4717844000000002</v>
      </c>
      <c r="BI562" s="10">
        <v>3.4718038999999998</v>
      </c>
      <c r="BJ562" s="10">
        <v>3.4723419999999998</v>
      </c>
      <c r="BK562" s="10">
        <v>3.4733789000000002</v>
      </c>
      <c r="BL562" s="10">
        <v>3.4748947000000001</v>
      </c>
      <c r="BM562" s="10">
        <v>3.4768696000000001</v>
      </c>
      <c r="BN562" s="10">
        <v>3.4792836999999999</v>
      </c>
      <c r="BO562" s="10">
        <v>3.4821171999999998</v>
      </c>
      <c r="BP562" s="10">
        <v>3.4853502999999999</v>
      </c>
      <c r="BQ562" s="10">
        <v>3.4889630999999999</v>
      </c>
      <c r="BR562" s="10">
        <v>3.5178159</v>
      </c>
      <c r="BS562" s="10">
        <v>3.5572596000000001</v>
      </c>
      <c r="BU562" s="7">
        <v>4.63</v>
      </c>
      <c r="BV562" s="7">
        <v>4.1100000000000003</v>
      </c>
      <c r="BW562" s="9">
        <v>82.264600000000002</v>
      </c>
    </row>
    <row r="563" spans="1:75" x14ac:dyDescent="0.25">
      <c r="A563" s="6">
        <f t="shared" si="53"/>
        <v>45341</v>
      </c>
      <c r="B563" s="13">
        <f t="shared" si="48"/>
        <v>2</v>
      </c>
      <c r="C563" s="13">
        <f t="shared" si="49"/>
        <v>2024</v>
      </c>
      <c r="D563">
        <f t="shared" si="50"/>
        <v>202402</v>
      </c>
      <c r="E563">
        <f t="shared" si="51"/>
        <v>1</v>
      </c>
      <c r="F563">
        <f t="shared" si="52"/>
        <v>202401</v>
      </c>
      <c r="G563" t="s">
        <v>753</v>
      </c>
      <c r="H563" s="9">
        <v>5.25</v>
      </c>
      <c r="I563" s="9">
        <v>5.1874000000000002</v>
      </c>
      <c r="J563" s="10">
        <v>5.1890112000000004</v>
      </c>
      <c r="K563" s="10">
        <v>5.1762766999999998</v>
      </c>
      <c r="L563" s="10">
        <v>5.1459086999999997</v>
      </c>
      <c r="M563" s="10">
        <v>5.0929804000000001</v>
      </c>
      <c r="N563" s="10">
        <v>5.0215443999999998</v>
      </c>
      <c r="O563" s="10">
        <v>4.9380993000000002</v>
      </c>
      <c r="P563" s="10">
        <v>4.8491670999999998</v>
      </c>
      <c r="Q563" s="10">
        <v>4.7598298999999997</v>
      </c>
      <c r="R563" s="10">
        <v>4.6736561999999999</v>
      </c>
      <c r="S563" s="10">
        <v>4.5922339000000001</v>
      </c>
      <c r="T563" s="10">
        <v>4.5161626999999998</v>
      </c>
      <c r="U563" s="10">
        <v>4.4448220999999997</v>
      </c>
      <c r="V563" s="10">
        <v>4.3759788000000004</v>
      </c>
      <c r="W563" s="10">
        <v>4.3093101999999996</v>
      </c>
      <c r="X563" s="10">
        <v>4.2451825999999997</v>
      </c>
      <c r="Y563" s="10">
        <v>4.1839599999999999</v>
      </c>
      <c r="Z563" s="10">
        <v>4.1260063999999996</v>
      </c>
      <c r="AA563" s="10">
        <v>4.0716878999999997</v>
      </c>
      <c r="AB563" s="10">
        <v>4.0212678999999998</v>
      </c>
      <c r="AC563" s="10">
        <v>3.9746269000000001</v>
      </c>
      <c r="AD563" s="10">
        <v>3.9315559000000002</v>
      </c>
      <c r="AE563" s="10">
        <v>3.8918441000000001</v>
      </c>
      <c r="AF563" s="10">
        <v>3.8552810000000002</v>
      </c>
      <c r="AG563" s="10">
        <v>3.8216572000000002</v>
      </c>
      <c r="AH563" s="10">
        <v>3.7907668999999999</v>
      </c>
      <c r="AI563" s="10">
        <v>3.7624254000000001</v>
      </c>
      <c r="AJ563" s="10">
        <v>3.7364546999999999</v>
      </c>
      <c r="AK563" s="10">
        <v>3.7126758</v>
      </c>
      <c r="AL563" s="10">
        <v>3.6909098999999999</v>
      </c>
      <c r="AM563" s="10">
        <v>3.6709789000000002</v>
      </c>
      <c r="AN563" s="10">
        <v>3.6527037</v>
      </c>
      <c r="AO563" s="10">
        <v>3.6359056999999999</v>
      </c>
      <c r="AP563" s="10">
        <v>3.6204065999999999</v>
      </c>
      <c r="AQ563" s="10">
        <v>3.6060275000000002</v>
      </c>
      <c r="AR563" s="10">
        <v>3.5925896000000002</v>
      </c>
      <c r="AS563" s="10">
        <v>3.5799148000000001</v>
      </c>
      <c r="AT563" s="10">
        <v>3.5678532999999999</v>
      </c>
      <c r="AU563" s="10">
        <v>3.5563850000000001</v>
      </c>
      <c r="AV563" s="10">
        <v>3.5455256999999998</v>
      </c>
      <c r="AW563" s="10">
        <v>3.5352907</v>
      </c>
      <c r="AX563" s="10">
        <v>3.5256954</v>
      </c>
      <c r="AY563" s="10">
        <v>3.5167557</v>
      </c>
      <c r="AZ563" s="10">
        <v>3.5084868999999999</v>
      </c>
      <c r="BA563" s="10">
        <v>3.5009044</v>
      </c>
      <c r="BB563" s="10">
        <v>3.4940239000000002</v>
      </c>
      <c r="BC563" s="10">
        <v>3.4878610000000001</v>
      </c>
      <c r="BD563" s="10">
        <v>3.4824309000000002</v>
      </c>
      <c r="BE563" s="10">
        <v>3.4777494999999998</v>
      </c>
      <c r="BF563" s="10">
        <v>3.4738283999999999</v>
      </c>
      <c r="BG563" s="10">
        <v>3.4706602000000002</v>
      </c>
      <c r="BH563" s="10">
        <v>3.4682308000000002</v>
      </c>
      <c r="BI563" s="10">
        <v>3.466526</v>
      </c>
      <c r="BJ563" s="10">
        <v>3.4655315999999998</v>
      </c>
      <c r="BK563" s="10">
        <v>3.4652337000000002</v>
      </c>
      <c r="BL563" s="10">
        <v>3.4656180999999999</v>
      </c>
      <c r="BM563" s="10">
        <v>3.4666706</v>
      </c>
      <c r="BN563" s="10">
        <v>3.4683771999999999</v>
      </c>
      <c r="BO563" s="10">
        <v>3.4707237000000002</v>
      </c>
      <c r="BP563" s="10">
        <v>3.4736959999999999</v>
      </c>
      <c r="BQ563" s="10">
        <v>3.4772801000000002</v>
      </c>
      <c r="BR563" s="10">
        <v>3.5102652999999999</v>
      </c>
      <c r="BS563" s="10">
        <v>3.5581922000000001</v>
      </c>
      <c r="BU563" s="7">
        <v>4.63</v>
      </c>
      <c r="BV563" s="7">
        <v>4.12</v>
      </c>
      <c r="BW563" s="9">
        <v>82.286900000000003</v>
      </c>
    </row>
    <row r="564" spans="1:75" x14ac:dyDescent="0.25">
      <c r="A564" s="6">
        <f t="shared" si="53"/>
        <v>45342</v>
      </c>
      <c r="B564" s="13">
        <f t="shared" si="48"/>
        <v>2</v>
      </c>
      <c r="C564" s="13">
        <f t="shared" si="49"/>
        <v>2024</v>
      </c>
      <c r="D564">
        <f t="shared" si="50"/>
        <v>202402</v>
      </c>
      <c r="E564">
        <f t="shared" si="51"/>
        <v>1</v>
      </c>
      <c r="F564">
        <f t="shared" si="52"/>
        <v>202401</v>
      </c>
      <c r="G564" t="s">
        <v>754</v>
      </c>
      <c r="H564" s="9">
        <v>5.25</v>
      </c>
      <c r="I564" s="9">
        <v>5.1879</v>
      </c>
      <c r="J564" s="10">
        <v>5.1904661000000001</v>
      </c>
      <c r="K564" s="10">
        <v>5.1734203000000001</v>
      </c>
      <c r="L564" s="10">
        <v>5.1345172999999997</v>
      </c>
      <c r="M564" s="10">
        <v>5.0689332</v>
      </c>
      <c r="N564" s="10">
        <v>4.9828574000000003</v>
      </c>
      <c r="O564" s="10">
        <v>4.8854096</v>
      </c>
      <c r="P564" s="10">
        <v>4.7836004000000001</v>
      </c>
      <c r="Q564" s="10">
        <v>4.6823801999999999</v>
      </c>
      <c r="R564" s="10">
        <v>4.5852035000000004</v>
      </c>
      <c r="S564" s="10">
        <v>4.4939603000000004</v>
      </c>
      <c r="T564" s="10">
        <v>4.4098813999999997</v>
      </c>
      <c r="U564" s="10">
        <v>4.3330006000000001</v>
      </c>
      <c r="V564" s="10">
        <v>4.2624190000000004</v>
      </c>
      <c r="W564" s="10">
        <v>4.1974498000000002</v>
      </c>
      <c r="X564" s="10">
        <v>4.1375242999999999</v>
      </c>
      <c r="Y564" s="10">
        <v>4.0820711999999997</v>
      </c>
      <c r="Z564" s="10">
        <v>4.0305195999999999</v>
      </c>
      <c r="AA564" s="10">
        <v>3.9823002999999999</v>
      </c>
      <c r="AB564" s="10">
        <v>3.9369282000000001</v>
      </c>
      <c r="AC564" s="10">
        <v>3.8942462</v>
      </c>
      <c r="AD564" s="10">
        <v>3.8541766000000002</v>
      </c>
      <c r="AE564" s="10">
        <v>3.8166402000000001</v>
      </c>
      <c r="AF564" s="10">
        <v>3.7815577</v>
      </c>
      <c r="AG564" s="10">
        <v>3.7488513000000001</v>
      </c>
      <c r="AH564" s="10">
        <v>3.7184376000000001</v>
      </c>
      <c r="AI564" s="10">
        <v>3.6902154</v>
      </c>
      <c r="AJ564" s="10">
        <v>3.6640790999999999</v>
      </c>
      <c r="AK564" s="10">
        <v>3.6399224000000001</v>
      </c>
      <c r="AL564" s="10">
        <v>3.6176387999999999</v>
      </c>
      <c r="AM564" s="10">
        <v>3.5971229</v>
      </c>
      <c r="AN564" s="10">
        <v>3.5782682000000001</v>
      </c>
      <c r="AO564" s="10">
        <v>3.5609684000000001</v>
      </c>
      <c r="AP564" s="10">
        <v>3.545118</v>
      </c>
      <c r="AQ564" s="10">
        <v>3.5306104999999999</v>
      </c>
      <c r="AR564" s="10">
        <v>3.5173397</v>
      </c>
      <c r="AS564" s="10">
        <v>3.5051998000000002</v>
      </c>
      <c r="AT564" s="10">
        <v>3.4940928000000002</v>
      </c>
      <c r="AU564" s="10">
        <v>3.4839639999999998</v>
      </c>
      <c r="AV564" s="10">
        <v>3.4747742000000001</v>
      </c>
      <c r="AW564" s="10">
        <v>3.4664834</v>
      </c>
      <c r="AX564" s="10">
        <v>3.4590519</v>
      </c>
      <c r="AY564" s="10">
        <v>3.4524401999999998</v>
      </c>
      <c r="AZ564" s="10">
        <v>3.4466084000000001</v>
      </c>
      <c r="BA564" s="10">
        <v>3.4415170000000002</v>
      </c>
      <c r="BB564" s="10">
        <v>3.4371261</v>
      </c>
      <c r="BC564" s="10">
        <v>3.4333961999999998</v>
      </c>
      <c r="BD564" s="10">
        <v>3.4302876000000002</v>
      </c>
      <c r="BE564" s="10">
        <v>3.4277603999999999</v>
      </c>
      <c r="BF564" s="10">
        <v>3.4257791000000002</v>
      </c>
      <c r="BG564" s="10">
        <v>3.4243266000000001</v>
      </c>
      <c r="BH564" s="10">
        <v>3.4233920000000002</v>
      </c>
      <c r="BI564" s="10">
        <v>3.4229642999999998</v>
      </c>
      <c r="BJ564" s="10">
        <v>3.4230323</v>
      </c>
      <c r="BK564" s="10">
        <v>3.4235850000000001</v>
      </c>
      <c r="BL564" s="10">
        <v>3.4246113999999999</v>
      </c>
      <c r="BM564" s="10">
        <v>3.4261004000000002</v>
      </c>
      <c r="BN564" s="10">
        <v>3.4280409000000001</v>
      </c>
      <c r="BO564" s="10">
        <v>3.4304220000000001</v>
      </c>
      <c r="BP564" s="10">
        <v>3.4332326000000002</v>
      </c>
      <c r="BQ564" s="10">
        <v>3.4364615000000001</v>
      </c>
      <c r="BR564" s="10">
        <v>3.4638930000000001</v>
      </c>
      <c r="BS564" s="10">
        <v>3.5029268</v>
      </c>
      <c r="BU564" s="7">
        <v>4.55</v>
      </c>
      <c r="BV564" s="7">
        <v>4.05</v>
      </c>
      <c r="BW564" s="9">
        <v>82.53</v>
      </c>
    </row>
    <row r="565" spans="1:75" x14ac:dyDescent="0.25">
      <c r="A565" s="6">
        <f t="shared" si="53"/>
        <v>45343</v>
      </c>
      <c r="B565" s="13">
        <f t="shared" si="48"/>
        <v>2</v>
      </c>
      <c r="C565" s="13">
        <f t="shared" si="49"/>
        <v>2024</v>
      </c>
      <c r="D565">
        <f t="shared" si="50"/>
        <v>202402</v>
      </c>
      <c r="E565">
        <f t="shared" si="51"/>
        <v>1</v>
      </c>
      <c r="F565">
        <f t="shared" si="52"/>
        <v>202401</v>
      </c>
      <c r="G565" t="s">
        <v>755</v>
      </c>
      <c r="H565" s="9">
        <v>5.25</v>
      </c>
      <c r="I565" s="9">
        <v>5.1879999999999997</v>
      </c>
      <c r="J565" s="10">
        <v>5.1893862999999998</v>
      </c>
      <c r="K565" s="10">
        <v>5.1790538000000002</v>
      </c>
      <c r="L565" s="10">
        <v>5.1491264000000001</v>
      </c>
      <c r="M565" s="10">
        <v>5.0950556000000002</v>
      </c>
      <c r="N565" s="10">
        <v>5.0215465000000004</v>
      </c>
      <c r="O565" s="10">
        <v>4.9363590999999998</v>
      </c>
      <c r="P565" s="10">
        <v>4.8463551999999996</v>
      </c>
      <c r="Q565" s="10">
        <v>4.7565473000000003</v>
      </c>
      <c r="R565" s="10">
        <v>4.6704720000000002</v>
      </c>
      <c r="S565" s="10">
        <v>4.5900761000000001</v>
      </c>
      <c r="T565" s="10">
        <v>4.5160635999999998</v>
      </c>
      <c r="U565" s="10">
        <v>4.4481289000000004</v>
      </c>
      <c r="V565" s="10">
        <v>4.3838151999999999</v>
      </c>
      <c r="W565" s="10">
        <v>4.3223985999999996</v>
      </c>
      <c r="X565" s="10">
        <v>4.263827</v>
      </c>
      <c r="Y565" s="10">
        <v>4.2080466000000003</v>
      </c>
      <c r="Z565" s="10">
        <v>4.1550034</v>
      </c>
      <c r="AA565" s="10">
        <v>4.1046452000000002</v>
      </c>
      <c r="AB565" s="10">
        <v>4.0569211999999997</v>
      </c>
      <c r="AC565" s="10">
        <v>4.0117909000000003</v>
      </c>
      <c r="AD565" s="10">
        <v>3.9692186</v>
      </c>
      <c r="AE565" s="10">
        <v>3.9291665999999998</v>
      </c>
      <c r="AF565" s="10">
        <v>3.8915975</v>
      </c>
      <c r="AG565" s="10">
        <v>3.8564750000000001</v>
      </c>
      <c r="AH565" s="10">
        <v>3.8237516999999999</v>
      </c>
      <c r="AI565" s="10">
        <v>3.7933268999999998</v>
      </c>
      <c r="AJ565" s="10">
        <v>3.7650826999999998</v>
      </c>
      <c r="AK565" s="10">
        <v>3.7389003999999999</v>
      </c>
      <c r="AL565" s="10">
        <v>3.7146612000000001</v>
      </c>
      <c r="AM565" s="10">
        <v>3.6922473</v>
      </c>
      <c r="AN565" s="10">
        <v>3.6715399</v>
      </c>
      <c r="AO565" s="10">
        <v>3.6524204</v>
      </c>
      <c r="AP565" s="10">
        <v>3.6347706999999998</v>
      </c>
      <c r="AQ565" s="10">
        <v>3.6184721999999998</v>
      </c>
      <c r="AR565" s="10">
        <v>3.6034063000000001</v>
      </c>
      <c r="AS565" s="10">
        <v>3.5894548999999998</v>
      </c>
      <c r="AT565" s="10">
        <v>3.576511</v>
      </c>
      <c r="AU565" s="10">
        <v>3.5645251</v>
      </c>
      <c r="AV565" s="10">
        <v>3.5534655000000002</v>
      </c>
      <c r="AW565" s="10">
        <v>3.5432998000000002</v>
      </c>
      <c r="AX565" s="10">
        <v>3.5339958999999999</v>
      </c>
      <c r="AY565" s="10">
        <v>3.5255220999999999</v>
      </c>
      <c r="AZ565" s="10">
        <v>3.517846</v>
      </c>
      <c r="BA565" s="10">
        <v>3.5109357000000001</v>
      </c>
      <c r="BB565" s="10">
        <v>3.5047590999999998</v>
      </c>
      <c r="BC565" s="10">
        <v>3.4992842999999998</v>
      </c>
      <c r="BD565" s="10">
        <v>3.4944788999999998</v>
      </c>
      <c r="BE565" s="10">
        <v>3.4903111999999998</v>
      </c>
      <c r="BF565" s="10">
        <v>3.4867512999999999</v>
      </c>
      <c r="BG565" s="10">
        <v>3.4837802</v>
      </c>
      <c r="BH565" s="10">
        <v>3.4813816000000002</v>
      </c>
      <c r="BI565" s="10">
        <v>3.4795394000000002</v>
      </c>
      <c r="BJ565" s="10">
        <v>3.4782372000000001</v>
      </c>
      <c r="BK565" s="10">
        <v>3.4774588999999998</v>
      </c>
      <c r="BL565" s="10">
        <v>3.4771882999999999</v>
      </c>
      <c r="BM565" s="10">
        <v>3.4774091999999999</v>
      </c>
      <c r="BN565" s="10">
        <v>3.4781053000000002</v>
      </c>
      <c r="BO565" s="10">
        <v>3.4792603999999998</v>
      </c>
      <c r="BP565" s="10">
        <v>3.4808583</v>
      </c>
      <c r="BQ565" s="10">
        <v>3.4828828000000001</v>
      </c>
      <c r="BR565" s="10">
        <v>3.5031588999999999</v>
      </c>
      <c r="BS565" s="10">
        <v>3.5351891000000002</v>
      </c>
      <c r="BU565" s="7">
        <v>4.6100000000000003</v>
      </c>
      <c r="BV565" s="7">
        <v>4.0999999999999996</v>
      </c>
      <c r="BW565" s="9">
        <v>82.289699999999996</v>
      </c>
    </row>
    <row r="566" spans="1:75" x14ac:dyDescent="0.25">
      <c r="A566" s="6">
        <f t="shared" si="53"/>
        <v>45344</v>
      </c>
      <c r="B566" s="13">
        <f t="shared" si="48"/>
        <v>2</v>
      </c>
      <c r="C566" s="13">
        <f t="shared" si="49"/>
        <v>2024</v>
      </c>
      <c r="D566">
        <f t="shared" si="50"/>
        <v>202402</v>
      </c>
      <c r="E566">
        <f t="shared" si="51"/>
        <v>1</v>
      </c>
      <c r="F566">
        <f t="shared" si="52"/>
        <v>202401</v>
      </c>
      <c r="G566" t="s">
        <v>756</v>
      </c>
      <c r="H566" s="9">
        <v>5.25</v>
      </c>
      <c r="I566" s="9">
        <v>5.1887999999999996</v>
      </c>
      <c r="J566" s="10">
        <v>5.1891552000000001</v>
      </c>
      <c r="K566" s="10">
        <v>5.1765321999999996</v>
      </c>
      <c r="L566" s="10">
        <v>5.1477062</v>
      </c>
      <c r="M566" s="10">
        <v>5.0976077000000002</v>
      </c>
      <c r="N566" s="10">
        <v>5.0292186000000001</v>
      </c>
      <c r="O566" s="10">
        <v>4.9496558000000004</v>
      </c>
      <c r="P566" s="10">
        <v>4.8653567999999998</v>
      </c>
      <c r="Q566" s="10">
        <v>4.7810617000000004</v>
      </c>
      <c r="R566" s="10">
        <v>4.6999734000000002</v>
      </c>
      <c r="S566" s="10">
        <v>4.6236658000000004</v>
      </c>
      <c r="T566" s="10">
        <v>4.5526536999999996</v>
      </c>
      <c r="U566" s="10">
        <v>4.4865227000000001</v>
      </c>
      <c r="V566" s="10">
        <v>4.4233712000000001</v>
      </c>
      <c r="W566" s="10">
        <v>4.3627045999999998</v>
      </c>
      <c r="X566" s="10">
        <v>4.3046543000000002</v>
      </c>
      <c r="Y566" s="10">
        <v>4.2493502000000003</v>
      </c>
      <c r="Z566" s="10">
        <v>4.1969221000000001</v>
      </c>
      <c r="AA566" s="10">
        <v>4.1475017999999997</v>
      </c>
      <c r="AB566" s="10">
        <v>4.1011636999999999</v>
      </c>
      <c r="AC566" s="10">
        <v>4.0577708000000001</v>
      </c>
      <c r="AD566" s="10">
        <v>4.0171371999999996</v>
      </c>
      <c r="AE566" s="10">
        <v>3.9790757000000001</v>
      </c>
      <c r="AF566" s="10">
        <v>3.9433989</v>
      </c>
      <c r="AG566" s="10">
        <v>3.9099208000000001</v>
      </c>
      <c r="AH566" s="10">
        <v>3.8784670999999999</v>
      </c>
      <c r="AI566" s="10">
        <v>3.8489257000000001</v>
      </c>
      <c r="AJ566" s="10">
        <v>3.8212047999999998</v>
      </c>
      <c r="AK566" s="10">
        <v>3.7952113999999999</v>
      </c>
      <c r="AL566" s="10">
        <v>3.7708526999999998</v>
      </c>
      <c r="AM566" s="10">
        <v>3.7480367000000001</v>
      </c>
      <c r="AN566" s="10">
        <v>3.7266704000000002</v>
      </c>
      <c r="AO566" s="10">
        <v>3.7066612000000001</v>
      </c>
      <c r="AP566" s="10">
        <v>3.6879168</v>
      </c>
      <c r="AQ566" s="10">
        <v>3.6703443999999998</v>
      </c>
      <c r="AR566" s="10">
        <v>3.6538514000000002</v>
      </c>
      <c r="AS566" s="10">
        <v>3.6383454</v>
      </c>
      <c r="AT566" s="10">
        <v>3.6237450999999998</v>
      </c>
      <c r="AU566" s="10">
        <v>3.6100192999999998</v>
      </c>
      <c r="AV566" s="10">
        <v>3.5971511999999999</v>
      </c>
      <c r="AW566" s="10">
        <v>3.5851236000000002</v>
      </c>
      <c r="AX566" s="10">
        <v>3.5739190000000001</v>
      </c>
      <c r="AY566" s="10">
        <v>3.5635207000000002</v>
      </c>
      <c r="AZ566" s="10">
        <v>3.5539114000000001</v>
      </c>
      <c r="BA566" s="10">
        <v>3.5450738999999998</v>
      </c>
      <c r="BB566" s="10">
        <v>3.5369910999999998</v>
      </c>
      <c r="BC566" s="10">
        <v>3.5296458999999998</v>
      </c>
      <c r="BD566" s="10">
        <v>3.5230210999999998</v>
      </c>
      <c r="BE566" s="10">
        <v>3.5170995999999999</v>
      </c>
      <c r="BF566" s="10">
        <v>3.5118638999999998</v>
      </c>
      <c r="BG566" s="10">
        <v>3.5072949000000002</v>
      </c>
      <c r="BH566" s="10">
        <v>3.5033731000000001</v>
      </c>
      <c r="BI566" s="10">
        <v>3.5000789999999999</v>
      </c>
      <c r="BJ566" s="10">
        <v>3.4973931999999999</v>
      </c>
      <c r="BK566" s="10">
        <v>3.4952961</v>
      </c>
      <c r="BL566" s="10">
        <v>3.4937681999999999</v>
      </c>
      <c r="BM566" s="10">
        <v>3.4927899999999998</v>
      </c>
      <c r="BN566" s="10">
        <v>3.4923421000000001</v>
      </c>
      <c r="BO566" s="10">
        <v>3.4924048999999999</v>
      </c>
      <c r="BP566" s="10">
        <v>3.4929589000000001</v>
      </c>
      <c r="BQ566" s="10">
        <v>3.4939846000000001</v>
      </c>
      <c r="BR566" s="10">
        <v>3.5091106999999999</v>
      </c>
      <c r="BS566" s="10">
        <v>3.5372710999999999</v>
      </c>
      <c r="BU566" s="7">
        <v>4.6100000000000003</v>
      </c>
      <c r="BV566" s="7">
        <v>4.1100000000000003</v>
      </c>
      <c r="BW566" s="9">
        <v>82.333500000000001</v>
      </c>
    </row>
    <row r="567" spans="1:75" x14ac:dyDescent="0.25">
      <c r="A567" s="6">
        <f t="shared" si="53"/>
        <v>45345</v>
      </c>
      <c r="B567" s="13">
        <f t="shared" si="48"/>
        <v>2</v>
      </c>
      <c r="C567" s="13">
        <f t="shared" si="49"/>
        <v>2024</v>
      </c>
      <c r="D567">
        <f t="shared" si="50"/>
        <v>202402</v>
      </c>
      <c r="E567">
        <f t="shared" si="51"/>
        <v>1</v>
      </c>
      <c r="F567">
        <f t="shared" si="52"/>
        <v>202401</v>
      </c>
      <c r="G567" t="s">
        <v>757</v>
      </c>
      <c r="H567" s="9">
        <v>5.25</v>
      </c>
      <c r="I567" s="9">
        <v>5.1881000000000004</v>
      </c>
      <c r="J567" s="10">
        <v>5.1911202000000003</v>
      </c>
      <c r="K567" s="10">
        <v>5.1764121000000003</v>
      </c>
      <c r="L567" s="10">
        <v>5.1412718999999996</v>
      </c>
      <c r="M567" s="10">
        <v>5.0810101000000003</v>
      </c>
      <c r="N567" s="10">
        <v>5.0013110999999997</v>
      </c>
      <c r="O567" s="10">
        <v>4.9112236999999999</v>
      </c>
      <c r="P567" s="10">
        <v>4.8183414999999998</v>
      </c>
      <c r="Q567" s="10">
        <v>4.7277338000000002</v>
      </c>
      <c r="R567" s="10">
        <v>4.6423572999999996</v>
      </c>
      <c r="S567" s="10">
        <v>4.56351</v>
      </c>
      <c r="T567" s="10">
        <v>4.4910712000000004</v>
      </c>
      <c r="U567" s="10">
        <v>4.4239810999999998</v>
      </c>
      <c r="V567" s="10">
        <v>4.3593095000000002</v>
      </c>
      <c r="W567" s="10">
        <v>4.2964254999999998</v>
      </c>
      <c r="X567" s="10">
        <v>4.2355970000000003</v>
      </c>
      <c r="Y567" s="10">
        <v>4.1770899000000004</v>
      </c>
      <c r="Z567" s="10">
        <v>4.1211701999999999</v>
      </c>
      <c r="AA567" s="10">
        <v>4.0681057000000003</v>
      </c>
      <c r="AB567" s="10">
        <v>4.0181193999999998</v>
      </c>
      <c r="AC567" s="10">
        <v>3.9712136</v>
      </c>
      <c r="AD567" s="10">
        <v>3.9273218000000001</v>
      </c>
      <c r="AE567" s="10">
        <v>3.8863758000000002</v>
      </c>
      <c r="AF567" s="10">
        <v>3.8483073999999999</v>
      </c>
      <c r="AG567" s="10">
        <v>3.8130500999999999</v>
      </c>
      <c r="AH567" s="10">
        <v>3.7805213000000002</v>
      </c>
      <c r="AI567" s="10">
        <v>3.7505763000000001</v>
      </c>
      <c r="AJ567" s="10">
        <v>3.7230538000000002</v>
      </c>
      <c r="AK567" s="10">
        <v>3.6977913999999998</v>
      </c>
      <c r="AL567" s="10">
        <v>3.6746270999999999</v>
      </c>
      <c r="AM567" s="10">
        <v>3.6533994999999999</v>
      </c>
      <c r="AN567" s="10">
        <v>3.6339462999999999</v>
      </c>
      <c r="AO567" s="10">
        <v>3.6161055000000002</v>
      </c>
      <c r="AP567" s="10">
        <v>3.5997154999999998</v>
      </c>
      <c r="AQ567" s="10">
        <v>3.5846141999999999</v>
      </c>
      <c r="AR567" s="10">
        <v>3.5706395999999998</v>
      </c>
      <c r="AS567" s="10">
        <v>3.5576300999999999</v>
      </c>
      <c r="AT567" s="10">
        <v>3.5454441999999999</v>
      </c>
      <c r="AU567" s="10">
        <v>3.5340322999999998</v>
      </c>
      <c r="AV567" s="10">
        <v>3.5233701000000002</v>
      </c>
      <c r="AW567" s="10">
        <v>3.5134332000000001</v>
      </c>
      <c r="AX567" s="10">
        <v>3.5041970999999998</v>
      </c>
      <c r="AY567" s="10">
        <v>3.4956374000000001</v>
      </c>
      <c r="AZ567" s="10">
        <v>3.4877297999999999</v>
      </c>
      <c r="BA567" s="10">
        <v>3.4804498000000001</v>
      </c>
      <c r="BB567" s="10">
        <v>3.473773</v>
      </c>
      <c r="BC567" s="10">
        <v>3.4676749999999998</v>
      </c>
      <c r="BD567" s="10">
        <v>3.4621314000000001</v>
      </c>
      <c r="BE567" s="10">
        <v>3.4571179000000001</v>
      </c>
      <c r="BF567" s="10">
        <v>3.4526123000000002</v>
      </c>
      <c r="BG567" s="10">
        <v>3.4486036000000002</v>
      </c>
      <c r="BH567" s="10">
        <v>3.4450834000000001</v>
      </c>
      <c r="BI567" s="10">
        <v>3.4420435</v>
      </c>
      <c r="BJ567" s="10">
        <v>3.4394756000000002</v>
      </c>
      <c r="BK567" s="10">
        <v>3.4373714999999998</v>
      </c>
      <c r="BL567" s="10">
        <v>3.4357228000000002</v>
      </c>
      <c r="BM567" s="10">
        <v>3.4345213999999999</v>
      </c>
      <c r="BN567" s="10">
        <v>3.4337589999999998</v>
      </c>
      <c r="BO567" s="10">
        <v>3.4334273</v>
      </c>
      <c r="BP567" s="10">
        <v>3.4335179999999998</v>
      </c>
      <c r="BQ567" s="10">
        <v>3.4340229</v>
      </c>
      <c r="BR567" s="10">
        <v>3.4452443000000001</v>
      </c>
      <c r="BS567" s="10">
        <v>3.4690291000000002</v>
      </c>
      <c r="BU567" s="7">
        <v>4.25</v>
      </c>
      <c r="BV567" s="7">
        <v>4.1100000000000003</v>
      </c>
      <c r="BW567" s="9">
        <v>82.660700000000006</v>
      </c>
    </row>
    <row r="568" spans="1:75" x14ac:dyDescent="0.25">
      <c r="A568" s="6">
        <f t="shared" si="53"/>
        <v>45348</v>
      </c>
      <c r="B568" s="13">
        <f t="shared" si="48"/>
        <v>2</v>
      </c>
      <c r="C568" s="13">
        <f t="shared" si="49"/>
        <v>2024</v>
      </c>
      <c r="D568">
        <f t="shared" si="50"/>
        <v>202402</v>
      </c>
      <c r="E568">
        <f t="shared" si="51"/>
        <v>1</v>
      </c>
      <c r="F568">
        <f t="shared" si="52"/>
        <v>202401</v>
      </c>
      <c r="G568" t="s">
        <v>758</v>
      </c>
      <c r="H568" s="9">
        <v>5.25</v>
      </c>
      <c r="I568" s="9">
        <v>5.1881000000000004</v>
      </c>
      <c r="J568" s="10">
        <v>5.1910660999999996</v>
      </c>
      <c r="K568" s="10">
        <v>5.1780061999999996</v>
      </c>
      <c r="L568" s="10">
        <v>5.1471799000000003</v>
      </c>
      <c r="M568" s="10">
        <v>5.0928807000000003</v>
      </c>
      <c r="N568" s="10">
        <v>5.0198612999999996</v>
      </c>
      <c r="O568" s="10">
        <v>4.9355760999999996</v>
      </c>
      <c r="P568" s="10">
        <v>4.8469300000000004</v>
      </c>
      <c r="Q568" s="10">
        <v>4.7585839999999999</v>
      </c>
      <c r="R568" s="10">
        <v>4.6740263999999998</v>
      </c>
      <c r="S568" s="10">
        <v>4.5950673999999996</v>
      </c>
      <c r="T568" s="10">
        <v>4.5224766000000001</v>
      </c>
      <c r="U568" s="10">
        <v>4.4559274000000002</v>
      </c>
      <c r="V568" s="10">
        <v>4.3936109999999999</v>
      </c>
      <c r="W568" s="10">
        <v>4.3348966999999998</v>
      </c>
      <c r="X568" s="10">
        <v>4.2796154</v>
      </c>
      <c r="Y568" s="10">
        <v>4.2275958999999999</v>
      </c>
      <c r="Z568" s="10">
        <v>4.1786672999999999</v>
      </c>
      <c r="AA568" s="10">
        <v>4.1326602000000001</v>
      </c>
      <c r="AB568" s="10">
        <v>4.0894066000000002</v>
      </c>
      <c r="AC568" s="10">
        <v>4.0487497000000001</v>
      </c>
      <c r="AD568" s="10">
        <v>4.0105367999999997</v>
      </c>
      <c r="AE568" s="10">
        <v>3.9746138000000002</v>
      </c>
      <c r="AF568" s="10">
        <v>3.9408267000000001</v>
      </c>
      <c r="AG568" s="10">
        <v>3.9090227999999998</v>
      </c>
      <c r="AH568" s="10">
        <v>3.8790575</v>
      </c>
      <c r="AI568" s="10">
        <v>3.8508292000000002</v>
      </c>
      <c r="AJ568" s="10">
        <v>3.8242490999999998</v>
      </c>
      <c r="AK568" s="10">
        <v>3.7992271999999998</v>
      </c>
      <c r="AL568" s="10">
        <v>3.7756734999999999</v>
      </c>
      <c r="AM568" s="10">
        <v>3.7534991999999998</v>
      </c>
      <c r="AN568" s="10">
        <v>3.7326144000000001</v>
      </c>
      <c r="AO568" s="10">
        <v>3.7129291000000002</v>
      </c>
      <c r="AP568" s="10">
        <v>3.6943543999999999</v>
      </c>
      <c r="AQ568" s="10">
        <v>3.6768003</v>
      </c>
      <c r="AR568" s="10">
        <v>3.6601770999999999</v>
      </c>
      <c r="AS568" s="10">
        <v>3.6443957</v>
      </c>
      <c r="AT568" s="10">
        <v>3.6293788999999999</v>
      </c>
      <c r="AU568" s="10">
        <v>3.6151059999999999</v>
      </c>
      <c r="AV568" s="10">
        <v>3.6015720999999998</v>
      </c>
      <c r="AW568" s="10">
        <v>3.5887718999999998</v>
      </c>
      <c r="AX568" s="10">
        <v>3.5767001999999999</v>
      </c>
      <c r="AY568" s="10">
        <v>3.5653519999999999</v>
      </c>
      <c r="AZ568" s="10">
        <v>3.5547221000000002</v>
      </c>
      <c r="BA568" s="10">
        <v>3.5448051999999999</v>
      </c>
      <c r="BB568" s="10">
        <v>3.5355965</v>
      </c>
      <c r="BC568" s="10">
        <v>3.5270904999999999</v>
      </c>
      <c r="BD568" s="10">
        <v>3.5192822000000001</v>
      </c>
      <c r="BE568" s="10">
        <v>3.5121666</v>
      </c>
      <c r="BF568" s="10">
        <v>3.5057377999999999</v>
      </c>
      <c r="BG568" s="10">
        <v>3.499987</v>
      </c>
      <c r="BH568" s="10">
        <v>3.4949045000000001</v>
      </c>
      <c r="BI568" s="10">
        <v>3.4904804</v>
      </c>
      <c r="BJ568" s="10">
        <v>3.4867048</v>
      </c>
      <c r="BK568" s="10">
        <v>3.4835680999999998</v>
      </c>
      <c r="BL568" s="10">
        <v>3.4810603000000002</v>
      </c>
      <c r="BM568" s="10">
        <v>3.4791717000000002</v>
      </c>
      <c r="BN568" s="10">
        <v>3.4778924</v>
      </c>
      <c r="BO568" s="10">
        <v>3.4772126999999999</v>
      </c>
      <c r="BP568" s="10">
        <v>3.4771226</v>
      </c>
      <c r="BQ568" s="10">
        <v>3.4776123000000001</v>
      </c>
      <c r="BR568" s="10">
        <v>3.4918338000000002</v>
      </c>
      <c r="BS568" s="10">
        <v>3.5223420000000001</v>
      </c>
      <c r="BU568" s="7">
        <v>4.3</v>
      </c>
      <c r="BV568" s="7">
        <v>4.1500000000000004</v>
      </c>
      <c r="BW568" s="9">
        <v>82.616</v>
      </c>
    </row>
    <row r="569" spans="1:75" x14ac:dyDescent="0.25">
      <c r="A569" s="6">
        <f t="shared" si="53"/>
        <v>45349</v>
      </c>
      <c r="B569" s="13">
        <f t="shared" si="48"/>
        <v>2</v>
      </c>
      <c r="C569" s="13">
        <f t="shared" si="49"/>
        <v>2024</v>
      </c>
      <c r="D569">
        <f t="shared" si="50"/>
        <v>202402</v>
      </c>
      <c r="E569">
        <f t="shared" si="51"/>
        <v>1</v>
      </c>
      <c r="F569">
        <f t="shared" si="52"/>
        <v>202401</v>
      </c>
      <c r="G569" t="s">
        <v>759</v>
      </c>
      <c r="H569" s="9">
        <v>5.25</v>
      </c>
      <c r="I569" s="9">
        <v>5.1877000000000004</v>
      </c>
      <c r="J569" s="10">
        <v>5.189527</v>
      </c>
      <c r="K569" s="10">
        <v>5.1770050000000003</v>
      </c>
      <c r="L569" s="10">
        <v>5.1478282000000002</v>
      </c>
      <c r="M569" s="10">
        <v>5.0966386999999997</v>
      </c>
      <c r="N569" s="10">
        <v>5.0272147</v>
      </c>
      <c r="O569" s="10">
        <v>4.9471455999999998</v>
      </c>
      <c r="P569" s="10">
        <v>4.8634161000000002</v>
      </c>
      <c r="Q569" s="10">
        <v>4.7809406000000001</v>
      </c>
      <c r="R569" s="10">
        <v>4.7029245</v>
      </c>
      <c r="S569" s="10">
        <v>4.6307200000000002</v>
      </c>
      <c r="T569" s="10">
        <v>4.5646388</v>
      </c>
      <c r="U569" s="10">
        <v>4.5037868999999997</v>
      </c>
      <c r="V569" s="10">
        <v>4.4457196999999997</v>
      </c>
      <c r="W569" s="10">
        <v>4.3898200999999997</v>
      </c>
      <c r="X569" s="10">
        <v>4.3361156000000003</v>
      </c>
      <c r="Y569" s="10">
        <v>4.2846317000000003</v>
      </c>
      <c r="Z569" s="10">
        <v>4.2353942</v>
      </c>
      <c r="AA569" s="10">
        <v>4.1884304999999999</v>
      </c>
      <c r="AB569" s="10">
        <v>4.1437514999999996</v>
      </c>
      <c r="AC569" s="10">
        <v>4.1013114000000002</v>
      </c>
      <c r="AD569" s="10">
        <v>4.0610524999999997</v>
      </c>
      <c r="AE569" s="10">
        <v>4.0229157999999998</v>
      </c>
      <c r="AF569" s="10">
        <v>3.9868420000000002</v>
      </c>
      <c r="AG569" s="10">
        <v>3.9527733999999999</v>
      </c>
      <c r="AH569" s="10">
        <v>3.9206468999999999</v>
      </c>
      <c r="AI569" s="10">
        <v>3.8903821000000001</v>
      </c>
      <c r="AJ569" s="10">
        <v>3.8618947000000001</v>
      </c>
      <c r="AK569" s="10">
        <v>3.8350993999999998</v>
      </c>
      <c r="AL569" s="10">
        <v>3.8099109000000002</v>
      </c>
      <c r="AM569" s="10">
        <v>3.7862450999999999</v>
      </c>
      <c r="AN569" s="10">
        <v>3.7640164999999999</v>
      </c>
      <c r="AO569" s="10">
        <v>3.7431401000000002</v>
      </c>
      <c r="AP569" s="10">
        <v>3.7235314000000002</v>
      </c>
      <c r="AQ569" s="10">
        <v>3.7051050999999999</v>
      </c>
      <c r="AR569" s="10">
        <v>3.6877762999999999</v>
      </c>
      <c r="AS569" s="10">
        <v>3.6714601999999998</v>
      </c>
      <c r="AT569" s="10">
        <v>3.6560796999999998</v>
      </c>
      <c r="AU569" s="10">
        <v>3.6415994999999999</v>
      </c>
      <c r="AV569" s="10">
        <v>3.6279989000000001</v>
      </c>
      <c r="AW569" s="10">
        <v>3.6152568</v>
      </c>
      <c r="AX569" s="10">
        <v>3.6033520999999999</v>
      </c>
      <c r="AY569" s="10">
        <v>3.5922641999999998</v>
      </c>
      <c r="AZ569" s="10">
        <v>3.5819719999999999</v>
      </c>
      <c r="BA569" s="10">
        <v>3.5724543999999998</v>
      </c>
      <c r="BB569" s="10">
        <v>3.5636906000000002</v>
      </c>
      <c r="BC569" s="10">
        <v>3.5556597000000001</v>
      </c>
      <c r="BD569" s="10">
        <v>3.5483405000000001</v>
      </c>
      <c r="BE569" s="10">
        <v>3.5417122999999999</v>
      </c>
      <c r="BF569" s="10">
        <v>3.535755</v>
      </c>
      <c r="BG569" s="10">
        <v>3.5304524000000002</v>
      </c>
      <c r="BH569" s="10">
        <v>3.5257900000000002</v>
      </c>
      <c r="BI569" s="10">
        <v>3.5217531000000002</v>
      </c>
      <c r="BJ569" s="10">
        <v>3.5183268999999999</v>
      </c>
      <c r="BK569" s="10">
        <v>3.5154968000000002</v>
      </c>
      <c r="BL569" s="10">
        <v>3.5132481000000002</v>
      </c>
      <c r="BM569" s="10">
        <v>3.5115661</v>
      </c>
      <c r="BN569" s="10">
        <v>3.5104362</v>
      </c>
      <c r="BO569" s="10">
        <v>3.5098435000000001</v>
      </c>
      <c r="BP569" s="10">
        <v>3.5097733999999998</v>
      </c>
      <c r="BQ569" s="10">
        <v>3.5102112999999999</v>
      </c>
      <c r="BR569" s="10">
        <v>3.5226476</v>
      </c>
      <c r="BS569" s="10">
        <v>3.5494533000000001</v>
      </c>
      <c r="BU569" s="7">
        <v>4.3499999999999996</v>
      </c>
      <c r="BV569" s="7">
        <v>4.1900000000000004</v>
      </c>
      <c r="BW569" s="9">
        <v>82.609899999999996</v>
      </c>
    </row>
    <row r="570" spans="1:75" x14ac:dyDescent="0.25">
      <c r="A570" s="6">
        <f t="shared" si="53"/>
        <v>45350</v>
      </c>
      <c r="B570" s="13">
        <f t="shared" si="48"/>
        <v>2</v>
      </c>
      <c r="C570" s="13">
        <f t="shared" si="49"/>
        <v>2024</v>
      </c>
      <c r="D570">
        <f t="shared" si="50"/>
        <v>202402</v>
      </c>
      <c r="E570">
        <f t="shared" si="51"/>
        <v>1</v>
      </c>
      <c r="F570">
        <f t="shared" si="52"/>
        <v>202401</v>
      </c>
      <c r="G570" t="s">
        <v>760</v>
      </c>
      <c r="H570" s="9">
        <v>5.25</v>
      </c>
      <c r="I570" s="9">
        <v>5.1882000000000001</v>
      </c>
      <c r="J570" s="10">
        <v>5.1898312999999998</v>
      </c>
      <c r="K570" s="10">
        <v>5.1719606999999996</v>
      </c>
      <c r="L570" s="10">
        <v>5.1399046000000004</v>
      </c>
      <c r="M570" s="10">
        <v>5.0877128000000003</v>
      </c>
      <c r="N570" s="10">
        <v>5.0183267000000003</v>
      </c>
      <c r="O570" s="10">
        <v>4.9387217999999997</v>
      </c>
      <c r="P570" s="10">
        <v>4.8558754000000004</v>
      </c>
      <c r="Q570" s="10">
        <v>4.7747156999999998</v>
      </c>
      <c r="R570" s="10">
        <v>4.6984639000000001</v>
      </c>
      <c r="S570" s="10">
        <v>4.6284853999999997</v>
      </c>
      <c r="T570" s="10">
        <v>4.5646721000000001</v>
      </c>
      <c r="U570" s="10">
        <v>4.5059494000000004</v>
      </c>
      <c r="V570" s="10">
        <v>4.4493314000000002</v>
      </c>
      <c r="W570" s="10">
        <v>4.3940818999999998</v>
      </c>
      <c r="X570" s="10">
        <v>4.3402716999999997</v>
      </c>
      <c r="Y570" s="10">
        <v>4.2879696000000003</v>
      </c>
      <c r="Z570" s="10">
        <v>4.2372443999999998</v>
      </c>
      <c r="AA570" s="10">
        <v>4.1881668000000003</v>
      </c>
      <c r="AB570" s="10">
        <v>4.1408133999999999</v>
      </c>
      <c r="AC570" s="10">
        <v>4.0952913999999998</v>
      </c>
      <c r="AD570" s="10">
        <v>4.0517165999999998</v>
      </c>
      <c r="AE570" s="10">
        <v>4.0102029999999997</v>
      </c>
      <c r="AF570" s="10">
        <v>3.9708649999999999</v>
      </c>
      <c r="AG570" s="10">
        <v>3.9338182000000002</v>
      </c>
      <c r="AH570" s="10">
        <v>3.8991484999999999</v>
      </c>
      <c r="AI570" s="10">
        <v>3.8667886</v>
      </c>
      <c r="AJ570" s="10">
        <v>3.8366213999999998</v>
      </c>
      <c r="AK570" s="10">
        <v>3.8085284000000001</v>
      </c>
      <c r="AL570" s="10">
        <v>3.7823910999999999</v>
      </c>
      <c r="AM570" s="10">
        <v>3.758092</v>
      </c>
      <c r="AN570" s="10">
        <v>3.7355128</v>
      </c>
      <c r="AO570" s="10">
        <v>3.7145350000000001</v>
      </c>
      <c r="AP570" s="10">
        <v>3.6950411999999999</v>
      </c>
      <c r="AQ570" s="10">
        <v>3.6769129</v>
      </c>
      <c r="AR570" s="10">
        <v>3.6600318000000001</v>
      </c>
      <c r="AS570" s="10">
        <v>3.6442803000000001</v>
      </c>
      <c r="AT570" s="10">
        <v>3.6295514999999998</v>
      </c>
      <c r="AU570" s="10">
        <v>3.6157940000000002</v>
      </c>
      <c r="AV570" s="10">
        <v>3.6029738</v>
      </c>
      <c r="AW570" s="10">
        <v>3.5910567000000002</v>
      </c>
      <c r="AX570" s="10">
        <v>3.5800082</v>
      </c>
      <c r="AY570" s="10">
        <v>3.5697942999999999</v>
      </c>
      <c r="AZ570" s="10">
        <v>3.5603807000000001</v>
      </c>
      <c r="BA570" s="10">
        <v>3.551733</v>
      </c>
      <c r="BB570" s="10">
        <v>3.5438171000000001</v>
      </c>
      <c r="BC570" s="10">
        <v>3.5365986999999999</v>
      </c>
      <c r="BD570" s="10">
        <v>3.5300435000000001</v>
      </c>
      <c r="BE570" s="10">
        <v>3.5241174000000002</v>
      </c>
      <c r="BF570" s="10">
        <v>3.5187889999999999</v>
      </c>
      <c r="BG570" s="10">
        <v>3.5140414</v>
      </c>
      <c r="BH570" s="10">
        <v>3.5098622000000002</v>
      </c>
      <c r="BI570" s="10">
        <v>3.5062388000000002</v>
      </c>
      <c r="BJ570" s="10">
        <v>3.5031588</v>
      </c>
      <c r="BK570" s="10">
        <v>3.5006096000000002</v>
      </c>
      <c r="BL570" s="10">
        <v>3.4985788000000002</v>
      </c>
      <c r="BM570" s="10">
        <v>3.4970538000000002</v>
      </c>
      <c r="BN570" s="10">
        <v>3.4960222000000001</v>
      </c>
      <c r="BO570" s="10">
        <v>3.4954714999999998</v>
      </c>
      <c r="BP570" s="10">
        <v>3.4953891000000001</v>
      </c>
      <c r="BQ570" s="10">
        <v>3.4957625999999999</v>
      </c>
      <c r="BR570" s="10">
        <v>3.5068241000000002</v>
      </c>
      <c r="BS570" s="10">
        <v>3.5308212999999999</v>
      </c>
      <c r="BU570" s="7">
        <v>4.3499999999999996</v>
      </c>
      <c r="BV570" s="7">
        <v>4.18</v>
      </c>
      <c r="BW570" s="9">
        <v>82.518500000000003</v>
      </c>
    </row>
    <row r="571" spans="1:75" x14ac:dyDescent="0.25">
      <c r="A571" s="6">
        <f t="shared" si="53"/>
        <v>45351</v>
      </c>
      <c r="B571" s="13">
        <f t="shared" si="48"/>
        <v>2</v>
      </c>
      <c r="C571" s="13">
        <f t="shared" si="49"/>
        <v>2024</v>
      </c>
      <c r="D571">
        <f t="shared" si="50"/>
        <v>202402</v>
      </c>
      <c r="E571">
        <f t="shared" si="51"/>
        <v>1</v>
      </c>
      <c r="F571">
        <f t="shared" si="52"/>
        <v>202401</v>
      </c>
      <c r="G571" t="s">
        <v>761</v>
      </c>
      <c r="H571" s="9">
        <v>5.25</v>
      </c>
      <c r="I571" s="9">
        <v>5.1885000000000003</v>
      </c>
      <c r="J571" s="10">
        <v>5.1883420999999998</v>
      </c>
      <c r="K571" s="10">
        <v>5.1727388999999997</v>
      </c>
      <c r="L571" s="10">
        <v>5.1406713999999996</v>
      </c>
      <c r="M571" s="10">
        <v>5.0871211000000001</v>
      </c>
      <c r="N571" s="10">
        <v>5.0154617999999997</v>
      </c>
      <c r="O571" s="10">
        <v>4.9327486</v>
      </c>
      <c r="P571" s="10">
        <v>4.8446676000000002</v>
      </c>
      <c r="Q571" s="10">
        <v>4.7549672000000003</v>
      </c>
      <c r="R571" s="10">
        <v>4.6667921000000003</v>
      </c>
      <c r="S571" s="10">
        <v>4.5829161999999997</v>
      </c>
      <c r="T571" s="10">
        <v>4.5051163000000001</v>
      </c>
      <c r="U571" s="10">
        <v>4.4344144999999999</v>
      </c>
      <c r="V571" s="10">
        <v>4.3711498999999998</v>
      </c>
      <c r="W571" s="10">
        <v>4.3144840999999996</v>
      </c>
      <c r="X571" s="10">
        <v>4.2633102999999997</v>
      </c>
      <c r="Y571" s="10">
        <v>4.2165194000000001</v>
      </c>
      <c r="Z571" s="10">
        <v>4.1730026999999996</v>
      </c>
      <c r="AA571" s="10">
        <v>4.1316528000000003</v>
      </c>
      <c r="AB571" s="10">
        <v>4.0915137000000001</v>
      </c>
      <c r="AC571" s="10">
        <v>4.0524120999999997</v>
      </c>
      <c r="AD571" s="10">
        <v>4.0144257999999997</v>
      </c>
      <c r="AE571" s="10">
        <v>3.9776315000000002</v>
      </c>
      <c r="AF571" s="10">
        <v>3.9421059000000001</v>
      </c>
      <c r="AG571" s="10">
        <v>3.9079271000000002</v>
      </c>
      <c r="AH571" s="10">
        <v>3.8751593999999998</v>
      </c>
      <c r="AI571" s="10">
        <v>3.8438072000000001</v>
      </c>
      <c r="AJ571" s="10">
        <v>3.8138578000000001</v>
      </c>
      <c r="AK571" s="10">
        <v>3.7852974000000001</v>
      </c>
      <c r="AL571" s="10">
        <v>3.7581121999999998</v>
      </c>
      <c r="AM571" s="10">
        <v>3.7322894</v>
      </c>
      <c r="AN571" s="10">
        <v>3.7078150999999999</v>
      </c>
      <c r="AO571" s="10">
        <v>3.6846755999999998</v>
      </c>
      <c r="AP571" s="10">
        <v>3.6628579999999999</v>
      </c>
      <c r="AQ571" s="10">
        <v>3.6423485000000002</v>
      </c>
      <c r="AR571" s="10">
        <v>3.6231334999999998</v>
      </c>
      <c r="AS571" s="10">
        <v>3.6051999000000001</v>
      </c>
      <c r="AT571" s="10">
        <v>3.5885277000000002</v>
      </c>
      <c r="AU571" s="10">
        <v>3.5730691999999999</v>
      </c>
      <c r="AV571" s="10">
        <v>3.5587697</v>
      </c>
      <c r="AW571" s="10">
        <v>3.5455738000000001</v>
      </c>
      <c r="AX571" s="10">
        <v>3.533426</v>
      </c>
      <c r="AY571" s="10">
        <v>3.5222717000000001</v>
      </c>
      <c r="AZ571" s="10">
        <v>3.5120553000000001</v>
      </c>
      <c r="BA571" s="10">
        <v>3.5027216999999999</v>
      </c>
      <c r="BB571" s="10">
        <v>3.4942158999999999</v>
      </c>
      <c r="BC571" s="10">
        <v>3.4864826</v>
      </c>
      <c r="BD571" s="10">
        <v>3.4794665</v>
      </c>
      <c r="BE571" s="10">
        <v>3.4731127000000002</v>
      </c>
      <c r="BF571" s="10">
        <v>3.4673718</v>
      </c>
      <c r="BG571" s="10">
        <v>3.4622210999999998</v>
      </c>
      <c r="BH571" s="10">
        <v>3.4576456000000002</v>
      </c>
      <c r="BI571" s="10">
        <v>3.4536297</v>
      </c>
      <c r="BJ571" s="10">
        <v>3.4501580000000001</v>
      </c>
      <c r="BK571" s="10">
        <v>3.4472155</v>
      </c>
      <c r="BL571" s="10">
        <v>3.4447865000000002</v>
      </c>
      <c r="BM571" s="10">
        <v>3.4428559000000001</v>
      </c>
      <c r="BN571" s="10">
        <v>3.4414083</v>
      </c>
      <c r="BO571" s="10">
        <v>3.4404283000000002</v>
      </c>
      <c r="BP571" s="10">
        <v>3.4399006999999999</v>
      </c>
      <c r="BQ571" s="10">
        <v>3.4398100999999999</v>
      </c>
      <c r="BR571" s="10">
        <v>3.4477145999999999</v>
      </c>
      <c r="BS571" s="10">
        <v>3.4682754999999998</v>
      </c>
      <c r="BU571" s="7">
        <v>4.3</v>
      </c>
      <c r="BV571" s="7">
        <v>4.12</v>
      </c>
      <c r="BW571" s="9">
        <v>82.496099999999998</v>
      </c>
    </row>
    <row r="572" spans="1:75" x14ac:dyDescent="0.25">
      <c r="A572" s="6">
        <f t="shared" si="53"/>
        <v>45352</v>
      </c>
      <c r="B572" s="13">
        <f t="shared" si="48"/>
        <v>3</v>
      </c>
      <c r="C572" s="13">
        <f t="shared" si="49"/>
        <v>2024</v>
      </c>
      <c r="D572">
        <f t="shared" si="50"/>
        <v>202403</v>
      </c>
      <c r="E572">
        <f t="shared" si="51"/>
        <v>1</v>
      </c>
      <c r="F572">
        <f t="shared" si="52"/>
        <v>202401</v>
      </c>
      <c r="G572" t="s">
        <v>762</v>
      </c>
      <c r="H572" s="9">
        <v>5.25</v>
      </c>
      <c r="I572" s="9">
        <v>5.1886999999999999</v>
      </c>
      <c r="J572" s="10">
        <v>5.1883822000000004</v>
      </c>
      <c r="K572" s="10">
        <v>5.1748481999999996</v>
      </c>
      <c r="L572" s="10">
        <v>5.1415443999999999</v>
      </c>
      <c r="M572" s="10">
        <v>5.0838066</v>
      </c>
      <c r="N572" s="10">
        <v>5.0061515999999999</v>
      </c>
      <c r="O572" s="10">
        <v>4.9173276000000001</v>
      </c>
      <c r="P572" s="10">
        <v>4.8250134999999998</v>
      </c>
      <c r="Q572" s="10">
        <v>4.7341353000000002</v>
      </c>
      <c r="R572" s="10">
        <v>4.6478742000000004</v>
      </c>
      <c r="S572" s="10">
        <v>4.5679692999999997</v>
      </c>
      <c r="T572" s="10">
        <v>4.4946254999999997</v>
      </c>
      <c r="U572" s="10">
        <v>4.4272610999999999</v>
      </c>
      <c r="V572" s="10">
        <v>4.3643875000000003</v>
      </c>
      <c r="W572" s="10">
        <v>4.3052780999999998</v>
      </c>
      <c r="X572" s="10">
        <v>4.2495647999999999</v>
      </c>
      <c r="Y572" s="10">
        <v>4.1968775000000003</v>
      </c>
      <c r="Z572" s="10">
        <v>4.146846</v>
      </c>
      <c r="AA572" s="10">
        <v>4.0991021999999999</v>
      </c>
      <c r="AB572" s="10">
        <v>4.0533387000000003</v>
      </c>
      <c r="AC572" s="10">
        <v>4.0095393000000001</v>
      </c>
      <c r="AD572" s="10">
        <v>3.9677737</v>
      </c>
      <c r="AE572" s="10">
        <v>3.9281098999999999</v>
      </c>
      <c r="AF572" s="10">
        <v>3.8906160999999999</v>
      </c>
      <c r="AG572" s="10">
        <v>3.855362</v>
      </c>
      <c r="AH572" s="10">
        <v>3.8223878</v>
      </c>
      <c r="AI572" s="10">
        <v>3.7916116999999998</v>
      </c>
      <c r="AJ572" s="10">
        <v>3.7629191</v>
      </c>
      <c r="AK572" s="10">
        <v>3.7361943000000002</v>
      </c>
      <c r="AL572" s="10">
        <v>3.7113216000000002</v>
      </c>
      <c r="AM572" s="10">
        <v>3.6881862999999999</v>
      </c>
      <c r="AN572" s="10">
        <v>3.6666726999999999</v>
      </c>
      <c r="AO572" s="10">
        <v>3.6466653</v>
      </c>
      <c r="AP572" s="10">
        <v>3.6280492</v>
      </c>
      <c r="AQ572" s="10">
        <v>3.6107089000000001</v>
      </c>
      <c r="AR572" s="10">
        <v>3.5945288</v>
      </c>
      <c r="AS572" s="10">
        <v>3.5793938999999999</v>
      </c>
      <c r="AT572" s="10">
        <v>3.5652018999999999</v>
      </c>
      <c r="AU572" s="10">
        <v>3.5519034</v>
      </c>
      <c r="AV572" s="10">
        <v>3.5394624000000001</v>
      </c>
      <c r="AW572" s="10">
        <v>3.5278426000000001</v>
      </c>
      <c r="AX572" s="10">
        <v>3.5170078</v>
      </c>
      <c r="AY572" s="10">
        <v>3.5069219999999999</v>
      </c>
      <c r="AZ572" s="10">
        <v>3.4975489999999998</v>
      </c>
      <c r="BA572" s="10">
        <v>3.4888525000000001</v>
      </c>
      <c r="BB572" s="10">
        <v>3.4807966000000001</v>
      </c>
      <c r="BC572" s="10">
        <v>3.4733448999999998</v>
      </c>
      <c r="BD572" s="10">
        <v>3.4664611999999999</v>
      </c>
      <c r="BE572" s="10">
        <v>3.4601096</v>
      </c>
      <c r="BF572" s="10">
        <v>3.4542584999999999</v>
      </c>
      <c r="BG572" s="10">
        <v>3.4488970000000001</v>
      </c>
      <c r="BH572" s="10">
        <v>3.4440202000000002</v>
      </c>
      <c r="BI572" s="10">
        <v>3.4396228</v>
      </c>
      <c r="BJ572" s="10">
        <v>3.4356996999999998</v>
      </c>
      <c r="BK572" s="10">
        <v>3.4322458999999998</v>
      </c>
      <c r="BL572" s="10">
        <v>3.4292563999999999</v>
      </c>
      <c r="BM572" s="10">
        <v>3.4267257999999998</v>
      </c>
      <c r="BN572" s="10">
        <v>3.4246493</v>
      </c>
      <c r="BO572" s="10">
        <v>3.4230216000000002</v>
      </c>
      <c r="BP572" s="10">
        <v>3.4218377000000002</v>
      </c>
      <c r="BQ572" s="10">
        <v>3.4210924</v>
      </c>
      <c r="BR572" s="10">
        <v>3.425376</v>
      </c>
      <c r="BS572" s="10">
        <v>3.4431278000000001</v>
      </c>
      <c r="BU572" s="7">
        <v>4.28</v>
      </c>
      <c r="BV572" s="7">
        <v>4.0999999999999996</v>
      </c>
      <c r="BW572" s="9">
        <v>82.492099999999994</v>
      </c>
    </row>
    <row r="573" spans="1:75" x14ac:dyDescent="0.25">
      <c r="A573" s="6">
        <f t="shared" si="53"/>
        <v>45355</v>
      </c>
      <c r="B573" s="13">
        <f t="shared" si="48"/>
        <v>3</v>
      </c>
      <c r="C573" s="13">
        <f t="shared" si="49"/>
        <v>2024</v>
      </c>
      <c r="D573">
        <f t="shared" si="50"/>
        <v>202403</v>
      </c>
      <c r="E573">
        <f t="shared" si="51"/>
        <v>1</v>
      </c>
      <c r="F573">
        <f t="shared" si="52"/>
        <v>202401</v>
      </c>
      <c r="G573" t="s">
        <v>763</v>
      </c>
      <c r="H573" s="9">
        <v>5.25</v>
      </c>
      <c r="I573" s="9">
        <v>5.1883999999999997</v>
      </c>
      <c r="J573" s="10">
        <v>5.1931303</v>
      </c>
      <c r="K573" s="10">
        <v>5.1779549999999999</v>
      </c>
      <c r="L573" s="10">
        <v>5.1468654000000003</v>
      </c>
      <c r="M573" s="10">
        <v>5.0954338999999997</v>
      </c>
      <c r="N573" s="10">
        <v>5.0269617999999996</v>
      </c>
      <c r="O573" s="10">
        <v>4.9480268000000001</v>
      </c>
      <c r="P573" s="10">
        <v>4.8647337000000004</v>
      </c>
      <c r="Q573" s="10">
        <v>4.7816071000000004</v>
      </c>
      <c r="R573" s="10">
        <v>4.7020694000000001</v>
      </c>
      <c r="S573" s="10">
        <v>4.6280478</v>
      </c>
      <c r="T573" s="10">
        <v>4.5600389999999997</v>
      </c>
      <c r="U573" s="10">
        <v>4.4975999</v>
      </c>
      <c r="V573" s="10">
        <v>4.4394087000000004</v>
      </c>
      <c r="W573" s="10">
        <v>4.3846781999999997</v>
      </c>
      <c r="X573" s="10">
        <v>4.3328293000000002</v>
      </c>
      <c r="Y573" s="10">
        <v>4.2832812000000002</v>
      </c>
      <c r="Z573" s="10">
        <v>4.2354529999999997</v>
      </c>
      <c r="AA573" s="10">
        <v>4.1887656</v>
      </c>
      <c r="AB573" s="10">
        <v>4.1427623999999996</v>
      </c>
      <c r="AC573" s="10">
        <v>4.0975627000000001</v>
      </c>
      <c r="AD573" s="10">
        <v>4.0534545</v>
      </c>
      <c r="AE573" s="10">
        <v>4.0107241</v>
      </c>
      <c r="AF573" s="10">
        <v>3.9696577</v>
      </c>
      <c r="AG573" s="10">
        <v>3.9305433999999999</v>
      </c>
      <c r="AH573" s="10">
        <v>3.8936044000000001</v>
      </c>
      <c r="AI573" s="10">
        <v>3.8588127000000001</v>
      </c>
      <c r="AJ573" s="10">
        <v>3.8260787000000001</v>
      </c>
      <c r="AK573" s="10">
        <v>3.7953112</v>
      </c>
      <c r="AL573" s="10">
        <v>3.7664195</v>
      </c>
      <c r="AM573" s="10">
        <v>3.7393136999999999</v>
      </c>
      <c r="AN573" s="10">
        <v>3.7139028000000001</v>
      </c>
      <c r="AO573" s="10">
        <v>3.690096</v>
      </c>
      <c r="AP573" s="10">
        <v>3.6678033999999999</v>
      </c>
      <c r="AQ573" s="10">
        <v>3.6469339999999999</v>
      </c>
      <c r="AR573" s="10">
        <v>3.6273971</v>
      </c>
      <c r="AS573" s="10">
        <v>3.6091027000000002</v>
      </c>
      <c r="AT573" s="10">
        <v>3.5919677000000001</v>
      </c>
      <c r="AU573" s="10">
        <v>3.5759409999999998</v>
      </c>
      <c r="AV573" s="10">
        <v>3.5609799999999998</v>
      </c>
      <c r="AW573" s="10">
        <v>3.5470411999999998</v>
      </c>
      <c r="AX573" s="10">
        <v>3.5340813999999998</v>
      </c>
      <c r="AY573" s="10">
        <v>3.5220577999999998</v>
      </c>
      <c r="AZ573" s="10">
        <v>3.5109271</v>
      </c>
      <c r="BA573" s="10">
        <v>3.5006461999999998</v>
      </c>
      <c r="BB573" s="10">
        <v>3.4911721</v>
      </c>
      <c r="BC573" s="10">
        <v>3.4824617</v>
      </c>
      <c r="BD573" s="10">
        <v>3.4744716000000002</v>
      </c>
      <c r="BE573" s="10">
        <v>3.4671590000000001</v>
      </c>
      <c r="BF573" s="10">
        <v>3.4604849</v>
      </c>
      <c r="BG573" s="10">
        <v>3.4544326000000001</v>
      </c>
      <c r="BH573" s="10">
        <v>3.4489934</v>
      </c>
      <c r="BI573" s="10">
        <v>3.4441581999999999</v>
      </c>
      <c r="BJ573" s="10">
        <v>3.4399179000000002</v>
      </c>
      <c r="BK573" s="10">
        <v>3.4362636000000002</v>
      </c>
      <c r="BL573" s="10">
        <v>3.4331863999999999</v>
      </c>
      <c r="BM573" s="10">
        <v>3.4306773000000002</v>
      </c>
      <c r="BN573" s="10">
        <v>3.4287272999999998</v>
      </c>
      <c r="BO573" s="10">
        <v>3.4273273</v>
      </c>
      <c r="BP573" s="10">
        <v>3.4264684999999999</v>
      </c>
      <c r="BQ573" s="10">
        <v>3.4261419000000002</v>
      </c>
      <c r="BR573" s="10">
        <v>3.4344625</v>
      </c>
      <c r="BS573" s="10">
        <v>3.4572742000000001</v>
      </c>
      <c r="BU573" s="7">
        <v>4.3</v>
      </c>
      <c r="BV573" s="7">
        <v>4.13</v>
      </c>
      <c r="BW573" s="9">
        <v>82.711399999999998</v>
      </c>
    </row>
    <row r="574" spans="1:75" x14ac:dyDescent="0.25">
      <c r="A574" s="6">
        <f t="shared" si="53"/>
        <v>45356</v>
      </c>
      <c r="B574" s="13">
        <f t="shared" si="48"/>
        <v>3</v>
      </c>
      <c r="C574" s="13">
        <f t="shared" si="49"/>
        <v>2024</v>
      </c>
      <c r="D574">
        <f t="shared" si="50"/>
        <v>202403</v>
      </c>
      <c r="E574">
        <f t="shared" si="51"/>
        <v>1</v>
      </c>
      <c r="F574">
        <f t="shared" si="52"/>
        <v>202401</v>
      </c>
      <c r="G574" t="s">
        <v>764</v>
      </c>
      <c r="H574" s="9">
        <v>5.25</v>
      </c>
      <c r="I574" s="9">
        <v>5.1886999999999999</v>
      </c>
      <c r="J574" s="10">
        <v>5.1928565999999998</v>
      </c>
      <c r="K574" s="10">
        <v>5.1755749</v>
      </c>
      <c r="L574" s="10">
        <v>5.1406485000000002</v>
      </c>
      <c r="M574" s="10">
        <v>5.0827882999999998</v>
      </c>
      <c r="N574" s="10">
        <v>5.0062486000000002</v>
      </c>
      <c r="O574" s="10">
        <v>4.9188235999999996</v>
      </c>
      <c r="P574" s="10">
        <v>4.827267</v>
      </c>
      <c r="Q574" s="10">
        <v>4.7363333000000001</v>
      </c>
      <c r="R574" s="10">
        <v>4.6496352999999999</v>
      </c>
      <c r="S574" s="10">
        <v>4.5693087999999999</v>
      </c>
      <c r="T574" s="10">
        <v>4.4958640000000001</v>
      </c>
      <c r="U574" s="10">
        <v>4.4289854999999996</v>
      </c>
      <c r="V574" s="10">
        <v>4.3670184000000001</v>
      </c>
      <c r="W574" s="10">
        <v>4.3090672000000003</v>
      </c>
      <c r="X574" s="10">
        <v>4.2545567000000002</v>
      </c>
      <c r="Y574" s="10">
        <v>4.2029091999999997</v>
      </c>
      <c r="Z574" s="10">
        <v>4.1535475000000002</v>
      </c>
      <c r="AA574" s="10">
        <v>4.1058960000000004</v>
      </c>
      <c r="AB574" s="10">
        <v>4.0594761000000004</v>
      </c>
      <c r="AC574" s="10">
        <v>4.0142676000000002</v>
      </c>
      <c r="AD574" s="10">
        <v>3.9703849</v>
      </c>
      <c r="AE574" s="10">
        <v>3.9279405000000001</v>
      </c>
      <c r="AF574" s="10">
        <v>3.8870472999999999</v>
      </c>
      <c r="AG574" s="10">
        <v>3.8478194000000001</v>
      </c>
      <c r="AH574" s="10">
        <v>3.8103440000000002</v>
      </c>
      <c r="AI574" s="10">
        <v>3.7746065</v>
      </c>
      <c r="AJ574" s="10">
        <v>3.7405681999999998</v>
      </c>
      <c r="AK574" s="10">
        <v>3.708189</v>
      </c>
      <c r="AL574" s="10">
        <v>3.6774288999999998</v>
      </c>
      <c r="AM574" s="10">
        <v>3.6482489</v>
      </c>
      <c r="AN574" s="10">
        <v>3.6206090999999998</v>
      </c>
      <c r="AO574" s="10">
        <v>3.5944696</v>
      </c>
      <c r="AP574" s="10">
        <v>3.5697912000000001</v>
      </c>
      <c r="AQ574" s="10">
        <v>3.5465339999999999</v>
      </c>
      <c r="AR574" s="10">
        <v>3.5246582000000002</v>
      </c>
      <c r="AS574" s="10">
        <v>3.5041245000000001</v>
      </c>
      <c r="AT574" s="10">
        <v>3.4848924999999999</v>
      </c>
      <c r="AU574" s="10">
        <v>3.4669186000000001</v>
      </c>
      <c r="AV574" s="10">
        <v>3.4501593000000002</v>
      </c>
      <c r="AW574" s="10">
        <v>3.4345702999999999</v>
      </c>
      <c r="AX574" s="10">
        <v>3.4201076000000001</v>
      </c>
      <c r="AY574" s="10">
        <v>3.4067276</v>
      </c>
      <c r="AZ574" s="10">
        <v>3.3943859999999999</v>
      </c>
      <c r="BA574" s="10">
        <v>3.3830388</v>
      </c>
      <c r="BB574" s="10">
        <v>3.3726422</v>
      </c>
      <c r="BC574" s="10">
        <v>3.3631522</v>
      </c>
      <c r="BD574" s="10">
        <v>3.3545246999999998</v>
      </c>
      <c r="BE574" s="10">
        <v>3.3467159</v>
      </c>
      <c r="BF574" s="10">
        <v>3.3396846</v>
      </c>
      <c r="BG574" s="10">
        <v>3.3334031</v>
      </c>
      <c r="BH574" s="10">
        <v>3.3278482999999999</v>
      </c>
      <c r="BI574" s="10">
        <v>3.3229967</v>
      </c>
      <c r="BJ574" s="10">
        <v>3.3188247999999998</v>
      </c>
      <c r="BK574" s="10">
        <v>3.3153096</v>
      </c>
      <c r="BL574" s="10">
        <v>3.3124275000000001</v>
      </c>
      <c r="BM574" s="10">
        <v>3.3101552000000001</v>
      </c>
      <c r="BN574" s="10">
        <v>3.3084693000000001</v>
      </c>
      <c r="BO574" s="10">
        <v>3.3073465</v>
      </c>
      <c r="BP574" s="10">
        <v>3.3067633999999999</v>
      </c>
      <c r="BQ574" s="10">
        <v>3.3066966999999998</v>
      </c>
      <c r="BR574" s="10">
        <v>3.3160240999999999</v>
      </c>
      <c r="BS574" s="10">
        <v>3.3392197000000001</v>
      </c>
      <c r="BU574" s="7">
        <v>4.2300000000000004</v>
      </c>
      <c r="BV574" s="7">
        <v>4.01</v>
      </c>
      <c r="BW574" s="9">
        <v>82.894599999999997</v>
      </c>
    </row>
    <row r="575" spans="1:75" x14ac:dyDescent="0.25">
      <c r="A575" s="6">
        <f t="shared" si="53"/>
        <v>45357</v>
      </c>
      <c r="B575" s="13">
        <f t="shared" si="48"/>
        <v>3</v>
      </c>
      <c r="C575" s="13">
        <f t="shared" si="49"/>
        <v>2024</v>
      </c>
      <c r="D575">
        <f t="shared" si="50"/>
        <v>202403</v>
      </c>
      <c r="E575">
        <f t="shared" si="51"/>
        <v>1</v>
      </c>
      <c r="F575">
        <f t="shared" si="52"/>
        <v>202401</v>
      </c>
      <c r="G575" t="s">
        <v>765</v>
      </c>
      <c r="H575" s="9">
        <v>5.25</v>
      </c>
      <c r="I575" s="9">
        <v>5.1882999999999999</v>
      </c>
      <c r="J575" s="10">
        <v>5.1839807000000002</v>
      </c>
      <c r="K575" s="10">
        <v>5.1666724999999998</v>
      </c>
      <c r="L575" s="10">
        <v>5.1299406999999997</v>
      </c>
      <c r="M575" s="10">
        <v>5.0720236999999999</v>
      </c>
      <c r="N575" s="10">
        <v>4.9977027999999999</v>
      </c>
      <c r="O575" s="10">
        <v>4.9138795000000002</v>
      </c>
      <c r="P575" s="10">
        <v>4.8259531000000004</v>
      </c>
      <c r="Q575" s="10">
        <v>4.7379144999999996</v>
      </c>
      <c r="R575" s="10">
        <v>4.6530306000000001</v>
      </c>
      <c r="S575" s="10">
        <v>4.5732559000000004</v>
      </c>
      <c r="T575" s="10">
        <v>4.4990937000000004</v>
      </c>
      <c r="U575" s="10">
        <v>4.4302308000000004</v>
      </c>
      <c r="V575" s="10">
        <v>4.3656046000000002</v>
      </c>
      <c r="W575" s="10">
        <v>4.3045400999999996</v>
      </c>
      <c r="X575" s="10">
        <v>4.2465259</v>
      </c>
      <c r="Y575" s="10">
        <v>4.1910482</v>
      </c>
      <c r="Z575" s="10">
        <v>4.1375934000000001</v>
      </c>
      <c r="AA575" s="10">
        <v>4.0856496</v>
      </c>
      <c r="AB575" s="10">
        <v>4.0347900000000001</v>
      </c>
      <c r="AC575" s="10">
        <v>3.9850791000000001</v>
      </c>
      <c r="AD575" s="10">
        <v>3.9367559999999999</v>
      </c>
      <c r="AE575" s="10">
        <v>3.8900579</v>
      </c>
      <c r="AF575" s="10">
        <v>3.8452225000000002</v>
      </c>
      <c r="AG575" s="10">
        <v>3.8024889000000002</v>
      </c>
      <c r="AH575" s="10">
        <v>3.7620434</v>
      </c>
      <c r="AI575" s="10">
        <v>3.7238682000000001</v>
      </c>
      <c r="AJ575" s="10">
        <v>3.6878956999999999</v>
      </c>
      <c r="AK575" s="10">
        <v>3.6540569000000001</v>
      </c>
      <c r="AL575" s="10">
        <v>3.6222829999999999</v>
      </c>
      <c r="AM575" s="10">
        <v>3.5925063000000002</v>
      </c>
      <c r="AN575" s="10">
        <v>3.5646577000000002</v>
      </c>
      <c r="AO575" s="10">
        <v>3.5386687000000001</v>
      </c>
      <c r="AP575" s="10">
        <v>3.5144712</v>
      </c>
      <c r="AQ575" s="10">
        <v>3.4919964000000001</v>
      </c>
      <c r="AR575" s="10">
        <v>3.4711756</v>
      </c>
      <c r="AS575" s="10">
        <v>3.4519408999999999</v>
      </c>
      <c r="AT575" s="10">
        <v>3.4342226999999999</v>
      </c>
      <c r="AU575" s="10">
        <v>3.4179487000000002</v>
      </c>
      <c r="AV575" s="10">
        <v>3.4030461999999999</v>
      </c>
      <c r="AW575" s="10">
        <v>3.3894416000000001</v>
      </c>
      <c r="AX575" s="10">
        <v>3.3770617999999999</v>
      </c>
      <c r="AY575" s="10">
        <v>3.3658337999999999</v>
      </c>
      <c r="AZ575" s="10">
        <v>3.3556841999999998</v>
      </c>
      <c r="BA575" s="10">
        <v>3.3465398999999998</v>
      </c>
      <c r="BB575" s="10">
        <v>3.3383278999999999</v>
      </c>
      <c r="BC575" s="10">
        <v>3.3309747999999999</v>
      </c>
      <c r="BD575" s="10">
        <v>3.3244074000000001</v>
      </c>
      <c r="BE575" s="10">
        <v>3.3185527000000001</v>
      </c>
      <c r="BF575" s="10">
        <v>3.3133454000000002</v>
      </c>
      <c r="BG575" s="10">
        <v>3.3087550999999999</v>
      </c>
      <c r="BH575" s="10">
        <v>3.3047613999999998</v>
      </c>
      <c r="BI575" s="10">
        <v>3.3013435000000002</v>
      </c>
      <c r="BJ575" s="10">
        <v>3.2984808000000001</v>
      </c>
      <c r="BK575" s="10">
        <v>3.2961528000000002</v>
      </c>
      <c r="BL575" s="10">
        <v>3.2943387999999998</v>
      </c>
      <c r="BM575" s="10">
        <v>3.2930182000000001</v>
      </c>
      <c r="BN575" s="10">
        <v>3.2921703999999998</v>
      </c>
      <c r="BO575" s="10">
        <v>3.2917747999999998</v>
      </c>
      <c r="BP575" s="10">
        <v>3.2918107000000001</v>
      </c>
      <c r="BQ575" s="10">
        <v>3.2922574999999998</v>
      </c>
      <c r="BR575" s="10">
        <v>3.3027202999999998</v>
      </c>
      <c r="BS575" s="10">
        <v>3.3246405000000001</v>
      </c>
      <c r="BU575" s="7">
        <v>4.3</v>
      </c>
      <c r="BV575" s="7">
        <v>4</v>
      </c>
      <c r="BW575" s="9">
        <v>82.808000000000007</v>
      </c>
    </row>
    <row r="576" spans="1:75" x14ac:dyDescent="0.25">
      <c r="A576" s="6">
        <f t="shared" si="53"/>
        <v>45358</v>
      </c>
      <c r="B576" s="13">
        <f t="shared" si="48"/>
        <v>3</v>
      </c>
      <c r="C576" s="13">
        <f t="shared" si="49"/>
        <v>2024</v>
      </c>
      <c r="D576">
        <f t="shared" si="50"/>
        <v>202403</v>
      </c>
      <c r="E576">
        <f t="shared" si="51"/>
        <v>1</v>
      </c>
      <c r="F576">
        <f t="shared" si="52"/>
        <v>202401</v>
      </c>
      <c r="G576" t="s">
        <v>766</v>
      </c>
      <c r="H576" s="9">
        <v>5.25</v>
      </c>
      <c r="I576" s="9">
        <v>5.1883999999999997</v>
      </c>
      <c r="J576" s="10">
        <v>5.1897815999999999</v>
      </c>
      <c r="K576" s="10">
        <v>5.1735784000000002</v>
      </c>
      <c r="L576" s="10">
        <v>5.1383492000000004</v>
      </c>
      <c r="M576" s="10">
        <v>5.0817835000000002</v>
      </c>
      <c r="N576" s="10">
        <v>5.0087577000000003</v>
      </c>
      <c r="O576" s="10">
        <v>4.9261207999999996</v>
      </c>
      <c r="P576" s="10">
        <v>4.8389505000000002</v>
      </c>
      <c r="Q576" s="10">
        <v>4.7503941999999997</v>
      </c>
      <c r="R576" s="10">
        <v>4.6630947000000003</v>
      </c>
      <c r="S576" s="10">
        <v>4.5791667</v>
      </c>
      <c r="T576" s="10">
        <v>4.4996688999999996</v>
      </c>
      <c r="U576" s="10">
        <v>4.4251874000000004</v>
      </c>
      <c r="V576" s="10">
        <v>4.3562830999999997</v>
      </c>
      <c r="W576" s="10">
        <v>4.2924989</v>
      </c>
      <c r="X576" s="10">
        <v>4.2331009999999996</v>
      </c>
      <c r="Y576" s="10">
        <v>4.1773528000000004</v>
      </c>
      <c r="Z576" s="10">
        <v>4.1245181000000004</v>
      </c>
      <c r="AA576" s="10">
        <v>4.0738627000000003</v>
      </c>
      <c r="AB576" s="10">
        <v>4.0247634000000003</v>
      </c>
      <c r="AC576" s="10">
        <v>3.9771770000000002</v>
      </c>
      <c r="AD576" s="10">
        <v>3.9312472999999999</v>
      </c>
      <c r="AE576" s="10">
        <v>3.8871161000000001</v>
      </c>
      <c r="AF576" s="10">
        <v>3.8449255999999998</v>
      </c>
      <c r="AG576" s="10">
        <v>3.8048194</v>
      </c>
      <c r="AH576" s="10">
        <v>3.7669101</v>
      </c>
      <c r="AI576" s="10">
        <v>3.7311670000000001</v>
      </c>
      <c r="AJ576" s="10">
        <v>3.6975170999999998</v>
      </c>
      <c r="AK576" s="10">
        <v>3.6658857999999999</v>
      </c>
      <c r="AL576" s="10">
        <v>3.6361989000000001</v>
      </c>
      <c r="AM576" s="10">
        <v>3.6083831000000002</v>
      </c>
      <c r="AN576" s="10">
        <v>3.5823642000000002</v>
      </c>
      <c r="AO576" s="10">
        <v>3.5580677000000001</v>
      </c>
      <c r="AP576" s="10">
        <v>3.5354204</v>
      </c>
      <c r="AQ576" s="10">
        <v>3.514348</v>
      </c>
      <c r="AR576" s="10">
        <v>3.4947762</v>
      </c>
      <c r="AS576" s="10">
        <v>3.4766316000000002</v>
      </c>
      <c r="AT576" s="10">
        <v>3.4598409999999999</v>
      </c>
      <c r="AU576" s="10">
        <v>3.4443361000000001</v>
      </c>
      <c r="AV576" s="10">
        <v>3.4300500999999999</v>
      </c>
      <c r="AW576" s="10">
        <v>3.4169160000000001</v>
      </c>
      <c r="AX576" s="10">
        <v>3.4048668000000002</v>
      </c>
      <c r="AY576" s="10">
        <v>3.3938356000000001</v>
      </c>
      <c r="AZ576" s="10">
        <v>3.3837556000000002</v>
      </c>
      <c r="BA576" s="10">
        <v>3.3745595000000002</v>
      </c>
      <c r="BB576" s="10">
        <v>3.3661807000000001</v>
      </c>
      <c r="BC576" s="10">
        <v>3.3585520999999998</v>
      </c>
      <c r="BD576" s="10">
        <v>3.3516067</v>
      </c>
      <c r="BE576" s="10">
        <v>3.3452777</v>
      </c>
      <c r="BF576" s="10">
        <v>3.3395063999999999</v>
      </c>
      <c r="BG576" s="10">
        <v>3.3342711</v>
      </c>
      <c r="BH576" s="10">
        <v>3.3295601000000001</v>
      </c>
      <c r="BI576" s="10">
        <v>3.3253620000000002</v>
      </c>
      <c r="BJ576" s="10">
        <v>3.3216651000000001</v>
      </c>
      <c r="BK576" s="10">
        <v>3.3184578</v>
      </c>
      <c r="BL576" s="10">
        <v>3.3157285999999999</v>
      </c>
      <c r="BM576" s="10">
        <v>3.3134657999999999</v>
      </c>
      <c r="BN576" s="10">
        <v>3.3116579000000002</v>
      </c>
      <c r="BO576" s="10">
        <v>3.3102933999999999</v>
      </c>
      <c r="BP576" s="10">
        <v>3.3093604999999999</v>
      </c>
      <c r="BQ576" s="10">
        <v>3.3088476999999998</v>
      </c>
      <c r="BR576" s="10">
        <v>3.3139737999999999</v>
      </c>
      <c r="BS576" s="10">
        <v>3.3314786999999999</v>
      </c>
      <c r="BU576" s="7">
        <v>4.3099999999999996</v>
      </c>
      <c r="BV576" s="7">
        <v>4.01</v>
      </c>
      <c r="BW576" s="9">
        <v>82.955200000000005</v>
      </c>
    </row>
    <row r="577" spans="1:75" x14ac:dyDescent="0.25">
      <c r="A577" s="6">
        <f t="shared" si="53"/>
        <v>45359</v>
      </c>
      <c r="B577" s="13">
        <f t="shared" si="48"/>
        <v>3</v>
      </c>
      <c r="C577" s="13">
        <f t="shared" si="49"/>
        <v>2024</v>
      </c>
      <c r="D577">
        <f t="shared" si="50"/>
        <v>202403</v>
      </c>
      <c r="E577">
        <f t="shared" si="51"/>
        <v>1</v>
      </c>
      <c r="F577">
        <f t="shared" si="52"/>
        <v>202401</v>
      </c>
      <c r="G577" t="s">
        <v>767</v>
      </c>
      <c r="H577" s="9">
        <v>5.25</v>
      </c>
      <c r="I577" s="9">
        <v>5.1881000000000004</v>
      </c>
      <c r="J577" s="10">
        <v>5.1862738999999998</v>
      </c>
      <c r="K577" s="10">
        <v>5.1689819000000004</v>
      </c>
      <c r="L577" s="10">
        <v>5.1299130000000002</v>
      </c>
      <c r="M577" s="10">
        <v>5.0694825999999997</v>
      </c>
      <c r="N577" s="10">
        <v>4.9934652000000002</v>
      </c>
      <c r="O577" s="10">
        <v>4.9081555999999997</v>
      </c>
      <c r="P577" s="10">
        <v>4.8184684999999998</v>
      </c>
      <c r="Q577" s="10">
        <v>4.7276501</v>
      </c>
      <c r="R577" s="10">
        <v>4.6381264</v>
      </c>
      <c r="S577" s="10">
        <v>4.5515514000000001</v>
      </c>
      <c r="T577" s="10">
        <v>4.4686130000000004</v>
      </c>
      <c r="U577" s="10">
        <v>4.3894595000000001</v>
      </c>
      <c r="V577" s="10">
        <v>4.3143824000000004</v>
      </c>
      <c r="W577" s="10">
        <v>4.2433725000000004</v>
      </c>
      <c r="X577" s="10">
        <v>4.1762929</v>
      </c>
      <c r="Y577" s="10">
        <v>4.1130041999999998</v>
      </c>
      <c r="Z577" s="10">
        <v>4.0533671</v>
      </c>
      <c r="AA577" s="10">
        <v>3.9972444</v>
      </c>
      <c r="AB577" s="10">
        <v>3.9444952</v>
      </c>
      <c r="AC577" s="10">
        <v>3.8949710999999998</v>
      </c>
      <c r="AD577" s="10">
        <v>3.8485235000000002</v>
      </c>
      <c r="AE577" s="10">
        <v>3.8050019000000002</v>
      </c>
      <c r="AF577" s="10">
        <v>3.764256</v>
      </c>
      <c r="AG577" s="10">
        <v>3.7261369000000002</v>
      </c>
      <c r="AH577" s="10">
        <v>3.6904984999999999</v>
      </c>
      <c r="AI577" s="10">
        <v>3.6572140000000002</v>
      </c>
      <c r="AJ577" s="10">
        <v>3.6261627999999999</v>
      </c>
      <c r="AK577" s="10">
        <v>3.5972232000000002</v>
      </c>
      <c r="AL577" s="10">
        <v>3.5702736000000002</v>
      </c>
      <c r="AM577" s="10">
        <v>3.5451934999999999</v>
      </c>
      <c r="AN577" s="10">
        <v>3.5218612</v>
      </c>
      <c r="AO577" s="10">
        <v>3.5001551000000002</v>
      </c>
      <c r="AP577" s="10">
        <v>3.4799544</v>
      </c>
      <c r="AQ577" s="10">
        <v>3.4611377999999999</v>
      </c>
      <c r="AR577" s="10">
        <v>3.4435834999999999</v>
      </c>
      <c r="AS577" s="10">
        <v>3.4271709000000001</v>
      </c>
      <c r="AT577" s="10">
        <v>3.4117923999999999</v>
      </c>
      <c r="AU577" s="10">
        <v>3.3973976000000001</v>
      </c>
      <c r="AV577" s="10">
        <v>3.3839502000000001</v>
      </c>
      <c r="AW577" s="10">
        <v>3.3714137000000002</v>
      </c>
      <c r="AX577" s="10">
        <v>3.3597516000000001</v>
      </c>
      <c r="AY577" s="10">
        <v>3.3489279000000001</v>
      </c>
      <c r="AZ577" s="10">
        <v>3.3389058999999999</v>
      </c>
      <c r="BA577" s="10">
        <v>3.3296492</v>
      </c>
      <c r="BB577" s="10">
        <v>3.3211217</v>
      </c>
      <c r="BC577" s="10">
        <v>3.3132866999999999</v>
      </c>
      <c r="BD577" s="10">
        <v>3.306108</v>
      </c>
      <c r="BE577" s="10">
        <v>3.2995491000000001</v>
      </c>
      <c r="BF577" s="10">
        <v>3.2935775999999999</v>
      </c>
      <c r="BG577" s="10">
        <v>3.2881773000000001</v>
      </c>
      <c r="BH577" s="10">
        <v>3.283337</v>
      </c>
      <c r="BI577" s="10">
        <v>3.2790452999999999</v>
      </c>
      <c r="BJ577" s="10">
        <v>3.2752908999999999</v>
      </c>
      <c r="BK577" s="10">
        <v>3.2720625000000001</v>
      </c>
      <c r="BL577" s="10">
        <v>3.2693487000000001</v>
      </c>
      <c r="BM577" s="10">
        <v>3.2671380999999999</v>
      </c>
      <c r="BN577" s="10">
        <v>3.2654193999999999</v>
      </c>
      <c r="BO577" s="10">
        <v>3.2641814</v>
      </c>
      <c r="BP577" s="10">
        <v>3.2634126000000001</v>
      </c>
      <c r="BQ577" s="10">
        <v>3.2631017</v>
      </c>
      <c r="BR577" s="10">
        <v>3.270213</v>
      </c>
      <c r="BS577" s="10">
        <v>3.2909263000000002</v>
      </c>
      <c r="BU577" s="7">
        <v>4.25</v>
      </c>
      <c r="BV577" s="7">
        <v>3.97</v>
      </c>
      <c r="BW577" s="9">
        <v>83.378399999999999</v>
      </c>
    </row>
    <row r="578" spans="1:75" x14ac:dyDescent="0.25">
      <c r="A578" s="6">
        <f t="shared" si="53"/>
        <v>45362</v>
      </c>
      <c r="B578" s="13">
        <f t="shared" si="48"/>
        <v>3</v>
      </c>
      <c r="C578" s="13">
        <f t="shared" si="49"/>
        <v>2024</v>
      </c>
      <c r="D578">
        <f t="shared" si="50"/>
        <v>202403</v>
      </c>
      <c r="E578">
        <f t="shared" si="51"/>
        <v>1</v>
      </c>
      <c r="F578">
        <f t="shared" si="52"/>
        <v>202401</v>
      </c>
      <c r="G578" t="s">
        <v>768</v>
      </c>
      <c r="H578" s="9">
        <v>5.25</v>
      </c>
      <c r="I578" s="9">
        <v>5.1879999999999997</v>
      </c>
      <c r="J578" s="10">
        <v>5.1881047999999996</v>
      </c>
      <c r="K578" s="10">
        <v>5.1660919999999999</v>
      </c>
      <c r="L578" s="10">
        <v>5.1223836</v>
      </c>
      <c r="M578" s="10">
        <v>5.0551326999999997</v>
      </c>
      <c r="N578" s="10">
        <v>4.9712247999999999</v>
      </c>
      <c r="O578" s="10">
        <v>4.8779222999999998</v>
      </c>
      <c r="P578" s="10">
        <v>4.7807779000000004</v>
      </c>
      <c r="Q578" s="10">
        <v>4.6837511999999997</v>
      </c>
      <c r="R578" s="10">
        <v>4.5899988</v>
      </c>
      <c r="S578" s="10">
        <v>4.5017687000000004</v>
      </c>
      <c r="T578" s="10">
        <v>4.4200204000000003</v>
      </c>
      <c r="U578" s="10">
        <v>4.3446594000000003</v>
      </c>
      <c r="V578" s="10">
        <v>4.2745417999999997</v>
      </c>
      <c r="W578" s="10">
        <v>4.2089859000000001</v>
      </c>
      <c r="X578" s="10">
        <v>4.1475111</v>
      </c>
      <c r="Y578" s="10">
        <v>4.0896346000000001</v>
      </c>
      <c r="Z578" s="10">
        <v>4.0348736000000001</v>
      </c>
      <c r="AA578" s="10">
        <v>3.9827471000000001</v>
      </c>
      <c r="AB578" s="10">
        <v>3.9328454000000002</v>
      </c>
      <c r="AC578" s="10">
        <v>3.8850967000000001</v>
      </c>
      <c r="AD578" s="10">
        <v>3.8395288999999999</v>
      </c>
      <c r="AE578" s="10">
        <v>3.7961681</v>
      </c>
      <c r="AF578" s="10">
        <v>3.7550408000000002</v>
      </c>
      <c r="AG578" s="10">
        <v>3.7161745000000002</v>
      </c>
      <c r="AH578" s="10">
        <v>3.6795756000000002</v>
      </c>
      <c r="AI578" s="10">
        <v>3.6451704</v>
      </c>
      <c r="AJ578" s="10">
        <v>3.6128662</v>
      </c>
      <c r="AK578" s="10">
        <v>3.5825692999999998</v>
      </c>
      <c r="AL578" s="10">
        <v>3.5541860000000001</v>
      </c>
      <c r="AM578" s="10">
        <v>3.5276234999999998</v>
      </c>
      <c r="AN578" s="10">
        <v>3.5027881999999999</v>
      </c>
      <c r="AO578" s="10">
        <v>3.4795864000000001</v>
      </c>
      <c r="AP578" s="10">
        <v>3.4579252</v>
      </c>
      <c r="AQ578" s="10">
        <v>3.4377111</v>
      </c>
      <c r="AR578" s="10">
        <v>3.4188504000000002</v>
      </c>
      <c r="AS578" s="10">
        <v>3.4012500999999999</v>
      </c>
      <c r="AT578" s="10">
        <v>3.3848262999999998</v>
      </c>
      <c r="AU578" s="10">
        <v>3.3695325999999999</v>
      </c>
      <c r="AV578" s="10">
        <v>3.3553327999999998</v>
      </c>
      <c r="AW578" s="10">
        <v>3.3421903999999998</v>
      </c>
      <c r="AX578" s="10">
        <v>3.3300684999999999</v>
      </c>
      <c r="AY578" s="10">
        <v>3.3189308999999998</v>
      </c>
      <c r="AZ578" s="10">
        <v>3.3087409999999999</v>
      </c>
      <c r="BA578" s="10">
        <v>3.2994620000000001</v>
      </c>
      <c r="BB578" s="10">
        <v>3.2910577000000001</v>
      </c>
      <c r="BC578" s="10">
        <v>3.2834913999999999</v>
      </c>
      <c r="BD578" s="10">
        <v>3.2767265000000001</v>
      </c>
      <c r="BE578" s="10">
        <v>3.2707266000000002</v>
      </c>
      <c r="BF578" s="10">
        <v>3.2654573</v>
      </c>
      <c r="BG578" s="10">
        <v>3.2608961000000001</v>
      </c>
      <c r="BH578" s="10">
        <v>3.2570245999999998</v>
      </c>
      <c r="BI578" s="10">
        <v>3.2538241999999999</v>
      </c>
      <c r="BJ578" s="10">
        <v>3.2512766000000002</v>
      </c>
      <c r="BK578" s="10">
        <v>3.2493633000000002</v>
      </c>
      <c r="BL578" s="10">
        <v>3.2480658</v>
      </c>
      <c r="BM578" s="10">
        <v>3.2473656000000002</v>
      </c>
      <c r="BN578" s="10">
        <v>3.2472441999999999</v>
      </c>
      <c r="BO578" s="10">
        <v>3.2476832999999998</v>
      </c>
      <c r="BP578" s="10">
        <v>3.2486643000000002</v>
      </c>
      <c r="BQ578" s="10">
        <v>3.2501688</v>
      </c>
      <c r="BR578" s="10">
        <v>3.2690448999999999</v>
      </c>
      <c r="BS578" s="10">
        <v>3.3014399999999999</v>
      </c>
      <c r="BU578" s="7">
        <v>4.2300000000000004</v>
      </c>
      <c r="BV578" s="7">
        <v>3.97</v>
      </c>
      <c r="BW578" s="9">
        <v>83.006600000000006</v>
      </c>
    </row>
    <row r="579" spans="1:75" x14ac:dyDescent="0.25">
      <c r="A579" s="6">
        <f t="shared" si="53"/>
        <v>45363</v>
      </c>
      <c r="B579" s="13">
        <f t="shared" si="48"/>
        <v>3</v>
      </c>
      <c r="C579" s="13">
        <f t="shared" si="49"/>
        <v>2024</v>
      </c>
      <c r="D579">
        <f t="shared" si="50"/>
        <v>202403</v>
      </c>
      <c r="E579">
        <f t="shared" si="51"/>
        <v>1</v>
      </c>
      <c r="F579">
        <f t="shared" si="52"/>
        <v>202401</v>
      </c>
      <c r="G579" t="s">
        <v>769</v>
      </c>
      <c r="H579" s="9">
        <v>5.25</v>
      </c>
      <c r="I579" s="9">
        <v>5.1886999999999999</v>
      </c>
      <c r="J579" s="10">
        <v>5.1867580000000002</v>
      </c>
      <c r="K579" s="10">
        <v>5.1595823999999997</v>
      </c>
      <c r="L579" s="10">
        <v>5.1101362000000004</v>
      </c>
      <c r="M579" s="10">
        <v>5.0384036999999999</v>
      </c>
      <c r="N579" s="10">
        <v>4.9520378999999997</v>
      </c>
      <c r="O579" s="10">
        <v>4.8581041999999997</v>
      </c>
      <c r="P579" s="10">
        <v>4.7615729</v>
      </c>
      <c r="Q579" s="10">
        <v>4.6658873999999999</v>
      </c>
      <c r="R579" s="10">
        <v>4.5737744999999999</v>
      </c>
      <c r="S579" s="10">
        <v>4.4870479999999997</v>
      </c>
      <c r="T579" s="10">
        <v>4.4063312000000003</v>
      </c>
      <c r="U579" s="10">
        <v>4.3315996999999999</v>
      </c>
      <c r="V579" s="10">
        <v>4.2619132000000004</v>
      </c>
      <c r="W579" s="10">
        <v>4.1966244000000001</v>
      </c>
      <c r="X579" s="10">
        <v>4.1352418000000002</v>
      </c>
      <c r="Y579" s="10">
        <v>4.0772718000000001</v>
      </c>
      <c r="Z579" s="10">
        <v>4.0222208999999998</v>
      </c>
      <c r="AA579" s="10">
        <v>3.9695974000000001</v>
      </c>
      <c r="AB579" s="10">
        <v>3.9189862999999998</v>
      </c>
      <c r="AC579" s="10">
        <v>3.8703365999999999</v>
      </c>
      <c r="AD579" s="10">
        <v>3.8237049000000001</v>
      </c>
      <c r="AE579" s="10">
        <v>3.7791456000000001</v>
      </c>
      <c r="AF579" s="10">
        <v>3.7367135</v>
      </c>
      <c r="AG579" s="10">
        <v>3.6964646999999999</v>
      </c>
      <c r="AH579" s="10">
        <v>3.6584333</v>
      </c>
      <c r="AI579" s="10">
        <v>3.6225700999999999</v>
      </c>
      <c r="AJ579" s="10">
        <v>3.5888062999999999</v>
      </c>
      <c r="AK579" s="10">
        <v>3.5570721000000001</v>
      </c>
      <c r="AL579" s="10">
        <v>3.5272975</v>
      </c>
      <c r="AM579" s="10">
        <v>3.4994138000000001</v>
      </c>
      <c r="AN579" s="10">
        <v>3.4733510999999999</v>
      </c>
      <c r="AO579" s="10">
        <v>3.4490395</v>
      </c>
      <c r="AP579" s="10">
        <v>3.4264101999999999</v>
      </c>
      <c r="AQ579" s="10">
        <v>3.4053933999999999</v>
      </c>
      <c r="AR579" s="10">
        <v>3.3859192</v>
      </c>
      <c r="AS579" s="10">
        <v>3.3679187000000002</v>
      </c>
      <c r="AT579" s="10">
        <v>3.3513242000000001</v>
      </c>
      <c r="AU579" s="10">
        <v>3.3360767999999998</v>
      </c>
      <c r="AV579" s="10">
        <v>3.3221204000000002</v>
      </c>
      <c r="AW579" s="10">
        <v>3.3093979999999998</v>
      </c>
      <c r="AX579" s="10">
        <v>3.2978532</v>
      </c>
      <c r="AY579" s="10">
        <v>3.2874295</v>
      </c>
      <c r="AZ579" s="10">
        <v>3.2780702000000002</v>
      </c>
      <c r="BA579" s="10">
        <v>3.2697186999999999</v>
      </c>
      <c r="BB579" s="10">
        <v>3.2623186</v>
      </c>
      <c r="BC579" s="10">
        <v>3.2558131000000001</v>
      </c>
      <c r="BD579" s="10">
        <v>3.2501457999999999</v>
      </c>
      <c r="BE579" s="10">
        <v>3.2452600999999999</v>
      </c>
      <c r="BF579" s="10">
        <v>3.2411036000000002</v>
      </c>
      <c r="BG579" s="10">
        <v>3.2376450000000001</v>
      </c>
      <c r="BH579" s="10">
        <v>3.2348591</v>
      </c>
      <c r="BI579" s="10">
        <v>3.2327210000000002</v>
      </c>
      <c r="BJ579" s="10">
        <v>3.2312055000000002</v>
      </c>
      <c r="BK579" s="10">
        <v>3.2302875000000002</v>
      </c>
      <c r="BL579" s="10">
        <v>3.2299421000000001</v>
      </c>
      <c r="BM579" s="10">
        <v>3.2301440000000001</v>
      </c>
      <c r="BN579" s="10">
        <v>3.2308683999999999</v>
      </c>
      <c r="BO579" s="10">
        <v>3.2320899999999999</v>
      </c>
      <c r="BP579" s="10">
        <v>3.2337837999999999</v>
      </c>
      <c r="BQ579" s="10">
        <v>3.2359247</v>
      </c>
      <c r="BR579" s="10">
        <v>3.2570562999999999</v>
      </c>
      <c r="BS579" s="10">
        <v>3.2897869000000002</v>
      </c>
      <c r="BU579" s="7">
        <v>4.22</v>
      </c>
      <c r="BV579" s="7">
        <v>3.94</v>
      </c>
      <c r="BW579" s="9">
        <v>82.938500000000005</v>
      </c>
    </row>
    <row r="580" spans="1:75" x14ac:dyDescent="0.25">
      <c r="A580" s="6">
        <f t="shared" si="53"/>
        <v>45364</v>
      </c>
      <c r="B580" s="13">
        <f t="shared" si="48"/>
        <v>3</v>
      </c>
      <c r="C580" s="13">
        <f t="shared" si="49"/>
        <v>2024</v>
      </c>
      <c r="D580">
        <f t="shared" si="50"/>
        <v>202403</v>
      </c>
      <c r="E580">
        <f t="shared" si="51"/>
        <v>1</v>
      </c>
      <c r="F580">
        <f t="shared" si="52"/>
        <v>202401</v>
      </c>
      <c r="G580" t="s">
        <v>778</v>
      </c>
      <c r="H580" s="9">
        <v>5.25</v>
      </c>
      <c r="I580" s="9">
        <v>5.1889000000000003</v>
      </c>
      <c r="J580" s="10">
        <v>5.1888394</v>
      </c>
      <c r="K580" s="10">
        <v>5.1642330999999997</v>
      </c>
      <c r="L580" s="10">
        <v>5.1171066999999999</v>
      </c>
      <c r="M580" s="10">
        <v>5.0480687</v>
      </c>
      <c r="N580" s="10">
        <v>4.9648238999999998</v>
      </c>
      <c r="O580" s="10">
        <v>4.8746849000000001</v>
      </c>
      <c r="P580" s="10">
        <v>4.7823500000000001</v>
      </c>
      <c r="Q580" s="10">
        <v>4.6911293000000001</v>
      </c>
      <c r="R580" s="10">
        <v>4.6036213000000004</v>
      </c>
      <c r="S580" s="10">
        <v>4.5214141000000003</v>
      </c>
      <c r="T580" s="10">
        <v>4.4450086000000004</v>
      </c>
      <c r="U580" s="10">
        <v>4.3741703999999997</v>
      </c>
      <c r="V580" s="10">
        <v>4.3078038000000003</v>
      </c>
      <c r="W580" s="10">
        <v>4.2452665999999999</v>
      </c>
      <c r="X580" s="10">
        <v>4.1861079999999999</v>
      </c>
      <c r="Y580" s="10">
        <v>4.1298747999999996</v>
      </c>
      <c r="Z580" s="10">
        <v>4.0761143000000004</v>
      </c>
      <c r="AA580" s="10">
        <v>4.0243754000000003</v>
      </c>
      <c r="AB580" s="10">
        <v>3.9742752000000001</v>
      </c>
      <c r="AC580" s="10">
        <v>3.9258275999999999</v>
      </c>
      <c r="AD580" s="10">
        <v>3.8791878</v>
      </c>
      <c r="AE580" s="10">
        <v>3.8345091</v>
      </c>
      <c r="AF580" s="10">
        <v>3.7919451999999998</v>
      </c>
      <c r="AG580" s="10">
        <v>3.7516512999999998</v>
      </c>
      <c r="AH580" s="10">
        <v>3.7137413000000001</v>
      </c>
      <c r="AI580" s="10">
        <v>3.6781706999999999</v>
      </c>
      <c r="AJ580" s="10">
        <v>3.6448567999999999</v>
      </c>
      <c r="AK580" s="10">
        <v>3.6137153999999998</v>
      </c>
      <c r="AL580" s="10">
        <v>3.5846627</v>
      </c>
      <c r="AM580" s="10">
        <v>3.5576156000000001</v>
      </c>
      <c r="AN580" s="10">
        <v>3.5324900000000001</v>
      </c>
      <c r="AO580" s="10">
        <v>3.5092021999999998</v>
      </c>
      <c r="AP580" s="10">
        <v>3.4876689999999999</v>
      </c>
      <c r="AQ580" s="10">
        <v>3.4678065</v>
      </c>
      <c r="AR580" s="10">
        <v>3.4495306999999999</v>
      </c>
      <c r="AS580" s="10">
        <v>3.4327586000000001</v>
      </c>
      <c r="AT580" s="10">
        <v>3.417408</v>
      </c>
      <c r="AU580" s="10">
        <v>3.4034067000000001</v>
      </c>
      <c r="AV580" s="10">
        <v>3.3906852000000001</v>
      </c>
      <c r="AW580" s="10">
        <v>3.3791742</v>
      </c>
      <c r="AX580" s="10">
        <v>3.3688037999999998</v>
      </c>
      <c r="AY580" s="10">
        <v>3.3595049000000001</v>
      </c>
      <c r="AZ580" s="10">
        <v>3.3512078000000001</v>
      </c>
      <c r="BA580" s="10">
        <v>3.3438430000000001</v>
      </c>
      <c r="BB580" s="10">
        <v>3.3373412</v>
      </c>
      <c r="BC580" s="10">
        <v>3.3316327999999999</v>
      </c>
      <c r="BD580" s="10">
        <v>3.3266482000000002</v>
      </c>
      <c r="BE580" s="10">
        <v>3.3223180999999999</v>
      </c>
      <c r="BF580" s="10">
        <v>3.3185806000000002</v>
      </c>
      <c r="BG580" s="10">
        <v>3.3154075000000001</v>
      </c>
      <c r="BH580" s="10">
        <v>3.3127803</v>
      </c>
      <c r="BI580" s="10">
        <v>3.3106800999999999</v>
      </c>
      <c r="BJ580" s="10">
        <v>3.3090883</v>
      </c>
      <c r="BK580" s="10">
        <v>3.3079860000000001</v>
      </c>
      <c r="BL580" s="10">
        <v>3.3073546</v>
      </c>
      <c r="BM580" s="10">
        <v>3.3071752999999999</v>
      </c>
      <c r="BN580" s="10">
        <v>3.3074292999999999</v>
      </c>
      <c r="BO580" s="10">
        <v>3.3080981</v>
      </c>
      <c r="BP580" s="10">
        <v>3.3091626999999999</v>
      </c>
      <c r="BQ580" s="10">
        <v>3.3106045000000002</v>
      </c>
      <c r="BR580" s="10">
        <v>3.3264122999999999</v>
      </c>
      <c r="BS580" s="10">
        <v>3.3528085000000001</v>
      </c>
      <c r="BU580" s="7">
        <v>4.21</v>
      </c>
      <c r="BV580" s="7">
        <v>4.0199999999999996</v>
      </c>
      <c r="BW580" s="9">
        <v>82.931600000000003</v>
      </c>
    </row>
    <row r="581" spans="1:75" x14ac:dyDescent="0.25">
      <c r="A581" s="6">
        <f t="shared" si="53"/>
        <v>45365</v>
      </c>
      <c r="B581" s="13">
        <f t="shared" si="48"/>
        <v>3</v>
      </c>
      <c r="C581" s="13">
        <f t="shared" si="49"/>
        <v>2024</v>
      </c>
      <c r="D581">
        <f t="shared" si="50"/>
        <v>202403</v>
      </c>
      <c r="E581">
        <f t="shared" si="51"/>
        <v>1</v>
      </c>
      <c r="F581">
        <f t="shared" si="52"/>
        <v>202401</v>
      </c>
      <c r="G581" t="s">
        <v>779</v>
      </c>
      <c r="H581" s="9">
        <v>5.25</v>
      </c>
      <c r="I581" s="9">
        <v>5.1887999999999996</v>
      </c>
      <c r="J581" s="10">
        <v>5.1884554999999999</v>
      </c>
      <c r="K581" s="10">
        <v>5.1656592000000003</v>
      </c>
      <c r="L581" s="10">
        <v>5.1206448</v>
      </c>
      <c r="M581" s="10">
        <v>5.0542419000000001</v>
      </c>
      <c r="N581" s="10">
        <v>4.9743598999999996</v>
      </c>
      <c r="O581" s="10">
        <v>4.8878155999999997</v>
      </c>
      <c r="P581" s="10">
        <v>4.7989753000000004</v>
      </c>
      <c r="Q581" s="10">
        <v>4.7107828999999999</v>
      </c>
      <c r="R581" s="10">
        <v>4.6255889000000003</v>
      </c>
      <c r="S581" s="10">
        <v>4.5453434000000001</v>
      </c>
      <c r="T581" s="10">
        <v>4.4709824999999999</v>
      </c>
      <c r="U581" s="10">
        <v>4.4028809000000004</v>
      </c>
      <c r="V581" s="10">
        <v>4.3408750999999999</v>
      </c>
      <c r="W581" s="10">
        <v>4.2842145</v>
      </c>
      <c r="X581" s="10">
        <v>4.2320333999999997</v>
      </c>
      <c r="Y581" s="10">
        <v>4.1834641000000001</v>
      </c>
      <c r="Z581" s="10">
        <v>4.1376393</v>
      </c>
      <c r="AA581" s="10">
        <v>4.093693</v>
      </c>
      <c r="AB581" s="10">
        <v>4.0508838999999996</v>
      </c>
      <c r="AC581" s="10">
        <v>4.0091181000000002</v>
      </c>
      <c r="AD581" s="10">
        <v>3.9685093999999999</v>
      </c>
      <c r="AE581" s="10">
        <v>3.9291705000000001</v>
      </c>
      <c r="AF581" s="10">
        <v>3.8912141999999998</v>
      </c>
      <c r="AG581" s="10">
        <v>3.8547543000000002</v>
      </c>
      <c r="AH581" s="10">
        <v>3.8198851999999999</v>
      </c>
      <c r="AI581" s="10">
        <v>3.7866114</v>
      </c>
      <c r="AJ581" s="10">
        <v>3.7549111000000002</v>
      </c>
      <c r="AK581" s="10">
        <v>3.7247617000000002</v>
      </c>
      <c r="AL581" s="10">
        <v>3.6961403000000002</v>
      </c>
      <c r="AM581" s="10">
        <v>3.6690250999999998</v>
      </c>
      <c r="AN581" s="10">
        <v>3.6433933999999999</v>
      </c>
      <c r="AO581" s="10">
        <v>3.6192224999999998</v>
      </c>
      <c r="AP581" s="10">
        <v>3.5964904999999998</v>
      </c>
      <c r="AQ581" s="10">
        <v>3.5751746</v>
      </c>
      <c r="AR581" s="10">
        <v>3.5552522999999998</v>
      </c>
      <c r="AS581" s="10">
        <v>3.5367014999999999</v>
      </c>
      <c r="AT581" s="10">
        <v>3.5194947999999999</v>
      </c>
      <c r="AU581" s="10">
        <v>3.5035829000000001</v>
      </c>
      <c r="AV581" s="10">
        <v>3.4889114000000001</v>
      </c>
      <c r="AW581" s="10">
        <v>3.4754252000000001</v>
      </c>
      <c r="AX581" s="10">
        <v>3.4630692999999999</v>
      </c>
      <c r="AY581" s="10">
        <v>3.4517891999999999</v>
      </c>
      <c r="AZ581" s="10">
        <v>3.4415296999999998</v>
      </c>
      <c r="BA581" s="10">
        <v>3.4322360000000001</v>
      </c>
      <c r="BB581" s="10">
        <v>3.4238533000000002</v>
      </c>
      <c r="BC581" s="10">
        <v>3.4163266999999999</v>
      </c>
      <c r="BD581" s="10">
        <v>3.4096012</v>
      </c>
      <c r="BE581" s="10">
        <v>3.4036221000000002</v>
      </c>
      <c r="BF581" s="10">
        <v>3.3983397000000002</v>
      </c>
      <c r="BG581" s="10">
        <v>3.3937271</v>
      </c>
      <c r="BH581" s="10">
        <v>3.389764</v>
      </c>
      <c r="BI581" s="10">
        <v>3.3864299999999998</v>
      </c>
      <c r="BJ581" s="10">
        <v>3.3837047</v>
      </c>
      <c r="BK581" s="10">
        <v>3.3815675000000001</v>
      </c>
      <c r="BL581" s="10">
        <v>3.3799982000000002</v>
      </c>
      <c r="BM581" s="10">
        <v>3.3789763000000002</v>
      </c>
      <c r="BN581" s="10">
        <v>3.3784812999999998</v>
      </c>
      <c r="BO581" s="10">
        <v>3.3784928999999999</v>
      </c>
      <c r="BP581" s="10">
        <v>3.3789905999999998</v>
      </c>
      <c r="BQ581" s="10">
        <v>3.3799541</v>
      </c>
      <c r="BR581" s="10">
        <v>3.3945400999999999</v>
      </c>
      <c r="BS581" s="10">
        <v>3.4217702000000001</v>
      </c>
      <c r="BU581" s="7">
        <v>4.29</v>
      </c>
      <c r="BV581" s="7">
        <v>4.0999999999999996</v>
      </c>
      <c r="BW581" s="9">
        <v>82.875100000000003</v>
      </c>
    </row>
    <row r="582" spans="1:75" x14ac:dyDescent="0.25">
      <c r="A582" s="6">
        <f t="shared" si="53"/>
        <v>45366</v>
      </c>
      <c r="B582" s="13">
        <f t="shared" si="48"/>
        <v>3</v>
      </c>
      <c r="C582" s="13">
        <f t="shared" si="49"/>
        <v>2024</v>
      </c>
      <c r="D582">
        <f t="shared" si="50"/>
        <v>202403</v>
      </c>
      <c r="E582">
        <f t="shared" si="51"/>
        <v>1</v>
      </c>
      <c r="F582">
        <f t="shared" si="52"/>
        <v>202401</v>
      </c>
      <c r="G582" t="s">
        <v>780</v>
      </c>
      <c r="H582" s="9">
        <v>5.25</v>
      </c>
      <c r="I582" s="9">
        <v>5.1894</v>
      </c>
      <c r="J582" s="10">
        <v>5.1940401999999999</v>
      </c>
      <c r="K582" s="10">
        <v>5.1647204999999996</v>
      </c>
      <c r="L582" s="10">
        <v>5.1185801</v>
      </c>
      <c r="M582" s="10">
        <v>5.0537505999999999</v>
      </c>
      <c r="N582" s="10">
        <v>4.9766367000000002</v>
      </c>
      <c r="O582" s="10">
        <v>4.8929584999999998</v>
      </c>
      <c r="P582" s="10">
        <v>4.8069385000000002</v>
      </c>
      <c r="Q582" s="10">
        <v>4.7218730000000004</v>
      </c>
      <c r="R582" s="10">
        <v>4.6403040999999998</v>
      </c>
      <c r="S582" s="10">
        <v>4.5639225999999997</v>
      </c>
      <c r="T582" s="10">
        <v>4.4932430999999999</v>
      </c>
      <c r="U582" s="10">
        <v>4.4278420000000001</v>
      </c>
      <c r="V582" s="10">
        <v>4.3666007000000002</v>
      </c>
      <c r="W582" s="10">
        <v>4.3089174000000003</v>
      </c>
      <c r="X582" s="10">
        <v>4.2544304999999998</v>
      </c>
      <c r="Y582" s="10">
        <v>4.2027763</v>
      </c>
      <c r="Z582" s="10">
        <v>4.1535915000000001</v>
      </c>
      <c r="AA582" s="10">
        <v>4.1065142000000003</v>
      </c>
      <c r="AB582" s="10">
        <v>4.0612389000000002</v>
      </c>
      <c r="AC582" s="10">
        <v>4.0177294000000003</v>
      </c>
      <c r="AD582" s="10">
        <v>3.976029</v>
      </c>
      <c r="AE582" s="10">
        <v>3.9361793999999999</v>
      </c>
      <c r="AF582" s="10">
        <v>3.8982225000000001</v>
      </c>
      <c r="AG582" s="10">
        <v>3.8622013000000002</v>
      </c>
      <c r="AH582" s="10">
        <v>3.8281399</v>
      </c>
      <c r="AI582" s="10">
        <v>3.7959830000000001</v>
      </c>
      <c r="AJ582" s="10">
        <v>3.7656548999999999</v>
      </c>
      <c r="AK582" s="10">
        <v>3.7370787999999999</v>
      </c>
      <c r="AL582" s="10">
        <v>3.7101776000000002</v>
      </c>
      <c r="AM582" s="10">
        <v>3.6848755999999998</v>
      </c>
      <c r="AN582" s="10">
        <v>3.6610958</v>
      </c>
      <c r="AO582" s="10">
        <v>3.6387615000000002</v>
      </c>
      <c r="AP582" s="10">
        <v>3.6177966000000001</v>
      </c>
      <c r="AQ582" s="10">
        <v>3.5981242999999998</v>
      </c>
      <c r="AR582" s="10">
        <v>3.5796679</v>
      </c>
      <c r="AS582" s="10">
        <v>3.5623513</v>
      </c>
      <c r="AT582" s="10">
        <v>3.5461041999999998</v>
      </c>
      <c r="AU582" s="10">
        <v>3.5308831999999999</v>
      </c>
      <c r="AV582" s="10">
        <v>3.5166517000000002</v>
      </c>
      <c r="AW582" s="10">
        <v>3.5033728000000002</v>
      </c>
      <c r="AX582" s="10">
        <v>3.4910095000000001</v>
      </c>
      <c r="AY582" s="10">
        <v>3.4795254</v>
      </c>
      <c r="AZ582" s="10">
        <v>3.4688832999999999</v>
      </c>
      <c r="BA582" s="10">
        <v>3.4590464000000001</v>
      </c>
      <c r="BB582" s="10">
        <v>3.4499781999999999</v>
      </c>
      <c r="BC582" s="10">
        <v>3.4416416999999999</v>
      </c>
      <c r="BD582" s="10">
        <v>3.4340001</v>
      </c>
      <c r="BE582" s="10">
        <v>3.4270166</v>
      </c>
      <c r="BF582" s="10">
        <v>3.420658</v>
      </c>
      <c r="BG582" s="10">
        <v>3.4149075999999998</v>
      </c>
      <c r="BH582" s="10">
        <v>3.4097529999999998</v>
      </c>
      <c r="BI582" s="10">
        <v>3.4051819000000001</v>
      </c>
      <c r="BJ582" s="10">
        <v>3.4011819999999999</v>
      </c>
      <c r="BK582" s="10">
        <v>3.3977409000000001</v>
      </c>
      <c r="BL582" s="10">
        <v>3.3948463000000002</v>
      </c>
      <c r="BM582" s="10">
        <v>3.3924858000000002</v>
      </c>
      <c r="BN582" s="10">
        <v>3.3906472000000001</v>
      </c>
      <c r="BO582" s="10">
        <v>3.3893181000000001</v>
      </c>
      <c r="BP582" s="10">
        <v>3.3884861000000002</v>
      </c>
      <c r="BQ582" s="10">
        <v>3.3881389999999998</v>
      </c>
      <c r="BR582" s="10">
        <v>3.3955354</v>
      </c>
      <c r="BS582" s="10">
        <v>3.4172053</v>
      </c>
      <c r="BU582" s="7">
        <v>4.32</v>
      </c>
      <c r="BV582" s="7">
        <v>4.09</v>
      </c>
      <c r="BW582" s="9">
        <v>82.875900000000001</v>
      </c>
    </row>
    <row r="583" spans="1:75" x14ac:dyDescent="0.25">
      <c r="A583" s="6">
        <f t="shared" si="53"/>
        <v>45369</v>
      </c>
      <c r="B583" s="13">
        <f t="shared" si="48"/>
        <v>3</v>
      </c>
      <c r="C583" s="13">
        <f t="shared" si="49"/>
        <v>2024</v>
      </c>
      <c r="D583">
        <f t="shared" si="50"/>
        <v>202403</v>
      </c>
      <c r="E583">
        <f t="shared" si="51"/>
        <v>1</v>
      </c>
      <c r="F583">
        <f t="shared" si="52"/>
        <v>202401</v>
      </c>
      <c r="G583" t="s">
        <v>781</v>
      </c>
      <c r="H583" s="9">
        <v>5.25</v>
      </c>
      <c r="I583" s="9">
        <v>5.1886000000000001</v>
      </c>
      <c r="J583" s="10">
        <v>5.1908235999999999</v>
      </c>
      <c r="K583" s="10">
        <v>5.1626208</v>
      </c>
      <c r="L583" s="10">
        <v>5.1146880000000001</v>
      </c>
      <c r="M583" s="10">
        <v>5.0468900000000003</v>
      </c>
      <c r="N583" s="10">
        <v>4.9671789999999998</v>
      </c>
      <c r="O583" s="10">
        <v>4.8819184</v>
      </c>
      <c r="P583" s="10">
        <v>4.7955544999999997</v>
      </c>
      <c r="Q583" s="10">
        <v>4.7115527999999998</v>
      </c>
      <c r="R583" s="10">
        <v>4.6324510999999999</v>
      </c>
      <c r="S583" s="10">
        <v>4.5596211999999996</v>
      </c>
      <c r="T583" s="10">
        <v>4.4932489999999996</v>
      </c>
      <c r="U583" s="10">
        <v>4.4326102000000001</v>
      </c>
      <c r="V583" s="10">
        <v>4.3756906000000004</v>
      </c>
      <c r="W583" s="10">
        <v>4.3217888999999996</v>
      </c>
      <c r="X583" s="10">
        <v>4.2706628000000002</v>
      </c>
      <c r="Y583" s="10">
        <v>4.2220681000000004</v>
      </c>
      <c r="Z583" s="10">
        <v>4.1757606999999997</v>
      </c>
      <c r="AA583" s="10">
        <v>4.1314982000000002</v>
      </c>
      <c r="AB583" s="10">
        <v>4.0890636999999996</v>
      </c>
      <c r="AC583" s="10">
        <v>4.0483668000000002</v>
      </c>
      <c r="AD583" s="10">
        <v>4.0093548999999999</v>
      </c>
      <c r="AE583" s="10">
        <v>3.9719742999999998</v>
      </c>
      <c r="AF583" s="10">
        <v>3.9361709999999999</v>
      </c>
      <c r="AG583" s="10">
        <v>3.9018925000000002</v>
      </c>
      <c r="AH583" s="10">
        <v>3.8690864999999999</v>
      </c>
      <c r="AI583" s="10">
        <v>3.8377062</v>
      </c>
      <c r="AJ583" s="10">
        <v>3.8077076000000001</v>
      </c>
      <c r="AK583" s="10">
        <v>3.7790452999999999</v>
      </c>
      <c r="AL583" s="10">
        <v>3.7516742000000001</v>
      </c>
      <c r="AM583" s="10">
        <v>3.7255500000000001</v>
      </c>
      <c r="AN583" s="10">
        <v>3.7006275</v>
      </c>
      <c r="AO583" s="10">
        <v>3.6768616999999999</v>
      </c>
      <c r="AP583" s="10">
        <v>3.6542081</v>
      </c>
      <c r="AQ583" s="10">
        <v>3.6326215999999998</v>
      </c>
      <c r="AR583" s="10">
        <v>3.6120572000000002</v>
      </c>
      <c r="AS583" s="10">
        <v>3.5924703</v>
      </c>
      <c r="AT583" s="10">
        <v>3.5738219999999998</v>
      </c>
      <c r="AU583" s="10">
        <v>3.5560977999999999</v>
      </c>
      <c r="AV583" s="10">
        <v>3.5392899</v>
      </c>
      <c r="AW583" s="10">
        <v>3.5233899000000002</v>
      </c>
      <c r="AX583" s="10">
        <v>3.5083893000000002</v>
      </c>
      <c r="AY583" s="10">
        <v>3.4942804000000001</v>
      </c>
      <c r="AZ583" s="10">
        <v>3.4810547999999999</v>
      </c>
      <c r="BA583" s="10">
        <v>3.4687041000000001</v>
      </c>
      <c r="BB583" s="10">
        <v>3.4572204000000002</v>
      </c>
      <c r="BC583" s="10">
        <v>3.4465954000000001</v>
      </c>
      <c r="BD583" s="10">
        <v>3.4368207000000002</v>
      </c>
      <c r="BE583" s="10">
        <v>3.4278884000000001</v>
      </c>
      <c r="BF583" s="10">
        <v>3.4197886</v>
      </c>
      <c r="BG583" s="10">
        <v>3.4125033</v>
      </c>
      <c r="BH583" s="10">
        <v>3.406012</v>
      </c>
      <c r="BI583" s="10">
        <v>3.4002940000000001</v>
      </c>
      <c r="BJ583" s="10">
        <v>3.3953283000000001</v>
      </c>
      <c r="BK583" s="10">
        <v>3.3910946000000002</v>
      </c>
      <c r="BL583" s="10">
        <v>3.387572</v>
      </c>
      <c r="BM583" s="10">
        <v>3.3847398000000002</v>
      </c>
      <c r="BN583" s="10">
        <v>3.3825774000000002</v>
      </c>
      <c r="BO583" s="10">
        <v>3.3810639999999998</v>
      </c>
      <c r="BP583" s="10">
        <v>3.380179</v>
      </c>
      <c r="BQ583" s="10">
        <v>3.3799017</v>
      </c>
      <c r="BR583" s="10">
        <v>3.3897542999999999</v>
      </c>
      <c r="BS583" s="10">
        <v>3.4157432000000001</v>
      </c>
      <c r="BU583" s="7">
        <v>4.3099999999999996</v>
      </c>
      <c r="BV583" s="7">
        <v>4.09</v>
      </c>
      <c r="BW583" s="9">
        <v>82.888199999999998</v>
      </c>
    </row>
    <row r="584" spans="1:75" x14ac:dyDescent="0.25">
      <c r="A584" s="6">
        <f t="shared" si="53"/>
        <v>45370</v>
      </c>
      <c r="B584" s="13">
        <f t="shared" si="48"/>
        <v>3</v>
      </c>
      <c r="C584" s="13">
        <f t="shared" si="49"/>
        <v>2024</v>
      </c>
      <c r="D584">
        <f t="shared" si="50"/>
        <v>202403</v>
      </c>
      <c r="E584">
        <f t="shared" si="51"/>
        <v>1</v>
      </c>
      <c r="F584">
        <f t="shared" si="52"/>
        <v>202401</v>
      </c>
      <c r="G584" t="s">
        <v>782</v>
      </c>
      <c r="H584" s="9">
        <v>5.25</v>
      </c>
      <c r="I584" s="9">
        <v>5.1894</v>
      </c>
      <c r="J584" s="10">
        <v>5.1856121999999996</v>
      </c>
      <c r="K584" s="10">
        <v>5.1544996999999997</v>
      </c>
      <c r="L584" s="10">
        <v>5.1034141000000002</v>
      </c>
      <c r="M584" s="10">
        <v>5.0325027999999996</v>
      </c>
      <c r="N584" s="10">
        <v>4.9494216</v>
      </c>
      <c r="O584" s="10">
        <v>4.8601635999999999</v>
      </c>
      <c r="P584" s="10">
        <v>4.7685994000000003</v>
      </c>
      <c r="Q584" s="10">
        <v>4.6778852000000004</v>
      </c>
      <c r="R584" s="10">
        <v>4.5909319999999996</v>
      </c>
      <c r="S584" s="10">
        <v>4.5099219000000002</v>
      </c>
      <c r="T584" s="10">
        <v>4.4358294000000003</v>
      </c>
      <c r="U584" s="10">
        <v>4.3687421000000004</v>
      </c>
      <c r="V584" s="10">
        <v>4.3071783000000003</v>
      </c>
      <c r="W584" s="10">
        <v>4.2502135000000001</v>
      </c>
      <c r="X584" s="10">
        <v>4.1972046000000001</v>
      </c>
      <c r="Y584" s="10">
        <v>4.1475064000000001</v>
      </c>
      <c r="Z584" s="10">
        <v>4.1004737000000002</v>
      </c>
      <c r="AA584" s="10">
        <v>4.0554632000000002</v>
      </c>
      <c r="AB584" s="10">
        <v>4.0119325999999997</v>
      </c>
      <c r="AC584" s="10">
        <v>3.9698169999999999</v>
      </c>
      <c r="AD584" s="10">
        <v>3.9291912999999998</v>
      </c>
      <c r="AE584" s="10">
        <v>3.8901286000000002</v>
      </c>
      <c r="AF584" s="10">
        <v>3.8527024000000001</v>
      </c>
      <c r="AG584" s="10">
        <v>3.8169873000000001</v>
      </c>
      <c r="AH584" s="10">
        <v>3.7830366999999998</v>
      </c>
      <c r="AI584" s="10">
        <v>3.7508235000000001</v>
      </c>
      <c r="AJ584" s="10">
        <v>3.7203015000000001</v>
      </c>
      <c r="AK584" s="10">
        <v>3.6914235</v>
      </c>
      <c r="AL584" s="10">
        <v>3.6641425000000001</v>
      </c>
      <c r="AM584" s="10">
        <v>3.6384121999999999</v>
      </c>
      <c r="AN584" s="10">
        <v>3.6141855999999999</v>
      </c>
      <c r="AO584" s="10">
        <v>3.5914153999999998</v>
      </c>
      <c r="AP584" s="10">
        <v>3.5700555</v>
      </c>
      <c r="AQ584" s="10">
        <v>3.5500587000000001</v>
      </c>
      <c r="AR584" s="10">
        <v>3.5313778999999998</v>
      </c>
      <c r="AS584" s="10">
        <v>3.5139668999999998</v>
      </c>
      <c r="AT584" s="10">
        <v>3.4977792999999999</v>
      </c>
      <c r="AU584" s="10">
        <v>3.4827718000000001</v>
      </c>
      <c r="AV584" s="10">
        <v>3.4689024000000002</v>
      </c>
      <c r="AW584" s="10">
        <v>3.4561286999999998</v>
      </c>
      <c r="AX584" s="10">
        <v>3.4444080000000001</v>
      </c>
      <c r="AY584" s="10">
        <v>3.4336985000000002</v>
      </c>
      <c r="AZ584" s="10">
        <v>3.4239575000000002</v>
      </c>
      <c r="BA584" s="10">
        <v>3.4151425999999998</v>
      </c>
      <c r="BB584" s="10">
        <v>3.4072117999999998</v>
      </c>
      <c r="BC584" s="10">
        <v>3.4001223999999999</v>
      </c>
      <c r="BD584" s="10">
        <v>3.3938321999999999</v>
      </c>
      <c r="BE584" s="10">
        <v>3.3882987999999998</v>
      </c>
      <c r="BF584" s="10">
        <v>3.3834827000000001</v>
      </c>
      <c r="BG584" s="10">
        <v>3.3793578000000002</v>
      </c>
      <c r="BH584" s="10">
        <v>3.3759020999999998</v>
      </c>
      <c r="BI584" s="10">
        <v>3.3730937000000001</v>
      </c>
      <c r="BJ584" s="10">
        <v>3.3709104999999999</v>
      </c>
      <c r="BK584" s="10">
        <v>3.3693306999999999</v>
      </c>
      <c r="BL584" s="10">
        <v>3.3683322000000002</v>
      </c>
      <c r="BM584" s="10">
        <v>3.3678932000000001</v>
      </c>
      <c r="BN584" s="10">
        <v>3.3679915</v>
      </c>
      <c r="BO584" s="10">
        <v>3.3686053</v>
      </c>
      <c r="BP584" s="10">
        <v>3.3697127</v>
      </c>
      <c r="BQ584" s="10">
        <v>3.3712914999999999</v>
      </c>
      <c r="BR584" s="10">
        <v>3.3895993999999998</v>
      </c>
      <c r="BS584" s="10">
        <v>3.4203342000000001</v>
      </c>
      <c r="BU584" s="7">
        <v>4.26</v>
      </c>
      <c r="BV584" s="7">
        <v>4.05</v>
      </c>
      <c r="BW584" s="9">
        <v>82.900899999999993</v>
      </c>
    </row>
    <row r="585" spans="1:75" x14ac:dyDescent="0.25">
      <c r="A585" s="6">
        <f t="shared" si="53"/>
        <v>45371</v>
      </c>
      <c r="B585" s="13">
        <f t="shared" ref="B585:B614" si="54">MONTH(A585)</f>
        <v>3</v>
      </c>
      <c r="C585" s="13">
        <f t="shared" ref="C585:C612" si="55">YEAR(A585)</f>
        <v>2024</v>
      </c>
      <c r="D585">
        <f t="shared" ref="D585:D612" si="56">C585*100+B585</f>
        <v>202403</v>
      </c>
      <c r="E585">
        <f t="shared" ref="E585:E612" si="57">IF(B585&lt;4,1,IF(B585&lt;7,2,IF(B585&lt;10,3,4)))</f>
        <v>1</v>
      </c>
      <c r="F585">
        <f t="shared" ref="F585:F612" si="58">C585*100+E585</f>
        <v>202401</v>
      </c>
      <c r="G585" t="s">
        <v>783</v>
      </c>
      <c r="H585" s="9">
        <v>5.25</v>
      </c>
      <c r="I585" s="9">
        <v>5.1891999999999996</v>
      </c>
      <c r="J585" s="10">
        <v>5.1861427999999998</v>
      </c>
      <c r="K585" s="10">
        <v>5.1530597</v>
      </c>
      <c r="L585" s="10">
        <v>5.0954702000000003</v>
      </c>
      <c r="M585" s="10">
        <v>5.0164477999999999</v>
      </c>
      <c r="N585" s="10">
        <v>4.9262214999999996</v>
      </c>
      <c r="O585" s="10">
        <v>4.8320185000000002</v>
      </c>
      <c r="P585" s="10">
        <v>4.7382862000000001</v>
      </c>
      <c r="Q585" s="10">
        <v>4.6484557999999998</v>
      </c>
      <c r="R585" s="10">
        <v>4.5649575999999996</v>
      </c>
      <c r="S585" s="10">
        <v>4.4889387000000003</v>
      </c>
      <c r="T585" s="10">
        <v>4.4203475000000001</v>
      </c>
      <c r="U585" s="10">
        <v>4.3582745999999997</v>
      </c>
      <c r="V585" s="10">
        <v>4.3006368000000004</v>
      </c>
      <c r="W585" s="10">
        <v>4.2464642000000001</v>
      </c>
      <c r="X585" s="10">
        <v>4.1951839</v>
      </c>
      <c r="Y585" s="10">
        <v>4.1462215000000002</v>
      </c>
      <c r="Z585" s="10">
        <v>4.0990022000000002</v>
      </c>
      <c r="AA585" s="10">
        <v>4.0529530999999999</v>
      </c>
      <c r="AB585" s="10">
        <v>4.0075969000000002</v>
      </c>
      <c r="AC585" s="10">
        <v>3.9630063</v>
      </c>
      <c r="AD585" s="10">
        <v>3.9194491</v>
      </c>
      <c r="AE585" s="10">
        <v>3.8771917999999999</v>
      </c>
      <c r="AF585" s="10">
        <v>3.8365008999999999</v>
      </c>
      <c r="AG585" s="10">
        <v>3.7976443</v>
      </c>
      <c r="AH585" s="10">
        <v>3.7608345999999999</v>
      </c>
      <c r="AI585" s="10">
        <v>3.7260678</v>
      </c>
      <c r="AJ585" s="10">
        <v>3.6932874</v>
      </c>
      <c r="AK585" s="10">
        <v>3.6624355999999998</v>
      </c>
      <c r="AL585" s="10">
        <v>3.6334545</v>
      </c>
      <c r="AM585" s="10">
        <v>3.6062875999999999</v>
      </c>
      <c r="AN585" s="10">
        <v>3.5808768</v>
      </c>
      <c r="AO585" s="10">
        <v>3.5571647</v>
      </c>
      <c r="AP585" s="10">
        <v>3.5350942000000001</v>
      </c>
      <c r="AQ585" s="10">
        <v>3.5146077</v>
      </c>
      <c r="AR585" s="10">
        <v>3.4956475</v>
      </c>
      <c r="AS585" s="10">
        <v>3.4781567</v>
      </c>
      <c r="AT585" s="10">
        <v>3.4620764999999998</v>
      </c>
      <c r="AU585" s="10">
        <v>3.4473429000000002</v>
      </c>
      <c r="AV585" s="10">
        <v>3.4338910999999999</v>
      </c>
      <c r="AW585" s="10">
        <v>3.4216554000000001</v>
      </c>
      <c r="AX585" s="10">
        <v>3.4105704000000001</v>
      </c>
      <c r="AY585" s="10">
        <v>3.4005709999999998</v>
      </c>
      <c r="AZ585" s="10">
        <v>3.3915917000000002</v>
      </c>
      <c r="BA585" s="10">
        <v>3.3835671</v>
      </c>
      <c r="BB585" s="10">
        <v>3.3764319999999999</v>
      </c>
      <c r="BC585" s="10">
        <v>3.3701210000000001</v>
      </c>
      <c r="BD585" s="10">
        <v>3.3645687</v>
      </c>
      <c r="BE585" s="10">
        <v>3.3597098000000001</v>
      </c>
      <c r="BF585" s="10">
        <v>3.3554859000000001</v>
      </c>
      <c r="BG585" s="10">
        <v>3.3518686999999998</v>
      </c>
      <c r="BH585" s="10">
        <v>3.3488387999999998</v>
      </c>
      <c r="BI585" s="10">
        <v>3.3463763000000002</v>
      </c>
      <c r="BJ585" s="10">
        <v>3.3444617000000001</v>
      </c>
      <c r="BK585" s="10">
        <v>3.3430751999999999</v>
      </c>
      <c r="BL585" s="10">
        <v>3.3421972000000002</v>
      </c>
      <c r="BM585" s="10">
        <v>3.3418079000000001</v>
      </c>
      <c r="BN585" s="10">
        <v>3.3418877</v>
      </c>
      <c r="BO585" s="10">
        <v>3.3424170000000002</v>
      </c>
      <c r="BP585" s="10">
        <v>3.3433760000000001</v>
      </c>
      <c r="BQ585" s="10">
        <v>3.3447450999999999</v>
      </c>
      <c r="BR585" s="10">
        <v>3.3607122</v>
      </c>
      <c r="BS585" s="10">
        <v>3.3879600000000001</v>
      </c>
      <c r="BU585" s="7">
        <v>4.2300000000000004</v>
      </c>
      <c r="BV585" s="7">
        <v>4.01</v>
      </c>
      <c r="BW585" s="9">
        <v>82.95</v>
      </c>
    </row>
    <row r="586" spans="1:75" x14ac:dyDescent="0.25">
      <c r="A586" s="6">
        <f t="shared" si="53"/>
        <v>45372</v>
      </c>
      <c r="B586" s="13">
        <f t="shared" si="54"/>
        <v>3</v>
      </c>
      <c r="C586" s="13">
        <f t="shared" si="55"/>
        <v>2024</v>
      </c>
      <c r="D586">
        <f t="shared" si="56"/>
        <v>202403</v>
      </c>
      <c r="E586">
        <f t="shared" si="57"/>
        <v>1</v>
      </c>
      <c r="F586">
        <f t="shared" si="58"/>
        <v>202401</v>
      </c>
      <c r="G586" t="s">
        <v>784</v>
      </c>
      <c r="H586" s="9">
        <v>5.25</v>
      </c>
      <c r="I586" s="9">
        <v>5.1894</v>
      </c>
      <c r="J586" s="10">
        <v>5.1819683000000003</v>
      </c>
      <c r="K586" s="10">
        <v>5.1280466999999996</v>
      </c>
      <c r="L586" s="10">
        <v>5.0527375000000001</v>
      </c>
      <c r="M586" s="10">
        <v>4.9605281000000003</v>
      </c>
      <c r="N586" s="10">
        <v>4.8614145999999998</v>
      </c>
      <c r="O586" s="10">
        <v>4.7608512000000003</v>
      </c>
      <c r="P586" s="10">
        <v>4.6612742000000003</v>
      </c>
      <c r="Q586" s="10">
        <v>4.5645699000000004</v>
      </c>
      <c r="R586" s="10">
        <v>4.4723674000000004</v>
      </c>
      <c r="S586" s="10">
        <v>4.3862436999999996</v>
      </c>
      <c r="T586" s="10">
        <v>4.3069856</v>
      </c>
      <c r="U586" s="10">
        <v>4.2349113000000003</v>
      </c>
      <c r="V586" s="10">
        <v>4.1698642000000001</v>
      </c>
      <c r="W586" s="10">
        <v>4.1110657000000002</v>
      </c>
      <c r="X586" s="10">
        <v>4.0576081000000004</v>
      </c>
      <c r="Y586" s="10">
        <v>4.0085818</v>
      </c>
      <c r="Z586" s="10">
        <v>3.9630771</v>
      </c>
      <c r="AA586" s="10">
        <v>3.9201861999999998</v>
      </c>
      <c r="AB586" s="10">
        <v>3.8791226999999999</v>
      </c>
      <c r="AC586" s="10">
        <v>3.8397313</v>
      </c>
      <c r="AD586" s="10">
        <v>3.8020599000000002</v>
      </c>
      <c r="AE586" s="10">
        <v>3.7661546000000001</v>
      </c>
      <c r="AF586" s="10">
        <v>3.7320620999999998</v>
      </c>
      <c r="AG586" s="10">
        <v>3.69983</v>
      </c>
      <c r="AH586" s="10">
        <v>3.6694893</v>
      </c>
      <c r="AI586" s="10">
        <v>3.6409961000000002</v>
      </c>
      <c r="AJ586" s="10">
        <v>3.6142843999999998</v>
      </c>
      <c r="AK586" s="10">
        <v>3.5892873000000001</v>
      </c>
      <c r="AL586" s="10">
        <v>3.5659380999999999</v>
      </c>
      <c r="AM586" s="10">
        <v>3.5441707999999998</v>
      </c>
      <c r="AN586" s="10">
        <v>3.5239183999999999</v>
      </c>
      <c r="AO586" s="10">
        <v>3.5051142</v>
      </c>
      <c r="AP586" s="10">
        <v>3.4876922000000001</v>
      </c>
      <c r="AQ586" s="10">
        <v>3.4715856</v>
      </c>
      <c r="AR586" s="10">
        <v>3.4567275</v>
      </c>
      <c r="AS586" s="10">
        <v>3.4430518999999999</v>
      </c>
      <c r="AT586" s="10">
        <v>3.4304942999999999</v>
      </c>
      <c r="AU586" s="10">
        <v>3.4190005999999999</v>
      </c>
      <c r="AV586" s="10">
        <v>3.4085201000000001</v>
      </c>
      <c r="AW586" s="10">
        <v>3.3990014</v>
      </c>
      <c r="AX586" s="10">
        <v>3.3903935000000001</v>
      </c>
      <c r="AY586" s="10">
        <v>3.3826451999999998</v>
      </c>
      <c r="AZ586" s="10">
        <v>3.3757055999999999</v>
      </c>
      <c r="BA586" s="10">
        <v>3.3695233</v>
      </c>
      <c r="BB586" s="10">
        <v>3.3640474999999999</v>
      </c>
      <c r="BC586" s="10">
        <v>3.3592270000000002</v>
      </c>
      <c r="BD586" s="10">
        <v>3.3550105000000001</v>
      </c>
      <c r="BE586" s="10">
        <v>3.3513472000000002</v>
      </c>
      <c r="BF586" s="10">
        <v>3.3481920999999999</v>
      </c>
      <c r="BG586" s="10">
        <v>3.3455284000000001</v>
      </c>
      <c r="BH586" s="10">
        <v>3.3433468999999998</v>
      </c>
      <c r="BI586" s="10">
        <v>3.3416383999999999</v>
      </c>
      <c r="BJ586" s="10">
        <v>3.3403936999999999</v>
      </c>
      <c r="BK586" s="10">
        <v>3.3396035999999998</v>
      </c>
      <c r="BL586" s="10">
        <v>3.3392590000000002</v>
      </c>
      <c r="BM586" s="10">
        <v>3.3393505999999999</v>
      </c>
      <c r="BN586" s="10">
        <v>3.3398693000000002</v>
      </c>
      <c r="BO586" s="10">
        <v>3.3408058</v>
      </c>
      <c r="BP586" s="10">
        <v>3.3421509999999999</v>
      </c>
      <c r="BQ586" s="10">
        <v>3.3438957</v>
      </c>
      <c r="BR586" s="10">
        <v>3.3621493999999998</v>
      </c>
      <c r="BS586" s="10">
        <v>3.3919290000000002</v>
      </c>
      <c r="BU586" s="7">
        <v>4.18</v>
      </c>
      <c r="BV586" s="7">
        <v>3.98</v>
      </c>
      <c r="BW586" s="9">
        <v>82.640600000000006</v>
      </c>
    </row>
    <row r="587" spans="1:75" x14ac:dyDescent="0.25">
      <c r="A587" s="6">
        <f t="shared" si="53"/>
        <v>45373</v>
      </c>
      <c r="B587" s="13">
        <f t="shared" si="54"/>
        <v>3</v>
      </c>
      <c r="C587" s="13">
        <f t="shared" si="55"/>
        <v>2024</v>
      </c>
      <c r="D587">
        <f t="shared" si="56"/>
        <v>202403</v>
      </c>
      <c r="E587">
        <f t="shared" si="57"/>
        <v>1</v>
      </c>
      <c r="F587">
        <f t="shared" si="58"/>
        <v>202401</v>
      </c>
      <c r="G587" t="s">
        <v>785</v>
      </c>
      <c r="H587" s="9">
        <v>5.25</v>
      </c>
      <c r="I587" s="9">
        <v>5.1905999999999999</v>
      </c>
      <c r="J587" s="10">
        <v>5.1805712000000002</v>
      </c>
      <c r="K587" s="10">
        <v>5.1182898000000003</v>
      </c>
      <c r="L587" s="10">
        <v>5.0372060000000003</v>
      </c>
      <c r="M587" s="10">
        <v>4.9406043000000004</v>
      </c>
      <c r="N587" s="10">
        <v>4.8376754999999996</v>
      </c>
      <c r="O587" s="10">
        <v>4.7334882</v>
      </c>
      <c r="P587" s="10">
        <v>4.6303638999999999</v>
      </c>
      <c r="Q587" s="10">
        <v>4.5301131999999997</v>
      </c>
      <c r="R587" s="10">
        <v>4.4343044999999996</v>
      </c>
      <c r="S587" s="10">
        <v>4.3442696999999999</v>
      </c>
      <c r="T587" s="10">
        <v>4.2607216000000001</v>
      </c>
      <c r="U587" s="10">
        <v>4.1836630000000001</v>
      </c>
      <c r="V587" s="10">
        <v>4.1127269999999996</v>
      </c>
      <c r="W587" s="10">
        <v>4.0474595000000004</v>
      </c>
      <c r="X587" s="10">
        <v>3.9874071</v>
      </c>
      <c r="Y587" s="10">
        <v>3.9321142</v>
      </c>
      <c r="Z587" s="10">
        <v>3.8811249999999999</v>
      </c>
      <c r="AA587" s="10">
        <v>3.8339859999999999</v>
      </c>
      <c r="AB587" s="10">
        <v>3.7902735000000001</v>
      </c>
      <c r="AC587" s="10">
        <v>3.7497126000000001</v>
      </c>
      <c r="AD587" s="10">
        <v>3.7120728999999999</v>
      </c>
      <c r="AE587" s="10">
        <v>3.6771224</v>
      </c>
      <c r="AF587" s="10">
        <v>3.6446293000000001</v>
      </c>
      <c r="AG587" s="10">
        <v>3.614363</v>
      </c>
      <c r="AH587" s="10">
        <v>3.5861124000000002</v>
      </c>
      <c r="AI587" s="10">
        <v>3.5597572</v>
      </c>
      <c r="AJ587" s="10">
        <v>3.5352035000000002</v>
      </c>
      <c r="AK587" s="10">
        <v>3.5123562000000002</v>
      </c>
      <c r="AL587" s="10">
        <v>3.4911205000000001</v>
      </c>
      <c r="AM587" s="10">
        <v>3.4714022</v>
      </c>
      <c r="AN587" s="10">
        <v>3.4531063999999998</v>
      </c>
      <c r="AO587" s="10">
        <v>3.4361381</v>
      </c>
      <c r="AP587" s="10">
        <v>3.4204031000000001</v>
      </c>
      <c r="AQ587" s="10">
        <v>3.4058066</v>
      </c>
      <c r="AR587" s="10">
        <v>3.3922536999999999</v>
      </c>
      <c r="AS587" s="10">
        <v>3.3796501000000001</v>
      </c>
      <c r="AT587" s="10">
        <v>3.3679125000000001</v>
      </c>
      <c r="AU587" s="10">
        <v>3.3570044999999999</v>
      </c>
      <c r="AV587" s="10">
        <v>3.3469015</v>
      </c>
      <c r="AW587" s="10">
        <v>3.3375786000000001</v>
      </c>
      <c r="AX587" s="10">
        <v>3.3290109999999999</v>
      </c>
      <c r="AY587" s="10">
        <v>3.3211742000000002</v>
      </c>
      <c r="AZ587" s="10">
        <v>3.3140432</v>
      </c>
      <c r="BA587" s="10">
        <v>3.3075931999999999</v>
      </c>
      <c r="BB587" s="10">
        <v>3.3017995999999998</v>
      </c>
      <c r="BC587" s="10">
        <v>3.2966375000000001</v>
      </c>
      <c r="BD587" s="10">
        <v>3.2920823000000001</v>
      </c>
      <c r="BE587" s="10">
        <v>3.2881090999999998</v>
      </c>
      <c r="BF587" s="10">
        <v>3.2846951999999998</v>
      </c>
      <c r="BG587" s="10">
        <v>3.2818263999999999</v>
      </c>
      <c r="BH587" s="10">
        <v>3.2794911</v>
      </c>
      <c r="BI587" s="10">
        <v>3.2776776999999999</v>
      </c>
      <c r="BJ587" s="10">
        <v>3.2763745000000002</v>
      </c>
      <c r="BK587" s="10">
        <v>3.2755697000000001</v>
      </c>
      <c r="BL587" s="10">
        <v>3.2752517999999999</v>
      </c>
      <c r="BM587" s="10">
        <v>3.2754089999999998</v>
      </c>
      <c r="BN587" s="10">
        <v>3.2760297999999999</v>
      </c>
      <c r="BO587" s="10">
        <v>3.2771023000000001</v>
      </c>
      <c r="BP587" s="10">
        <v>3.2786149999999998</v>
      </c>
      <c r="BQ587" s="10">
        <v>3.2805561999999999</v>
      </c>
      <c r="BR587" s="10">
        <v>3.3005087</v>
      </c>
      <c r="BS587" s="10">
        <v>3.3327081999999999</v>
      </c>
      <c r="BU587" s="7">
        <v>4.13</v>
      </c>
      <c r="BV587" s="7">
        <v>3.93</v>
      </c>
      <c r="BW587" s="9">
        <v>82.478700000000003</v>
      </c>
    </row>
    <row r="588" spans="1:75" x14ac:dyDescent="0.25">
      <c r="A588" s="6">
        <f t="shared" si="53"/>
        <v>45376</v>
      </c>
      <c r="B588" s="13">
        <f t="shared" si="54"/>
        <v>3</v>
      </c>
      <c r="C588" s="13">
        <f t="shared" si="55"/>
        <v>2024</v>
      </c>
      <c r="D588">
        <f t="shared" si="56"/>
        <v>202403</v>
      </c>
      <c r="E588">
        <f t="shared" si="57"/>
        <v>1</v>
      </c>
      <c r="F588">
        <f t="shared" si="58"/>
        <v>202401</v>
      </c>
      <c r="G588" t="s">
        <v>786</v>
      </c>
      <c r="H588" s="9">
        <v>5.25</v>
      </c>
      <c r="I588" s="9">
        <v>5.1898</v>
      </c>
      <c r="J588" s="10">
        <v>5.1833470999999998</v>
      </c>
      <c r="K588" s="10">
        <v>5.1274128000000001</v>
      </c>
      <c r="L588" s="10">
        <v>5.0521022999999996</v>
      </c>
      <c r="M588" s="10">
        <v>4.9603653999999997</v>
      </c>
      <c r="N588" s="10">
        <v>4.8621632000000004</v>
      </c>
      <c r="O588" s="10">
        <v>4.7628551000000003</v>
      </c>
      <c r="P588" s="10">
        <v>4.6644921999999998</v>
      </c>
      <c r="Q588" s="10">
        <v>4.5688371999999999</v>
      </c>
      <c r="R588" s="10">
        <v>4.4777661999999996</v>
      </c>
      <c r="S588" s="10">
        <v>4.3929359999999997</v>
      </c>
      <c r="T588" s="10">
        <v>4.3151083000000003</v>
      </c>
      <c r="U588" s="10">
        <v>4.2444287999999997</v>
      </c>
      <c r="V588" s="10">
        <v>4.1804886999999997</v>
      </c>
      <c r="W588" s="10">
        <v>4.1224584000000002</v>
      </c>
      <c r="X588" s="10">
        <v>4.0694362999999996</v>
      </c>
      <c r="Y588" s="10">
        <v>4.0205190000000002</v>
      </c>
      <c r="Z588" s="10">
        <v>3.9748028</v>
      </c>
      <c r="AA588" s="10">
        <v>3.9313861000000001</v>
      </c>
      <c r="AB588" s="10">
        <v>3.8895102000000001</v>
      </c>
      <c r="AC588" s="10">
        <v>3.8490883999999999</v>
      </c>
      <c r="AD588" s="10">
        <v>3.8102301000000001</v>
      </c>
      <c r="AE588" s="10">
        <v>3.7730434000000002</v>
      </c>
      <c r="AF588" s="10">
        <v>3.7376364</v>
      </c>
      <c r="AG588" s="10">
        <v>3.7041184999999999</v>
      </c>
      <c r="AH588" s="10">
        <v>3.6725661999999999</v>
      </c>
      <c r="AI588" s="10">
        <v>3.6429306000000001</v>
      </c>
      <c r="AJ588" s="10">
        <v>3.6151323999999998</v>
      </c>
      <c r="AK588" s="10">
        <v>3.5890911000000001</v>
      </c>
      <c r="AL588" s="10">
        <v>3.5647264999999999</v>
      </c>
      <c r="AM588" s="10">
        <v>3.5419589999999999</v>
      </c>
      <c r="AN588" s="10">
        <v>3.5207084000000002</v>
      </c>
      <c r="AO588" s="10">
        <v>3.5008943000000001</v>
      </c>
      <c r="AP588" s="10">
        <v>3.4824372000000001</v>
      </c>
      <c r="AQ588" s="10">
        <v>3.4652566999999999</v>
      </c>
      <c r="AR588" s="10">
        <v>3.4492726999999999</v>
      </c>
      <c r="AS588" s="10">
        <v>3.4344055</v>
      </c>
      <c r="AT588" s="10">
        <v>3.4205822000000001</v>
      </c>
      <c r="AU588" s="10">
        <v>3.4077598999999998</v>
      </c>
      <c r="AV588" s="10">
        <v>3.3959033999999999</v>
      </c>
      <c r="AW588" s="10">
        <v>3.3849771</v>
      </c>
      <c r="AX588" s="10">
        <v>3.3749454000000001</v>
      </c>
      <c r="AY588" s="10">
        <v>3.3657731000000002</v>
      </c>
      <c r="AZ588" s="10">
        <v>3.3574245999999999</v>
      </c>
      <c r="BA588" s="10">
        <v>3.3498644999999998</v>
      </c>
      <c r="BB588" s="10">
        <v>3.3430574000000002</v>
      </c>
      <c r="BC588" s="10">
        <v>3.3369678</v>
      </c>
      <c r="BD588" s="10">
        <v>3.3315600999999999</v>
      </c>
      <c r="BE588" s="10">
        <v>3.3267992</v>
      </c>
      <c r="BF588" s="10">
        <v>3.3226524</v>
      </c>
      <c r="BG588" s="10">
        <v>3.3191042999999998</v>
      </c>
      <c r="BH588" s="10">
        <v>3.3161450000000001</v>
      </c>
      <c r="BI588" s="10">
        <v>3.3137642999999999</v>
      </c>
      <c r="BJ588" s="10">
        <v>3.3119524</v>
      </c>
      <c r="BK588" s="10">
        <v>3.3106992000000002</v>
      </c>
      <c r="BL588" s="10">
        <v>3.3099948000000001</v>
      </c>
      <c r="BM588" s="10">
        <v>3.3098291999999998</v>
      </c>
      <c r="BN588" s="10">
        <v>3.3101924999999999</v>
      </c>
      <c r="BO588" s="10">
        <v>3.3110746</v>
      </c>
      <c r="BP588" s="10">
        <v>3.3124655999999999</v>
      </c>
      <c r="BQ588" s="10">
        <v>3.3143555</v>
      </c>
      <c r="BR588" s="10">
        <v>3.3352501000000001</v>
      </c>
      <c r="BS588" s="10">
        <v>3.3693628000000002</v>
      </c>
      <c r="BU588" s="7">
        <v>4.17</v>
      </c>
      <c r="BV588" s="7">
        <v>3.98</v>
      </c>
      <c r="BW588" s="9">
        <v>82.652500000000003</v>
      </c>
    </row>
    <row r="589" spans="1:75" x14ac:dyDescent="0.25">
      <c r="A589" s="6">
        <f t="shared" si="53"/>
        <v>45377</v>
      </c>
      <c r="B589" s="13">
        <f t="shared" si="54"/>
        <v>3</v>
      </c>
      <c r="C589" s="13">
        <f t="shared" si="55"/>
        <v>2024</v>
      </c>
      <c r="D589">
        <f t="shared" si="56"/>
        <v>202403</v>
      </c>
      <c r="E589">
        <f t="shared" si="57"/>
        <v>1</v>
      </c>
      <c r="F589">
        <f t="shared" si="58"/>
        <v>202401</v>
      </c>
      <c r="G589" t="s">
        <v>787</v>
      </c>
      <c r="H589" s="9">
        <v>5.25</v>
      </c>
      <c r="I589" s="9">
        <v>5.1896000000000004</v>
      </c>
      <c r="J589" s="10">
        <v>5.1827956999999998</v>
      </c>
      <c r="K589" s="10">
        <v>5.1256915999999997</v>
      </c>
      <c r="L589" s="10">
        <v>5.0485734000000004</v>
      </c>
      <c r="M589" s="10">
        <v>4.9552148999999996</v>
      </c>
      <c r="N589" s="10">
        <v>4.8562802999999999</v>
      </c>
      <c r="O589" s="10">
        <v>4.7573952999999998</v>
      </c>
      <c r="P589" s="10">
        <v>4.6609664999999998</v>
      </c>
      <c r="Q589" s="10">
        <v>4.5689511999999999</v>
      </c>
      <c r="R589" s="10">
        <v>4.4830930999999996</v>
      </c>
      <c r="S589" s="10">
        <v>4.4044480000000004</v>
      </c>
      <c r="T589" s="10">
        <v>4.3329633000000003</v>
      </c>
      <c r="U589" s="10">
        <v>4.2681424000000003</v>
      </c>
      <c r="V589" s="10">
        <v>4.2084416999999998</v>
      </c>
      <c r="W589" s="10">
        <v>4.1529746000000003</v>
      </c>
      <c r="X589" s="10">
        <v>4.1011286</v>
      </c>
      <c r="Y589" s="10">
        <v>4.0522894999999997</v>
      </c>
      <c r="Z589" s="10">
        <v>4.0058432000000002</v>
      </c>
      <c r="AA589" s="10">
        <v>3.9611771999999998</v>
      </c>
      <c r="AB589" s="10">
        <v>3.9177730999999998</v>
      </c>
      <c r="AC589" s="10">
        <v>3.8755578000000002</v>
      </c>
      <c r="AD589" s="10">
        <v>3.8345886</v>
      </c>
      <c r="AE589" s="10">
        <v>3.7949212000000001</v>
      </c>
      <c r="AF589" s="10">
        <v>3.7566112999999999</v>
      </c>
      <c r="AG589" s="10">
        <v>3.7197160999999999</v>
      </c>
      <c r="AH589" s="10">
        <v>3.6842831999999999</v>
      </c>
      <c r="AI589" s="10">
        <v>3.6503269</v>
      </c>
      <c r="AJ589" s="10">
        <v>3.6178545999999998</v>
      </c>
      <c r="AK589" s="10">
        <v>3.5868723999999998</v>
      </c>
      <c r="AL589" s="10">
        <v>3.5573864999999998</v>
      </c>
      <c r="AM589" s="10">
        <v>3.5294040999999998</v>
      </c>
      <c r="AN589" s="10">
        <v>3.5029314999999999</v>
      </c>
      <c r="AO589" s="10">
        <v>3.4779749</v>
      </c>
      <c r="AP589" s="10">
        <v>3.4545412999999998</v>
      </c>
      <c r="AQ589" s="10">
        <v>3.4326371</v>
      </c>
      <c r="AR589" s="10">
        <v>3.4122685000000001</v>
      </c>
      <c r="AS589" s="10">
        <v>3.3934427</v>
      </c>
      <c r="AT589" s="10">
        <v>3.3761583000000002</v>
      </c>
      <c r="AU589" s="10">
        <v>3.3603706</v>
      </c>
      <c r="AV589" s="10">
        <v>3.3460188</v>
      </c>
      <c r="AW589" s="10">
        <v>3.3330416999999999</v>
      </c>
      <c r="AX589" s="10">
        <v>3.3213781999999998</v>
      </c>
      <c r="AY589" s="10">
        <v>3.3109674</v>
      </c>
      <c r="AZ589" s="10">
        <v>3.3017482</v>
      </c>
      <c r="BA589" s="10">
        <v>3.2936592999999998</v>
      </c>
      <c r="BB589" s="10">
        <v>3.2866401000000001</v>
      </c>
      <c r="BC589" s="10">
        <v>3.2806293000000002</v>
      </c>
      <c r="BD589" s="10">
        <v>3.2755657999999999</v>
      </c>
      <c r="BE589" s="10">
        <v>3.2713887000000001</v>
      </c>
      <c r="BF589" s="10">
        <v>3.2680400999999999</v>
      </c>
      <c r="BG589" s="10">
        <v>3.2654774</v>
      </c>
      <c r="BH589" s="10">
        <v>3.2636628999999999</v>
      </c>
      <c r="BI589" s="10">
        <v>3.2625589000000002</v>
      </c>
      <c r="BJ589" s="10">
        <v>3.2621273999999998</v>
      </c>
      <c r="BK589" s="10">
        <v>3.2623307000000001</v>
      </c>
      <c r="BL589" s="10">
        <v>3.263131</v>
      </c>
      <c r="BM589" s="10">
        <v>3.2644905999999998</v>
      </c>
      <c r="BN589" s="10">
        <v>3.2663715999999998</v>
      </c>
      <c r="BO589" s="10">
        <v>3.2687362000000002</v>
      </c>
      <c r="BP589" s="10">
        <v>3.2715467</v>
      </c>
      <c r="BQ589" s="10">
        <v>3.2747652999999999</v>
      </c>
      <c r="BR589" s="10">
        <v>3.301304</v>
      </c>
      <c r="BS589" s="10">
        <v>3.3377072999999999</v>
      </c>
      <c r="BU589" s="7">
        <v>4.16</v>
      </c>
      <c r="BV589" s="7">
        <v>3.97</v>
      </c>
      <c r="BW589" s="9">
        <v>82.596000000000004</v>
      </c>
    </row>
    <row r="590" spans="1:75" x14ac:dyDescent="0.25">
      <c r="A590" s="6">
        <f t="shared" ref="A590:A653" si="59">+A585+7</f>
        <v>45378</v>
      </c>
      <c r="B590" s="13">
        <f t="shared" si="54"/>
        <v>3</v>
      </c>
      <c r="C590" s="13">
        <f t="shared" si="55"/>
        <v>2024</v>
      </c>
      <c r="D590">
        <f t="shared" si="56"/>
        <v>202403</v>
      </c>
      <c r="E590">
        <f t="shared" si="57"/>
        <v>1</v>
      </c>
      <c r="F590">
        <f t="shared" si="58"/>
        <v>202401</v>
      </c>
      <c r="G590" t="s">
        <v>788</v>
      </c>
      <c r="H590" s="9">
        <v>5.25</v>
      </c>
      <c r="I590" s="9">
        <v>5.1898999999999997</v>
      </c>
      <c r="J590" s="10">
        <v>5.1814296000000004</v>
      </c>
      <c r="K590" s="10">
        <v>5.1231903000000001</v>
      </c>
      <c r="L590" s="10">
        <v>5.0458183999999999</v>
      </c>
      <c r="M590" s="10">
        <v>4.9524743999999998</v>
      </c>
      <c r="N590" s="10">
        <v>4.8528428000000003</v>
      </c>
      <c r="O590" s="10">
        <v>4.7529013000000004</v>
      </c>
      <c r="P590" s="10">
        <v>4.6551650999999996</v>
      </c>
      <c r="Q590" s="10">
        <v>4.5615344999999996</v>
      </c>
      <c r="R590" s="10">
        <v>4.4736998000000003</v>
      </c>
      <c r="S590" s="10">
        <v>4.3925289999999997</v>
      </c>
      <c r="T590" s="10">
        <v>4.3181355000000003</v>
      </c>
      <c r="U590" s="10">
        <v>4.2499877000000001</v>
      </c>
      <c r="V590" s="10">
        <v>4.1865883000000004</v>
      </c>
      <c r="W590" s="10">
        <v>4.1271481999999997</v>
      </c>
      <c r="X590" s="10">
        <v>4.0711485999999999</v>
      </c>
      <c r="Y590" s="10">
        <v>4.0180689999999997</v>
      </c>
      <c r="Z590" s="10">
        <v>3.9673888000000002</v>
      </c>
      <c r="AA590" s="10">
        <v>3.9185891000000002</v>
      </c>
      <c r="AB590" s="10">
        <v>3.8712282</v>
      </c>
      <c r="AC590" s="10">
        <v>3.8253108999999998</v>
      </c>
      <c r="AD590" s="10">
        <v>3.7810006999999999</v>
      </c>
      <c r="AE590" s="10">
        <v>3.7384596999999999</v>
      </c>
      <c r="AF590" s="10">
        <v>3.6978498000000002</v>
      </c>
      <c r="AG590" s="10">
        <v>3.6593347000000001</v>
      </c>
      <c r="AH590" s="10">
        <v>3.6230381999999999</v>
      </c>
      <c r="AI590" s="10">
        <v>3.5889308</v>
      </c>
      <c r="AJ590" s="10">
        <v>3.5569462000000001</v>
      </c>
      <c r="AK590" s="10">
        <v>3.5270166999999999</v>
      </c>
      <c r="AL590" s="10">
        <v>3.4990747999999998</v>
      </c>
      <c r="AM590" s="10">
        <v>3.4730539999999999</v>
      </c>
      <c r="AN590" s="10">
        <v>3.4488865999999998</v>
      </c>
      <c r="AO590" s="10">
        <v>3.4265051999999998</v>
      </c>
      <c r="AP590" s="10">
        <v>3.4058430999999998</v>
      </c>
      <c r="AQ590" s="10">
        <v>3.3868328000000001</v>
      </c>
      <c r="AR590" s="10">
        <v>3.3694069</v>
      </c>
      <c r="AS590" s="10">
        <v>3.3534985000000002</v>
      </c>
      <c r="AT590" s="10">
        <v>3.3390398999999999</v>
      </c>
      <c r="AU590" s="10">
        <v>3.3259615</v>
      </c>
      <c r="AV590" s="10">
        <v>3.3141935</v>
      </c>
      <c r="AW590" s="10">
        <v>3.3036658000000001</v>
      </c>
      <c r="AX590" s="10">
        <v>3.2943080999999999</v>
      </c>
      <c r="AY590" s="10">
        <v>3.2860507000000001</v>
      </c>
      <c r="AZ590" s="10">
        <v>3.2788233999999998</v>
      </c>
      <c r="BA590" s="10">
        <v>3.2725559999999998</v>
      </c>
      <c r="BB590" s="10">
        <v>3.2671785999999998</v>
      </c>
      <c r="BC590" s="10">
        <v>3.2626211000000001</v>
      </c>
      <c r="BD590" s="10">
        <v>3.2588135</v>
      </c>
      <c r="BE590" s="10">
        <v>3.2556856999999999</v>
      </c>
      <c r="BF590" s="10">
        <v>3.2531747000000002</v>
      </c>
      <c r="BG590" s="10">
        <v>3.2512493999999998</v>
      </c>
      <c r="BH590" s="10">
        <v>3.2498868999999999</v>
      </c>
      <c r="BI590" s="10">
        <v>3.2490648000000002</v>
      </c>
      <c r="BJ590" s="10">
        <v>3.2487602999999998</v>
      </c>
      <c r="BK590" s="10">
        <v>3.2489509000000001</v>
      </c>
      <c r="BL590" s="10">
        <v>3.2496139999999998</v>
      </c>
      <c r="BM590" s="10">
        <v>3.2507267999999998</v>
      </c>
      <c r="BN590" s="10">
        <v>3.2522669</v>
      </c>
      <c r="BO590" s="10">
        <v>3.2542114999999998</v>
      </c>
      <c r="BP590" s="10">
        <v>3.2565379999999999</v>
      </c>
      <c r="BQ590" s="10">
        <v>3.2592238999999998</v>
      </c>
      <c r="BR590" s="10">
        <v>3.2820238000000002</v>
      </c>
      <c r="BS590" s="10">
        <v>3.3145215000000001</v>
      </c>
      <c r="BU590" s="7">
        <v>4.1500000000000004</v>
      </c>
      <c r="BV590" s="7">
        <v>3.93</v>
      </c>
      <c r="BW590" s="9">
        <v>82.668899999999994</v>
      </c>
    </row>
    <row r="591" spans="1:75" x14ac:dyDescent="0.25">
      <c r="A591" s="6">
        <f t="shared" si="59"/>
        <v>45379</v>
      </c>
      <c r="B591" s="13">
        <f t="shared" si="54"/>
        <v>3</v>
      </c>
      <c r="C591" s="13">
        <f t="shared" si="55"/>
        <v>2024</v>
      </c>
      <c r="D591">
        <f t="shared" si="56"/>
        <v>202403</v>
      </c>
      <c r="E591">
        <f t="shared" si="57"/>
        <v>1</v>
      </c>
      <c r="F591">
        <f t="shared" si="58"/>
        <v>202401</v>
      </c>
      <c r="G591" t="s">
        <v>789</v>
      </c>
      <c r="H591" s="9">
        <v>5.25</v>
      </c>
      <c r="I591" s="9">
        <v>5.1910999999999996</v>
      </c>
      <c r="J591" s="10">
        <v>5.1827949000000002</v>
      </c>
      <c r="K591" s="10">
        <v>5.1285197</v>
      </c>
      <c r="L591" s="10">
        <v>5.0548387000000004</v>
      </c>
      <c r="M591" s="10">
        <v>4.9650426999999997</v>
      </c>
      <c r="N591" s="10">
        <v>4.8685885999999998</v>
      </c>
      <c r="O591" s="10">
        <v>4.7708037000000001</v>
      </c>
      <c r="P591" s="10">
        <v>4.6732193999999998</v>
      </c>
      <c r="Q591" s="10">
        <v>4.5769532000000002</v>
      </c>
      <c r="R591" s="10">
        <v>4.4834965000000002</v>
      </c>
      <c r="S591" s="10">
        <v>4.3944428000000002</v>
      </c>
      <c r="T591" s="10">
        <v>4.3108747000000003</v>
      </c>
      <c r="U591" s="10">
        <v>4.2335020999999999</v>
      </c>
      <c r="V591" s="10">
        <v>4.1628109999999996</v>
      </c>
      <c r="W591" s="10">
        <v>4.0982377999999997</v>
      </c>
      <c r="X591" s="10">
        <v>4.0389508000000003</v>
      </c>
      <c r="Y591" s="10">
        <v>3.9841158000000001</v>
      </c>
      <c r="Z591" s="10">
        <v>3.9328986000000001</v>
      </c>
      <c r="AA591" s="10">
        <v>3.8844672</v>
      </c>
      <c r="AB591" s="10">
        <v>3.8381017000000002</v>
      </c>
      <c r="AC591" s="10">
        <v>3.7936676999999999</v>
      </c>
      <c r="AD591" s="10">
        <v>3.7512192999999998</v>
      </c>
      <c r="AE591" s="10">
        <v>3.7108091000000001</v>
      </c>
      <c r="AF591" s="10">
        <v>3.6724898000000001</v>
      </c>
      <c r="AG591" s="10">
        <v>3.6363153000000001</v>
      </c>
      <c r="AH591" s="10">
        <v>3.6023211000000002</v>
      </c>
      <c r="AI591" s="10">
        <v>3.5704587000000001</v>
      </c>
      <c r="AJ591" s="10">
        <v>3.5406553000000001</v>
      </c>
      <c r="AK591" s="10">
        <v>3.5128368999999999</v>
      </c>
      <c r="AL591" s="10">
        <v>3.4869295999999999</v>
      </c>
      <c r="AM591" s="10">
        <v>3.4628602000000002</v>
      </c>
      <c r="AN591" s="10">
        <v>3.4405549999999998</v>
      </c>
      <c r="AO591" s="10">
        <v>3.4199399000000001</v>
      </c>
      <c r="AP591" s="10">
        <v>3.4009420000000001</v>
      </c>
      <c r="AQ591" s="10">
        <v>3.3834871999999998</v>
      </c>
      <c r="AR591" s="10">
        <v>3.3675017999999999</v>
      </c>
      <c r="AS591" s="10">
        <v>3.3529125</v>
      </c>
      <c r="AT591" s="10">
        <v>3.3396465000000002</v>
      </c>
      <c r="AU591" s="10">
        <v>3.3276360999999999</v>
      </c>
      <c r="AV591" s="10">
        <v>3.3168153999999999</v>
      </c>
      <c r="AW591" s="10">
        <v>3.307118</v>
      </c>
      <c r="AX591" s="10">
        <v>3.2984779</v>
      </c>
      <c r="AY591" s="10">
        <v>3.2908290999999998</v>
      </c>
      <c r="AZ591" s="10">
        <v>3.2841051999999999</v>
      </c>
      <c r="BA591" s="10">
        <v>3.2782401999999999</v>
      </c>
      <c r="BB591" s="10">
        <v>3.2731680000000001</v>
      </c>
      <c r="BC591" s="10">
        <v>3.2688225000000002</v>
      </c>
      <c r="BD591" s="10">
        <v>3.2651374</v>
      </c>
      <c r="BE591" s="10">
        <v>3.2620467999999998</v>
      </c>
      <c r="BF591" s="10">
        <v>3.2594922</v>
      </c>
      <c r="BG591" s="10">
        <v>3.2574502999999999</v>
      </c>
      <c r="BH591" s="10">
        <v>3.2559073000000001</v>
      </c>
      <c r="BI591" s="10">
        <v>3.2548493000000001</v>
      </c>
      <c r="BJ591" s="10">
        <v>3.2542624</v>
      </c>
      <c r="BK591" s="10">
        <v>3.2541327999999998</v>
      </c>
      <c r="BL591" s="10">
        <v>3.2544466999999999</v>
      </c>
      <c r="BM591" s="10">
        <v>3.2551903000000002</v>
      </c>
      <c r="BN591" s="10">
        <v>3.2563496000000001</v>
      </c>
      <c r="BO591" s="10">
        <v>3.2579107999999999</v>
      </c>
      <c r="BP591" s="10">
        <v>3.2598601999999999</v>
      </c>
      <c r="BQ591" s="10">
        <v>3.2621837999999999</v>
      </c>
      <c r="BR591" s="10">
        <v>3.2833437999999999</v>
      </c>
      <c r="BS591" s="10">
        <v>3.3153028999999998</v>
      </c>
      <c r="BU591" s="7">
        <v>4.16</v>
      </c>
      <c r="BV591" s="7">
        <v>3.95</v>
      </c>
      <c r="BW591" s="9">
        <v>82.755399999999995</v>
      </c>
    </row>
    <row r="592" spans="1:75" x14ac:dyDescent="0.25">
      <c r="A592" s="6">
        <f t="shared" si="59"/>
        <v>45380</v>
      </c>
      <c r="B592" s="13">
        <f t="shared" si="54"/>
        <v>3</v>
      </c>
      <c r="C592" s="13">
        <f t="shared" si="55"/>
        <v>2024</v>
      </c>
      <c r="D592">
        <f t="shared" si="56"/>
        <v>202403</v>
      </c>
      <c r="E592">
        <f t="shared" si="57"/>
        <v>1</v>
      </c>
      <c r="F592">
        <f t="shared" si="58"/>
        <v>202401</v>
      </c>
      <c r="G592" t="s">
        <v>790</v>
      </c>
      <c r="H592" s="9">
        <v>5.25</v>
      </c>
      <c r="I592" s="9" t="e">
        <v>#N/A</v>
      </c>
      <c r="J592" s="10" t="e">
        <v>#N/A</v>
      </c>
      <c r="K592" s="10" t="e">
        <v>#N/A</v>
      </c>
      <c r="L592" s="10" t="e">
        <v>#N/A</v>
      </c>
      <c r="M592" s="10" t="e">
        <v>#N/A</v>
      </c>
      <c r="N592" s="10" t="e">
        <v>#N/A</v>
      </c>
      <c r="O592" s="10" t="e">
        <v>#N/A</v>
      </c>
      <c r="P592" s="10" t="e">
        <v>#N/A</v>
      </c>
      <c r="Q592" s="10" t="e">
        <v>#N/A</v>
      </c>
      <c r="R592" s="10" t="e">
        <v>#N/A</v>
      </c>
      <c r="S592" s="10" t="e">
        <v>#N/A</v>
      </c>
      <c r="T592" s="10" t="e">
        <v>#N/A</v>
      </c>
      <c r="U592" s="10" t="e">
        <v>#N/A</v>
      </c>
      <c r="V592" s="10" t="e">
        <v>#N/A</v>
      </c>
      <c r="W592" s="10" t="e">
        <v>#N/A</v>
      </c>
      <c r="X592" s="10" t="e">
        <v>#N/A</v>
      </c>
      <c r="Y592" s="10" t="e">
        <v>#N/A</v>
      </c>
      <c r="Z592" s="10" t="e">
        <v>#N/A</v>
      </c>
      <c r="AA592" s="10" t="e">
        <v>#N/A</v>
      </c>
      <c r="AB592" s="10" t="e">
        <v>#N/A</v>
      </c>
      <c r="AC592" s="10" t="e">
        <v>#N/A</v>
      </c>
      <c r="AD592" s="10" t="e">
        <v>#N/A</v>
      </c>
      <c r="AE592" s="10" t="e">
        <v>#N/A</v>
      </c>
      <c r="AF592" s="10" t="e">
        <v>#N/A</v>
      </c>
      <c r="AG592" s="10" t="e">
        <v>#N/A</v>
      </c>
      <c r="AH592" s="10" t="e">
        <v>#N/A</v>
      </c>
      <c r="AI592" s="10" t="e">
        <v>#N/A</v>
      </c>
      <c r="AJ592" s="10" t="e">
        <v>#N/A</v>
      </c>
      <c r="AK592" s="10" t="e">
        <v>#N/A</v>
      </c>
      <c r="AL592" s="10" t="e">
        <v>#N/A</v>
      </c>
      <c r="AM592" s="10" t="e">
        <v>#N/A</v>
      </c>
      <c r="AN592" s="10" t="e">
        <v>#N/A</v>
      </c>
      <c r="AO592" s="10" t="e">
        <v>#N/A</v>
      </c>
      <c r="AP592" s="10" t="e">
        <v>#N/A</v>
      </c>
      <c r="AQ592" s="10" t="e">
        <v>#N/A</v>
      </c>
      <c r="AR592" s="10" t="e">
        <v>#N/A</v>
      </c>
      <c r="AS592" s="10" t="e">
        <v>#N/A</v>
      </c>
      <c r="AT592" s="10" t="e">
        <v>#N/A</v>
      </c>
      <c r="AU592" s="10" t="e">
        <v>#N/A</v>
      </c>
      <c r="AV592" s="10" t="e">
        <v>#N/A</v>
      </c>
      <c r="AW592" s="10" t="e">
        <v>#N/A</v>
      </c>
      <c r="AX592" s="10" t="e">
        <v>#N/A</v>
      </c>
      <c r="AY592" s="10" t="e">
        <v>#N/A</v>
      </c>
      <c r="AZ592" s="10" t="e">
        <v>#N/A</v>
      </c>
      <c r="BA592" s="10" t="e">
        <v>#N/A</v>
      </c>
      <c r="BB592" s="10" t="e">
        <v>#N/A</v>
      </c>
      <c r="BC592" s="10" t="e">
        <v>#N/A</v>
      </c>
      <c r="BD592" s="10" t="e">
        <v>#N/A</v>
      </c>
      <c r="BE592" s="10" t="e">
        <v>#N/A</v>
      </c>
      <c r="BF592" s="10" t="e">
        <v>#N/A</v>
      </c>
      <c r="BG592" s="10" t="e">
        <v>#N/A</v>
      </c>
      <c r="BH592" s="10" t="e">
        <v>#N/A</v>
      </c>
      <c r="BI592" s="10" t="e">
        <v>#N/A</v>
      </c>
      <c r="BJ592" s="10" t="e">
        <v>#N/A</v>
      </c>
      <c r="BK592" s="10" t="e">
        <v>#N/A</v>
      </c>
      <c r="BL592" s="10" t="e">
        <v>#N/A</v>
      </c>
      <c r="BM592" s="10" t="e">
        <v>#N/A</v>
      </c>
      <c r="BN592" s="10" t="e">
        <v>#N/A</v>
      </c>
      <c r="BO592" s="10" t="e">
        <v>#N/A</v>
      </c>
      <c r="BP592" s="10" t="e">
        <v>#N/A</v>
      </c>
      <c r="BQ592" s="10" t="e">
        <v>#N/A</v>
      </c>
      <c r="BR592" s="10" t="e">
        <v>#N/A</v>
      </c>
      <c r="BS592" s="10" t="e">
        <v>#N/A</v>
      </c>
      <c r="BU592" s="7">
        <v>4.17</v>
      </c>
      <c r="BV592" s="7">
        <v>3.95</v>
      </c>
      <c r="BW592" s="9" t="e">
        <v>#N/A</v>
      </c>
    </row>
    <row r="593" spans="1:75" x14ac:dyDescent="0.25">
      <c r="A593" s="6">
        <f t="shared" si="59"/>
        <v>45383</v>
      </c>
      <c r="B593" s="13">
        <f t="shared" si="54"/>
        <v>4</v>
      </c>
      <c r="C593" s="13">
        <f t="shared" si="55"/>
        <v>2024</v>
      </c>
      <c r="D593">
        <f t="shared" si="56"/>
        <v>202404</v>
      </c>
      <c r="E593">
        <f t="shared" si="57"/>
        <v>2</v>
      </c>
      <c r="F593">
        <f t="shared" si="58"/>
        <v>202402</v>
      </c>
      <c r="G593" t="s">
        <v>791</v>
      </c>
      <c r="H593" s="9">
        <v>5.25</v>
      </c>
      <c r="I593" s="9" t="e">
        <v>#N/A</v>
      </c>
      <c r="J593" s="10" t="e">
        <v>#N/A</v>
      </c>
      <c r="K593" s="10" t="e">
        <v>#N/A</v>
      </c>
      <c r="L593" s="10" t="e">
        <v>#N/A</v>
      </c>
      <c r="M593" s="10" t="e">
        <v>#N/A</v>
      </c>
      <c r="N593" s="10" t="e">
        <v>#N/A</v>
      </c>
      <c r="O593" s="10" t="e">
        <v>#N/A</v>
      </c>
      <c r="P593" s="10" t="e">
        <v>#N/A</v>
      </c>
      <c r="Q593" s="10" t="e">
        <v>#N/A</v>
      </c>
      <c r="R593" s="10" t="e">
        <v>#N/A</v>
      </c>
      <c r="S593" s="10" t="e">
        <v>#N/A</v>
      </c>
      <c r="T593" s="10" t="e">
        <v>#N/A</v>
      </c>
      <c r="U593" s="10" t="e">
        <v>#N/A</v>
      </c>
      <c r="V593" s="10" t="e">
        <v>#N/A</v>
      </c>
      <c r="W593" s="10" t="e">
        <v>#N/A</v>
      </c>
      <c r="X593" s="10" t="e">
        <v>#N/A</v>
      </c>
      <c r="Y593" s="10" t="e">
        <v>#N/A</v>
      </c>
      <c r="Z593" s="10" t="e">
        <v>#N/A</v>
      </c>
      <c r="AA593" s="10" t="e">
        <v>#N/A</v>
      </c>
      <c r="AB593" s="10" t="e">
        <v>#N/A</v>
      </c>
      <c r="AC593" s="10" t="e">
        <v>#N/A</v>
      </c>
      <c r="AD593" s="10" t="e">
        <v>#N/A</v>
      </c>
      <c r="AE593" s="10" t="e">
        <v>#N/A</v>
      </c>
      <c r="AF593" s="10" t="e">
        <v>#N/A</v>
      </c>
      <c r="AG593" s="10" t="e">
        <v>#N/A</v>
      </c>
      <c r="AH593" s="10" t="e">
        <v>#N/A</v>
      </c>
      <c r="AI593" s="10" t="e">
        <v>#N/A</v>
      </c>
      <c r="AJ593" s="10" t="e">
        <v>#N/A</v>
      </c>
      <c r="AK593" s="10" t="e">
        <v>#N/A</v>
      </c>
      <c r="AL593" s="10" t="e">
        <v>#N/A</v>
      </c>
      <c r="AM593" s="10" t="e">
        <v>#N/A</v>
      </c>
      <c r="AN593" s="10" t="e">
        <v>#N/A</v>
      </c>
      <c r="AO593" s="10" t="e">
        <v>#N/A</v>
      </c>
      <c r="AP593" s="10" t="e">
        <v>#N/A</v>
      </c>
      <c r="AQ593" s="10" t="e">
        <v>#N/A</v>
      </c>
      <c r="AR593" s="10" t="e">
        <v>#N/A</v>
      </c>
      <c r="AS593" s="10" t="e">
        <v>#N/A</v>
      </c>
      <c r="AT593" s="10" t="e">
        <v>#N/A</v>
      </c>
      <c r="AU593" s="10" t="e">
        <v>#N/A</v>
      </c>
      <c r="AV593" s="10" t="e">
        <v>#N/A</v>
      </c>
      <c r="AW593" s="10" t="e">
        <v>#N/A</v>
      </c>
      <c r="AX593" s="10" t="e">
        <v>#N/A</v>
      </c>
      <c r="AY593" s="10" t="e">
        <v>#N/A</v>
      </c>
      <c r="AZ593" s="10" t="e">
        <v>#N/A</v>
      </c>
      <c r="BA593" s="10" t="e">
        <v>#N/A</v>
      </c>
      <c r="BB593" s="10" t="e">
        <v>#N/A</v>
      </c>
      <c r="BC593" s="10" t="e">
        <v>#N/A</v>
      </c>
      <c r="BD593" s="10" t="e">
        <v>#N/A</v>
      </c>
      <c r="BE593" s="10" t="e">
        <v>#N/A</v>
      </c>
      <c r="BF593" s="10" t="e">
        <v>#N/A</v>
      </c>
      <c r="BG593" s="10" t="e">
        <v>#N/A</v>
      </c>
      <c r="BH593" s="10" t="e">
        <v>#N/A</v>
      </c>
      <c r="BI593" s="10" t="e">
        <v>#N/A</v>
      </c>
      <c r="BJ593" s="10" t="e">
        <v>#N/A</v>
      </c>
      <c r="BK593" s="10" t="e">
        <v>#N/A</v>
      </c>
      <c r="BL593" s="10" t="e">
        <v>#N/A</v>
      </c>
      <c r="BM593" s="10" t="e">
        <v>#N/A</v>
      </c>
      <c r="BN593" s="10" t="e">
        <v>#N/A</v>
      </c>
      <c r="BO593" s="10" t="e">
        <v>#N/A</v>
      </c>
      <c r="BP593" s="10" t="e">
        <v>#N/A</v>
      </c>
      <c r="BQ593" s="10" t="e">
        <v>#N/A</v>
      </c>
      <c r="BR593" s="10" t="e">
        <v>#N/A</v>
      </c>
      <c r="BS593" s="10" t="e">
        <v>#N/A</v>
      </c>
      <c r="BU593" s="7" t="e">
        <v>#N/A</v>
      </c>
      <c r="BV593" s="7" t="e">
        <v>#N/A</v>
      </c>
      <c r="BW593" s="9" t="e">
        <v>#N/A</v>
      </c>
    </row>
    <row r="594" spans="1:75" x14ac:dyDescent="0.25">
      <c r="A594" s="6">
        <f t="shared" si="59"/>
        <v>45384</v>
      </c>
      <c r="B594" s="13">
        <f t="shared" si="54"/>
        <v>4</v>
      </c>
      <c r="C594" s="13">
        <f t="shared" si="55"/>
        <v>2024</v>
      </c>
      <c r="D594">
        <f t="shared" si="56"/>
        <v>202404</v>
      </c>
      <c r="E594">
        <f t="shared" si="57"/>
        <v>2</v>
      </c>
      <c r="F594">
        <f t="shared" si="58"/>
        <v>202402</v>
      </c>
      <c r="G594" t="s">
        <v>792</v>
      </c>
      <c r="H594" s="9">
        <v>5.25</v>
      </c>
      <c r="I594" s="9">
        <v>5.1955999999999998</v>
      </c>
      <c r="J594" s="10">
        <v>5.1807489000000002</v>
      </c>
      <c r="K594" s="10">
        <v>5.1199561999999998</v>
      </c>
      <c r="L594" s="10">
        <v>5.0432068000000001</v>
      </c>
      <c r="M594" s="10">
        <v>4.9538124000000003</v>
      </c>
      <c r="N594" s="10">
        <v>4.8601742000000003</v>
      </c>
      <c r="O594" s="10">
        <v>4.7672806999999997</v>
      </c>
      <c r="P594" s="10">
        <v>4.6768675000000002</v>
      </c>
      <c r="Q594" s="10">
        <v>4.5904147000000002</v>
      </c>
      <c r="R594" s="10">
        <v>4.5095263000000001</v>
      </c>
      <c r="S594" s="10">
        <v>4.4349691</v>
      </c>
      <c r="T594" s="10">
        <v>4.3666137999999997</v>
      </c>
      <c r="U594" s="10">
        <v>4.3040203000000004</v>
      </c>
      <c r="V594" s="10">
        <v>4.2453969999999996</v>
      </c>
      <c r="W594" s="10">
        <v>4.1899962999999998</v>
      </c>
      <c r="X594" s="10">
        <v>4.1374545999999999</v>
      </c>
      <c r="Y594" s="10">
        <v>4.0874062000000002</v>
      </c>
      <c r="Z594" s="10">
        <v>4.0394855999999999</v>
      </c>
      <c r="AA594" s="10">
        <v>3.9933290000000001</v>
      </c>
      <c r="AB594" s="10">
        <v>3.9486534</v>
      </c>
      <c r="AC594" s="10">
        <v>3.9055228</v>
      </c>
      <c r="AD594" s="10">
        <v>3.8640941</v>
      </c>
      <c r="AE594" s="10">
        <v>3.8245225</v>
      </c>
      <c r="AF594" s="10">
        <v>3.7869632000000002</v>
      </c>
      <c r="AG594" s="10">
        <v>3.751573</v>
      </c>
      <c r="AH594" s="10">
        <v>3.7184637999999999</v>
      </c>
      <c r="AI594" s="10">
        <v>3.6875746</v>
      </c>
      <c r="AJ594" s="10">
        <v>3.6588023000000001</v>
      </c>
      <c r="AK594" s="10">
        <v>3.6320424999999998</v>
      </c>
      <c r="AL594" s="10">
        <v>3.6071911000000001</v>
      </c>
      <c r="AM594" s="10">
        <v>3.5841446000000001</v>
      </c>
      <c r="AN594" s="10">
        <v>3.5627989000000002</v>
      </c>
      <c r="AO594" s="10">
        <v>3.5430499000000002</v>
      </c>
      <c r="AP594" s="10">
        <v>3.5247939000000001</v>
      </c>
      <c r="AQ594" s="10">
        <v>3.507927</v>
      </c>
      <c r="AR594" s="10">
        <v>3.4923449</v>
      </c>
      <c r="AS594" s="10">
        <v>3.4779442</v>
      </c>
      <c r="AT594" s="10">
        <v>3.4646324000000002</v>
      </c>
      <c r="AU594" s="10">
        <v>3.4523638999999999</v>
      </c>
      <c r="AV594" s="10">
        <v>3.4411054000000001</v>
      </c>
      <c r="AW594" s="10">
        <v>3.4308230000000002</v>
      </c>
      <c r="AX594" s="10">
        <v>3.4214829</v>
      </c>
      <c r="AY594" s="10">
        <v>3.4130514999999999</v>
      </c>
      <c r="AZ594" s="10">
        <v>3.4054951</v>
      </c>
      <c r="BA594" s="10">
        <v>3.3987797999999998</v>
      </c>
      <c r="BB594" s="10">
        <v>3.3928721999999998</v>
      </c>
      <c r="BC594" s="10">
        <v>3.3877383999999999</v>
      </c>
      <c r="BD594" s="10">
        <v>3.3833446</v>
      </c>
      <c r="BE594" s="10">
        <v>3.3796572999999999</v>
      </c>
      <c r="BF594" s="10">
        <v>3.3766452</v>
      </c>
      <c r="BG594" s="10">
        <v>3.3742885999999999</v>
      </c>
      <c r="BH594" s="10">
        <v>3.3725717</v>
      </c>
      <c r="BI594" s="10">
        <v>3.3714786000000001</v>
      </c>
      <c r="BJ594" s="10">
        <v>3.3709932999999999</v>
      </c>
      <c r="BK594" s="10">
        <v>3.3710998999999999</v>
      </c>
      <c r="BL594" s="10">
        <v>3.3717825000000001</v>
      </c>
      <c r="BM594" s="10">
        <v>3.3730251999999998</v>
      </c>
      <c r="BN594" s="10">
        <v>3.3748121000000002</v>
      </c>
      <c r="BO594" s="10">
        <v>3.3771271</v>
      </c>
      <c r="BP594" s="10">
        <v>3.3799545000000002</v>
      </c>
      <c r="BQ594" s="10">
        <v>3.3832781999999999</v>
      </c>
      <c r="BR594" s="10">
        <v>3.4124666000000001</v>
      </c>
      <c r="BS594" s="10">
        <v>3.4537561000000001</v>
      </c>
      <c r="BU594" s="7">
        <v>4.25</v>
      </c>
      <c r="BV594" s="7">
        <v>4.08</v>
      </c>
      <c r="BW594" s="9">
        <v>82.463700000000003</v>
      </c>
    </row>
    <row r="595" spans="1:75" x14ac:dyDescent="0.25">
      <c r="A595" s="6">
        <f t="shared" si="59"/>
        <v>45385</v>
      </c>
      <c r="B595" s="13">
        <f t="shared" si="54"/>
        <v>4</v>
      </c>
      <c r="C595" s="13">
        <f t="shared" si="55"/>
        <v>2024</v>
      </c>
      <c r="D595">
        <f t="shared" si="56"/>
        <v>202404</v>
      </c>
      <c r="E595">
        <f t="shared" si="57"/>
        <v>2</v>
      </c>
      <c r="F595">
        <f t="shared" si="58"/>
        <v>202402</v>
      </c>
      <c r="G595" t="s">
        <v>793</v>
      </c>
      <c r="H595" s="9">
        <v>5.25</v>
      </c>
      <c r="I595" s="9">
        <v>5.1951999999999998</v>
      </c>
      <c r="J595" s="10">
        <v>5.1797674000000002</v>
      </c>
      <c r="K595" s="10">
        <v>5.1131197000000004</v>
      </c>
      <c r="L595" s="10">
        <v>5.0320872000000003</v>
      </c>
      <c r="M595" s="10">
        <v>4.9409016000000001</v>
      </c>
      <c r="N595" s="10">
        <v>4.8471023999999998</v>
      </c>
      <c r="O595" s="10">
        <v>4.7546426999999998</v>
      </c>
      <c r="P595" s="10">
        <v>4.6646348</v>
      </c>
      <c r="Q595" s="10">
        <v>4.5782068000000002</v>
      </c>
      <c r="R595" s="10">
        <v>4.4967781999999996</v>
      </c>
      <c r="S595" s="10">
        <v>4.4211358000000001</v>
      </c>
      <c r="T595" s="10">
        <v>4.3513992000000004</v>
      </c>
      <c r="U595" s="10">
        <v>4.2873410999999999</v>
      </c>
      <c r="V595" s="10">
        <v>4.2279175999999996</v>
      </c>
      <c r="W595" s="10">
        <v>4.1723537000000004</v>
      </c>
      <c r="X595" s="10">
        <v>4.1200009</v>
      </c>
      <c r="Y595" s="10">
        <v>4.0702083</v>
      </c>
      <c r="Z595" s="10">
        <v>4.0223253999999997</v>
      </c>
      <c r="AA595" s="10">
        <v>3.9757031</v>
      </c>
      <c r="AB595" s="10">
        <v>3.9298373999999998</v>
      </c>
      <c r="AC595" s="10">
        <v>3.8848387</v>
      </c>
      <c r="AD595" s="10">
        <v>3.8409808999999999</v>
      </c>
      <c r="AE595" s="10">
        <v>3.7985361000000002</v>
      </c>
      <c r="AF595" s="10">
        <v>3.7577764</v>
      </c>
      <c r="AG595" s="10">
        <v>3.7189755999999998</v>
      </c>
      <c r="AH595" s="10">
        <v>3.6823697000000002</v>
      </c>
      <c r="AI595" s="10">
        <v>3.6479792</v>
      </c>
      <c r="AJ595" s="10">
        <v>3.6157465000000002</v>
      </c>
      <c r="AK595" s="10">
        <v>3.5856124999999999</v>
      </c>
      <c r="AL595" s="10">
        <v>3.5575182999999999</v>
      </c>
      <c r="AM595" s="10">
        <v>3.531406</v>
      </c>
      <c r="AN595" s="10">
        <v>3.5072165000000002</v>
      </c>
      <c r="AO595" s="10">
        <v>3.4848911</v>
      </c>
      <c r="AP595" s="10">
        <v>3.4643714999999999</v>
      </c>
      <c r="AQ595" s="10">
        <v>3.4455990000000001</v>
      </c>
      <c r="AR595" s="10">
        <v>3.4285146000000002</v>
      </c>
      <c r="AS595" s="10">
        <v>3.4130603000000002</v>
      </c>
      <c r="AT595" s="10">
        <v>3.3991739999999999</v>
      </c>
      <c r="AU595" s="10">
        <v>3.3867786999999998</v>
      </c>
      <c r="AV595" s="10">
        <v>3.3757929999999998</v>
      </c>
      <c r="AW595" s="10">
        <v>3.3661352999999998</v>
      </c>
      <c r="AX595" s="10">
        <v>3.3577238999999999</v>
      </c>
      <c r="AY595" s="10">
        <v>3.3504775000000002</v>
      </c>
      <c r="AZ595" s="10">
        <v>3.3443143000000002</v>
      </c>
      <c r="BA595" s="10">
        <v>3.3391527999999999</v>
      </c>
      <c r="BB595" s="10">
        <v>3.3349114000000002</v>
      </c>
      <c r="BC595" s="10">
        <v>3.3315087000000001</v>
      </c>
      <c r="BD595" s="10">
        <v>3.3288628</v>
      </c>
      <c r="BE595" s="10">
        <v>3.3268925</v>
      </c>
      <c r="BF595" s="10">
        <v>3.3255251000000001</v>
      </c>
      <c r="BG595" s="10">
        <v>3.3247279999999999</v>
      </c>
      <c r="BH595" s="10">
        <v>3.3244799</v>
      </c>
      <c r="BI595" s="10">
        <v>3.3247591999999999</v>
      </c>
      <c r="BJ595" s="10">
        <v>3.3255442999999998</v>
      </c>
      <c r="BK595" s="10">
        <v>3.3268138999999999</v>
      </c>
      <c r="BL595" s="10">
        <v>3.3285463000000002</v>
      </c>
      <c r="BM595" s="10">
        <v>3.3307202</v>
      </c>
      <c r="BN595" s="10">
        <v>3.3333138999999998</v>
      </c>
      <c r="BO595" s="10">
        <v>3.3363060999999998</v>
      </c>
      <c r="BP595" s="10">
        <v>3.3396751</v>
      </c>
      <c r="BQ595" s="10">
        <v>3.3433996000000001</v>
      </c>
      <c r="BR595" s="10">
        <v>3.3723497999999998</v>
      </c>
      <c r="BS595" s="10">
        <v>3.4107634999999998</v>
      </c>
      <c r="BU595" s="7">
        <v>4.2</v>
      </c>
      <c r="BV595" s="7">
        <v>4.04</v>
      </c>
      <c r="BW595" s="9">
        <v>82.572400000000002</v>
      </c>
    </row>
    <row r="596" spans="1:75" x14ac:dyDescent="0.25">
      <c r="A596" s="6">
        <f t="shared" si="59"/>
        <v>45386</v>
      </c>
      <c r="B596" s="13">
        <f t="shared" si="54"/>
        <v>4</v>
      </c>
      <c r="C596" s="13">
        <f t="shared" si="55"/>
        <v>2024</v>
      </c>
      <c r="D596">
        <f t="shared" si="56"/>
        <v>202404</v>
      </c>
      <c r="E596">
        <f t="shared" si="57"/>
        <v>2</v>
      </c>
      <c r="F596">
        <f t="shared" si="58"/>
        <v>202402</v>
      </c>
      <c r="G596" t="s">
        <v>794</v>
      </c>
      <c r="H596" s="9">
        <v>5.25</v>
      </c>
      <c r="I596" s="9">
        <v>5.1948999999999996</v>
      </c>
      <c r="J596" s="10">
        <v>5.1769496000000004</v>
      </c>
      <c r="K596" s="10">
        <v>5.1016997000000002</v>
      </c>
      <c r="L596" s="10">
        <v>5.0170889000000001</v>
      </c>
      <c r="M596" s="10">
        <v>4.9251208000000002</v>
      </c>
      <c r="N596" s="10">
        <v>4.8317243000000003</v>
      </c>
      <c r="O596" s="10">
        <v>4.7403009999999997</v>
      </c>
      <c r="P596" s="10">
        <v>4.6518337000000001</v>
      </c>
      <c r="Q596" s="10">
        <v>4.5674583000000002</v>
      </c>
      <c r="R596" s="10">
        <v>4.4884180000000002</v>
      </c>
      <c r="S596" s="10">
        <v>4.415362</v>
      </c>
      <c r="T596" s="10">
        <v>4.3478637000000004</v>
      </c>
      <c r="U596" s="10">
        <v>4.2852139999999999</v>
      </c>
      <c r="V596" s="10">
        <v>4.2255322</v>
      </c>
      <c r="W596" s="10">
        <v>4.1681248000000002</v>
      </c>
      <c r="X596" s="10">
        <v>4.1126996</v>
      </c>
      <c r="Y596" s="10">
        <v>4.0589627000000004</v>
      </c>
      <c r="Z596" s="10">
        <v>4.0066198999999996</v>
      </c>
      <c r="AA596" s="10">
        <v>3.9553791999999999</v>
      </c>
      <c r="AB596" s="10">
        <v>3.9050367000000001</v>
      </c>
      <c r="AC596" s="10">
        <v>3.8558507999999998</v>
      </c>
      <c r="AD596" s="10">
        <v>3.8082292</v>
      </c>
      <c r="AE596" s="10">
        <v>3.762578</v>
      </c>
      <c r="AF596" s="10">
        <v>3.7193033</v>
      </c>
      <c r="AG596" s="10">
        <v>3.6788126000000001</v>
      </c>
      <c r="AH596" s="10">
        <v>3.6414431999999999</v>
      </c>
      <c r="AI596" s="10">
        <v>3.6071602999999999</v>
      </c>
      <c r="AJ596" s="10">
        <v>3.5758060999999999</v>
      </c>
      <c r="AK596" s="10">
        <v>3.5472212000000001</v>
      </c>
      <c r="AL596" s="10">
        <v>3.5212463999999999</v>
      </c>
      <c r="AM596" s="10">
        <v>3.4977233999999999</v>
      </c>
      <c r="AN596" s="10">
        <v>3.4764930999999999</v>
      </c>
      <c r="AO596" s="10">
        <v>3.4573963000000001</v>
      </c>
      <c r="AP596" s="10">
        <v>3.4402745000000001</v>
      </c>
      <c r="AQ596" s="10">
        <v>3.4249687999999998</v>
      </c>
      <c r="AR596" s="10">
        <v>3.4113199000000001</v>
      </c>
      <c r="AS596" s="10">
        <v>3.3991693999999999</v>
      </c>
      <c r="AT596" s="10">
        <v>3.3883705000000002</v>
      </c>
      <c r="AU596" s="10">
        <v>3.3788307999999998</v>
      </c>
      <c r="AV596" s="10">
        <v>3.3704733999999998</v>
      </c>
      <c r="AW596" s="10">
        <v>3.3632209</v>
      </c>
      <c r="AX596" s="10">
        <v>3.3569960000000001</v>
      </c>
      <c r="AY596" s="10">
        <v>3.3517215999999999</v>
      </c>
      <c r="AZ596" s="10">
        <v>3.3473204000000001</v>
      </c>
      <c r="BA596" s="10">
        <v>3.3437150999999998</v>
      </c>
      <c r="BB596" s="10">
        <v>3.3408285000000002</v>
      </c>
      <c r="BC596" s="10">
        <v>3.3385834999999999</v>
      </c>
      <c r="BD596" s="10">
        <v>3.3369027</v>
      </c>
      <c r="BE596" s="10">
        <v>3.3357089000000002</v>
      </c>
      <c r="BF596" s="10">
        <v>3.3349356000000001</v>
      </c>
      <c r="BG596" s="10">
        <v>3.3345642999999998</v>
      </c>
      <c r="BH596" s="10">
        <v>3.3345893000000002</v>
      </c>
      <c r="BI596" s="10">
        <v>3.3350051000000001</v>
      </c>
      <c r="BJ596" s="10">
        <v>3.3358061999999999</v>
      </c>
      <c r="BK596" s="10">
        <v>3.3369868999999999</v>
      </c>
      <c r="BL596" s="10">
        <v>3.3385417999999998</v>
      </c>
      <c r="BM596" s="10">
        <v>3.3404653999999998</v>
      </c>
      <c r="BN596" s="10">
        <v>3.3427520999999998</v>
      </c>
      <c r="BO596" s="10">
        <v>3.3453962000000002</v>
      </c>
      <c r="BP596" s="10">
        <v>3.3483923999999998</v>
      </c>
      <c r="BQ596" s="10">
        <v>3.3517351</v>
      </c>
      <c r="BR596" s="10">
        <v>3.3785759</v>
      </c>
      <c r="BS596" s="10">
        <v>3.4153988000000002</v>
      </c>
      <c r="BU596" s="7">
        <v>4.2</v>
      </c>
      <c r="BV596" s="7">
        <v>4.0199999999999996</v>
      </c>
      <c r="BW596" s="9">
        <v>82.674800000000005</v>
      </c>
    </row>
    <row r="597" spans="1:75" x14ac:dyDescent="0.25">
      <c r="A597" s="6">
        <f t="shared" si="59"/>
        <v>45387</v>
      </c>
      <c r="B597" s="13">
        <f t="shared" si="54"/>
        <v>4</v>
      </c>
      <c r="C597" s="13">
        <f t="shared" si="55"/>
        <v>2024</v>
      </c>
      <c r="D597">
        <f t="shared" si="56"/>
        <v>202404</v>
      </c>
      <c r="E597">
        <f t="shared" si="57"/>
        <v>2</v>
      </c>
      <c r="F597">
        <f t="shared" si="58"/>
        <v>202402</v>
      </c>
      <c r="G597" t="s">
        <v>795</v>
      </c>
      <c r="H597" s="9">
        <v>5.25</v>
      </c>
      <c r="I597" s="9">
        <v>5.1948999999999996</v>
      </c>
      <c r="J597" s="10">
        <v>5.1743506999999997</v>
      </c>
      <c r="K597" s="10">
        <v>5.0990625999999999</v>
      </c>
      <c r="L597" s="10">
        <v>5.0156410999999999</v>
      </c>
      <c r="M597" s="10">
        <v>4.9256210999999999</v>
      </c>
      <c r="N597" s="10">
        <v>4.8342136</v>
      </c>
      <c r="O597" s="10">
        <v>4.7444207</v>
      </c>
      <c r="P597" s="10">
        <v>4.6568398999999996</v>
      </c>
      <c r="Q597" s="10">
        <v>4.5722357999999996</v>
      </c>
      <c r="R597" s="10">
        <v>4.4916264000000004</v>
      </c>
      <c r="S597" s="10">
        <v>4.4156848999999996</v>
      </c>
      <c r="T597" s="10">
        <v>4.3445416000000003</v>
      </c>
      <c r="U597" s="10">
        <v>4.2781786000000004</v>
      </c>
      <c r="V597" s="10">
        <v>4.2157358</v>
      </c>
      <c r="W597" s="10">
        <v>4.1567632000000003</v>
      </c>
      <c r="X597" s="10">
        <v>4.1010152</v>
      </c>
      <c r="Y597" s="10">
        <v>4.0482437999999998</v>
      </c>
      <c r="Z597" s="10">
        <v>3.9982015</v>
      </c>
      <c r="AA597" s="10">
        <v>3.9506424999999998</v>
      </c>
      <c r="AB597" s="10">
        <v>3.9053600999999998</v>
      </c>
      <c r="AC597" s="10">
        <v>3.862339</v>
      </c>
      <c r="AD597" s="10">
        <v>3.8216207</v>
      </c>
      <c r="AE597" s="10">
        <v>3.783245</v>
      </c>
      <c r="AF597" s="10">
        <v>3.747252</v>
      </c>
      <c r="AG597" s="10">
        <v>3.7136828999999998</v>
      </c>
      <c r="AH597" s="10">
        <v>3.6825559999999999</v>
      </c>
      <c r="AI597" s="10">
        <v>3.6537839000000001</v>
      </c>
      <c r="AJ597" s="10">
        <v>3.6272481000000001</v>
      </c>
      <c r="AK597" s="10">
        <v>3.6028289</v>
      </c>
      <c r="AL597" s="10">
        <v>3.5804068</v>
      </c>
      <c r="AM597" s="10">
        <v>3.5598630999999998</v>
      </c>
      <c r="AN597" s="10">
        <v>3.5410783000000001</v>
      </c>
      <c r="AO597" s="10">
        <v>3.5239327999999999</v>
      </c>
      <c r="AP597" s="10">
        <v>3.5083079000000001</v>
      </c>
      <c r="AQ597" s="10">
        <v>3.494084</v>
      </c>
      <c r="AR597" s="10">
        <v>3.4811418000000001</v>
      </c>
      <c r="AS597" s="10">
        <v>3.4693622</v>
      </c>
      <c r="AT597" s="10">
        <v>3.4586378999999998</v>
      </c>
      <c r="AU597" s="10">
        <v>3.4489092000000001</v>
      </c>
      <c r="AV597" s="10">
        <v>3.4401290000000002</v>
      </c>
      <c r="AW597" s="10">
        <v>3.4322496</v>
      </c>
      <c r="AX597" s="10">
        <v>3.4252234000000001</v>
      </c>
      <c r="AY597" s="10">
        <v>3.4190032000000001</v>
      </c>
      <c r="AZ597" s="10">
        <v>3.4135414000000002</v>
      </c>
      <c r="BA597" s="10">
        <v>3.4087904</v>
      </c>
      <c r="BB597" s="10">
        <v>3.4047029000000002</v>
      </c>
      <c r="BC597" s="10">
        <v>3.4012313000000001</v>
      </c>
      <c r="BD597" s="10">
        <v>3.3983281000000001</v>
      </c>
      <c r="BE597" s="10">
        <v>3.3959459000000001</v>
      </c>
      <c r="BF597" s="10">
        <v>3.3940429999999999</v>
      </c>
      <c r="BG597" s="10">
        <v>3.3926034999999999</v>
      </c>
      <c r="BH597" s="10">
        <v>3.3916186000000001</v>
      </c>
      <c r="BI597" s="10">
        <v>3.3910794000000002</v>
      </c>
      <c r="BJ597" s="10">
        <v>3.3909769999999999</v>
      </c>
      <c r="BK597" s="10">
        <v>3.3913028000000001</v>
      </c>
      <c r="BL597" s="10">
        <v>3.3920477</v>
      </c>
      <c r="BM597" s="10">
        <v>3.3932031</v>
      </c>
      <c r="BN597" s="10">
        <v>3.3947600000000002</v>
      </c>
      <c r="BO597" s="10">
        <v>3.3967095999999999</v>
      </c>
      <c r="BP597" s="10">
        <v>3.3990431000000001</v>
      </c>
      <c r="BQ597" s="10">
        <v>3.4017517000000002</v>
      </c>
      <c r="BR597" s="10">
        <v>3.4253239</v>
      </c>
      <c r="BS597" s="10">
        <v>3.4598016999999999</v>
      </c>
      <c r="BU597" s="7">
        <v>4.22</v>
      </c>
      <c r="BV597" s="7">
        <v>4.0599999999999996</v>
      </c>
      <c r="BW597" s="9">
        <v>82.538799999999995</v>
      </c>
    </row>
    <row r="598" spans="1:75" x14ac:dyDescent="0.25">
      <c r="A598" s="6">
        <f t="shared" si="59"/>
        <v>45390</v>
      </c>
      <c r="B598" s="13">
        <f t="shared" si="54"/>
        <v>4</v>
      </c>
      <c r="C598" s="13">
        <f t="shared" si="55"/>
        <v>2024</v>
      </c>
      <c r="D598">
        <f t="shared" si="56"/>
        <v>202404</v>
      </c>
      <c r="E598">
        <f t="shared" si="57"/>
        <v>2</v>
      </c>
      <c r="F598">
        <f t="shared" si="58"/>
        <v>202402</v>
      </c>
      <c r="G598" t="s">
        <v>796</v>
      </c>
      <c r="H598" s="9">
        <v>5.25</v>
      </c>
      <c r="I598" s="9">
        <v>5.1948999999999996</v>
      </c>
      <c r="J598" s="10">
        <v>5.1730521999999999</v>
      </c>
      <c r="K598" s="10">
        <v>5.0963887999999997</v>
      </c>
      <c r="L598" s="10">
        <v>5.0139902999999997</v>
      </c>
      <c r="M598" s="10">
        <v>4.927098</v>
      </c>
      <c r="N598" s="10">
        <v>4.8391915000000001</v>
      </c>
      <c r="O598" s="10">
        <v>4.7523230999999999</v>
      </c>
      <c r="P598" s="10">
        <v>4.6673225</v>
      </c>
      <c r="Q598" s="10">
        <v>4.5856252</v>
      </c>
      <c r="R598" s="10">
        <v>4.5090045999999999</v>
      </c>
      <c r="S598" s="10">
        <v>4.4382539999999997</v>
      </c>
      <c r="T598" s="10">
        <v>4.3734105999999997</v>
      </c>
      <c r="U598" s="10">
        <v>4.3140390999999996</v>
      </c>
      <c r="V598" s="10">
        <v>4.2587921</v>
      </c>
      <c r="W598" s="10">
        <v>4.2069900999999996</v>
      </c>
      <c r="X598" s="10">
        <v>4.1582036999999996</v>
      </c>
      <c r="Y598" s="10">
        <v>4.1120019000000001</v>
      </c>
      <c r="Z598" s="10">
        <v>4.0679533000000001</v>
      </c>
      <c r="AA598" s="10">
        <v>4.0256284999999998</v>
      </c>
      <c r="AB598" s="10">
        <v>3.9846794999999999</v>
      </c>
      <c r="AC598" s="10">
        <v>3.9451079999999998</v>
      </c>
      <c r="AD598" s="10">
        <v>3.9070087999999998</v>
      </c>
      <c r="AE598" s="10">
        <v>3.8704752999999998</v>
      </c>
      <c r="AF598" s="10">
        <v>3.8356012000000002</v>
      </c>
      <c r="AG598" s="10">
        <v>3.8024810000000002</v>
      </c>
      <c r="AH598" s="10">
        <v>3.7711815999999998</v>
      </c>
      <c r="AI598" s="10">
        <v>3.7416621999999999</v>
      </c>
      <c r="AJ598" s="10">
        <v>3.7138564000000001</v>
      </c>
      <c r="AK598" s="10">
        <v>3.6876969000000002</v>
      </c>
      <c r="AL598" s="10">
        <v>3.6631160999999999</v>
      </c>
      <c r="AM598" s="10">
        <v>3.6400475999999999</v>
      </c>
      <c r="AN598" s="10">
        <v>3.6184238999999998</v>
      </c>
      <c r="AO598" s="10">
        <v>3.5981776999999999</v>
      </c>
      <c r="AP598" s="10">
        <v>3.5792423000000002</v>
      </c>
      <c r="AQ598" s="10">
        <v>3.5615503999999998</v>
      </c>
      <c r="AR598" s="10">
        <v>3.5450347999999998</v>
      </c>
      <c r="AS598" s="10">
        <v>3.5296284999999998</v>
      </c>
      <c r="AT598" s="10">
        <v>3.5152706</v>
      </c>
      <c r="AU598" s="10">
        <v>3.5019243000000002</v>
      </c>
      <c r="AV598" s="10">
        <v>3.4895597999999999</v>
      </c>
      <c r="AW598" s="10">
        <v>3.4781464</v>
      </c>
      <c r="AX598" s="10">
        <v>3.4676539000000002</v>
      </c>
      <c r="AY598" s="10">
        <v>3.4580519999999999</v>
      </c>
      <c r="AZ598" s="10">
        <v>3.4493105000000002</v>
      </c>
      <c r="BA598" s="10">
        <v>3.4413988</v>
      </c>
      <c r="BB598" s="10">
        <v>3.4342869</v>
      </c>
      <c r="BC598" s="10">
        <v>3.4279443000000001</v>
      </c>
      <c r="BD598" s="10">
        <v>3.4223406999999999</v>
      </c>
      <c r="BE598" s="10">
        <v>3.417446</v>
      </c>
      <c r="BF598" s="10">
        <v>3.4132316</v>
      </c>
      <c r="BG598" s="10">
        <v>3.4096799</v>
      </c>
      <c r="BH598" s="10">
        <v>3.4067769000000001</v>
      </c>
      <c r="BI598" s="10">
        <v>3.4045082999999998</v>
      </c>
      <c r="BJ598" s="10">
        <v>3.4028602000000001</v>
      </c>
      <c r="BK598" s="10">
        <v>3.4018183</v>
      </c>
      <c r="BL598" s="10">
        <v>3.4013686999999999</v>
      </c>
      <c r="BM598" s="10">
        <v>3.4014970999999998</v>
      </c>
      <c r="BN598" s="10">
        <v>3.4021895</v>
      </c>
      <c r="BO598" s="10">
        <v>3.4034317999999999</v>
      </c>
      <c r="BP598" s="10">
        <v>3.4052099</v>
      </c>
      <c r="BQ598" s="10">
        <v>3.4075096</v>
      </c>
      <c r="BR598" s="10">
        <v>3.4312480000000001</v>
      </c>
      <c r="BS598" s="10">
        <v>3.4688325</v>
      </c>
      <c r="BU598" s="7">
        <v>4.2300000000000004</v>
      </c>
      <c r="BV598" s="7">
        <v>4.09</v>
      </c>
      <c r="BW598" s="9">
        <v>82.607699999999994</v>
      </c>
    </row>
    <row r="599" spans="1:75" x14ac:dyDescent="0.25">
      <c r="A599" s="6">
        <f t="shared" si="59"/>
        <v>45391</v>
      </c>
      <c r="B599" s="13">
        <f t="shared" si="54"/>
        <v>4</v>
      </c>
      <c r="C599" s="13">
        <f t="shared" si="55"/>
        <v>2024</v>
      </c>
      <c r="D599">
        <f t="shared" si="56"/>
        <v>202404</v>
      </c>
      <c r="E599">
        <f t="shared" si="57"/>
        <v>2</v>
      </c>
      <c r="F599">
        <f t="shared" si="58"/>
        <v>202402</v>
      </c>
      <c r="G599" t="s">
        <v>797</v>
      </c>
      <c r="H599" s="9">
        <v>5.25</v>
      </c>
      <c r="I599" s="9">
        <v>5.1976000000000004</v>
      </c>
      <c r="J599" s="10">
        <v>5.1735724999999997</v>
      </c>
      <c r="K599" s="10">
        <v>5.0952865000000003</v>
      </c>
      <c r="L599" s="10">
        <v>5.0105427000000002</v>
      </c>
      <c r="M599" s="10">
        <v>4.9211556999999999</v>
      </c>
      <c r="N599" s="10">
        <v>4.8305116999999997</v>
      </c>
      <c r="O599" s="10">
        <v>4.7405381000000002</v>
      </c>
      <c r="P599" s="10">
        <v>4.6521591999999998</v>
      </c>
      <c r="Q599" s="10">
        <v>4.5669255</v>
      </c>
      <c r="R599" s="10">
        <v>4.4867711000000003</v>
      </c>
      <c r="S599" s="10">
        <v>4.4127682999999998</v>
      </c>
      <c r="T599" s="10">
        <v>4.3449945999999997</v>
      </c>
      <c r="U599" s="10">
        <v>4.2831505999999999</v>
      </c>
      <c r="V599" s="10">
        <v>4.2255349999999998</v>
      </c>
      <c r="W599" s="10">
        <v>4.1713594000000001</v>
      </c>
      <c r="X599" s="10">
        <v>4.1201866000000003</v>
      </c>
      <c r="Y599" s="10">
        <v>4.0715770999999998</v>
      </c>
      <c r="Z599" s="10">
        <v>4.0250919999999999</v>
      </c>
      <c r="AA599" s="10">
        <v>3.9802938000000001</v>
      </c>
      <c r="AB599" s="10">
        <v>3.9368310000000002</v>
      </c>
      <c r="AC599" s="10">
        <v>3.8947212000000002</v>
      </c>
      <c r="AD599" s="10">
        <v>3.8540801</v>
      </c>
      <c r="AE599" s="10">
        <v>3.8150219999999999</v>
      </c>
      <c r="AF599" s="10">
        <v>3.7776613000000001</v>
      </c>
      <c r="AG599" s="10">
        <v>3.7421137</v>
      </c>
      <c r="AH599" s="10">
        <v>3.7084644</v>
      </c>
      <c r="AI599" s="10">
        <v>3.6766830000000001</v>
      </c>
      <c r="AJ599" s="10">
        <v>3.6467111000000001</v>
      </c>
      <c r="AK599" s="10">
        <v>3.6184892</v>
      </c>
      <c r="AL599" s="10">
        <v>3.5919577</v>
      </c>
      <c r="AM599" s="10">
        <v>3.5670582999999998</v>
      </c>
      <c r="AN599" s="10">
        <v>3.5437313000000001</v>
      </c>
      <c r="AO599" s="10">
        <v>3.5219174999999998</v>
      </c>
      <c r="AP599" s="10">
        <v>3.5015581999999998</v>
      </c>
      <c r="AQ599" s="10">
        <v>3.4825940000000002</v>
      </c>
      <c r="AR599" s="10">
        <v>3.4649654999999999</v>
      </c>
      <c r="AS599" s="10">
        <v>3.4486140000000001</v>
      </c>
      <c r="AT599" s="10">
        <v>3.4334831000000001</v>
      </c>
      <c r="AU599" s="10">
        <v>3.4195288000000001</v>
      </c>
      <c r="AV599" s="10">
        <v>3.4067104000000001</v>
      </c>
      <c r="AW599" s="10">
        <v>3.3949867999999999</v>
      </c>
      <c r="AX599" s="10">
        <v>3.3843168000000001</v>
      </c>
      <c r="AY599" s="10">
        <v>3.3746597999999999</v>
      </c>
      <c r="AZ599" s="10">
        <v>3.3659747000000002</v>
      </c>
      <c r="BA599" s="10">
        <v>3.3582204</v>
      </c>
      <c r="BB599" s="10">
        <v>3.3513560999999998</v>
      </c>
      <c r="BC599" s="10">
        <v>3.3453409000000001</v>
      </c>
      <c r="BD599" s="10">
        <v>3.3401336000000001</v>
      </c>
      <c r="BE599" s="10">
        <v>3.3356935000000001</v>
      </c>
      <c r="BF599" s="10">
        <v>3.331982</v>
      </c>
      <c r="BG599" s="10">
        <v>3.3289729000000001</v>
      </c>
      <c r="BH599" s="10">
        <v>3.3266437</v>
      </c>
      <c r="BI599" s="10">
        <v>3.3249719999999998</v>
      </c>
      <c r="BJ599" s="10">
        <v>3.3239350999999999</v>
      </c>
      <c r="BK599" s="10">
        <v>3.3235106999999999</v>
      </c>
      <c r="BL599" s="10">
        <v>3.3236762</v>
      </c>
      <c r="BM599" s="10">
        <v>3.3244091</v>
      </c>
      <c r="BN599" s="10">
        <v>3.3256869999999998</v>
      </c>
      <c r="BO599" s="10">
        <v>3.3274873</v>
      </c>
      <c r="BP599" s="10">
        <v>3.3297875000000001</v>
      </c>
      <c r="BQ599" s="10">
        <v>3.3325651999999999</v>
      </c>
      <c r="BR599" s="10">
        <v>3.3580988999999999</v>
      </c>
      <c r="BS599" s="10">
        <v>3.3957660000000001</v>
      </c>
      <c r="BU599" s="7">
        <v>4.2</v>
      </c>
      <c r="BV599" s="7">
        <v>4.01</v>
      </c>
      <c r="BW599" s="9">
        <v>82.768799999999999</v>
      </c>
    </row>
    <row r="600" spans="1:75" x14ac:dyDescent="0.25">
      <c r="A600" s="6">
        <f t="shared" si="59"/>
        <v>45392</v>
      </c>
      <c r="B600" s="13">
        <f t="shared" si="54"/>
        <v>4</v>
      </c>
      <c r="C600" s="13">
        <f t="shared" si="55"/>
        <v>2024</v>
      </c>
      <c r="D600">
        <f t="shared" si="56"/>
        <v>202404</v>
      </c>
      <c r="E600">
        <f t="shared" si="57"/>
        <v>2</v>
      </c>
      <c r="F600">
        <f t="shared" si="58"/>
        <v>202402</v>
      </c>
      <c r="G600" t="s">
        <v>798</v>
      </c>
      <c r="H600" s="9">
        <v>5.25</v>
      </c>
      <c r="I600" s="9">
        <v>5.1978</v>
      </c>
      <c r="J600" s="10">
        <v>5.1829637999999996</v>
      </c>
      <c r="K600" s="10">
        <v>5.1267104000000003</v>
      </c>
      <c r="L600" s="10">
        <v>5.0605244000000003</v>
      </c>
      <c r="M600" s="10">
        <v>4.9882833</v>
      </c>
      <c r="N600" s="10">
        <v>4.9138514000000004</v>
      </c>
      <c r="O600" s="10">
        <v>4.8392415</v>
      </c>
      <c r="P600" s="10">
        <v>4.7656669999999997</v>
      </c>
      <c r="Q600" s="10">
        <v>4.6950966000000003</v>
      </c>
      <c r="R600" s="10">
        <v>4.6296869999999997</v>
      </c>
      <c r="S600" s="10">
        <v>4.5703909999999999</v>
      </c>
      <c r="T600" s="10">
        <v>4.5169310999999999</v>
      </c>
      <c r="U600" s="10">
        <v>4.4683501999999997</v>
      </c>
      <c r="V600" s="10">
        <v>4.4221687999999997</v>
      </c>
      <c r="W600" s="10">
        <v>4.3774853</v>
      </c>
      <c r="X600" s="10">
        <v>4.3339173000000004</v>
      </c>
      <c r="Y600" s="10">
        <v>4.2910807999999996</v>
      </c>
      <c r="Z600" s="10">
        <v>4.2485920000000004</v>
      </c>
      <c r="AA600" s="10">
        <v>4.2060684999999998</v>
      </c>
      <c r="AB600" s="10">
        <v>4.1632449999999999</v>
      </c>
      <c r="AC600" s="10">
        <v>4.1203548000000003</v>
      </c>
      <c r="AD600" s="10">
        <v>4.0777634000000003</v>
      </c>
      <c r="AE600" s="10">
        <v>4.0358349999999996</v>
      </c>
      <c r="AF600" s="10">
        <v>3.9949336999999998</v>
      </c>
      <c r="AG600" s="10">
        <v>3.9554252000000001</v>
      </c>
      <c r="AH600" s="10">
        <v>3.9176095000000002</v>
      </c>
      <c r="AI600" s="10">
        <v>3.8815301999999998</v>
      </c>
      <c r="AJ600" s="10">
        <v>3.8471681000000002</v>
      </c>
      <c r="AK600" s="10">
        <v>3.8145028999999999</v>
      </c>
      <c r="AL600" s="10">
        <v>3.7835141000000001</v>
      </c>
      <c r="AM600" s="10">
        <v>3.7541825000000002</v>
      </c>
      <c r="AN600" s="10">
        <v>3.7264876</v>
      </c>
      <c r="AO600" s="10">
        <v>3.7004092000000002</v>
      </c>
      <c r="AP600" s="10">
        <v>3.6759276999999999</v>
      </c>
      <c r="AQ600" s="10">
        <v>3.6530230000000001</v>
      </c>
      <c r="AR600" s="10">
        <v>3.6316746000000002</v>
      </c>
      <c r="AS600" s="10">
        <v>3.6118630999999999</v>
      </c>
      <c r="AT600" s="10">
        <v>3.5935624000000002</v>
      </c>
      <c r="AU600" s="10">
        <v>3.5767177999999999</v>
      </c>
      <c r="AV600" s="10">
        <v>3.5612664000000001</v>
      </c>
      <c r="AW600" s="10">
        <v>3.547145</v>
      </c>
      <c r="AX600" s="10">
        <v>3.5342902</v>
      </c>
      <c r="AY600" s="10">
        <v>3.5226391000000001</v>
      </c>
      <c r="AZ600" s="10">
        <v>3.5121283000000001</v>
      </c>
      <c r="BA600" s="10">
        <v>3.5026947000000002</v>
      </c>
      <c r="BB600" s="10">
        <v>3.4942752000000001</v>
      </c>
      <c r="BC600" s="10">
        <v>3.4868066</v>
      </c>
      <c r="BD600" s="10">
        <v>3.4802255999999998</v>
      </c>
      <c r="BE600" s="10">
        <v>3.4744690999999999</v>
      </c>
      <c r="BF600" s="10">
        <v>3.4694794</v>
      </c>
      <c r="BG600" s="10">
        <v>3.4652226000000002</v>
      </c>
      <c r="BH600" s="10">
        <v>3.4616714000000002</v>
      </c>
      <c r="BI600" s="10">
        <v>3.4587987999999998</v>
      </c>
      <c r="BJ600" s="10">
        <v>3.4565771999999999</v>
      </c>
      <c r="BK600" s="10">
        <v>3.4549797</v>
      </c>
      <c r="BL600" s="10">
        <v>3.4539789999999999</v>
      </c>
      <c r="BM600" s="10">
        <v>3.4535477000000001</v>
      </c>
      <c r="BN600" s="10">
        <v>3.4536587000000001</v>
      </c>
      <c r="BO600" s="10">
        <v>3.4542847000000001</v>
      </c>
      <c r="BP600" s="10">
        <v>3.4553984999999998</v>
      </c>
      <c r="BQ600" s="10">
        <v>3.4569728999999998</v>
      </c>
      <c r="BR600" s="10">
        <v>3.4749519000000002</v>
      </c>
      <c r="BS600" s="10">
        <v>3.5049891</v>
      </c>
      <c r="BU600" s="7">
        <v>4.34</v>
      </c>
      <c r="BV600" s="7">
        <v>4.1500000000000004</v>
      </c>
      <c r="BW600" s="9">
        <v>82.552800000000005</v>
      </c>
    </row>
    <row r="601" spans="1:75" x14ac:dyDescent="0.25">
      <c r="A601" s="6">
        <f t="shared" si="59"/>
        <v>45393</v>
      </c>
      <c r="B601" s="13">
        <f t="shared" si="54"/>
        <v>4</v>
      </c>
      <c r="C601" s="13">
        <f t="shared" si="55"/>
        <v>2024</v>
      </c>
      <c r="D601">
        <f t="shared" si="56"/>
        <v>202404</v>
      </c>
      <c r="E601">
        <f t="shared" si="57"/>
        <v>2</v>
      </c>
      <c r="F601">
        <f t="shared" si="58"/>
        <v>202402</v>
      </c>
      <c r="G601" t="s">
        <v>799</v>
      </c>
      <c r="H601" s="9">
        <v>5.25</v>
      </c>
      <c r="I601" s="9">
        <v>5.1980000000000004</v>
      </c>
      <c r="J601" s="10">
        <v>5.1842682</v>
      </c>
      <c r="K601" s="10">
        <v>5.1430864999999999</v>
      </c>
      <c r="L601" s="10">
        <v>5.0913354000000002</v>
      </c>
      <c r="M601" s="10">
        <v>5.0313445999999997</v>
      </c>
      <c r="N601" s="10">
        <v>4.9668834000000004</v>
      </c>
      <c r="O601" s="10">
        <v>4.9006882000000003</v>
      </c>
      <c r="P601" s="10">
        <v>4.8343024999999997</v>
      </c>
      <c r="Q601" s="10">
        <v>4.7698292999999996</v>
      </c>
      <c r="R601" s="10">
        <v>4.7096600000000004</v>
      </c>
      <c r="S601" s="10">
        <v>4.6552126999999999</v>
      </c>
      <c r="T601" s="10">
        <v>4.6062732999999998</v>
      </c>
      <c r="U601" s="10">
        <v>4.5618677999999999</v>
      </c>
      <c r="V601" s="10">
        <v>4.5187787999999998</v>
      </c>
      <c r="W601" s="10">
        <v>4.4759072</v>
      </c>
      <c r="X601" s="10">
        <v>4.4328706999999996</v>
      </c>
      <c r="Y601" s="10">
        <v>4.3892856</v>
      </c>
      <c r="Z601" s="10">
        <v>4.3447681999999999</v>
      </c>
      <c r="AA601" s="10">
        <v>4.2989362</v>
      </c>
      <c r="AB601" s="10">
        <v>4.2515467999999998</v>
      </c>
      <c r="AC601" s="10">
        <v>4.2030786000000004</v>
      </c>
      <c r="AD601" s="10">
        <v>4.1542424999999996</v>
      </c>
      <c r="AE601" s="10">
        <v>4.1057478999999999</v>
      </c>
      <c r="AF601" s="10">
        <v>4.0583039999999997</v>
      </c>
      <c r="AG601" s="10">
        <v>4.0126217999999998</v>
      </c>
      <c r="AH601" s="10">
        <v>3.9693057</v>
      </c>
      <c r="AI601" s="10">
        <v>3.9284477999999998</v>
      </c>
      <c r="AJ601" s="10">
        <v>3.8899862999999999</v>
      </c>
      <c r="AK601" s="10">
        <v>3.8538578000000001</v>
      </c>
      <c r="AL601" s="10">
        <v>3.8199987000000002</v>
      </c>
      <c r="AM601" s="10">
        <v>3.7883469999999999</v>
      </c>
      <c r="AN601" s="10">
        <v>3.7588392000000002</v>
      </c>
      <c r="AO601" s="10">
        <v>3.7314121</v>
      </c>
      <c r="AP601" s="10">
        <v>3.7060032999999999</v>
      </c>
      <c r="AQ601" s="10">
        <v>3.6825494999999999</v>
      </c>
      <c r="AR601" s="10">
        <v>3.6609875000000001</v>
      </c>
      <c r="AS601" s="10">
        <v>3.6412548</v>
      </c>
      <c r="AT601" s="10">
        <v>3.6232831999999999</v>
      </c>
      <c r="AU601" s="10">
        <v>3.6069827000000001</v>
      </c>
      <c r="AV601" s="10">
        <v>3.5922578000000001</v>
      </c>
      <c r="AW601" s="10">
        <v>3.5790123999999999</v>
      </c>
      <c r="AX601" s="10">
        <v>3.5671504999999999</v>
      </c>
      <c r="AY601" s="10">
        <v>3.5565764999999998</v>
      </c>
      <c r="AZ601" s="10">
        <v>3.5471944</v>
      </c>
      <c r="BA601" s="10">
        <v>3.5389083000000001</v>
      </c>
      <c r="BB601" s="10">
        <v>3.5316223</v>
      </c>
      <c r="BC601" s="10">
        <v>3.5252406000000001</v>
      </c>
      <c r="BD601" s="10">
        <v>3.5196672000000002</v>
      </c>
      <c r="BE601" s="10">
        <v>3.5148063</v>
      </c>
      <c r="BF601" s="10">
        <v>3.5105735</v>
      </c>
      <c r="BG601" s="10">
        <v>3.5069347</v>
      </c>
      <c r="BH601" s="10">
        <v>3.5038699000000002</v>
      </c>
      <c r="BI601" s="10">
        <v>3.5013589999999999</v>
      </c>
      <c r="BJ601" s="10">
        <v>3.4993818999999999</v>
      </c>
      <c r="BK601" s="10">
        <v>3.4979186000000002</v>
      </c>
      <c r="BL601" s="10">
        <v>3.4969489</v>
      </c>
      <c r="BM601" s="10">
        <v>3.4964528000000001</v>
      </c>
      <c r="BN601" s="10">
        <v>3.4964103</v>
      </c>
      <c r="BO601" s="10">
        <v>3.4968010999999999</v>
      </c>
      <c r="BP601" s="10">
        <v>3.4976053999999999</v>
      </c>
      <c r="BQ601" s="10">
        <v>3.4988028999999998</v>
      </c>
      <c r="BR601" s="10">
        <v>3.5134585</v>
      </c>
      <c r="BS601" s="10">
        <v>3.5392484</v>
      </c>
      <c r="BU601" s="7">
        <v>4.37</v>
      </c>
      <c r="BV601" s="7">
        <v>4.1900000000000004</v>
      </c>
      <c r="BW601" s="9">
        <v>82.450800000000001</v>
      </c>
    </row>
    <row r="602" spans="1:75" x14ac:dyDescent="0.25">
      <c r="A602" s="6">
        <f t="shared" si="59"/>
        <v>45394</v>
      </c>
      <c r="B602" s="13">
        <f t="shared" si="54"/>
        <v>4</v>
      </c>
      <c r="C602" s="13">
        <f t="shared" si="55"/>
        <v>2024</v>
      </c>
      <c r="D602">
        <f t="shared" si="56"/>
        <v>202404</v>
      </c>
      <c r="E602">
        <f t="shared" si="57"/>
        <v>2</v>
      </c>
      <c r="F602">
        <f t="shared" si="58"/>
        <v>202402</v>
      </c>
      <c r="G602" t="s">
        <v>800</v>
      </c>
      <c r="H602" s="9">
        <v>5.25</v>
      </c>
      <c r="I602" s="9">
        <v>5.1980000000000004</v>
      </c>
      <c r="J602" s="10">
        <v>5.1777518999999996</v>
      </c>
      <c r="K602" s="10">
        <v>5.1243654000000003</v>
      </c>
      <c r="L602" s="10">
        <v>5.0619833999999999</v>
      </c>
      <c r="M602" s="10">
        <v>4.9935299999999998</v>
      </c>
      <c r="N602" s="10">
        <v>4.9224709999999998</v>
      </c>
      <c r="O602" s="10">
        <v>4.8506935999999996</v>
      </c>
      <c r="P602" s="10">
        <v>4.7792744000000003</v>
      </c>
      <c r="Q602" s="10">
        <v>4.7097297999999999</v>
      </c>
      <c r="R602" s="10">
        <v>4.6435819</v>
      </c>
      <c r="S602" s="10">
        <v>4.5815523000000002</v>
      </c>
      <c r="T602" s="10">
        <v>4.5234462000000004</v>
      </c>
      <c r="U602" s="10">
        <v>4.4687694000000002</v>
      </c>
      <c r="V602" s="10">
        <v>4.4162013</v>
      </c>
      <c r="W602" s="10">
        <v>4.3652518999999996</v>
      </c>
      <c r="X602" s="10">
        <v>4.3157671000000004</v>
      </c>
      <c r="Y602" s="10">
        <v>4.2675907999999998</v>
      </c>
      <c r="Z602" s="10">
        <v>4.2205671999999996</v>
      </c>
      <c r="AA602" s="10">
        <v>4.1745419999999998</v>
      </c>
      <c r="AB602" s="10">
        <v>4.1294101000000003</v>
      </c>
      <c r="AC602" s="10">
        <v>4.0853022000000001</v>
      </c>
      <c r="AD602" s="10">
        <v>4.0424186000000004</v>
      </c>
      <c r="AE602" s="10">
        <v>4.0009584</v>
      </c>
      <c r="AF602" s="10">
        <v>3.9611204999999998</v>
      </c>
      <c r="AG602" s="10">
        <v>3.9231053999999999</v>
      </c>
      <c r="AH602" s="10">
        <v>3.8870719</v>
      </c>
      <c r="AI602" s="10">
        <v>3.8530020999999999</v>
      </c>
      <c r="AJ602" s="10">
        <v>3.8208308999999998</v>
      </c>
      <c r="AK602" s="10">
        <v>3.7904914000000001</v>
      </c>
      <c r="AL602" s="10">
        <v>3.7619172000000001</v>
      </c>
      <c r="AM602" s="10">
        <v>3.7350428</v>
      </c>
      <c r="AN602" s="10">
        <v>3.7098016</v>
      </c>
      <c r="AO602" s="10">
        <v>3.6861272</v>
      </c>
      <c r="AP602" s="10">
        <v>3.6639539000000001</v>
      </c>
      <c r="AQ602" s="10">
        <v>3.6432152000000002</v>
      </c>
      <c r="AR602" s="10">
        <v>3.6238448000000001</v>
      </c>
      <c r="AS602" s="10">
        <v>3.6057768000000001</v>
      </c>
      <c r="AT602" s="10">
        <v>3.5889479999999998</v>
      </c>
      <c r="AU602" s="10">
        <v>3.5733077999999998</v>
      </c>
      <c r="AV602" s="10">
        <v>3.5588093000000001</v>
      </c>
      <c r="AW602" s="10">
        <v>3.5454051</v>
      </c>
      <c r="AX602" s="10">
        <v>3.5330477999999998</v>
      </c>
      <c r="AY602" s="10">
        <v>3.5216904000000002</v>
      </c>
      <c r="AZ602" s="10">
        <v>3.5112855000000001</v>
      </c>
      <c r="BA602" s="10">
        <v>3.5017857999999999</v>
      </c>
      <c r="BB602" s="10">
        <v>3.4931442000000001</v>
      </c>
      <c r="BC602" s="10">
        <v>3.4853133999999999</v>
      </c>
      <c r="BD602" s="10">
        <v>3.4782459000000001</v>
      </c>
      <c r="BE602" s="10">
        <v>3.4718949000000001</v>
      </c>
      <c r="BF602" s="10">
        <v>3.4662174000000001</v>
      </c>
      <c r="BG602" s="10">
        <v>3.4611909000000001</v>
      </c>
      <c r="BH602" s="10">
        <v>3.4567988999999999</v>
      </c>
      <c r="BI602" s="10">
        <v>3.4530242000000002</v>
      </c>
      <c r="BJ602" s="10">
        <v>3.4498502000000002</v>
      </c>
      <c r="BK602" s="10">
        <v>3.4472599000000002</v>
      </c>
      <c r="BL602" s="10">
        <v>3.4452364000000002</v>
      </c>
      <c r="BM602" s="10">
        <v>3.4437630000000001</v>
      </c>
      <c r="BN602" s="10">
        <v>3.4428228000000001</v>
      </c>
      <c r="BO602" s="10">
        <v>3.4423989000000002</v>
      </c>
      <c r="BP602" s="10">
        <v>3.4424744999999999</v>
      </c>
      <c r="BQ602" s="10">
        <v>3.4430326999999998</v>
      </c>
      <c r="BR602" s="10">
        <v>3.4556619</v>
      </c>
      <c r="BS602" s="10">
        <v>3.4819572000000001</v>
      </c>
      <c r="BU602" s="7">
        <v>4.3499999999999996</v>
      </c>
      <c r="BV602" s="7">
        <v>4.13</v>
      </c>
      <c r="BW602" s="9">
        <v>82.224999999999994</v>
      </c>
    </row>
    <row r="603" spans="1:75" x14ac:dyDescent="0.25">
      <c r="A603" s="6">
        <f t="shared" si="59"/>
        <v>45397</v>
      </c>
      <c r="B603" s="13">
        <f t="shared" si="54"/>
        <v>4</v>
      </c>
      <c r="C603" s="13">
        <f t="shared" si="55"/>
        <v>2024</v>
      </c>
      <c r="D603">
        <f t="shared" si="56"/>
        <v>202404</v>
      </c>
      <c r="E603">
        <f t="shared" si="57"/>
        <v>2</v>
      </c>
      <c r="F603">
        <f t="shared" si="58"/>
        <v>202402</v>
      </c>
      <c r="G603" t="s">
        <v>801</v>
      </c>
      <c r="H603" s="9">
        <v>5.25</v>
      </c>
      <c r="I603" s="9">
        <v>5.1984000000000004</v>
      </c>
      <c r="J603" s="10">
        <v>5.1768824999999996</v>
      </c>
      <c r="K603" s="10">
        <v>5.1245399000000003</v>
      </c>
      <c r="L603" s="10">
        <v>5.0626385000000003</v>
      </c>
      <c r="M603" s="10">
        <v>4.9957348000000001</v>
      </c>
      <c r="N603" s="10">
        <v>4.9274829000000002</v>
      </c>
      <c r="O603" s="10">
        <v>4.8597545999999996</v>
      </c>
      <c r="P603" s="10">
        <v>4.7941029999999998</v>
      </c>
      <c r="Q603" s="10">
        <v>4.7324453000000002</v>
      </c>
      <c r="R603" s="10">
        <v>4.6765648999999998</v>
      </c>
      <c r="S603" s="10">
        <v>4.6268466000000004</v>
      </c>
      <c r="T603" s="10">
        <v>4.5824388999999996</v>
      </c>
      <c r="U603" s="10">
        <v>4.5418212000000002</v>
      </c>
      <c r="V603" s="10">
        <v>4.5020417999999998</v>
      </c>
      <c r="W603" s="10">
        <v>4.4622795000000002</v>
      </c>
      <c r="X603" s="10">
        <v>4.4224011000000001</v>
      </c>
      <c r="Y603" s="10">
        <v>4.3822716000000002</v>
      </c>
      <c r="Z603" s="10">
        <v>4.3417564000000004</v>
      </c>
      <c r="AA603" s="10">
        <v>4.3007220000000004</v>
      </c>
      <c r="AB603" s="10">
        <v>4.2591184000000002</v>
      </c>
      <c r="AC603" s="10">
        <v>4.2172518999999999</v>
      </c>
      <c r="AD603" s="10">
        <v>4.1755237999999997</v>
      </c>
      <c r="AE603" s="10">
        <v>4.1343338000000003</v>
      </c>
      <c r="AF603" s="10">
        <v>4.0940817999999997</v>
      </c>
      <c r="AG603" s="10">
        <v>4.0551690999999996</v>
      </c>
      <c r="AH603" s="10">
        <v>4.0179235000000002</v>
      </c>
      <c r="AI603" s="10">
        <v>3.9823854000000001</v>
      </c>
      <c r="AJ603" s="10">
        <v>3.9485244000000002</v>
      </c>
      <c r="AK603" s="10">
        <v>3.9163092000000002</v>
      </c>
      <c r="AL603" s="10">
        <v>3.8857080000000002</v>
      </c>
      <c r="AM603" s="10">
        <v>3.8566905999999999</v>
      </c>
      <c r="AN603" s="10">
        <v>3.8292253999999999</v>
      </c>
      <c r="AO603" s="10">
        <v>3.8032810000000001</v>
      </c>
      <c r="AP603" s="10">
        <v>3.7788268</v>
      </c>
      <c r="AQ603" s="10">
        <v>3.7558313999999999</v>
      </c>
      <c r="AR603" s="10">
        <v>3.7342635</v>
      </c>
      <c r="AS603" s="10">
        <v>3.7140922999999999</v>
      </c>
      <c r="AT603" s="10">
        <v>3.6952842000000001</v>
      </c>
      <c r="AU603" s="10">
        <v>3.6777964000000001</v>
      </c>
      <c r="AV603" s="10">
        <v>3.6615844000000002</v>
      </c>
      <c r="AW603" s="10">
        <v>3.6466029999999998</v>
      </c>
      <c r="AX603" s="10">
        <v>3.6328071</v>
      </c>
      <c r="AY603" s="10">
        <v>3.6201523</v>
      </c>
      <c r="AZ603" s="10">
        <v>3.6085932999999999</v>
      </c>
      <c r="BA603" s="10">
        <v>3.5980851999999999</v>
      </c>
      <c r="BB603" s="10">
        <v>3.5885832999999998</v>
      </c>
      <c r="BC603" s="10">
        <v>3.5800426000000001</v>
      </c>
      <c r="BD603" s="10">
        <v>3.5724179999999999</v>
      </c>
      <c r="BE603" s="10">
        <v>3.5656648</v>
      </c>
      <c r="BF603" s="10">
        <v>3.5597401999999998</v>
      </c>
      <c r="BG603" s="10">
        <v>3.5546147000000001</v>
      </c>
      <c r="BH603" s="10">
        <v>3.5502639999999999</v>
      </c>
      <c r="BI603" s="10">
        <v>3.5466631999999998</v>
      </c>
      <c r="BJ603" s="10">
        <v>3.5437878999999999</v>
      </c>
      <c r="BK603" s="10">
        <v>3.5416135</v>
      </c>
      <c r="BL603" s="10">
        <v>3.5401155000000002</v>
      </c>
      <c r="BM603" s="10">
        <v>3.5392693</v>
      </c>
      <c r="BN603" s="10">
        <v>3.5390503</v>
      </c>
      <c r="BO603" s="10">
        <v>3.539434</v>
      </c>
      <c r="BP603" s="10">
        <v>3.5403956999999999</v>
      </c>
      <c r="BQ603" s="10">
        <v>3.5419109999999998</v>
      </c>
      <c r="BR603" s="10">
        <v>3.5613047999999998</v>
      </c>
      <c r="BS603" s="10">
        <v>3.5947629000000001</v>
      </c>
      <c r="BU603" s="7">
        <v>4.42</v>
      </c>
      <c r="BV603" s="7">
        <v>4.22</v>
      </c>
      <c r="BW603" s="9">
        <v>82.381600000000006</v>
      </c>
    </row>
    <row r="604" spans="1:75" x14ac:dyDescent="0.25">
      <c r="A604" s="6">
        <f t="shared" si="59"/>
        <v>45398</v>
      </c>
      <c r="B604" s="13">
        <f t="shared" si="54"/>
        <v>4</v>
      </c>
      <c r="C604" s="13">
        <f t="shared" si="55"/>
        <v>2024</v>
      </c>
      <c r="D604">
        <f t="shared" si="56"/>
        <v>202404</v>
      </c>
      <c r="E604">
        <f t="shared" si="57"/>
        <v>2</v>
      </c>
      <c r="F604">
        <f t="shared" si="58"/>
        <v>202402</v>
      </c>
      <c r="G604" t="s">
        <v>802</v>
      </c>
      <c r="H604" s="9">
        <v>5.25</v>
      </c>
      <c r="I604" s="9">
        <v>5.1984000000000004</v>
      </c>
      <c r="J604" s="10">
        <v>5.1825747</v>
      </c>
      <c r="K604" s="10">
        <v>5.1409117000000002</v>
      </c>
      <c r="L604" s="10">
        <v>5.0900898999999997</v>
      </c>
      <c r="M604" s="10">
        <v>5.0348519999999999</v>
      </c>
      <c r="N604" s="10">
        <v>4.9785408999999996</v>
      </c>
      <c r="O604" s="10">
        <v>4.9223758000000002</v>
      </c>
      <c r="P604" s="10">
        <v>4.8672673</v>
      </c>
      <c r="Q604" s="10">
        <v>4.8146038000000004</v>
      </c>
      <c r="R604" s="10">
        <v>4.7658646999999998</v>
      </c>
      <c r="S604" s="10">
        <v>4.7216218000000003</v>
      </c>
      <c r="T604" s="10">
        <v>4.6813829</v>
      </c>
      <c r="U604" s="10">
        <v>4.6441790999999997</v>
      </c>
      <c r="V604" s="10">
        <v>4.6078023999999997</v>
      </c>
      <c r="W604" s="10">
        <v>4.5714874999999999</v>
      </c>
      <c r="X604" s="10">
        <v>4.5349472999999998</v>
      </c>
      <c r="Y604" s="10">
        <v>4.4978936000000003</v>
      </c>
      <c r="Z604" s="10">
        <v>4.4600378999999997</v>
      </c>
      <c r="AA604" s="10">
        <v>4.4210934000000002</v>
      </c>
      <c r="AB604" s="10">
        <v>4.3808913</v>
      </c>
      <c r="AC604" s="10">
        <v>4.3397655000000004</v>
      </c>
      <c r="AD604" s="10">
        <v>4.2981834000000001</v>
      </c>
      <c r="AE604" s="10">
        <v>4.2566107999999998</v>
      </c>
      <c r="AF604" s="10">
        <v>4.2155136999999998</v>
      </c>
      <c r="AG604" s="10">
        <v>4.1753594999999999</v>
      </c>
      <c r="AH604" s="10">
        <v>4.1365375000000002</v>
      </c>
      <c r="AI604" s="10">
        <v>4.0991306999999999</v>
      </c>
      <c r="AJ604" s="10">
        <v>4.0631468999999996</v>
      </c>
      <c r="AK604" s="10">
        <v>4.0285925999999996</v>
      </c>
      <c r="AL604" s="10">
        <v>3.9954743000000001</v>
      </c>
      <c r="AM604" s="10">
        <v>3.9637997999999999</v>
      </c>
      <c r="AN604" s="10">
        <v>3.9335754000000001</v>
      </c>
      <c r="AO604" s="10">
        <v>3.9048077000000001</v>
      </c>
      <c r="AP604" s="10">
        <v>3.8775045000000001</v>
      </c>
      <c r="AQ604" s="10">
        <v>3.8516721</v>
      </c>
      <c r="AR604" s="10">
        <v>3.8273172999999998</v>
      </c>
      <c r="AS604" s="10">
        <v>3.8044475000000002</v>
      </c>
      <c r="AT604" s="10">
        <v>3.7830599999999999</v>
      </c>
      <c r="AU604" s="10">
        <v>3.7631147999999999</v>
      </c>
      <c r="AV604" s="10">
        <v>3.7445632</v>
      </c>
      <c r="AW604" s="10">
        <v>3.7273558000000002</v>
      </c>
      <c r="AX604" s="10">
        <v>3.7114432000000002</v>
      </c>
      <c r="AY604" s="10">
        <v>3.6967767999999999</v>
      </c>
      <c r="AZ604" s="10">
        <v>3.6833071999999998</v>
      </c>
      <c r="BA604" s="10">
        <v>3.6709850999999998</v>
      </c>
      <c r="BB604" s="10">
        <v>3.6597615999999999</v>
      </c>
      <c r="BC604" s="10">
        <v>3.6495875</v>
      </c>
      <c r="BD604" s="10">
        <v>3.6404135000000002</v>
      </c>
      <c r="BE604" s="10">
        <v>3.6321907000000002</v>
      </c>
      <c r="BF604" s="10">
        <v>3.6248722</v>
      </c>
      <c r="BG604" s="10">
        <v>3.6184238999999998</v>
      </c>
      <c r="BH604" s="10">
        <v>3.6128163999999998</v>
      </c>
      <c r="BI604" s="10">
        <v>3.6080198000000001</v>
      </c>
      <c r="BJ604" s="10">
        <v>3.6040043000000002</v>
      </c>
      <c r="BK604" s="10">
        <v>3.6007403999999998</v>
      </c>
      <c r="BL604" s="10">
        <v>3.5981983999999998</v>
      </c>
      <c r="BM604" s="10">
        <v>3.5963484000000001</v>
      </c>
      <c r="BN604" s="10">
        <v>3.5951607999999999</v>
      </c>
      <c r="BO604" s="10">
        <v>3.5946060000000002</v>
      </c>
      <c r="BP604" s="10">
        <v>3.5946541999999999</v>
      </c>
      <c r="BQ604" s="10">
        <v>3.5952757000000002</v>
      </c>
      <c r="BR604" s="10">
        <v>3.6095937</v>
      </c>
      <c r="BS604" s="10">
        <v>3.6383557999999998</v>
      </c>
      <c r="BU604" s="7">
        <v>4.4800000000000004</v>
      </c>
      <c r="BV604" s="7">
        <v>4.3</v>
      </c>
      <c r="BW604" s="9">
        <v>82.366500000000002</v>
      </c>
    </row>
    <row r="605" spans="1:75" x14ac:dyDescent="0.25">
      <c r="A605" s="6">
        <f t="shared" si="59"/>
        <v>45399</v>
      </c>
      <c r="B605" s="13">
        <f t="shared" si="54"/>
        <v>4</v>
      </c>
      <c r="C605" s="13">
        <f t="shared" si="55"/>
        <v>2024</v>
      </c>
      <c r="D605">
        <f t="shared" si="56"/>
        <v>202404</v>
      </c>
      <c r="E605">
        <f t="shared" si="57"/>
        <v>2</v>
      </c>
      <c r="F605">
        <f t="shared" si="58"/>
        <v>202402</v>
      </c>
      <c r="G605" t="s">
        <v>803</v>
      </c>
      <c r="H605" s="9">
        <v>5.25</v>
      </c>
      <c r="I605" s="9">
        <v>5.1984000000000004</v>
      </c>
      <c r="J605" s="10">
        <v>5.1864648999999998</v>
      </c>
      <c r="K605" s="10">
        <v>5.1406634999999996</v>
      </c>
      <c r="L605" s="10">
        <v>5.0823780000000003</v>
      </c>
      <c r="M605" s="10">
        <v>5.0182776000000002</v>
      </c>
      <c r="N605" s="10">
        <v>4.9533389000000003</v>
      </c>
      <c r="O605" s="10">
        <v>4.8893763999999997</v>
      </c>
      <c r="P605" s="10">
        <v>4.8279116999999996</v>
      </c>
      <c r="Q605" s="10">
        <v>4.7707195999999996</v>
      </c>
      <c r="R605" s="10">
        <v>4.7193813999999996</v>
      </c>
      <c r="S605" s="10">
        <v>4.6742080000000001</v>
      </c>
      <c r="T605" s="10">
        <v>4.6341650000000003</v>
      </c>
      <c r="U605" s="10">
        <v>4.5975444999999997</v>
      </c>
      <c r="V605" s="10">
        <v>4.5610470999999997</v>
      </c>
      <c r="W605" s="10">
        <v>4.5238098999999998</v>
      </c>
      <c r="X605" s="10">
        <v>4.4857237999999997</v>
      </c>
      <c r="Y605" s="10">
        <v>4.4466786999999997</v>
      </c>
      <c r="Z605" s="10">
        <v>4.4065642</v>
      </c>
      <c r="AA605" s="10">
        <v>4.3652715999999998</v>
      </c>
      <c r="AB605" s="10">
        <v>4.3227818999999998</v>
      </c>
      <c r="AC605" s="10">
        <v>4.2794603999999996</v>
      </c>
      <c r="AD605" s="10">
        <v>4.2357750000000003</v>
      </c>
      <c r="AE605" s="10">
        <v>4.1921919000000001</v>
      </c>
      <c r="AF605" s="10">
        <v>4.1491772999999998</v>
      </c>
      <c r="AG605" s="10">
        <v>4.1071989000000002</v>
      </c>
      <c r="AH605" s="10">
        <v>4.0666479000000004</v>
      </c>
      <c r="AI605" s="10">
        <v>4.0276151999999996</v>
      </c>
      <c r="AJ605" s="10">
        <v>3.9901181000000001</v>
      </c>
      <c r="AK605" s="10">
        <v>3.9541724</v>
      </c>
      <c r="AL605" s="10">
        <v>3.9197939000000002</v>
      </c>
      <c r="AM605" s="10">
        <v>3.8869999000000002</v>
      </c>
      <c r="AN605" s="10">
        <v>3.8558062</v>
      </c>
      <c r="AO605" s="10">
        <v>3.8262287000000001</v>
      </c>
      <c r="AP605" s="10">
        <v>3.7982844999999998</v>
      </c>
      <c r="AQ605" s="10">
        <v>3.7719895000000001</v>
      </c>
      <c r="AR605" s="10">
        <v>3.7473597999999999</v>
      </c>
      <c r="AS605" s="10">
        <v>3.7244120999999999</v>
      </c>
      <c r="AT605" s="10">
        <v>3.7031516999999998</v>
      </c>
      <c r="AU605" s="10">
        <v>3.6835306000000001</v>
      </c>
      <c r="AV605" s="10">
        <v>3.6654852999999998</v>
      </c>
      <c r="AW605" s="10">
        <v>3.6489517999999999</v>
      </c>
      <c r="AX605" s="10">
        <v>3.6338659</v>
      </c>
      <c r="AY605" s="10">
        <v>3.6201642000000001</v>
      </c>
      <c r="AZ605" s="10">
        <v>3.6077824999999999</v>
      </c>
      <c r="BA605" s="10">
        <v>3.596657</v>
      </c>
      <c r="BB605" s="10">
        <v>3.5867238000000001</v>
      </c>
      <c r="BC605" s="10">
        <v>3.5779190999999999</v>
      </c>
      <c r="BD605" s="10">
        <v>3.5701787999999999</v>
      </c>
      <c r="BE605" s="10">
        <v>3.5634393000000002</v>
      </c>
      <c r="BF605" s="10">
        <v>3.5576398</v>
      </c>
      <c r="BG605" s="10">
        <v>3.5527354</v>
      </c>
      <c r="BH605" s="10">
        <v>3.5486865000000001</v>
      </c>
      <c r="BI605" s="10">
        <v>3.5454528999999999</v>
      </c>
      <c r="BJ605" s="10">
        <v>3.5429948000000002</v>
      </c>
      <c r="BK605" s="10">
        <v>3.5412723000000002</v>
      </c>
      <c r="BL605" s="10">
        <v>3.5402453</v>
      </c>
      <c r="BM605" s="10">
        <v>3.5398740000000002</v>
      </c>
      <c r="BN605" s="10">
        <v>3.5401185000000002</v>
      </c>
      <c r="BO605" s="10">
        <v>3.5409386999999999</v>
      </c>
      <c r="BP605" s="10">
        <v>3.5422948999999999</v>
      </c>
      <c r="BQ605" s="10">
        <v>3.5441470000000002</v>
      </c>
      <c r="BR605" s="10">
        <v>3.5641156000000001</v>
      </c>
      <c r="BS605" s="10">
        <v>3.5959834000000002</v>
      </c>
      <c r="BU605" s="7">
        <v>4.45</v>
      </c>
      <c r="BV605" s="7">
        <v>4.25</v>
      </c>
      <c r="BW605" s="9">
        <v>82.380499999999998</v>
      </c>
    </row>
    <row r="606" spans="1:75" x14ac:dyDescent="0.25">
      <c r="A606" s="6">
        <f t="shared" si="59"/>
        <v>45400</v>
      </c>
      <c r="B606" s="13">
        <f t="shared" si="54"/>
        <v>4</v>
      </c>
      <c r="C606" s="13">
        <f t="shared" si="55"/>
        <v>2024</v>
      </c>
      <c r="D606">
        <f t="shared" si="56"/>
        <v>202404</v>
      </c>
      <c r="E606">
        <f t="shared" si="57"/>
        <v>2</v>
      </c>
      <c r="F606">
        <f t="shared" si="58"/>
        <v>202402</v>
      </c>
      <c r="G606" t="s">
        <v>804</v>
      </c>
      <c r="H606" s="9">
        <v>5.25</v>
      </c>
      <c r="I606" s="9">
        <v>5.1984000000000004</v>
      </c>
      <c r="J606" s="10">
        <v>5.1898040999999999</v>
      </c>
      <c r="K606" s="10">
        <v>5.1491368</v>
      </c>
      <c r="L606" s="10">
        <v>5.0958867000000003</v>
      </c>
      <c r="M606" s="10">
        <v>5.0366445000000004</v>
      </c>
      <c r="N606" s="10">
        <v>4.9761103000000002</v>
      </c>
      <c r="O606" s="10">
        <v>4.9165235999999997</v>
      </c>
      <c r="P606" s="10">
        <v>4.8595474000000003</v>
      </c>
      <c r="Q606" s="10">
        <v>4.8066312</v>
      </c>
      <c r="R606" s="10">
        <v>4.7585974999999996</v>
      </c>
      <c r="S606" s="10">
        <v>4.7152456999999997</v>
      </c>
      <c r="T606" s="10">
        <v>4.6751348999999998</v>
      </c>
      <c r="U606" s="10">
        <v>4.6365604999999999</v>
      </c>
      <c r="V606" s="10">
        <v>4.5963225999999997</v>
      </c>
      <c r="W606" s="10">
        <v>4.5537643000000001</v>
      </c>
      <c r="X606" s="10">
        <v>4.5093623999999997</v>
      </c>
      <c r="Y606" s="10">
        <v>4.4635942999999996</v>
      </c>
      <c r="Z606" s="10">
        <v>4.4169374000000001</v>
      </c>
      <c r="AA606" s="10">
        <v>4.3698705999999996</v>
      </c>
      <c r="AB606" s="10">
        <v>4.3228555999999996</v>
      </c>
      <c r="AC606" s="10">
        <v>4.2762751999999997</v>
      </c>
      <c r="AD606" s="10">
        <v>4.2304883000000002</v>
      </c>
      <c r="AE606" s="10">
        <v>4.1858522999999996</v>
      </c>
      <c r="AF606" s="10">
        <v>4.1427246999999996</v>
      </c>
      <c r="AG606" s="10">
        <v>4.1014641999999997</v>
      </c>
      <c r="AH606" s="10">
        <v>4.0623693000000003</v>
      </c>
      <c r="AI606" s="10">
        <v>4.0254504000000004</v>
      </c>
      <c r="AJ606" s="10">
        <v>3.9906318999999999</v>
      </c>
      <c r="AK606" s="10">
        <v>3.9578367000000001</v>
      </c>
      <c r="AL606" s="10">
        <v>3.9269878</v>
      </c>
      <c r="AM606" s="10">
        <v>3.8980093</v>
      </c>
      <c r="AN606" s="10">
        <v>3.8708241000000001</v>
      </c>
      <c r="AO606" s="10">
        <v>3.8453555000000001</v>
      </c>
      <c r="AP606" s="10">
        <v>3.8215273000000001</v>
      </c>
      <c r="AQ606" s="10">
        <v>3.7992626</v>
      </c>
      <c r="AR606" s="10">
        <v>3.7784844999999998</v>
      </c>
      <c r="AS606" s="10">
        <v>3.7591169</v>
      </c>
      <c r="AT606" s="10">
        <v>3.7410871999999999</v>
      </c>
      <c r="AU606" s="10">
        <v>3.7243412999999999</v>
      </c>
      <c r="AV606" s="10">
        <v>3.7088310999999998</v>
      </c>
      <c r="AW606" s="10">
        <v>3.6945074999999998</v>
      </c>
      <c r="AX606" s="10">
        <v>3.6813218000000001</v>
      </c>
      <c r="AY606" s="10">
        <v>3.6692257000000001</v>
      </c>
      <c r="AZ606" s="10">
        <v>3.6581703000000001</v>
      </c>
      <c r="BA606" s="10">
        <v>3.6481067999999999</v>
      </c>
      <c r="BB606" s="10">
        <v>3.6389868999999999</v>
      </c>
      <c r="BC606" s="10">
        <v>3.6307616999999999</v>
      </c>
      <c r="BD606" s="10">
        <v>3.6233824000000001</v>
      </c>
      <c r="BE606" s="10">
        <v>3.6168007000000002</v>
      </c>
      <c r="BF606" s="10">
        <v>3.6109711999999998</v>
      </c>
      <c r="BG606" s="10">
        <v>3.6058637999999998</v>
      </c>
      <c r="BH606" s="10">
        <v>3.6014529999999998</v>
      </c>
      <c r="BI606" s="10">
        <v>3.5977127000000002</v>
      </c>
      <c r="BJ606" s="10">
        <v>3.5946174000000002</v>
      </c>
      <c r="BK606" s="10">
        <v>3.5921411999999999</v>
      </c>
      <c r="BL606" s="10">
        <v>3.5902582999999999</v>
      </c>
      <c r="BM606" s="10">
        <v>3.588943</v>
      </c>
      <c r="BN606" s="10">
        <v>3.5881694999999998</v>
      </c>
      <c r="BO606" s="10">
        <v>3.5879120000000002</v>
      </c>
      <c r="BP606" s="10">
        <v>3.5881447999999998</v>
      </c>
      <c r="BQ606" s="10">
        <v>3.5888420000000001</v>
      </c>
      <c r="BR606" s="10">
        <v>3.6016959000000002</v>
      </c>
      <c r="BS606" s="10">
        <v>3.6269610000000001</v>
      </c>
      <c r="BU606" s="7">
        <v>4.4800000000000004</v>
      </c>
      <c r="BV606" s="7">
        <v>4.2699999999999996</v>
      </c>
      <c r="BW606" s="9">
        <v>82.241299999999995</v>
      </c>
    </row>
    <row r="607" spans="1:75" x14ac:dyDescent="0.25">
      <c r="A607" s="6">
        <f t="shared" si="59"/>
        <v>45401</v>
      </c>
      <c r="B607" s="13">
        <f t="shared" si="54"/>
        <v>4</v>
      </c>
      <c r="C607" s="13">
        <f t="shared" si="55"/>
        <v>2024</v>
      </c>
      <c r="D607">
        <f t="shared" si="56"/>
        <v>202404</v>
      </c>
      <c r="E607">
        <f t="shared" si="57"/>
        <v>2</v>
      </c>
      <c r="F607">
        <f t="shared" si="58"/>
        <v>202402</v>
      </c>
      <c r="G607" t="s">
        <v>805</v>
      </c>
      <c r="H607" s="9">
        <v>5.25</v>
      </c>
      <c r="I607" s="9">
        <v>5.1984000000000004</v>
      </c>
      <c r="J607" s="10">
        <v>5.1752187999999997</v>
      </c>
      <c r="K607" s="10">
        <v>5.1146697999999997</v>
      </c>
      <c r="L607" s="10">
        <v>5.0445802000000004</v>
      </c>
      <c r="M607" s="10">
        <v>4.9732247000000003</v>
      </c>
      <c r="N607" s="10">
        <v>4.9043102000000003</v>
      </c>
      <c r="O607" s="10">
        <v>4.8386355999999999</v>
      </c>
      <c r="P607" s="10">
        <v>4.7762074999999999</v>
      </c>
      <c r="Q607" s="10">
        <v>4.7171089999999998</v>
      </c>
      <c r="R607" s="10">
        <v>4.6616353000000004</v>
      </c>
      <c r="S607" s="10">
        <v>4.6098391000000003</v>
      </c>
      <c r="T607" s="10">
        <v>4.5611807000000004</v>
      </c>
      <c r="U607" s="10">
        <v>4.5149809000000003</v>
      </c>
      <c r="V607" s="10">
        <v>4.4698107</v>
      </c>
      <c r="W607" s="10">
        <v>4.4252399999999996</v>
      </c>
      <c r="X607" s="10">
        <v>4.3812614999999999</v>
      </c>
      <c r="Y607" s="10">
        <v>4.3378667000000002</v>
      </c>
      <c r="Z607" s="10">
        <v>4.2950467999999997</v>
      </c>
      <c r="AA607" s="10">
        <v>4.2527948000000002</v>
      </c>
      <c r="AB607" s="10">
        <v>4.2111355000000001</v>
      </c>
      <c r="AC607" s="10">
        <v>4.1702491999999998</v>
      </c>
      <c r="AD607" s="10">
        <v>4.1303622999999998</v>
      </c>
      <c r="AE607" s="10">
        <v>4.0917000000000003</v>
      </c>
      <c r="AF607" s="10">
        <v>4.0544874999999996</v>
      </c>
      <c r="AG607" s="10">
        <v>4.0189512000000001</v>
      </c>
      <c r="AH607" s="10">
        <v>3.9852723999999999</v>
      </c>
      <c r="AI607" s="10">
        <v>3.9534384</v>
      </c>
      <c r="AJ607" s="10">
        <v>3.9233842999999999</v>
      </c>
      <c r="AK607" s="10">
        <v>3.8950437999999998</v>
      </c>
      <c r="AL607" s="10">
        <v>3.8683508999999998</v>
      </c>
      <c r="AM607" s="10">
        <v>3.8432404999999998</v>
      </c>
      <c r="AN607" s="10">
        <v>3.8196465000000002</v>
      </c>
      <c r="AO607" s="10">
        <v>3.7975028000000002</v>
      </c>
      <c r="AP607" s="10">
        <v>3.7767442</v>
      </c>
      <c r="AQ607" s="10">
        <v>3.7573047000000002</v>
      </c>
      <c r="AR607" s="10">
        <v>3.7391182999999999</v>
      </c>
      <c r="AS607" s="10">
        <v>3.7221196999999999</v>
      </c>
      <c r="AT607" s="10">
        <v>3.7062463000000001</v>
      </c>
      <c r="AU607" s="10">
        <v>3.6914503999999999</v>
      </c>
      <c r="AV607" s="10">
        <v>3.6776878000000002</v>
      </c>
      <c r="AW607" s="10">
        <v>3.6649143</v>
      </c>
      <c r="AX607" s="10">
        <v>3.6530854000000001</v>
      </c>
      <c r="AY607" s="10">
        <v>3.6421570999999999</v>
      </c>
      <c r="AZ607" s="10">
        <v>3.6320850999999998</v>
      </c>
      <c r="BA607" s="10">
        <v>3.6228248999999999</v>
      </c>
      <c r="BB607" s="10">
        <v>3.6143326</v>
      </c>
      <c r="BC607" s="10">
        <v>3.6065638</v>
      </c>
      <c r="BD607" s="10">
        <v>3.5994741000000001</v>
      </c>
      <c r="BE607" s="10">
        <v>3.5930194000000002</v>
      </c>
      <c r="BF607" s="10">
        <v>3.5871604000000001</v>
      </c>
      <c r="BG607" s="10">
        <v>3.5818794999999999</v>
      </c>
      <c r="BH607" s="10">
        <v>3.5771651000000002</v>
      </c>
      <c r="BI607" s="10">
        <v>3.5730057999999998</v>
      </c>
      <c r="BJ607" s="10">
        <v>3.5693899</v>
      </c>
      <c r="BK607" s="10">
        <v>3.5663059000000001</v>
      </c>
      <c r="BL607" s="10">
        <v>3.5637422999999999</v>
      </c>
      <c r="BM607" s="10">
        <v>3.5616875000000001</v>
      </c>
      <c r="BN607" s="10">
        <v>3.56013</v>
      </c>
      <c r="BO607" s="10">
        <v>3.5590581999999999</v>
      </c>
      <c r="BP607" s="10">
        <v>3.5584606000000001</v>
      </c>
      <c r="BQ607" s="10">
        <v>3.5583257000000001</v>
      </c>
      <c r="BR607" s="10">
        <v>3.5666321000000001</v>
      </c>
      <c r="BS607" s="10">
        <v>3.5889700000000002</v>
      </c>
      <c r="BU607" s="7">
        <v>4.3899999999999997</v>
      </c>
      <c r="BV607" s="7">
        <v>4.2300000000000004</v>
      </c>
      <c r="BW607" s="9">
        <v>82.090400000000002</v>
      </c>
    </row>
    <row r="608" spans="1:75" x14ac:dyDescent="0.25">
      <c r="A608" s="6">
        <f t="shared" si="59"/>
        <v>45404</v>
      </c>
      <c r="B608" s="13">
        <f t="shared" si="54"/>
        <v>4</v>
      </c>
      <c r="C608" s="13">
        <f t="shared" si="55"/>
        <v>2024</v>
      </c>
      <c r="D608">
        <f t="shared" si="56"/>
        <v>202404</v>
      </c>
      <c r="E608">
        <f t="shared" si="57"/>
        <v>2</v>
      </c>
      <c r="F608">
        <f t="shared" si="58"/>
        <v>202402</v>
      </c>
      <c r="G608" t="s">
        <v>806</v>
      </c>
      <c r="H608" s="9">
        <v>5.25</v>
      </c>
      <c r="I608" s="9">
        <v>5.1993</v>
      </c>
      <c r="J608" s="10">
        <v>5.1591722999999998</v>
      </c>
      <c r="K608" s="10">
        <v>5.0889644000000001</v>
      </c>
      <c r="L608" s="10">
        <v>5.0067759000000001</v>
      </c>
      <c r="M608" s="10">
        <v>4.9239135000000003</v>
      </c>
      <c r="N608" s="10">
        <v>4.8459659000000004</v>
      </c>
      <c r="O608" s="10">
        <v>4.7733939000000003</v>
      </c>
      <c r="P608" s="10">
        <v>4.7062191999999996</v>
      </c>
      <c r="Q608" s="10">
        <v>4.6449597999999996</v>
      </c>
      <c r="R608" s="10">
        <v>4.5904863000000002</v>
      </c>
      <c r="S608" s="10">
        <v>4.5427686999999999</v>
      </c>
      <c r="T608" s="10">
        <v>4.5008362000000002</v>
      </c>
      <c r="U608" s="10">
        <v>4.4631531999999998</v>
      </c>
      <c r="V608" s="10">
        <v>4.4267842000000002</v>
      </c>
      <c r="W608" s="10">
        <v>4.3908342999999999</v>
      </c>
      <c r="X608" s="10">
        <v>4.3550708</v>
      </c>
      <c r="Y608" s="10">
        <v>4.3192596999999999</v>
      </c>
      <c r="Z608" s="10">
        <v>4.2831669999999997</v>
      </c>
      <c r="AA608" s="10">
        <v>4.2465599999999997</v>
      </c>
      <c r="AB608" s="10">
        <v>4.2092989999999997</v>
      </c>
      <c r="AC608" s="10">
        <v>4.1716407999999996</v>
      </c>
      <c r="AD608" s="10">
        <v>4.1339480000000002</v>
      </c>
      <c r="AE608" s="10">
        <v>4.0965815000000001</v>
      </c>
      <c r="AF608" s="10">
        <v>4.0599023000000001</v>
      </c>
      <c r="AG608" s="10">
        <v>4.024273</v>
      </c>
      <c r="AH608" s="10">
        <v>3.9899917999999999</v>
      </c>
      <c r="AI608" s="10">
        <v>3.9571065000000001</v>
      </c>
      <c r="AJ608" s="10">
        <v>3.9256034</v>
      </c>
      <c r="AK608" s="10">
        <v>3.8954675000000001</v>
      </c>
      <c r="AL608" s="10">
        <v>3.8666839</v>
      </c>
      <c r="AM608" s="10">
        <v>3.8392388999999998</v>
      </c>
      <c r="AN608" s="10">
        <v>3.8131176</v>
      </c>
      <c r="AO608" s="10">
        <v>3.7883049999999998</v>
      </c>
      <c r="AP608" s="10">
        <v>3.7647873999999999</v>
      </c>
      <c r="AQ608" s="10">
        <v>3.7425497999999999</v>
      </c>
      <c r="AR608" s="10">
        <v>3.7215775999999998</v>
      </c>
      <c r="AS608" s="10">
        <v>3.7018564999999999</v>
      </c>
      <c r="AT608" s="10">
        <v>3.6833684999999998</v>
      </c>
      <c r="AU608" s="10">
        <v>3.6660816999999999</v>
      </c>
      <c r="AV608" s="10">
        <v>3.6499611999999999</v>
      </c>
      <c r="AW608" s="10">
        <v>3.6349718000000002</v>
      </c>
      <c r="AX608" s="10">
        <v>3.6210781000000001</v>
      </c>
      <c r="AY608" s="10">
        <v>3.6082453000000001</v>
      </c>
      <c r="AZ608" s="10">
        <v>3.5964380999999999</v>
      </c>
      <c r="BA608" s="10">
        <v>3.5856213000000001</v>
      </c>
      <c r="BB608" s="10">
        <v>3.5757599</v>
      </c>
      <c r="BC608" s="10">
        <v>3.5668186</v>
      </c>
      <c r="BD608" s="10">
        <v>3.5587623000000002</v>
      </c>
      <c r="BE608" s="10">
        <v>3.5515560000000002</v>
      </c>
      <c r="BF608" s="10">
        <v>3.545166</v>
      </c>
      <c r="BG608" s="10">
        <v>3.5395683</v>
      </c>
      <c r="BH608" s="10">
        <v>3.5347415999999998</v>
      </c>
      <c r="BI608" s="10">
        <v>3.5306647999999998</v>
      </c>
      <c r="BJ608" s="10">
        <v>3.5273165999999998</v>
      </c>
      <c r="BK608" s="10">
        <v>3.5246761000000002</v>
      </c>
      <c r="BL608" s="10">
        <v>3.5227219000000001</v>
      </c>
      <c r="BM608" s="10">
        <v>3.5214329000000002</v>
      </c>
      <c r="BN608" s="10">
        <v>3.5207880999999999</v>
      </c>
      <c r="BO608" s="10">
        <v>3.5207660999999999</v>
      </c>
      <c r="BP608" s="10">
        <v>3.5213459</v>
      </c>
      <c r="BQ608" s="10">
        <v>3.5225062999999999</v>
      </c>
      <c r="BR608" s="10">
        <v>3.5404293</v>
      </c>
      <c r="BS608" s="10">
        <v>3.5736335000000001</v>
      </c>
      <c r="BU608" s="7">
        <v>4.33</v>
      </c>
      <c r="BV608" s="7">
        <v>4.2</v>
      </c>
      <c r="BW608" s="9">
        <v>81.509299999999996</v>
      </c>
    </row>
    <row r="609" spans="1:75" x14ac:dyDescent="0.25">
      <c r="A609" s="6">
        <f t="shared" si="59"/>
        <v>45405</v>
      </c>
      <c r="B609" s="13">
        <f t="shared" si="54"/>
        <v>4</v>
      </c>
      <c r="C609" s="13">
        <f t="shared" si="55"/>
        <v>2024</v>
      </c>
      <c r="D609">
        <f t="shared" si="56"/>
        <v>202404</v>
      </c>
      <c r="E609">
        <f t="shared" si="57"/>
        <v>2</v>
      </c>
      <c r="F609">
        <f t="shared" si="58"/>
        <v>202402</v>
      </c>
      <c r="G609" t="s">
        <v>807</v>
      </c>
      <c r="H609" s="9">
        <v>5.25</v>
      </c>
      <c r="I609" s="9">
        <v>5.1997</v>
      </c>
      <c r="J609" s="10">
        <v>5.1804264</v>
      </c>
      <c r="K609" s="10">
        <v>5.1183350000000001</v>
      </c>
      <c r="L609" s="10">
        <v>5.0422995999999998</v>
      </c>
      <c r="M609" s="10">
        <v>4.9634992000000002</v>
      </c>
      <c r="N609" s="10">
        <v>4.8876328999999998</v>
      </c>
      <c r="O609" s="10">
        <v>4.8155286000000004</v>
      </c>
      <c r="P609" s="10">
        <v>4.7478866000000002</v>
      </c>
      <c r="Q609" s="10">
        <v>4.6858871000000004</v>
      </c>
      <c r="R609" s="10">
        <v>4.6307809000000004</v>
      </c>
      <c r="S609" s="10">
        <v>4.5827381999999997</v>
      </c>
      <c r="T609" s="10">
        <v>4.54068</v>
      </c>
      <c r="U609" s="10">
        <v>4.5031147999999996</v>
      </c>
      <c r="V609" s="10">
        <v>4.4671012000000001</v>
      </c>
      <c r="W609" s="10">
        <v>4.4316749</v>
      </c>
      <c r="X609" s="10">
        <v>4.3965123999999998</v>
      </c>
      <c r="Y609" s="10">
        <v>4.3612893000000001</v>
      </c>
      <c r="Z609" s="10">
        <v>4.3256810000000003</v>
      </c>
      <c r="AA609" s="10">
        <v>4.2893641999999996</v>
      </c>
      <c r="AB609" s="10">
        <v>4.2521287000000001</v>
      </c>
      <c r="AC609" s="10">
        <v>4.2142453</v>
      </c>
      <c r="AD609" s="10">
        <v>4.1761122000000004</v>
      </c>
      <c r="AE609" s="10">
        <v>4.1381262000000003</v>
      </c>
      <c r="AF609" s="10">
        <v>4.1006843000000002</v>
      </c>
      <c r="AG609" s="10">
        <v>4.0641847000000002</v>
      </c>
      <c r="AH609" s="10">
        <v>4.0289580000000003</v>
      </c>
      <c r="AI609" s="10">
        <v>3.995069</v>
      </c>
      <c r="AJ609" s="10">
        <v>3.9625176</v>
      </c>
      <c r="AK609" s="10">
        <v>3.9313022000000002</v>
      </c>
      <c r="AL609" s="10">
        <v>3.9014215000000001</v>
      </c>
      <c r="AM609" s="10">
        <v>3.8728750999999999</v>
      </c>
      <c r="AN609" s="10">
        <v>3.8456616000000001</v>
      </c>
      <c r="AO609" s="10">
        <v>3.8197795999999999</v>
      </c>
      <c r="AP609" s="10">
        <v>3.7952286000000002</v>
      </c>
      <c r="AQ609" s="10">
        <v>3.7720074000000001</v>
      </c>
      <c r="AR609" s="10">
        <v>3.7501145</v>
      </c>
      <c r="AS609" s="10">
        <v>3.7295495000000001</v>
      </c>
      <c r="AT609" s="10">
        <v>3.7103047</v>
      </c>
      <c r="AU609" s="10">
        <v>3.6923471000000001</v>
      </c>
      <c r="AV609" s="10">
        <v>3.6756381</v>
      </c>
      <c r="AW609" s="10">
        <v>3.6601385</v>
      </c>
      <c r="AX609" s="10">
        <v>3.6458089999999999</v>
      </c>
      <c r="AY609" s="10">
        <v>3.6326109999999998</v>
      </c>
      <c r="AZ609" s="10">
        <v>3.6205050000000001</v>
      </c>
      <c r="BA609" s="10">
        <v>3.6094520999999999</v>
      </c>
      <c r="BB609" s="10">
        <v>3.5994134</v>
      </c>
      <c r="BC609" s="10">
        <v>3.5903496000000001</v>
      </c>
      <c r="BD609" s="10">
        <v>3.5822216999999998</v>
      </c>
      <c r="BE609" s="10">
        <v>3.5749908000000001</v>
      </c>
      <c r="BF609" s="10">
        <v>3.5686192999999999</v>
      </c>
      <c r="BG609" s="10">
        <v>3.5630782999999999</v>
      </c>
      <c r="BH609" s="10">
        <v>3.5583412000000001</v>
      </c>
      <c r="BI609" s="10">
        <v>3.5543814</v>
      </c>
      <c r="BJ609" s="10">
        <v>3.5511724</v>
      </c>
      <c r="BK609" s="10">
        <v>3.5486876000000001</v>
      </c>
      <c r="BL609" s="10">
        <v>3.5469005</v>
      </c>
      <c r="BM609" s="10">
        <v>3.5457844999999999</v>
      </c>
      <c r="BN609" s="10">
        <v>3.5453130000000002</v>
      </c>
      <c r="BO609" s="10">
        <v>3.5454595000000002</v>
      </c>
      <c r="BP609" s="10">
        <v>3.5461974999999999</v>
      </c>
      <c r="BQ609" s="10">
        <v>3.5475002999999998</v>
      </c>
      <c r="BR609" s="10">
        <v>3.5658145999999999</v>
      </c>
      <c r="BS609" s="10">
        <v>3.5985130000000001</v>
      </c>
      <c r="BU609" s="7">
        <v>4.3499999999999996</v>
      </c>
      <c r="BV609" s="7">
        <v>4.2300000000000004</v>
      </c>
      <c r="BW609" s="9">
        <v>81.971599999999995</v>
      </c>
    </row>
    <row r="610" spans="1:75" x14ac:dyDescent="0.25">
      <c r="A610" s="6">
        <f t="shared" si="59"/>
        <v>45406</v>
      </c>
      <c r="B610" s="13">
        <f t="shared" si="54"/>
        <v>4</v>
      </c>
      <c r="C610" s="13">
        <f t="shared" si="55"/>
        <v>2024</v>
      </c>
      <c r="D610">
        <f t="shared" si="56"/>
        <v>202404</v>
      </c>
      <c r="E610">
        <f t="shared" si="57"/>
        <v>2</v>
      </c>
      <c r="F610">
        <f t="shared" si="58"/>
        <v>202402</v>
      </c>
      <c r="G610" t="s">
        <v>808</v>
      </c>
      <c r="H610" s="9">
        <v>5.25</v>
      </c>
      <c r="I610" s="9">
        <v>5.1993</v>
      </c>
      <c r="J610" s="10">
        <v>5.1819933000000002</v>
      </c>
      <c r="K610" s="10">
        <v>5.1274965999999997</v>
      </c>
      <c r="L610" s="10">
        <v>5.0596266999999999</v>
      </c>
      <c r="M610" s="10">
        <v>4.9892370000000001</v>
      </c>
      <c r="N610" s="10">
        <v>4.9224622</v>
      </c>
      <c r="O610" s="10">
        <v>4.8597729000000003</v>
      </c>
      <c r="P610" s="10">
        <v>4.8012493000000003</v>
      </c>
      <c r="Q610" s="10">
        <v>4.7475180999999997</v>
      </c>
      <c r="R610" s="10">
        <v>4.6994087000000002</v>
      </c>
      <c r="S610" s="10">
        <v>4.6570584999999998</v>
      </c>
      <c r="T610" s="10">
        <v>4.6196716000000002</v>
      </c>
      <c r="U610" s="10">
        <v>4.5859139999999998</v>
      </c>
      <c r="V610" s="10">
        <v>4.5531227000000003</v>
      </c>
      <c r="W610" s="10">
        <v>4.5204402000000004</v>
      </c>
      <c r="X610" s="10">
        <v>4.4875778000000004</v>
      </c>
      <c r="Y610" s="10">
        <v>4.4542453000000002</v>
      </c>
      <c r="Z610" s="10">
        <v>4.4201527</v>
      </c>
      <c r="AA610" s="10">
        <v>4.3850110999999998</v>
      </c>
      <c r="AB610" s="10">
        <v>4.3486412999999997</v>
      </c>
      <c r="AC610" s="10">
        <v>4.3113301000000002</v>
      </c>
      <c r="AD610" s="10">
        <v>4.2734880999999998</v>
      </c>
      <c r="AE610" s="10">
        <v>4.2355242999999998</v>
      </c>
      <c r="AF610" s="10">
        <v>4.1978479999999996</v>
      </c>
      <c r="AG610" s="10">
        <v>4.1608695999999998</v>
      </c>
      <c r="AH610" s="10">
        <v>4.1249371000000004</v>
      </c>
      <c r="AI610" s="10">
        <v>4.0901535999999998</v>
      </c>
      <c r="AJ610" s="10">
        <v>4.0565622000000001</v>
      </c>
      <c r="AK610" s="10">
        <v>4.0242047999999997</v>
      </c>
      <c r="AL610" s="10">
        <v>3.9931234</v>
      </c>
      <c r="AM610" s="10">
        <v>3.9633611000000002</v>
      </c>
      <c r="AN610" s="10">
        <v>3.9349596</v>
      </c>
      <c r="AO610" s="10">
        <v>3.9079611000000001</v>
      </c>
      <c r="AP610" s="10">
        <v>3.8824084999999999</v>
      </c>
      <c r="AQ610" s="10">
        <v>3.8583438000000001</v>
      </c>
      <c r="AR610" s="10">
        <v>3.8358089</v>
      </c>
      <c r="AS610" s="10">
        <v>3.8148468000000002</v>
      </c>
      <c r="AT610" s="10">
        <v>3.7954853000000002</v>
      </c>
      <c r="AU610" s="10">
        <v>3.7776833000000001</v>
      </c>
      <c r="AV610" s="10">
        <v>3.7613791999999999</v>
      </c>
      <c r="AW610" s="10">
        <v>3.7465107</v>
      </c>
      <c r="AX610" s="10">
        <v>3.7330157000000002</v>
      </c>
      <c r="AY610" s="10">
        <v>3.7208326999999999</v>
      </c>
      <c r="AZ610" s="10">
        <v>3.7098993</v>
      </c>
      <c r="BA610" s="10">
        <v>3.7001534999999999</v>
      </c>
      <c r="BB610" s="10">
        <v>3.6915336999999999</v>
      </c>
      <c r="BC610" s="10">
        <v>3.6839775000000001</v>
      </c>
      <c r="BD610" s="10">
        <v>3.6774230999999999</v>
      </c>
      <c r="BE610" s="10">
        <v>3.6718085</v>
      </c>
      <c r="BF610" s="10">
        <v>3.6670753999999999</v>
      </c>
      <c r="BG610" s="10">
        <v>3.6631824000000002</v>
      </c>
      <c r="BH610" s="10">
        <v>3.6600925000000002</v>
      </c>
      <c r="BI610" s="10">
        <v>3.6577687999999999</v>
      </c>
      <c r="BJ610" s="10">
        <v>3.6561743999999998</v>
      </c>
      <c r="BK610" s="10">
        <v>3.6552723999999999</v>
      </c>
      <c r="BL610" s="10">
        <v>3.6550259</v>
      </c>
      <c r="BM610" s="10">
        <v>3.6553977999999998</v>
      </c>
      <c r="BN610" s="10">
        <v>3.6563514000000001</v>
      </c>
      <c r="BO610" s="10">
        <v>3.6578496999999999</v>
      </c>
      <c r="BP610" s="10">
        <v>3.6598557</v>
      </c>
      <c r="BQ610" s="10">
        <v>3.6623326</v>
      </c>
      <c r="BR610" s="10">
        <v>3.6856730999999998</v>
      </c>
      <c r="BS610" s="10">
        <v>3.7206554999999999</v>
      </c>
      <c r="BU610" s="7">
        <v>4.45</v>
      </c>
      <c r="BV610" s="7">
        <v>4.33</v>
      </c>
      <c r="BW610" s="9">
        <v>82.057100000000005</v>
      </c>
    </row>
    <row r="611" spans="1:75" x14ac:dyDescent="0.25">
      <c r="A611" s="6">
        <f t="shared" si="59"/>
        <v>45407</v>
      </c>
      <c r="B611" s="13">
        <f t="shared" si="54"/>
        <v>4</v>
      </c>
      <c r="C611" s="13">
        <f t="shared" si="55"/>
        <v>2024</v>
      </c>
      <c r="D611">
        <f t="shared" si="56"/>
        <v>202404</v>
      </c>
      <c r="E611">
        <f t="shared" si="57"/>
        <v>2</v>
      </c>
      <c r="F611">
        <f t="shared" si="58"/>
        <v>202402</v>
      </c>
      <c r="G611" t="s">
        <v>809</v>
      </c>
      <c r="H611" s="9">
        <v>5.25</v>
      </c>
      <c r="I611" s="9">
        <v>5.1997999999999998</v>
      </c>
      <c r="J611" s="10">
        <v>5.1856567</v>
      </c>
      <c r="K611" s="10">
        <v>5.1365490999999999</v>
      </c>
      <c r="L611" s="10">
        <v>5.0734950000000003</v>
      </c>
      <c r="M611" s="10">
        <v>5.0075814999999997</v>
      </c>
      <c r="N611" s="10">
        <v>4.9455340999999997</v>
      </c>
      <c r="O611" s="10">
        <v>4.8881319000000003</v>
      </c>
      <c r="P611" s="10">
        <v>4.8355082999999999</v>
      </c>
      <c r="Q611" s="10">
        <v>4.7879417000000002</v>
      </c>
      <c r="R611" s="10">
        <v>4.7455797000000004</v>
      </c>
      <c r="S611" s="10">
        <v>4.7080247999999996</v>
      </c>
      <c r="T611" s="10">
        <v>4.6740427000000002</v>
      </c>
      <c r="U611" s="10">
        <v>4.6421697000000002</v>
      </c>
      <c r="V611" s="10">
        <v>4.6099766000000004</v>
      </c>
      <c r="W611" s="10">
        <v>4.5767832000000004</v>
      </c>
      <c r="X611" s="10">
        <v>4.5424455000000004</v>
      </c>
      <c r="Y611" s="10">
        <v>4.506818</v>
      </c>
      <c r="Z611" s="10">
        <v>4.4697553000000001</v>
      </c>
      <c r="AA611" s="10">
        <v>4.4311135000000004</v>
      </c>
      <c r="AB611" s="10">
        <v>4.3908443000000004</v>
      </c>
      <c r="AC611" s="10">
        <v>4.3493982000000004</v>
      </c>
      <c r="AD611" s="10">
        <v>4.3073864000000004</v>
      </c>
      <c r="AE611" s="10">
        <v>4.2654186000000003</v>
      </c>
      <c r="AF611" s="10">
        <v>4.2241046000000004</v>
      </c>
      <c r="AG611" s="10">
        <v>4.1840555999999998</v>
      </c>
      <c r="AH611" s="10">
        <v>4.1457943999999998</v>
      </c>
      <c r="AI611" s="10">
        <v>4.1094204999999997</v>
      </c>
      <c r="AJ611" s="10">
        <v>4.0749056000000001</v>
      </c>
      <c r="AK611" s="10">
        <v>4.0422203999999997</v>
      </c>
      <c r="AL611" s="10">
        <v>4.0113352999999998</v>
      </c>
      <c r="AM611" s="10">
        <v>3.9822220000000002</v>
      </c>
      <c r="AN611" s="10">
        <v>3.9548510000000001</v>
      </c>
      <c r="AO611" s="10">
        <v>3.9291931</v>
      </c>
      <c r="AP611" s="10">
        <v>3.9052197999999998</v>
      </c>
      <c r="AQ611" s="10">
        <v>3.8829017000000001</v>
      </c>
      <c r="AR611" s="10">
        <v>3.8622093999999998</v>
      </c>
      <c r="AS611" s="10">
        <v>3.8431144000000002</v>
      </c>
      <c r="AT611" s="10">
        <v>3.8255805000000001</v>
      </c>
      <c r="AU611" s="10">
        <v>3.8095412</v>
      </c>
      <c r="AV611" s="10">
        <v>3.7949220000000001</v>
      </c>
      <c r="AW611" s="10">
        <v>3.7816481</v>
      </c>
      <c r="AX611" s="10">
        <v>3.7696443999999998</v>
      </c>
      <c r="AY611" s="10">
        <v>3.7588366999999998</v>
      </c>
      <c r="AZ611" s="10">
        <v>3.7491498000000001</v>
      </c>
      <c r="BA611" s="10">
        <v>3.7405091000000001</v>
      </c>
      <c r="BB611" s="10">
        <v>3.7328397999999998</v>
      </c>
      <c r="BC611" s="10">
        <v>3.7260673</v>
      </c>
      <c r="BD611" s="10">
        <v>3.7201165999999999</v>
      </c>
      <c r="BE611" s="10">
        <v>3.7149131</v>
      </c>
      <c r="BF611" s="10">
        <v>3.7103901000000001</v>
      </c>
      <c r="BG611" s="10">
        <v>3.7065166000000001</v>
      </c>
      <c r="BH611" s="10">
        <v>3.7032718</v>
      </c>
      <c r="BI611" s="10">
        <v>3.7006344000000002</v>
      </c>
      <c r="BJ611" s="10">
        <v>3.6985836000000001</v>
      </c>
      <c r="BK611" s="10">
        <v>3.6970982000000001</v>
      </c>
      <c r="BL611" s="10">
        <v>3.6961572</v>
      </c>
      <c r="BM611" s="10">
        <v>3.6957396</v>
      </c>
      <c r="BN611" s="10">
        <v>3.6958243</v>
      </c>
      <c r="BO611" s="10">
        <v>3.6963903</v>
      </c>
      <c r="BP611" s="10">
        <v>3.6974165999999999</v>
      </c>
      <c r="BQ611" s="10">
        <v>3.6988821999999999</v>
      </c>
      <c r="BR611" s="10">
        <v>3.7159437999999998</v>
      </c>
      <c r="BS611" s="10">
        <v>3.7448667000000002</v>
      </c>
      <c r="BU611" s="7">
        <v>4.5</v>
      </c>
      <c r="BV611" s="7">
        <v>4.3600000000000003</v>
      </c>
      <c r="BW611" s="9">
        <v>82.331299999999999</v>
      </c>
    </row>
    <row r="612" spans="1:75" x14ac:dyDescent="0.25">
      <c r="A612" s="6">
        <f t="shared" si="59"/>
        <v>45408</v>
      </c>
      <c r="B612" s="13">
        <f t="shared" si="54"/>
        <v>4</v>
      </c>
      <c r="C612" s="13">
        <f t="shared" si="55"/>
        <v>2024</v>
      </c>
      <c r="D612">
        <f t="shared" si="56"/>
        <v>202404</v>
      </c>
      <c r="E612">
        <f t="shared" si="57"/>
        <v>2</v>
      </c>
      <c r="F612">
        <f t="shared" si="58"/>
        <v>202402</v>
      </c>
      <c r="G612" t="s">
        <v>881</v>
      </c>
      <c r="H612" s="9">
        <v>5.25</v>
      </c>
      <c r="I612" s="9">
        <v>5.1999000000000004</v>
      </c>
      <c r="J612" s="10">
        <v>5.1833989999999996</v>
      </c>
      <c r="K612" s="10">
        <v>5.1273596000000001</v>
      </c>
      <c r="L612" s="10">
        <v>5.0613728</v>
      </c>
      <c r="M612" s="10">
        <v>4.9962876999999999</v>
      </c>
      <c r="N612" s="10">
        <v>4.9372201000000002</v>
      </c>
      <c r="O612" s="10">
        <v>4.8830986999999997</v>
      </c>
      <c r="P612" s="10">
        <v>4.8324151000000004</v>
      </c>
      <c r="Q612" s="10">
        <v>4.7846247999999996</v>
      </c>
      <c r="R612" s="10">
        <v>4.7396162999999998</v>
      </c>
      <c r="S612" s="10">
        <v>4.6972395999999996</v>
      </c>
      <c r="T612" s="10">
        <v>4.6569612999999999</v>
      </c>
      <c r="U612" s="10">
        <v>4.6180652999999996</v>
      </c>
      <c r="V612" s="10">
        <v>4.5791943000000002</v>
      </c>
      <c r="W612" s="10">
        <v>4.5399928999999997</v>
      </c>
      <c r="X612" s="10">
        <v>4.5004806999999998</v>
      </c>
      <c r="Y612" s="10">
        <v>4.4606759</v>
      </c>
      <c r="Z612" s="10">
        <v>4.4205968999999996</v>
      </c>
      <c r="AA612" s="10">
        <v>4.3802633000000002</v>
      </c>
      <c r="AB612" s="10">
        <v>4.3397404000000002</v>
      </c>
      <c r="AC612" s="10">
        <v>4.2993125000000001</v>
      </c>
      <c r="AD612" s="10">
        <v>4.2593281999999997</v>
      </c>
      <c r="AE612" s="10">
        <v>4.2201351000000003</v>
      </c>
      <c r="AF612" s="10">
        <v>4.1820804999999996</v>
      </c>
      <c r="AG612" s="10">
        <v>4.1455133000000002</v>
      </c>
      <c r="AH612" s="10">
        <v>4.1107205000000002</v>
      </c>
      <c r="AI612" s="10">
        <v>4.0777223999999999</v>
      </c>
      <c r="AJ612" s="10">
        <v>4.0464669000000004</v>
      </c>
      <c r="AK612" s="10">
        <v>4.0169005999999996</v>
      </c>
      <c r="AL612" s="10">
        <v>3.9889703999999999</v>
      </c>
      <c r="AM612" s="10">
        <v>3.9626241000000002</v>
      </c>
      <c r="AN612" s="10">
        <v>3.9378082999999999</v>
      </c>
      <c r="AO612" s="10">
        <v>3.9144698999999998</v>
      </c>
      <c r="AP612" s="10">
        <v>3.8925565999999998</v>
      </c>
      <c r="AQ612" s="10">
        <v>3.8720151999999999</v>
      </c>
      <c r="AR612" s="10">
        <v>3.8527925000000001</v>
      </c>
      <c r="AS612" s="10">
        <v>3.8348361</v>
      </c>
      <c r="AT612" s="10">
        <v>3.8180934999999998</v>
      </c>
      <c r="AU612" s="10">
        <v>3.8025147000000001</v>
      </c>
      <c r="AV612" s="10">
        <v>3.7880508000000002</v>
      </c>
      <c r="AW612" s="10">
        <v>3.7746523999999999</v>
      </c>
      <c r="AX612" s="10">
        <v>3.76227</v>
      </c>
      <c r="AY612" s="10">
        <v>3.7508547999999999</v>
      </c>
      <c r="AZ612" s="10">
        <v>3.7403572999999999</v>
      </c>
      <c r="BA612" s="10">
        <v>3.7307283</v>
      </c>
      <c r="BB612" s="10">
        <v>3.7219186999999998</v>
      </c>
      <c r="BC612" s="10">
        <v>3.7138791000000002</v>
      </c>
      <c r="BD612" s="10">
        <v>3.7065603</v>
      </c>
      <c r="BE612" s="10">
        <v>3.6999130999999998</v>
      </c>
      <c r="BF612" s="10">
        <v>3.6938936</v>
      </c>
      <c r="BG612" s="10">
        <v>3.6884817000000001</v>
      </c>
      <c r="BH612" s="10">
        <v>3.6836638000000002</v>
      </c>
      <c r="BI612" s="10">
        <v>3.6794262</v>
      </c>
      <c r="BJ612" s="10">
        <v>3.6757553000000001</v>
      </c>
      <c r="BK612" s="10">
        <v>3.6726377000000001</v>
      </c>
      <c r="BL612" s="10">
        <v>3.6700596000000001</v>
      </c>
      <c r="BM612" s="10">
        <v>3.6680074</v>
      </c>
      <c r="BN612" s="10">
        <v>3.6664675</v>
      </c>
      <c r="BO612" s="10">
        <v>3.6654263999999999</v>
      </c>
      <c r="BP612" s="10">
        <v>3.6648703999999999</v>
      </c>
      <c r="BQ612" s="10">
        <v>3.6647859</v>
      </c>
      <c r="BR612" s="10">
        <v>3.6734401000000001</v>
      </c>
      <c r="BS612" s="10">
        <v>3.6957686000000001</v>
      </c>
      <c r="BU612" s="7">
        <v>4.4800000000000004</v>
      </c>
      <c r="BV612" s="7">
        <v>4.33</v>
      </c>
      <c r="BW612" s="9">
        <v>82.295100000000005</v>
      </c>
    </row>
    <row r="613" spans="1:75" x14ac:dyDescent="0.25">
      <c r="A613" s="6">
        <f t="shared" si="59"/>
        <v>45411</v>
      </c>
      <c r="B613" s="13">
        <f t="shared" si="54"/>
        <v>4</v>
      </c>
      <c r="C613" s="13">
        <f t="shared" ref="C613:C614" si="60">YEAR(A613)</f>
        <v>2024</v>
      </c>
      <c r="D613">
        <f t="shared" ref="D613:D614" si="61">C613*100+B613</f>
        <v>202404</v>
      </c>
      <c r="E613">
        <f t="shared" ref="E613:E614" si="62">IF(B613&lt;4,1,IF(B613&lt;7,2,IF(B613&lt;10,3,4)))</f>
        <v>2</v>
      </c>
      <c r="F613">
        <f t="shared" ref="F613:F614" si="63">C613*100+E613</f>
        <v>202402</v>
      </c>
      <c r="G613" t="s">
        <v>1368</v>
      </c>
      <c r="H613" s="9">
        <v>5.25</v>
      </c>
      <c r="I613" s="9">
        <v>5.2</v>
      </c>
      <c r="J613" s="10">
        <v>5.1834258999999996</v>
      </c>
      <c r="K613" s="10">
        <v>5.1239276</v>
      </c>
      <c r="L613" s="10">
        <v>5.0540083999999998</v>
      </c>
      <c r="M613" s="10">
        <v>4.9841918999999999</v>
      </c>
      <c r="N613" s="10">
        <v>4.9195396999999996</v>
      </c>
      <c r="O613" s="10">
        <v>4.8592288999999997</v>
      </c>
      <c r="P613" s="10">
        <v>4.8028415999999998</v>
      </c>
      <c r="Q613" s="10">
        <v>4.7510200999999999</v>
      </c>
      <c r="R613" s="10">
        <v>4.7043420999999999</v>
      </c>
      <c r="S613" s="10">
        <v>4.6626390000000004</v>
      </c>
      <c r="T613" s="10">
        <v>4.6250404999999999</v>
      </c>
      <c r="U613" s="10">
        <v>4.5901510999999999</v>
      </c>
      <c r="V613" s="10">
        <v>4.5553888000000002</v>
      </c>
      <c r="W613" s="10">
        <v>4.5200608000000004</v>
      </c>
      <c r="X613" s="10">
        <v>4.4840773</v>
      </c>
      <c r="Y613" s="10">
        <v>4.4473469999999997</v>
      </c>
      <c r="Z613" s="10">
        <v>4.4097784000000004</v>
      </c>
      <c r="AA613" s="10">
        <v>4.3712818000000002</v>
      </c>
      <c r="AB613" s="10">
        <v>4.3318487000000001</v>
      </c>
      <c r="AC613" s="10">
        <v>4.2918196999999996</v>
      </c>
      <c r="AD613" s="10">
        <v>4.2516283000000001</v>
      </c>
      <c r="AE613" s="10">
        <v>4.2117065</v>
      </c>
      <c r="AF613" s="10">
        <v>4.1724863000000001</v>
      </c>
      <c r="AG613" s="10">
        <v>4.1344013999999998</v>
      </c>
      <c r="AH613" s="10">
        <v>4.0978082000000002</v>
      </c>
      <c r="AI613" s="10">
        <v>4.0627611999999997</v>
      </c>
      <c r="AJ613" s="10">
        <v>4.0292408000000002</v>
      </c>
      <c r="AK613" s="10">
        <v>3.9972259000000001</v>
      </c>
      <c r="AL613" s="10">
        <v>3.9666956</v>
      </c>
      <c r="AM613" s="10">
        <v>3.93763</v>
      </c>
      <c r="AN613" s="10">
        <v>3.9100082999999999</v>
      </c>
      <c r="AO613" s="10">
        <v>3.8838094999999999</v>
      </c>
      <c r="AP613" s="10">
        <v>3.8590137000000002</v>
      </c>
      <c r="AQ613" s="10">
        <v>3.8355999000000001</v>
      </c>
      <c r="AR613" s="10">
        <v>3.8135474999999999</v>
      </c>
      <c r="AS613" s="10">
        <v>3.7928362</v>
      </c>
      <c r="AT613" s="10">
        <v>3.7734420000000002</v>
      </c>
      <c r="AU613" s="10">
        <v>3.7553279000000002</v>
      </c>
      <c r="AV613" s="10">
        <v>3.7384539999999999</v>
      </c>
      <c r="AW613" s="10">
        <v>3.7227798999999999</v>
      </c>
      <c r="AX613" s="10">
        <v>3.7082654000000002</v>
      </c>
      <c r="AY613" s="10">
        <v>3.6948705999999998</v>
      </c>
      <c r="AZ613" s="10">
        <v>3.6825551999999999</v>
      </c>
      <c r="BA613" s="10">
        <v>3.6712788999999999</v>
      </c>
      <c r="BB613" s="10">
        <v>3.6610016999999999</v>
      </c>
      <c r="BC613" s="10">
        <v>3.6516834</v>
      </c>
      <c r="BD613" s="10">
        <v>3.6432837</v>
      </c>
      <c r="BE613" s="10">
        <v>3.6357626000000001</v>
      </c>
      <c r="BF613" s="10">
        <v>3.6290817999999998</v>
      </c>
      <c r="BG613" s="10">
        <v>3.6232137999999998</v>
      </c>
      <c r="BH613" s="10">
        <v>3.6181355000000002</v>
      </c>
      <c r="BI613" s="10">
        <v>3.6138235999999999</v>
      </c>
      <c r="BJ613" s="10">
        <v>3.6102549000000002</v>
      </c>
      <c r="BK613" s="10">
        <v>3.6074060999999999</v>
      </c>
      <c r="BL613" s="10">
        <v>3.6052540999999998</v>
      </c>
      <c r="BM613" s="10">
        <v>3.6037754</v>
      </c>
      <c r="BN613" s="10">
        <v>3.6029469999999999</v>
      </c>
      <c r="BO613" s="10">
        <v>3.6027455000000002</v>
      </c>
      <c r="BP613" s="10">
        <v>3.6031477999999999</v>
      </c>
      <c r="BQ613" s="10">
        <v>3.6041305000000001</v>
      </c>
      <c r="BR613" s="10">
        <v>3.6208908000000002</v>
      </c>
      <c r="BS613" s="10">
        <v>3.6525416000000002</v>
      </c>
      <c r="BU613" s="7">
        <v>4.45</v>
      </c>
      <c r="BV613" s="7">
        <v>4.28</v>
      </c>
      <c r="BW613" s="9">
        <v>82.680499999999995</v>
      </c>
    </row>
    <row r="614" spans="1:75" x14ac:dyDescent="0.25">
      <c r="A614" s="6">
        <f t="shared" si="59"/>
        <v>45412</v>
      </c>
      <c r="B614" s="13">
        <f t="shared" si="54"/>
        <v>4</v>
      </c>
      <c r="C614" s="13">
        <f t="shared" si="60"/>
        <v>2024</v>
      </c>
      <c r="D614">
        <f t="shared" si="61"/>
        <v>202404</v>
      </c>
      <c r="E614">
        <f t="shared" si="62"/>
        <v>2</v>
      </c>
      <c r="F614">
        <f t="shared" si="63"/>
        <v>202402</v>
      </c>
      <c r="G614" t="s">
        <v>1369</v>
      </c>
      <c r="H614" s="9">
        <v>5.25</v>
      </c>
      <c r="I614" s="9">
        <v>5.1997999999999998</v>
      </c>
      <c r="J614" s="10">
        <v>5.1851984</v>
      </c>
      <c r="K614" s="10">
        <v>5.1353901000000004</v>
      </c>
      <c r="L614" s="10">
        <v>5.0750351</v>
      </c>
      <c r="M614" s="10">
        <v>5.0131968999999996</v>
      </c>
      <c r="N614" s="10">
        <v>4.9560019000000004</v>
      </c>
      <c r="O614" s="10">
        <v>4.9029444</v>
      </c>
      <c r="P614" s="10">
        <v>4.8531221000000002</v>
      </c>
      <c r="Q614" s="10">
        <v>4.8068704000000002</v>
      </c>
      <c r="R614" s="10">
        <v>4.7649857000000004</v>
      </c>
      <c r="S614" s="10">
        <v>4.7277091000000002</v>
      </c>
      <c r="T614" s="10">
        <v>4.6945418999999999</v>
      </c>
      <c r="U614" s="10">
        <v>4.6642637000000002</v>
      </c>
      <c r="V614" s="10">
        <v>4.6347699999999996</v>
      </c>
      <c r="W614" s="10">
        <v>4.6051972000000001</v>
      </c>
      <c r="X614" s="10">
        <v>4.5750715</v>
      </c>
      <c r="Y614" s="10">
        <v>4.5439182999999996</v>
      </c>
      <c r="Z614" s="10">
        <v>4.5112626000000002</v>
      </c>
      <c r="AA614" s="10">
        <v>4.4766309</v>
      </c>
      <c r="AB614" s="10">
        <v>4.4397057999999996</v>
      </c>
      <c r="AC614" s="10">
        <v>4.4009004999999997</v>
      </c>
      <c r="AD614" s="10">
        <v>4.3608415000000003</v>
      </c>
      <c r="AE614" s="10">
        <v>4.3201536000000003</v>
      </c>
      <c r="AF614" s="10">
        <v>4.2794619000000003</v>
      </c>
      <c r="AG614" s="10">
        <v>4.2393928000000001</v>
      </c>
      <c r="AH614" s="10">
        <v>4.2004720999999998</v>
      </c>
      <c r="AI614" s="10">
        <v>4.1628303000000004</v>
      </c>
      <c r="AJ614" s="10">
        <v>4.1264998000000004</v>
      </c>
      <c r="AK614" s="10">
        <v>4.0915122000000004</v>
      </c>
      <c r="AL614" s="10">
        <v>4.0578985999999997</v>
      </c>
      <c r="AM614" s="10">
        <v>4.0256917000000003</v>
      </c>
      <c r="AN614" s="10">
        <v>3.9949227</v>
      </c>
      <c r="AO614" s="10">
        <v>3.9656232</v>
      </c>
      <c r="AP614" s="10">
        <v>3.9378256</v>
      </c>
      <c r="AQ614" s="10">
        <v>3.9115612</v>
      </c>
      <c r="AR614" s="10">
        <v>3.8868615000000002</v>
      </c>
      <c r="AS614" s="10">
        <v>3.8637589999999999</v>
      </c>
      <c r="AT614" s="10">
        <v>3.8422691000000002</v>
      </c>
      <c r="AU614" s="10">
        <v>3.8223444999999998</v>
      </c>
      <c r="AV614" s="10">
        <v>3.8039223999999998</v>
      </c>
      <c r="AW614" s="10">
        <v>3.7869397</v>
      </c>
      <c r="AX614" s="10">
        <v>3.7713331000000001</v>
      </c>
      <c r="AY614" s="10">
        <v>3.7570397999999998</v>
      </c>
      <c r="AZ614" s="10">
        <v>3.7439966999999998</v>
      </c>
      <c r="BA614" s="10">
        <v>3.7321404</v>
      </c>
      <c r="BB614" s="10">
        <v>3.7214082999999998</v>
      </c>
      <c r="BC614" s="10">
        <v>3.7117369999999998</v>
      </c>
      <c r="BD614" s="10">
        <v>3.7030634999999998</v>
      </c>
      <c r="BE614" s="10">
        <v>3.6953247999999999</v>
      </c>
      <c r="BF614" s="10">
        <v>3.6884621000000002</v>
      </c>
      <c r="BG614" s="10">
        <v>3.6824393999999998</v>
      </c>
      <c r="BH614" s="10">
        <v>3.6772285999999998</v>
      </c>
      <c r="BI614" s="10">
        <v>3.6728014</v>
      </c>
      <c r="BJ614" s="10">
        <v>3.6691297</v>
      </c>
      <c r="BK614" s="10">
        <v>3.6661853</v>
      </c>
      <c r="BL614" s="10">
        <v>3.6639398999999999</v>
      </c>
      <c r="BM614" s="10">
        <v>3.6623654000000001</v>
      </c>
      <c r="BN614" s="10">
        <v>3.6614336000000001</v>
      </c>
      <c r="BO614" s="10">
        <v>3.6611163000000002</v>
      </c>
      <c r="BP614" s="10">
        <v>3.6613851999999998</v>
      </c>
      <c r="BQ614" s="10">
        <v>3.6622123000000002</v>
      </c>
      <c r="BR614" s="10">
        <v>3.6775546000000001</v>
      </c>
      <c r="BS614" s="10">
        <v>3.707335</v>
      </c>
      <c r="BU614" s="7">
        <v>4.5199999999999996</v>
      </c>
      <c r="BV614" s="7">
        <v>4.3600000000000003</v>
      </c>
      <c r="BW614" s="9">
        <v>82.654499999999999</v>
      </c>
    </row>
    <row r="615" spans="1:75" x14ac:dyDescent="0.25">
      <c r="A615" s="6">
        <f t="shared" si="59"/>
        <v>45413</v>
      </c>
      <c r="B615" s="13">
        <f t="shared" ref="B615:B616" si="64">MONTH(A615)</f>
        <v>5</v>
      </c>
      <c r="C615" s="13">
        <f t="shared" ref="C615:C616" si="65">YEAR(A615)</f>
        <v>2024</v>
      </c>
      <c r="D615">
        <f t="shared" ref="D615:D616" si="66">C615*100+B615</f>
        <v>202405</v>
      </c>
      <c r="E615">
        <f t="shared" ref="E615:E616" si="67">IF(B615&lt;4,1,IF(B615&lt;7,2,IF(B615&lt;10,3,4)))</f>
        <v>2</v>
      </c>
      <c r="F615">
        <f t="shared" ref="F615:F616" si="68">C615*100+E615</f>
        <v>202402</v>
      </c>
      <c r="G615" t="s">
        <v>1370</v>
      </c>
      <c r="H615" s="9">
        <v>5.25</v>
      </c>
      <c r="I615" s="9">
        <v>5.2</v>
      </c>
      <c r="J615" s="10">
        <v>5.1827866</v>
      </c>
      <c r="K615" s="10">
        <v>5.1287642</v>
      </c>
      <c r="L615" s="10">
        <v>5.0675024000000004</v>
      </c>
      <c r="M615" s="10">
        <v>5.0072866999999999</v>
      </c>
      <c r="N615" s="10">
        <v>4.9530056</v>
      </c>
      <c r="O615" s="10">
        <v>4.9038240999999996</v>
      </c>
      <c r="P615" s="10">
        <v>4.8592301000000004</v>
      </c>
      <c r="Q615" s="10">
        <v>4.8197239999999999</v>
      </c>
      <c r="R615" s="10">
        <v>4.7856904</v>
      </c>
      <c r="S615" s="10">
        <v>4.7568691999999997</v>
      </c>
      <c r="T615" s="10">
        <v>4.7318106000000002</v>
      </c>
      <c r="U615" s="10">
        <v>4.7086454</v>
      </c>
      <c r="V615" s="10">
        <v>4.6842318000000001</v>
      </c>
      <c r="W615" s="10">
        <v>4.6576072999999996</v>
      </c>
      <c r="X615" s="10">
        <v>4.6284926999999998</v>
      </c>
      <c r="Y615" s="10">
        <v>4.5966079999999998</v>
      </c>
      <c r="Z615" s="10">
        <v>4.5616732000000004</v>
      </c>
      <c r="AA615" s="10">
        <v>4.5234093</v>
      </c>
      <c r="AB615" s="10">
        <v>4.4816766000000001</v>
      </c>
      <c r="AC615" s="10">
        <v>4.4371305000000003</v>
      </c>
      <c r="AD615" s="10">
        <v>4.3907074000000001</v>
      </c>
      <c r="AE615" s="10">
        <v>4.3433425000000003</v>
      </c>
      <c r="AF615" s="10">
        <v>4.2959711</v>
      </c>
      <c r="AG615" s="10">
        <v>4.2495301000000003</v>
      </c>
      <c r="AH615" s="10">
        <v>4.2048014</v>
      </c>
      <c r="AI615" s="10">
        <v>4.1619542000000003</v>
      </c>
      <c r="AJ615" s="10">
        <v>4.1210057999999998</v>
      </c>
      <c r="AK615" s="10">
        <v>4.0819723000000003</v>
      </c>
      <c r="AL615" s="10">
        <v>4.0448696000000002</v>
      </c>
      <c r="AM615" s="10">
        <v>4.0097149999999999</v>
      </c>
      <c r="AN615" s="10">
        <v>3.9765245</v>
      </c>
      <c r="AO615" s="10">
        <v>3.9453141</v>
      </c>
      <c r="AP615" s="10">
        <v>3.9161011000000001</v>
      </c>
      <c r="AQ615" s="10">
        <v>3.8889014</v>
      </c>
      <c r="AR615" s="10">
        <v>3.8637310999999999</v>
      </c>
      <c r="AS615" s="10">
        <v>3.8406074000000001</v>
      </c>
      <c r="AT615" s="10">
        <v>3.8195309000000002</v>
      </c>
      <c r="AU615" s="10">
        <v>3.8004196000000001</v>
      </c>
      <c r="AV615" s="10">
        <v>3.7831643000000001</v>
      </c>
      <c r="AW615" s="10">
        <v>3.7676552000000001</v>
      </c>
      <c r="AX615" s="10">
        <v>3.7537824</v>
      </c>
      <c r="AY615" s="10">
        <v>3.7414366999999999</v>
      </c>
      <c r="AZ615" s="10">
        <v>3.7305082999999999</v>
      </c>
      <c r="BA615" s="10">
        <v>3.7208874000000001</v>
      </c>
      <c r="BB615" s="10">
        <v>3.7124647</v>
      </c>
      <c r="BC615" s="10">
        <v>3.7051303</v>
      </c>
      <c r="BD615" s="10">
        <v>3.6987746000000001</v>
      </c>
      <c r="BE615" s="10">
        <v>3.6932879999999999</v>
      </c>
      <c r="BF615" s="10">
        <v>3.6885716</v>
      </c>
      <c r="BG615" s="10">
        <v>3.6845773999999998</v>
      </c>
      <c r="BH615" s="10">
        <v>3.6812735999999999</v>
      </c>
      <c r="BI615" s="10">
        <v>3.6786281000000001</v>
      </c>
      <c r="BJ615" s="10">
        <v>3.6766087999999999</v>
      </c>
      <c r="BK615" s="10">
        <v>3.6751838000000001</v>
      </c>
      <c r="BL615" s="10">
        <v>3.6743209999999999</v>
      </c>
      <c r="BM615" s="10">
        <v>3.6739883999999998</v>
      </c>
      <c r="BN615" s="10">
        <v>3.6741538999999999</v>
      </c>
      <c r="BO615" s="10">
        <v>3.6747855</v>
      </c>
      <c r="BP615" s="10">
        <v>3.6758511999999999</v>
      </c>
      <c r="BQ615" s="10">
        <v>3.6773189999999998</v>
      </c>
      <c r="BR615" s="10">
        <v>3.6934513</v>
      </c>
      <c r="BS615" s="10">
        <v>3.7200886999999998</v>
      </c>
      <c r="BU615" s="7">
        <v>4.5199999999999996</v>
      </c>
      <c r="BV615" s="7">
        <v>4.3600000000000003</v>
      </c>
      <c r="BW615" s="9">
        <v>82.505899999999997</v>
      </c>
    </row>
    <row r="616" spans="1:75" x14ac:dyDescent="0.25">
      <c r="A616" s="6">
        <f t="shared" si="59"/>
        <v>45414</v>
      </c>
      <c r="B616" s="13">
        <f t="shared" si="64"/>
        <v>5</v>
      </c>
      <c r="C616" s="13">
        <f t="shared" si="65"/>
        <v>2024</v>
      </c>
      <c r="D616">
        <f t="shared" si="66"/>
        <v>202405</v>
      </c>
      <c r="E616">
        <f t="shared" si="67"/>
        <v>2</v>
      </c>
      <c r="F616">
        <f t="shared" si="68"/>
        <v>202402</v>
      </c>
      <c r="G616" t="s">
        <v>1371</v>
      </c>
      <c r="H616" s="9">
        <v>5.25</v>
      </c>
      <c r="I616" s="9">
        <v>5.2</v>
      </c>
      <c r="J616" s="10">
        <v>5.1741704999999998</v>
      </c>
      <c r="K616" s="10">
        <v>5.1119748999999999</v>
      </c>
      <c r="L616" s="10">
        <v>5.0426335</v>
      </c>
      <c r="M616" s="10">
        <v>4.9745910000000002</v>
      </c>
      <c r="N616" s="10">
        <v>4.9122592000000003</v>
      </c>
      <c r="O616" s="10">
        <v>4.8541115000000001</v>
      </c>
      <c r="P616" s="10">
        <v>4.7988716</v>
      </c>
      <c r="Q616" s="10">
        <v>4.7467104999999998</v>
      </c>
      <c r="R616" s="10">
        <v>4.6980158999999997</v>
      </c>
      <c r="S616" s="10">
        <v>4.6530750999999997</v>
      </c>
      <c r="T616" s="10">
        <v>4.6116254999999997</v>
      </c>
      <c r="U616" s="10">
        <v>4.5729799</v>
      </c>
      <c r="V616" s="10">
        <v>4.5358590999999997</v>
      </c>
      <c r="W616" s="10">
        <v>4.4995468000000001</v>
      </c>
      <c r="X616" s="10">
        <v>4.4635185000000002</v>
      </c>
      <c r="Y616" s="10">
        <v>4.4272486999999998</v>
      </c>
      <c r="Z616" s="10">
        <v>4.3902118999999997</v>
      </c>
      <c r="AA616" s="10">
        <v>4.3518838000000004</v>
      </c>
      <c r="AB616" s="10">
        <v>4.3118853000000001</v>
      </c>
      <c r="AC616" s="10">
        <v>4.2705883</v>
      </c>
      <c r="AD616" s="10">
        <v>4.2286057000000001</v>
      </c>
      <c r="AE616" s="10">
        <v>4.1865490999999997</v>
      </c>
      <c r="AF616" s="10">
        <v>4.1450303999999996</v>
      </c>
      <c r="AG616" s="10">
        <v>4.1046626000000002</v>
      </c>
      <c r="AH616" s="10">
        <v>4.0659808999999996</v>
      </c>
      <c r="AI616" s="10">
        <v>4.0291091999999997</v>
      </c>
      <c r="AJ616" s="10">
        <v>3.9940343</v>
      </c>
      <c r="AK616" s="10">
        <v>3.9607420000000002</v>
      </c>
      <c r="AL616" s="10">
        <v>3.9292180000000001</v>
      </c>
      <c r="AM616" s="10">
        <v>3.8994490000000002</v>
      </c>
      <c r="AN616" s="10">
        <v>3.8714208999999999</v>
      </c>
      <c r="AO616" s="10">
        <v>3.8451192999999999</v>
      </c>
      <c r="AP616" s="10">
        <v>3.8205309999999999</v>
      </c>
      <c r="AQ616" s="10">
        <v>3.7976416999999998</v>
      </c>
      <c r="AR616" s="10">
        <v>3.7764372000000002</v>
      </c>
      <c r="AS616" s="10">
        <v>3.7569042000000001</v>
      </c>
      <c r="AT616" s="10">
        <v>3.7390188000000002</v>
      </c>
      <c r="AU616" s="10">
        <v>3.7227104999999998</v>
      </c>
      <c r="AV616" s="10">
        <v>3.7078948999999999</v>
      </c>
      <c r="AW616" s="10">
        <v>3.6944870999999999</v>
      </c>
      <c r="AX616" s="10">
        <v>3.6824024</v>
      </c>
      <c r="AY616" s="10">
        <v>3.6715564000000001</v>
      </c>
      <c r="AZ616" s="10">
        <v>3.6618640999999998</v>
      </c>
      <c r="BA616" s="10">
        <v>3.6532409000000001</v>
      </c>
      <c r="BB616" s="10">
        <v>3.6456021999999999</v>
      </c>
      <c r="BC616" s="10">
        <v>3.6388633000000001</v>
      </c>
      <c r="BD616" s="10">
        <v>3.6329395</v>
      </c>
      <c r="BE616" s="10">
        <v>3.6277461</v>
      </c>
      <c r="BF616" s="10">
        <v>3.6232082000000001</v>
      </c>
      <c r="BG616" s="10">
        <v>3.6192940999999998</v>
      </c>
      <c r="BH616" s="10">
        <v>3.6159842000000002</v>
      </c>
      <c r="BI616" s="10">
        <v>3.6132585000000002</v>
      </c>
      <c r="BJ616" s="10">
        <v>3.6110975000000001</v>
      </c>
      <c r="BK616" s="10">
        <v>3.6094814</v>
      </c>
      <c r="BL616" s="10">
        <v>3.6083902999999999</v>
      </c>
      <c r="BM616" s="10">
        <v>3.6078046000000001</v>
      </c>
      <c r="BN616" s="10">
        <v>3.6077045000000001</v>
      </c>
      <c r="BO616" s="10">
        <v>3.6080701999999998</v>
      </c>
      <c r="BP616" s="10">
        <v>3.6088821000000002</v>
      </c>
      <c r="BQ616" s="10">
        <v>3.6101204</v>
      </c>
      <c r="BR616" s="10">
        <v>3.6256550000000001</v>
      </c>
      <c r="BS616" s="10">
        <v>3.6531242000000002</v>
      </c>
      <c r="BU616" s="7">
        <v>4.42</v>
      </c>
      <c r="BV616" s="7">
        <v>4.28</v>
      </c>
      <c r="BW616" s="9">
        <v>82.312299999999993</v>
      </c>
    </row>
    <row r="617" spans="1:75" x14ac:dyDescent="0.25">
      <c r="A617" s="6">
        <f t="shared" si="59"/>
        <v>45415</v>
      </c>
      <c r="B617" s="13">
        <f t="shared" ref="B617:B642" si="69">MONTH(A617)</f>
        <v>5</v>
      </c>
      <c r="C617" s="13">
        <f t="shared" ref="C617:C642" si="70">YEAR(A617)</f>
        <v>2024</v>
      </c>
      <c r="D617">
        <f t="shared" ref="D617:D642" si="71">C617*100+B617</f>
        <v>202405</v>
      </c>
      <c r="E617">
        <f t="shared" ref="E617:E642" si="72">IF(B617&lt;4,1,IF(B617&lt;7,2,IF(B617&lt;10,3,4)))</f>
        <v>2</v>
      </c>
      <c r="F617">
        <f t="shared" ref="F617:F642" si="73">C617*100+E617</f>
        <v>202402</v>
      </c>
      <c r="G617" t="s">
        <v>1373</v>
      </c>
      <c r="H617" s="9">
        <v>5.25</v>
      </c>
      <c r="I617" s="9">
        <v>5.2000999999999999</v>
      </c>
      <c r="J617" s="10">
        <v>5.1712702000000004</v>
      </c>
      <c r="K617" s="10">
        <v>5.1003635000000003</v>
      </c>
      <c r="L617" s="10">
        <v>5.0239675999999998</v>
      </c>
      <c r="M617" s="10">
        <v>4.9492633000000001</v>
      </c>
      <c r="N617" s="10">
        <v>4.8792355000000001</v>
      </c>
      <c r="O617" s="10">
        <v>4.8124830999999997</v>
      </c>
      <c r="P617" s="10">
        <v>4.7483960999999999</v>
      </c>
      <c r="Q617" s="10">
        <v>4.6876537999999996</v>
      </c>
      <c r="R617" s="10">
        <v>4.6308990999999997</v>
      </c>
      <c r="S617" s="10">
        <v>4.5782889999999998</v>
      </c>
      <c r="T617" s="10">
        <v>4.5293833000000001</v>
      </c>
      <c r="U617" s="10">
        <v>4.4832177</v>
      </c>
      <c r="V617" s="10">
        <v>4.4378251000000004</v>
      </c>
      <c r="W617" s="10">
        <v>4.3926939999999997</v>
      </c>
      <c r="X617" s="10">
        <v>4.3479185999999999</v>
      </c>
      <c r="Y617" s="10">
        <v>4.3035917000000001</v>
      </c>
      <c r="Z617" s="10">
        <v>4.2598064999999998</v>
      </c>
      <c r="AA617" s="10">
        <v>4.2166573999999999</v>
      </c>
      <c r="AB617" s="10">
        <v>4.1742531999999999</v>
      </c>
      <c r="AC617" s="10">
        <v>4.1327758000000001</v>
      </c>
      <c r="AD617" s="10">
        <v>4.0924297000000003</v>
      </c>
      <c r="AE617" s="10">
        <v>4.0534181</v>
      </c>
      <c r="AF617" s="10">
        <v>4.0159440000000002</v>
      </c>
      <c r="AG617" s="10">
        <v>3.9802119</v>
      </c>
      <c r="AH617" s="10">
        <v>3.9463881999999999</v>
      </c>
      <c r="AI617" s="10">
        <v>3.9144595</v>
      </c>
      <c r="AJ617" s="10">
        <v>3.8843591000000002</v>
      </c>
      <c r="AK617" s="10">
        <v>3.8560189999999999</v>
      </c>
      <c r="AL617" s="10">
        <v>3.8293713</v>
      </c>
      <c r="AM617" s="10">
        <v>3.8043490000000002</v>
      </c>
      <c r="AN617" s="10">
        <v>3.7808842999999999</v>
      </c>
      <c r="AO617" s="10">
        <v>3.7589093999999998</v>
      </c>
      <c r="AP617" s="10">
        <v>3.7383571999999998</v>
      </c>
      <c r="AQ617" s="10">
        <v>3.7191599000000002</v>
      </c>
      <c r="AR617" s="10">
        <v>3.7012497</v>
      </c>
      <c r="AS617" s="10">
        <v>3.6845593999999999</v>
      </c>
      <c r="AT617" s="10">
        <v>3.669025</v>
      </c>
      <c r="AU617" s="10">
        <v>3.6545988999999999</v>
      </c>
      <c r="AV617" s="10">
        <v>3.6412384000000002</v>
      </c>
      <c r="AW617" s="10">
        <v>3.6289004</v>
      </c>
      <c r="AX617" s="10">
        <v>3.6175419</v>
      </c>
      <c r="AY617" s="10">
        <v>3.6071200999999999</v>
      </c>
      <c r="AZ617" s="10">
        <v>3.5975920000000001</v>
      </c>
      <c r="BA617" s="10">
        <v>3.5889145999999998</v>
      </c>
      <c r="BB617" s="10">
        <v>3.5810450999999999</v>
      </c>
      <c r="BC617" s="10">
        <v>3.5739404000000001</v>
      </c>
      <c r="BD617" s="10">
        <v>3.5675576000000002</v>
      </c>
      <c r="BE617" s="10">
        <v>3.5618538000000002</v>
      </c>
      <c r="BF617" s="10">
        <v>3.5567901000000002</v>
      </c>
      <c r="BG617" s="10">
        <v>3.5523454000000001</v>
      </c>
      <c r="BH617" s="10">
        <v>3.5485036999999999</v>
      </c>
      <c r="BI617" s="10">
        <v>3.5452488999999998</v>
      </c>
      <c r="BJ617" s="10">
        <v>3.5425648000000001</v>
      </c>
      <c r="BK617" s="10">
        <v>3.5404353</v>
      </c>
      <c r="BL617" s="10">
        <v>3.5388445000000002</v>
      </c>
      <c r="BM617" s="10">
        <v>3.5377760999999999</v>
      </c>
      <c r="BN617" s="10">
        <v>3.5372140999999999</v>
      </c>
      <c r="BO617" s="10">
        <v>3.5371424999999999</v>
      </c>
      <c r="BP617" s="10">
        <v>3.5375450000000002</v>
      </c>
      <c r="BQ617" s="10">
        <v>3.5384055999999999</v>
      </c>
      <c r="BR617" s="10">
        <v>3.5524607000000001</v>
      </c>
      <c r="BS617" s="10">
        <v>3.5799984999999999</v>
      </c>
      <c r="BU617" s="7">
        <v>4.3600000000000003</v>
      </c>
      <c r="BV617" s="7">
        <v>4.22</v>
      </c>
      <c r="BW617" s="9">
        <v>82.275099999999995</v>
      </c>
    </row>
    <row r="618" spans="1:75" x14ac:dyDescent="0.25">
      <c r="A618" s="6">
        <f t="shared" si="59"/>
        <v>45418</v>
      </c>
      <c r="B618" s="13">
        <f t="shared" si="69"/>
        <v>5</v>
      </c>
      <c r="C618" s="13">
        <f t="shared" si="70"/>
        <v>2024</v>
      </c>
      <c r="D618">
        <f t="shared" si="71"/>
        <v>202405</v>
      </c>
      <c r="E618">
        <f t="shared" si="72"/>
        <v>2</v>
      </c>
      <c r="F618">
        <f t="shared" si="73"/>
        <v>202402</v>
      </c>
      <c r="G618" t="s">
        <v>1374</v>
      </c>
      <c r="H618" s="9">
        <v>5.25</v>
      </c>
      <c r="I618" s="9" t="e">
        <v>#N/A</v>
      </c>
      <c r="J618" s="10" t="e">
        <v>#N/A</v>
      </c>
      <c r="K618" s="10" t="e">
        <v>#N/A</v>
      </c>
      <c r="L618" s="10" t="e">
        <v>#N/A</v>
      </c>
      <c r="M618" s="10" t="e">
        <v>#N/A</v>
      </c>
      <c r="N618" s="10" t="e">
        <v>#N/A</v>
      </c>
      <c r="O618" s="10" t="e">
        <v>#N/A</v>
      </c>
      <c r="P618" s="10" t="e">
        <v>#N/A</v>
      </c>
      <c r="Q618" s="10" t="e">
        <v>#N/A</v>
      </c>
      <c r="R618" s="10" t="e">
        <v>#N/A</v>
      </c>
      <c r="S618" s="10" t="e">
        <v>#N/A</v>
      </c>
      <c r="T618" s="10" t="e">
        <v>#N/A</v>
      </c>
      <c r="U618" s="10" t="e">
        <v>#N/A</v>
      </c>
      <c r="V618" s="10" t="e">
        <v>#N/A</v>
      </c>
      <c r="W618" s="10" t="e">
        <v>#N/A</v>
      </c>
      <c r="X618" s="10" t="e">
        <v>#N/A</v>
      </c>
      <c r="Y618" s="10" t="e">
        <v>#N/A</v>
      </c>
      <c r="Z618" s="10" t="e">
        <v>#N/A</v>
      </c>
      <c r="AA618" s="10" t="e">
        <v>#N/A</v>
      </c>
      <c r="AB618" s="10" t="e">
        <v>#N/A</v>
      </c>
      <c r="AC618" s="10" t="e">
        <v>#N/A</v>
      </c>
      <c r="AD618" s="10" t="e">
        <v>#N/A</v>
      </c>
      <c r="AE618" s="10" t="e">
        <v>#N/A</v>
      </c>
      <c r="AF618" s="10" t="e">
        <v>#N/A</v>
      </c>
      <c r="AG618" s="10" t="e">
        <v>#N/A</v>
      </c>
      <c r="AH618" s="10" t="e">
        <v>#N/A</v>
      </c>
      <c r="AI618" s="10" t="e">
        <v>#N/A</v>
      </c>
      <c r="AJ618" s="10" t="e">
        <v>#N/A</v>
      </c>
      <c r="AK618" s="10" t="e">
        <v>#N/A</v>
      </c>
      <c r="AL618" s="10" t="e">
        <v>#N/A</v>
      </c>
      <c r="AM618" s="10" t="e">
        <v>#N/A</v>
      </c>
      <c r="AN618" s="10" t="e">
        <v>#N/A</v>
      </c>
      <c r="AO618" s="10" t="e">
        <v>#N/A</v>
      </c>
      <c r="AP618" s="10" t="e">
        <v>#N/A</v>
      </c>
      <c r="AQ618" s="10" t="e">
        <v>#N/A</v>
      </c>
      <c r="AR618" s="10" t="e">
        <v>#N/A</v>
      </c>
      <c r="AS618" s="10" t="e">
        <v>#N/A</v>
      </c>
      <c r="AT618" s="10" t="e">
        <v>#N/A</v>
      </c>
      <c r="AU618" s="10" t="e">
        <v>#N/A</v>
      </c>
      <c r="AV618" s="10" t="e">
        <v>#N/A</v>
      </c>
      <c r="AW618" s="10" t="e">
        <v>#N/A</v>
      </c>
      <c r="AX618" s="10" t="e">
        <v>#N/A</v>
      </c>
      <c r="AY618" s="10" t="e">
        <v>#N/A</v>
      </c>
      <c r="AZ618" s="10" t="e">
        <v>#N/A</v>
      </c>
      <c r="BA618" s="10" t="e">
        <v>#N/A</v>
      </c>
      <c r="BB618" s="10" t="e">
        <v>#N/A</v>
      </c>
      <c r="BC618" s="10" t="e">
        <v>#N/A</v>
      </c>
      <c r="BD618" s="10" t="e">
        <v>#N/A</v>
      </c>
      <c r="BE618" s="10" t="e">
        <v>#N/A</v>
      </c>
      <c r="BF618" s="10" t="e">
        <v>#N/A</v>
      </c>
      <c r="BG618" s="10" t="e">
        <v>#N/A</v>
      </c>
      <c r="BH618" s="10" t="e">
        <v>#N/A</v>
      </c>
      <c r="BI618" s="10" t="e">
        <v>#N/A</v>
      </c>
      <c r="BJ618" s="10" t="e">
        <v>#N/A</v>
      </c>
      <c r="BK618" s="10" t="e">
        <v>#N/A</v>
      </c>
      <c r="BL618" s="10" t="e">
        <v>#N/A</v>
      </c>
      <c r="BM618" s="10" t="e">
        <v>#N/A</v>
      </c>
      <c r="BN618" s="10" t="e">
        <v>#N/A</v>
      </c>
      <c r="BO618" s="10" t="e">
        <v>#N/A</v>
      </c>
      <c r="BP618" s="10" t="e">
        <v>#N/A</v>
      </c>
      <c r="BQ618" s="10" t="e">
        <v>#N/A</v>
      </c>
      <c r="BR618" s="10" t="e">
        <v>#N/A</v>
      </c>
      <c r="BS618" s="10" t="e">
        <v>#N/A</v>
      </c>
      <c r="BU618" s="7">
        <v>4.37</v>
      </c>
      <c r="BV618" s="7" t="e">
        <v>#N/A</v>
      </c>
      <c r="BW618" s="9" t="e">
        <v>#N/A</v>
      </c>
    </row>
    <row r="619" spans="1:75" x14ac:dyDescent="0.25">
      <c r="A619" s="6">
        <f t="shared" si="59"/>
        <v>45419</v>
      </c>
      <c r="B619" s="13">
        <f t="shared" si="69"/>
        <v>5</v>
      </c>
      <c r="C619" s="13">
        <f t="shared" si="70"/>
        <v>2024</v>
      </c>
      <c r="D619">
        <f t="shared" si="71"/>
        <v>202405</v>
      </c>
      <c r="E619">
        <f t="shared" si="72"/>
        <v>2</v>
      </c>
      <c r="F619">
        <f t="shared" si="73"/>
        <v>202402</v>
      </c>
      <c r="G619" t="s">
        <v>1375</v>
      </c>
      <c r="H619" s="9">
        <v>5.25</v>
      </c>
      <c r="I619" s="9">
        <v>5.2</v>
      </c>
      <c r="J619" s="10">
        <v>5.1658607999999999</v>
      </c>
      <c r="K619" s="10">
        <v>5.0926656000000001</v>
      </c>
      <c r="L619" s="10">
        <v>5.0167811999999996</v>
      </c>
      <c r="M619" s="10">
        <v>4.9418597999999996</v>
      </c>
      <c r="N619" s="10">
        <v>4.8687040000000001</v>
      </c>
      <c r="O619" s="10">
        <v>4.7956925000000004</v>
      </c>
      <c r="P619" s="10">
        <v>4.7232078</v>
      </c>
      <c r="Q619" s="10">
        <v>4.6533796000000001</v>
      </c>
      <c r="R619" s="10">
        <v>4.5881558</v>
      </c>
      <c r="S619" s="10">
        <v>4.5286464000000004</v>
      </c>
      <c r="T619" s="10">
        <v>4.4751232999999999</v>
      </c>
      <c r="U619" s="10">
        <v>4.4268951999999997</v>
      </c>
      <c r="V619" s="10">
        <v>4.3825152000000003</v>
      </c>
      <c r="W619" s="10">
        <v>4.3410095000000002</v>
      </c>
      <c r="X619" s="10">
        <v>4.3015751</v>
      </c>
      <c r="Y619" s="10">
        <v>4.2634071000000002</v>
      </c>
      <c r="Z619" s="10">
        <v>4.2257011000000002</v>
      </c>
      <c r="AA619" s="10">
        <v>4.1876536</v>
      </c>
      <c r="AB619" s="10">
        <v>4.1486330999999996</v>
      </c>
      <c r="AC619" s="10">
        <v>4.1088110999999996</v>
      </c>
      <c r="AD619" s="10">
        <v>4.0685929999999999</v>
      </c>
      <c r="AE619" s="10">
        <v>4.0283828000000002</v>
      </c>
      <c r="AF619" s="10">
        <v>3.9885845999999998</v>
      </c>
      <c r="AG619" s="10">
        <v>3.9496039000000001</v>
      </c>
      <c r="AH619" s="10">
        <v>3.9117837</v>
      </c>
      <c r="AI619" s="10">
        <v>3.8752230999999999</v>
      </c>
      <c r="AJ619" s="10">
        <v>3.8399614</v>
      </c>
      <c r="AK619" s="10">
        <v>3.8060366000000001</v>
      </c>
      <c r="AL619" s="10">
        <v>3.7734869999999998</v>
      </c>
      <c r="AM619" s="10">
        <v>3.7423516000000001</v>
      </c>
      <c r="AN619" s="10">
        <v>3.7126687</v>
      </c>
      <c r="AO619" s="10">
        <v>3.6844763</v>
      </c>
      <c r="AP619" s="10">
        <v>3.6578135999999999</v>
      </c>
      <c r="AQ619" s="10">
        <v>3.6327188000000001</v>
      </c>
      <c r="AR619" s="10">
        <v>3.6092300000000002</v>
      </c>
      <c r="AS619" s="10">
        <v>3.5873862999999999</v>
      </c>
      <c r="AT619" s="10">
        <v>3.5672085</v>
      </c>
      <c r="AU619" s="10">
        <v>3.5486485000000001</v>
      </c>
      <c r="AV619" s="10">
        <v>3.5316413</v>
      </c>
      <c r="AW619" s="10">
        <v>3.5161215000000001</v>
      </c>
      <c r="AX619" s="10">
        <v>3.5020234000000001</v>
      </c>
      <c r="AY619" s="10">
        <v>3.4892821000000001</v>
      </c>
      <c r="AZ619" s="10">
        <v>3.4778321000000001</v>
      </c>
      <c r="BA619" s="10">
        <v>3.4676079</v>
      </c>
      <c r="BB619" s="10">
        <v>3.4585444999999999</v>
      </c>
      <c r="BC619" s="10">
        <v>3.4505764000000001</v>
      </c>
      <c r="BD619" s="10">
        <v>3.4436382999999999</v>
      </c>
      <c r="BE619" s="10">
        <v>3.4376647999999999</v>
      </c>
      <c r="BF619" s="10">
        <v>3.4325950000000001</v>
      </c>
      <c r="BG619" s="10">
        <v>3.4283888999999999</v>
      </c>
      <c r="BH619" s="10">
        <v>3.4250132999999998</v>
      </c>
      <c r="BI619" s="10">
        <v>3.4224345999999999</v>
      </c>
      <c r="BJ619" s="10">
        <v>3.4206194000000001</v>
      </c>
      <c r="BK619" s="10">
        <v>3.4195343999999999</v>
      </c>
      <c r="BL619" s="10">
        <v>3.4191460999999999</v>
      </c>
      <c r="BM619" s="10">
        <v>3.4194209999999998</v>
      </c>
      <c r="BN619" s="10">
        <v>3.4203258000000001</v>
      </c>
      <c r="BO619" s="10">
        <v>3.421827</v>
      </c>
      <c r="BP619" s="10">
        <v>3.4238911999999999</v>
      </c>
      <c r="BQ619" s="10">
        <v>3.426485</v>
      </c>
      <c r="BR619" s="10">
        <v>3.4516748000000002</v>
      </c>
      <c r="BS619" s="10">
        <v>3.4898220000000002</v>
      </c>
      <c r="BU619" s="7">
        <v>4.3</v>
      </c>
      <c r="BV619" s="7">
        <v>4.13</v>
      </c>
      <c r="BW619" s="9">
        <v>82.349100000000007</v>
      </c>
    </row>
    <row r="620" spans="1:75" x14ac:dyDescent="0.25">
      <c r="A620" s="6">
        <f t="shared" si="59"/>
        <v>45420</v>
      </c>
      <c r="B620" s="13">
        <f t="shared" si="69"/>
        <v>5</v>
      </c>
      <c r="C620" s="13">
        <f t="shared" si="70"/>
        <v>2024</v>
      </c>
      <c r="D620">
        <f t="shared" si="71"/>
        <v>202405</v>
      </c>
      <c r="E620">
        <f t="shared" si="72"/>
        <v>2</v>
      </c>
      <c r="F620">
        <f t="shared" si="73"/>
        <v>202402</v>
      </c>
      <c r="G620" t="s">
        <v>1376</v>
      </c>
      <c r="H620" s="9">
        <v>5.25</v>
      </c>
      <c r="I620" s="9">
        <v>5.2</v>
      </c>
      <c r="J620" s="10">
        <v>5.1566669000000003</v>
      </c>
      <c r="K620" s="10">
        <v>5.0761636000000001</v>
      </c>
      <c r="L620" s="10">
        <v>4.9978420000000003</v>
      </c>
      <c r="M620" s="10">
        <v>4.9231594000000003</v>
      </c>
      <c r="N620" s="10">
        <v>4.8509447999999997</v>
      </c>
      <c r="O620" s="10">
        <v>4.7793498000000003</v>
      </c>
      <c r="P620" s="10">
        <v>4.7094934999999998</v>
      </c>
      <c r="Q620" s="10">
        <v>4.6441851999999999</v>
      </c>
      <c r="R620" s="10">
        <v>4.5851154999999997</v>
      </c>
      <c r="S620" s="10">
        <v>4.5327786000000003</v>
      </c>
      <c r="T620" s="10">
        <v>4.4861275000000003</v>
      </c>
      <c r="U620" s="10">
        <v>4.4436754000000001</v>
      </c>
      <c r="V620" s="10">
        <v>4.4026642999999996</v>
      </c>
      <c r="W620" s="10">
        <v>4.3621283000000002</v>
      </c>
      <c r="X620" s="10">
        <v>4.3216843999999996</v>
      </c>
      <c r="Y620" s="10">
        <v>4.2809480000000004</v>
      </c>
      <c r="Z620" s="10">
        <v>4.2395345000000004</v>
      </c>
      <c r="AA620" s="10">
        <v>4.1970609000000003</v>
      </c>
      <c r="AB620" s="10">
        <v>4.1532546000000004</v>
      </c>
      <c r="AC620" s="10">
        <v>4.1084778999999996</v>
      </c>
      <c r="AD620" s="10">
        <v>4.0633179999999998</v>
      </c>
      <c r="AE620" s="10">
        <v>4.0183606000000003</v>
      </c>
      <c r="AF620" s="10">
        <v>3.9741917</v>
      </c>
      <c r="AG620" s="10">
        <v>3.9313984999999998</v>
      </c>
      <c r="AH620" s="10">
        <v>3.8904668</v>
      </c>
      <c r="AI620" s="10">
        <v>3.8514819999999999</v>
      </c>
      <c r="AJ620" s="10">
        <v>3.8144311000000002</v>
      </c>
      <c r="AK620" s="10">
        <v>3.7792992999999999</v>
      </c>
      <c r="AL620" s="10">
        <v>3.7460722</v>
      </c>
      <c r="AM620" s="10">
        <v>3.7147364</v>
      </c>
      <c r="AN620" s="10">
        <v>3.6852775000000002</v>
      </c>
      <c r="AO620" s="10">
        <v>3.6576808000000001</v>
      </c>
      <c r="AP620" s="10">
        <v>3.6319330000000001</v>
      </c>
      <c r="AQ620" s="10">
        <v>3.6080196999999998</v>
      </c>
      <c r="AR620" s="10">
        <v>3.5859263000000001</v>
      </c>
      <c r="AS620" s="10">
        <v>3.5656393999999998</v>
      </c>
      <c r="AT620" s="10">
        <v>3.5471347</v>
      </c>
      <c r="AU620" s="10">
        <v>3.5303398000000001</v>
      </c>
      <c r="AV620" s="10">
        <v>3.5151686999999998</v>
      </c>
      <c r="AW620" s="10">
        <v>3.5015344000000002</v>
      </c>
      <c r="AX620" s="10">
        <v>3.4893500999999998</v>
      </c>
      <c r="AY620" s="10">
        <v>3.4785295000000001</v>
      </c>
      <c r="AZ620" s="10">
        <v>3.4689857000000002</v>
      </c>
      <c r="BA620" s="10">
        <v>3.4606319999999999</v>
      </c>
      <c r="BB620" s="10">
        <v>3.4533819000000001</v>
      </c>
      <c r="BC620" s="10">
        <v>3.4471487999999999</v>
      </c>
      <c r="BD620" s="10">
        <v>3.4418457</v>
      </c>
      <c r="BE620" s="10">
        <v>3.4373863999999998</v>
      </c>
      <c r="BF620" s="10">
        <v>3.4336924</v>
      </c>
      <c r="BG620" s="10">
        <v>3.4307235</v>
      </c>
      <c r="BH620" s="10">
        <v>3.4284496</v>
      </c>
      <c r="BI620" s="10">
        <v>3.4268407000000001</v>
      </c>
      <c r="BJ620" s="10">
        <v>3.4258666999999998</v>
      </c>
      <c r="BK620" s="10">
        <v>3.4254977000000002</v>
      </c>
      <c r="BL620" s="10">
        <v>3.4257035</v>
      </c>
      <c r="BM620" s="10">
        <v>3.4264543000000001</v>
      </c>
      <c r="BN620" s="10">
        <v>3.4277199999999999</v>
      </c>
      <c r="BO620" s="10">
        <v>3.4294704999999999</v>
      </c>
      <c r="BP620" s="10">
        <v>3.4316757999999998</v>
      </c>
      <c r="BQ620" s="10">
        <v>3.4343059</v>
      </c>
      <c r="BR620" s="10">
        <v>3.4578475000000002</v>
      </c>
      <c r="BS620" s="10">
        <v>3.4922789999999999</v>
      </c>
      <c r="BU620" s="7">
        <v>4.3099999999999996</v>
      </c>
      <c r="BV620" s="7">
        <v>4.13</v>
      </c>
      <c r="BW620" s="9">
        <v>82.111000000000004</v>
      </c>
    </row>
    <row r="621" spans="1:75" x14ac:dyDescent="0.25">
      <c r="A621" s="6">
        <f t="shared" si="59"/>
        <v>45421</v>
      </c>
      <c r="B621" s="13">
        <f t="shared" si="69"/>
        <v>5</v>
      </c>
      <c r="C621" s="13">
        <f t="shared" si="70"/>
        <v>2024</v>
      </c>
      <c r="D621">
        <f t="shared" si="71"/>
        <v>202405</v>
      </c>
      <c r="E621">
        <f t="shared" si="72"/>
        <v>2</v>
      </c>
      <c r="F621">
        <f t="shared" si="73"/>
        <v>202402</v>
      </c>
      <c r="G621" t="s">
        <v>1377</v>
      </c>
      <c r="H621" s="9">
        <v>5.25</v>
      </c>
      <c r="I621" s="9">
        <v>5.2</v>
      </c>
      <c r="J621" s="10">
        <v>5.1626161000000002</v>
      </c>
      <c r="K621" s="10">
        <v>5.0646918999999997</v>
      </c>
      <c r="L621" s="10">
        <v>4.9759418000000002</v>
      </c>
      <c r="M621" s="10">
        <v>4.8958560999999996</v>
      </c>
      <c r="N621" s="10">
        <v>4.8203430999999997</v>
      </c>
      <c r="O621" s="10">
        <v>4.7453181999999998</v>
      </c>
      <c r="P621" s="10">
        <v>4.6697515000000003</v>
      </c>
      <c r="Q621" s="10">
        <v>4.5951484000000002</v>
      </c>
      <c r="R621" s="10">
        <v>4.5236859000000003</v>
      </c>
      <c r="S621" s="10">
        <v>4.4571984000000002</v>
      </c>
      <c r="T621" s="10">
        <v>4.3965870000000002</v>
      </c>
      <c r="U621" s="10">
        <v>4.3419604999999999</v>
      </c>
      <c r="V621" s="10">
        <v>4.2924698000000001</v>
      </c>
      <c r="W621" s="10">
        <v>4.2470984999999999</v>
      </c>
      <c r="X621" s="10">
        <v>4.2048483000000001</v>
      </c>
      <c r="Y621" s="10">
        <v>4.1647192999999998</v>
      </c>
      <c r="Z621" s="10">
        <v>4.1257118000000004</v>
      </c>
      <c r="AA621" s="10">
        <v>4.0868272000000001</v>
      </c>
      <c r="AB621" s="10">
        <v>4.0472549000000004</v>
      </c>
      <c r="AC621" s="10">
        <v>4.0071516999999997</v>
      </c>
      <c r="AD621" s="10">
        <v>3.9669854</v>
      </c>
      <c r="AE621" s="10">
        <v>3.9272223999999998</v>
      </c>
      <c r="AF621" s="10">
        <v>3.8883290000000001</v>
      </c>
      <c r="AG621" s="10">
        <v>3.8507729999999998</v>
      </c>
      <c r="AH621" s="10">
        <v>3.8149552999999998</v>
      </c>
      <c r="AI621" s="10">
        <v>3.7809580999999999</v>
      </c>
      <c r="AJ621" s="10">
        <v>3.7487675</v>
      </c>
      <c r="AK621" s="10">
        <v>3.7183684000000001</v>
      </c>
      <c r="AL621" s="10">
        <v>3.689746</v>
      </c>
      <c r="AM621" s="10">
        <v>3.6628862999999998</v>
      </c>
      <c r="AN621" s="10">
        <v>3.6377742</v>
      </c>
      <c r="AO621" s="10">
        <v>3.614395</v>
      </c>
      <c r="AP621" s="10">
        <v>3.5927346</v>
      </c>
      <c r="AQ621" s="10">
        <v>3.572778</v>
      </c>
      <c r="AR621" s="10">
        <v>3.5545103999999998</v>
      </c>
      <c r="AS621" s="10">
        <v>3.5379176999999999</v>
      </c>
      <c r="AT621" s="10">
        <v>3.522974</v>
      </c>
      <c r="AU621" s="10">
        <v>3.5096053</v>
      </c>
      <c r="AV621" s="10">
        <v>3.497725</v>
      </c>
      <c r="AW621" s="10">
        <v>3.4872455000000002</v>
      </c>
      <c r="AX621" s="10">
        <v>3.4780798000000002</v>
      </c>
      <c r="AY621" s="10">
        <v>3.4701407999999998</v>
      </c>
      <c r="AZ621" s="10">
        <v>3.4633413000000002</v>
      </c>
      <c r="BA621" s="10">
        <v>3.4575941000000001</v>
      </c>
      <c r="BB621" s="10">
        <v>3.4528121000000001</v>
      </c>
      <c r="BC621" s="10">
        <v>3.4489082999999998</v>
      </c>
      <c r="BD621" s="10">
        <v>3.4457952999999999</v>
      </c>
      <c r="BE621" s="10">
        <v>3.4433861000000001</v>
      </c>
      <c r="BF621" s="10">
        <v>3.4416034</v>
      </c>
      <c r="BG621" s="10">
        <v>3.4404130999999998</v>
      </c>
      <c r="BH621" s="10">
        <v>3.4397932</v>
      </c>
      <c r="BI621" s="10">
        <v>3.4397215000000001</v>
      </c>
      <c r="BJ621" s="10">
        <v>3.4401758999999998</v>
      </c>
      <c r="BK621" s="10">
        <v>3.4411345</v>
      </c>
      <c r="BL621" s="10">
        <v>3.4425751</v>
      </c>
      <c r="BM621" s="10">
        <v>3.4444756999999999</v>
      </c>
      <c r="BN621" s="10">
        <v>3.4468141000000001</v>
      </c>
      <c r="BO621" s="10">
        <v>3.4495683000000001</v>
      </c>
      <c r="BP621" s="10">
        <v>3.4527163000000001</v>
      </c>
      <c r="BQ621" s="10">
        <v>3.4562358</v>
      </c>
      <c r="BR621" s="10">
        <v>3.4842411000000002</v>
      </c>
      <c r="BS621" s="10">
        <v>3.5220022000000002</v>
      </c>
      <c r="BU621" s="7">
        <v>4.2699999999999996</v>
      </c>
      <c r="BV621" s="7">
        <v>4.1399999999999997</v>
      </c>
      <c r="BW621" s="9">
        <v>82.101799999999997</v>
      </c>
    </row>
    <row r="622" spans="1:75" x14ac:dyDescent="0.25">
      <c r="A622" s="6">
        <f t="shared" si="59"/>
        <v>45422</v>
      </c>
      <c r="B622" s="13">
        <f t="shared" si="69"/>
        <v>5</v>
      </c>
      <c r="C622" s="13">
        <f t="shared" si="70"/>
        <v>2024</v>
      </c>
      <c r="D622">
        <f t="shared" si="71"/>
        <v>202405</v>
      </c>
      <c r="E622">
        <f t="shared" si="72"/>
        <v>2</v>
      </c>
      <c r="F622">
        <f t="shared" si="73"/>
        <v>202402</v>
      </c>
      <c r="G622" t="s">
        <v>1378</v>
      </c>
      <c r="H622" s="9">
        <v>5.25</v>
      </c>
      <c r="I622" s="9">
        <v>5.2</v>
      </c>
      <c r="J622" s="10">
        <v>5.1592682999999999</v>
      </c>
      <c r="K622" s="10">
        <v>5.0635548000000004</v>
      </c>
      <c r="L622" s="10">
        <v>4.9799090000000001</v>
      </c>
      <c r="M622" s="10">
        <v>4.9063663999999996</v>
      </c>
      <c r="N622" s="10">
        <v>4.8371351000000002</v>
      </c>
      <c r="O622" s="10">
        <v>4.7684670999999996</v>
      </c>
      <c r="P622" s="10">
        <v>4.7001131999999997</v>
      </c>
      <c r="Q622" s="10">
        <v>4.6339370999999998</v>
      </c>
      <c r="R622" s="10">
        <v>4.5717752999999997</v>
      </c>
      <c r="S622" s="10">
        <v>4.5145216000000001</v>
      </c>
      <c r="T622" s="10">
        <v>4.4621250999999997</v>
      </c>
      <c r="U622" s="10">
        <v>4.4136820999999999</v>
      </c>
      <c r="V622" s="10">
        <v>4.3673675999999997</v>
      </c>
      <c r="W622" s="10">
        <v>4.3224751000000001</v>
      </c>
      <c r="X622" s="10">
        <v>4.2787290000000002</v>
      </c>
      <c r="Y622" s="10">
        <v>4.2358525</v>
      </c>
      <c r="Z622" s="10">
        <v>4.1935682999999999</v>
      </c>
      <c r="AA622" s="10">
        <v>4.1516010000000003</v>
      </c>
      <c r="AB622" s="10">
        <v>4.1097573000000001</v>
      </c>
      <c r="AC622" s="10">
        <v>4.0682314000000002</v>
      </c>
      <c r="AD622" s="10">
        <v>4.0273316000000001</v>
      </c>
      <c r="AE622" s="10">
        <v>3.9873645999999998</v>
      </c>
      <c r="AF622" s="10">
        <v>3.9486371999999998</v>
      </c>
      <c r="AG622" s="10">
        <v>3.9114575999999999</v>
      </c>
      <c r="AH622" s="10">
        <v>3.8760802000000001</v>
      </c>
      <c r="AI622" s="10">
        <v>3.8425284</v>
      </c>
      <c r="AJ622" s="10">
        <v>3.8107628</v>
      </c>
      <c r="AK622" s="10">
        <v>3.7807430000000002</v>
      </c>
      <c r="AL622" s="10">
        <v>3.7524285000000002</v>
      </c>
      <c r="AM622" s="10">
        <v>3.7257801000000002</v>
      </c>
      <c r="AN622" s="10">
        <v>3.7007572999999998</v>
      </c>
      <c r="AO622" s="10">
        <v>3.6773197999999998</v>
      </c>
      <c r="AP622" s="10">
        <v>3.6554281</v>
      </c>
      <c r="AQ622" s="10">
        <v>3.6350416999999999</v>
      </c>
      <c r="AR622" s="10">
        <v>3.6161205999999999</v>
      </c>
      <c r="AS622" s="10">
        <v>3.5986248999999999</v>
      </c>
      <c r="AT622" s="10">
        <v>3.5825116000000001</v>
      </c>
      <c r="AU622" s="10">
        <v>3.5677257</v>
      </c>
      <c r="AV622" s="10">
        <v>3.5542099999999999</v>
      </c>
      <c r="AW622" s="10">
        <v>3.5419067000000002</v>
      </c>
      <c r="AX622" s="10">
        <v>3.5307580000000001</v>
      </c>
      <c r="AY622" s="10">
        <v>3.5207066999999999</v>
      </c>
      <c r="AZ622" s="10">
        <v>3.5116947999999999</v>
      </c>
      <c r="BA622" s="10">
        <v>3.5036649</v>
      </c>
      <c r="BB622" s="10">
        <v>3.4965592999999999</v>
      </c>
      <c r="BC622" s="10">
        <v>3.4903205000000002</v>
      </c>
      <c r="BD622" s="10">
        <v>3.4848905999999999</v>
      </c>
      <c r="BE622" s="10">
        <v>3.4802124000000001</v>
      </c>
      <c r="BF622" s="10">
        <v>3.4762333999999999</v>
      </c>
      <c r="BG622" s="10">
        <v>3.4729260000000002</v>
      </c>
      <c r="BH622" s="10">
        <v>3.470269</v>
      </c>
      <c r="BI622" s="10">
        <v>3.4682412999999999</v>
      </c>
      <c r="BJ622" s="10">
        <v>3.4668218</v>
      </c>
      <c r="BK622" s="10">
        <v>3.4659892999999999</v>
      </c>
      <c r="BL622" s="10">
        <v>3.4657227000000002</v>
      </c>
      <c r="BM622" s="10">
        <v>3.4660009000000001</v>
      </c>
      <c r="BN622" s="10">
        <v>3.4668028</v>
      </c>
      <c r="BO622" s="10">
        <v>3.4681072999999998</v>
      </c>
      <c r="BP622" s="10">
        <v>3.4698931000000002</v>
      </c>
      <c r="BQ622" s="10">
        <v>3.4721392999999998</v>
      </c>
      <c r="BR622" s="10">
        <v>3.4943368000000001</v>
      </c>
      <c r="BS622" s="10">
        <v>3.5292218000000002</v>
      </c>
      <c r="BU622" s="7">
        <v>4.32</v>
      </c>
      <c r="BV622" s="7">
        <v>4.17</v>
      </c>
      <c r="BW622" s="9">
        <v>82.1434</v>
      </c>
    </row>
    <row r="623" spans="1:75" x14ac:dyDescent="0.25">
      <c r="A623" s="6">
        <f t="shared" si="59"/>
        <v>45425</v>
      </c>
      <c r="B623" s="13">
        <f t="shared" si="69"/>
        <v>5</v>
      </c>
      <c r="C623" s="13">
        <f t="shared" si="70"/>
        <v>2024</v>
      </c>
      <c r="D623">
        <f t="shared" si="71"/>
        <v>202405</v>
      </c>
      <c r="E623">
        <f t="shared" si="72"/>
        <v>2</v>
      </c>
      <c r="F623">
        <f t="shared" si="73"/>
        <v>202402</v>
      </c>
      <c r="G623" t="s">
        <v>1379</v>
      </c>
      <c r="H623" s="9">
        <v>5.25</v>
      </c>
      <c r="I623" s="9">
        <v>5.2</v>
      </c>
      <c r="J623" s="10">
        <v>5.1597454999999997</v>
      </c>
      <c r="K623" s="10">
        <v>5.0635190000000003</v>
      </c>
      <c r="L623" s="10">
        <v>4.9821352000000001</v>
      </c>
      <c r="M623" s="10">
        <v>4.9109913000000001</v>
      </c>
      <c r="N623" s="10">
        <v>4.8429709000000001</v>
      </c>
      <c r="O623" s="10">
        <v>4.7749746000000002</v>
      </c>
      <c r="P623" s="10">
        <v>4.7077900000000001</v>
      </c>
      <c r="Q623" s="10">
        <v>4.6442508</v>
      </c>
      <c r="R623" s="10">
        <v>4.5867095999999998</v>
      </c>
      <c r="S623" s="10">
        <v>4.5358374000000001</v>
      </c>
      <c r="T623" s="10">
        <v>4.4909188999999996</v>
      </c>
      <c r="U623" s="10">
        <v>4.4502711000000001</v>
      </c>
      <c r="V623" s="10">
        <v>4.4110851999999996</v>
      </c>
      <c r="W623" s="10">
        <v>4.3724189999999998</v>
      </c>
      <c r="X623" s="10">
        <v>4.3339156000000001</v>
      </c>
      <c r="Y623" s="10">
        <v>4.2952165000000004</v>
      </c>
      <c r="Z623" s="10">
        <v>4.2559635</v>
      </c>
      <c r="AA623" s="10">
        <v>4.2157993999999999</v>
      </c>
      <c r="AB623" s="10">
        <v>4.1744892</v>
      </c>
      <c r="AC623" s="10">
        <v>4.1323685000000001</v>
      </c>
      <c r="AD623" s="10">
        <v>4.0899399000000001</v>
      </c>
      <c r="AE623" s="10">
        <v>4.0477046999999997</v>
      </c>
      <c r="AF623" s="10">
        <v>4.0061640000000001</v>
      </c>
      <c r="AG623" s="10">
        <v>3.9658205999999998</v>
      </c>
      <c r="AH623" s="10">
        <v>3.9270900000000002</v>
      </c>
      <c r="AI623" s="10">
        <v>3.8900458000000002</v>
      </c>
      <c r="AJ623" s="10">
        <v>3.8546770000000001</v>
      </c>
      <c r="AK623" s="10">
        <v>3.8209716999999999</v>
      </c>
      <c r="AL623" s="10">
        <v>3.7889176999999998</v>
      </c>
      <c r="AM623" s="10">
        <v>3.7585041000000001</v>
      </c>
      <c r="AN623" s="10">
        <v>3.7297188999999999</v>
      </c>
      <c r="AO623" s="10">
        <v>3.70255</v>
      </c>
      <c r="AP623" s="10">
        <v>3.6769864999999999</v>
      </c>
      <c r="AQ623" s="10">
        <v>3.6530163</v>
      </c>
      <c r="AR623" s="10">
        <v>3.6306275000000001</v>
      </c>
      <c r="AS623" s="10">
        <v>3.6098089999999998</v>
      </c>
      <c r="AT623" s="10">
        <v>3.5905412000000001</v>
      </c>
      <c r="AU623" s="10">
        <v>3.5727745999999998</v>
      </c>
      <c r="AV623" s="10">
        <v>3.5564526000000001</v>
      </c>
      <c r="AW623" s="10">
        <v>3.5415182000000001</v>
      </c>
      <c r="AX623" s="10">
        <v>3.5279140999999998</v>
      </c>
      <c r="AY623" s="10">
        <v>3.5155837999999999</v>
      </c>
      <c r="AZ623" s="10">
        <v>3.5044702000000001</v>
      </c>
      <c r="BA623" s="10">
        <v>3.4945162000000001</v>
      </c>
      <c r="BB623" s="10">
        <v>3.4856652000000001</v>
      </c>
      <c r="BC623" s="10">
        <v>3.4778600000000002</v>
      </c>
      <c r="BD623" s="10">
        <v>3.4710437999999999</v>
      </c>
      <c r="BE623" s="10">
        <v>3.4651595999999998</v>
      </c>
      <c r="BF623" s="10">
        <v>3.4601538000000001</v>
      </c>
      <c r="BG623" s="10">
        <v>3.4559910999999999</v>
      </c>
      <c r="BH623" s="10">
        <v>3.4526422000000001</v>
      </c>
      <c r="BI623" s="10">
        <v>3.4500777999999999</v>
      </c>
      <c r="BJ623" s="10">
        <v>3.4482686</v>
      </c>
      <c r="BK623" s="10">
        <v>3.4471854999999998</v>
      </c>
      <c r="BL623" s="10">
        <v>3.4467989999999999</v>
      </c>
      <c r="BM623" s="10">
        <v>3.4470798999999999</v>
      </c>
      <c r="BN623" s="10">
        <v>3.4479989</v>
      </c>
      <c r="BO623" s="10">
        <v>3.4495266999999998</v>
      </c>
      <c r="BP623" s="10">
        <v>3.4516342</v>
      </c>
      <c r="BQ623" s="10">
        <v>3.4542918999999999</v>
      </c>
      <c r="BR623" s="10">
        <v>3.4803464000000002</v>
      </c>
      <c r="BS623" s="10">
        <v>3.5200075000000002</v>
      </c>
      <c r="BU623" s="7">
        <v>4.32</v>
      </c>
      <c r="BV623" s="7">
        <v>4.17</v>
      </c>
      <c r="BW623" s="9">
        <v>82.338200000000001</v>
      </c>
    </row>
    <row r="624" spans="1:75" x14ac:dyDescent="0.25">
      <c r="A624" s="6">
        <f t="shared" si="59"/>
        <v>45426</v>
      </c>
      <c r="B624" s="13">
        <f t="shared" si="69"/>
        <v>5</v>
      </c>
      <c r="C624" s="13">
        <f t="shared" si="70"/>
        <v>2024</v>
      </c>
      <c r="D624">
        <f t="shared" si="71"/>
        <v>202405</v>
      </c>
      <c r="E624">
        <f t="shared" si="72"/>
        <v>2</v>
      </c>
      <c r="F624">
        <f t="shared" si="73"/>
        <v>202402</v>
      </c>
      <c r="G624" t="s">
        <v>1380</v>
      </c>
      <c r="H624" s="9">
        <v>5.25</v>
      </c>
      <c r="I624" s="9">
        <v>5.2</v>
      </c>
      <c r="J624" s="10">
        <v>5.1570657000000004</v>
      </c>
      <c r="K624" s="10">
        <v>5.0577854000000002</v>
      </c>
      <c r="L624" s="10">
        <v>4.9745816999999999</v>
      </c>
      <c r="M624" s="10">
        <v>4.9018867999999998</v>
      </c>
      <c r="N624" s="10">
        <v>4.8328847000000001</v>
      </c>
      <c r="O624" s="10">
        <v>4.7645375000000003</v>
      </c>
      <c r="P624" s="10">
        <v>4.6973956000000001</v>
      </c>
      <c r="Q624" s="10">
        <v>4.6338220000000003</v>
      </c>
      <c r="R624" s="10">
        <v>4.5758666999999997</v>
      </c>
      <c r="S624" s="10">
        <v>4.5241403</v>
      </c>
      <c r="T624" s="10">
        <v>4.4780784999999996</v>
      </c>
      <c r="U624" s="10">
        <v>4.4361706999999999</v>
      </c>
      <c r="V624" s="10">
        <v>4.3956175000000002</v>
      </c>
      <c r="W624" s="10">
        <v>4.3555107</v>
      </c>
      <c r="X624" s="10">
        <v>4.3155349999999997</v>
      </c>
      <c r="Y624" s="10">
        <v>4.2753733</v>
      </c>
      <c r="Z624" s="10">
        <v>4.2347086999999997</v>
      </c>
      <c r="AA624" s="10">
        <v>4.1932257999999996</v>
      </c>
      <c r="AB624" s="10">
        <v>4.1507255000000001</v>
      </c>
      <c r="AC624" s="10">
        <v>4.1075549999999996</v>
      </c>
      <c r="AD624" s="10">
        <v>4.0642215000000004</v>
      </c>
      <c r="AE624" s="10">
        <v>4.0212307000000003</v>
      </c>
      <c r="AF624" s="10">
        <v>3.9790882999999999</v>
      </c>
      <c r="AG624" s="10">
        <v>3.9383013999999998</v>
      </c>
      <c r="AH624" s="10">
        <v>3.8992882999999998</v>
      </c>
      <c r="AI624" s="10">
        <v>3.8621181</v>
      </c>
      <c r="AJ624" s="10">
        <v>3.8267737999999998</v>
      </c>
      <c r="AK624" s="10">
        <v>3.793237</v>
      </c>
      <c r="AL624" s="10">
        <v>3.7614896</v>
      </c>
      <c r="AM624" s="10">
        <v>3.7315144</v>
      </c>
      <c r="AN624" s="10">
        <v>3.7032930999999998</v>
      </c>
      <c r="AO624" s="10">
        <v>3.6768076000000001</v>
      </c>
      <c r="AP624" s="10">
        <v>3.6520405999999999</v>
      </c>
      <c r="AQ624" s="10">
        <v>3.6289739999999999</v>
      </c>
      <c r="AR624" s="10">
        <v>3.6075895999999998</v>
      </c>
      <c r="AS624" s="10">
        <v>3.5878700000000001</v>
      </c>
      <c r="AT624" s="10">
        <v>3.5697882000000001</v>
      </c>
      <c r="AU624" s="10">
        <v>3.5532813000000001</v>
      </c>
      <c r="AV624" s="10">
        <v>3.5382779000000002</v>
      </c>
      <c r="AW624" s="10">
        <v>3.5247061999999998</v>
      </c>
      <c r="AX624" s="10">
        <v>3.5124944</v>
      </c>
      <c r="AY624" s="10">
        <v>3.5015710000000002</v>
      </c>
      <c r="AZ624" s="10">
        <v>3.4918643</v>
      </c>
      <c r="BA624" s="10">
        <v>3.4833025000000002</v>
      </c>
      <c r="BB624" s="10">
        <v>3.4758141</v>
      </c>
      <c r="BC624" s="10">
        <v>3.4693272999999998</v>
      </c>
      <c r="BD624" s="10">
        <v>3.4637703000000002</v>
      </c>
      <c r="BE624" s="10">
        <v>3.4590717</v>
      </c>
      <c r="BF624" s="10">
        <v>3.4551653999999998</v>
      </c>
      <c r="BG624" s="10">
        <v>3.4520137000000002</v>
      </c>
      <c r="BH624" s="10">
        <v>3.4495874</v>
      </c>
      <c r="BI624" s="10">
        <v>3.4478572000000001</v>
      </c>
      <c r="BJ624" s="10">
        <v>3.4467940000000001</v>
      </c>
      <c r="BK624" s="10">
        <v>3.4463685000000002</v>
      </c>
      <c r="BL624" s="10">
        <v>3.4465515</v>
      </c>
      <c r="BM624" s="10">
        <v>3.4473139000000002</v>
      </c>
      <c r="BN624" s="10">
        <v>3.4486262999999999</v>
      </c>
      <c r="BO624" s="10">
        <v>3.4504595999999998</v>
      </c>
      <c r="BP624" s="10">
        <v>3.4527846000000002</v>
      </c>
      <c r="BQ624" s="10">
        <v>3.4555720999999999</v>
      </c>
      <c r="BR624" s="10">
        <v>3.4807717</v>
      </c>
      <c r="BS624" s="10">
        <v>3.5176793000000002</v>
      </c>
      <c r="BU624" s="7">
        <v>4.3099999999999996</v>
      </c>
      <c r="BV624" s="7">
        <v>4.16</v>
      </c>
      <c r="BW624" s="9">
        <v>82.434899999999999</v>
      </c>
    </row>
    <row r="625" spans="1:75" x14ac:dyDescent="0.25">
      <c r="A625" s="6">
        <f t="shared" si="59"/>
        <v>45427</v>
      </c>
      <c r="B625" s="13">
        <f t="shared" si="69"/>
        <v>5</v>
      </c>
      <c r="C625" s="13">
        <f t="shared" si="70"/>
        <v>2024</v>
      </c>
      <c r="D625">
        <f t="shared" si="71"/>
        <v>202405</v>
      </c>
      <c r="E625">
        <f t="shared" si="72"/>
        <v>2</v>
      </c>
      <c r="F625">
        <f t="shared" si="73"/>
        <v>202402</v>
      </c>
      <c r="G625" t="s">
        <v>1381</v>
      </c>
      <c r="H625" s="9">
        <v>5.25</v>
      </c>
      <c r="I625" s="9">
        <v>5.2</v>
      </c>
      <c r="J625" s="10">
        <v>5.1536761000000002</v>
      </c>
      <c r="K625" s="10">
        <v>5.0425642000000002</v>
      </c>
      <c r="L625" s="10">
        <v>4.9530835</v>
      </c>
      <c r="M625" s="10">
        <v>4.8765878999999996</v>
      </c>
      <c r="N625" s="10">
        <v>4.8037872000000004</v>
      </c>
      <c r="O625" s="10">
        <v>4.7307556999999996</v>
      </c>
      <c r="P625" s="10">
        <v>4.6574133</v>
      </c>
      <c r="Q625" s="10">
        <v>4.5859727000000001</v>
      </c>
      <c r="R625" s="10">
        <v>4.5187778999999999</v>
      </c>
      <c r="S625" s="10">
        <v>4.4572718</v>
      </c>
      <c r="T625" s="10">
        <v>4.4013475</v>
      </c>
      <c r="U625" s="10">
        <v>4.3502609000000003</v>
      </c>
      <c r="V625" s="10">
        <v>4.3016154999999996</v>
      </c>
      <c r="W625" s="10">
        <v>4.2544778000000001</v>
      </c>
      <c r="X625" s="10">
        <v>4.2084324000000004</v>
      </c>
      <c r="Y625" s="10">
        <v>4.1630623</v>
      </c>
      <c r="Z625" s="10">
        <v>4.1179505000000001</v>
      </c>
      <c r="AA625" s="10">
        <v>4.0726816000000001</v>
      </c>
      <c r="AB625" s="10">
        <v>4.0269436000000001</v>
      </c>
      <c r="AC625" s="10">
        <v>3.9810199000000002</v>
      </c>
      <c r="AD625" s="10">
        <v>3.9354043000000001</v>
      </c>
      <c r="AE625" s="10">
        <v>3.8905896000000002</v>
      </c>
      <c r="AF625" s="10">
        <v>3.8470684999999998</v>
      </c>
      <c r="AG625" s="10">
        <v>3.8053352</v>
      </c>
      <c r="AH625" s="10">
        <v>3.7657919999999998</v>
      </c>
      <c r="AI625" s="10">
        <v>3.7284796999999998</v>
      </c>
      <c r="AJ625" s="10">
        <v>3.6933500000000001</v>
      </c>
      <c r="AK625" s="10">
        <v>3.6603531</v>
      </c>
      <c r="AL625" s="10">
        <v>3.6294393999999999</v>
      </c>
      <c r="AM625" s="10">
        <v>3.6005606999999999</v>
      </c>
      <c r="AN625" s="10">
        <v>3.5736671000000002</v>
      </c>
      <c r="AO625" s="10">
        <v>3.5487093000000001</v>
      </c>
      <c r="AP625" s="10">
        <v>3.5256386000000002</v>
      </c>
      <c r="AQ625" s="10">
        <v>3.5044054999999998</v>
      </c>
      <c r="AR625" s="10">
        <v>3.4849605000000001</v>
      </c>
      <c r="AS625" s="10">
        <v>3.4672550000000002</v>
      </c>
      <c r="AT625" s="10">
        <v>3.4512341000000002</v>
      </c>
      <c r="AU625" s="10">
        <v>3.4368175999999999</v>
      </c>
      <c r="AV625" s="10">
        <v>3.4239175999999998</v>
      </c>
      <c r="AW625" s="10">
        <v>3.4124458999999998</v>
      </c>
      <c r="AX625" s="10">
        <v>3.4023143999999998</v>
      </c>
      <c r="AY625" s="10">
        <v>3.3934351999999999</v>
      </c>
      <c r="AZ625" s="10">
        <v>3.3857200999999999</v>
      </c>
      <c r="BA625" s="10">
        <v>3.3790811000000001</v>
      </c>
      <c r="BB625" s="10">
        <v>3.3734302</v>
      </c>
      <c r="BC625" s="10">
        <v>3.3686791999999999</v>
      </c>
      <c r="BD625" s="10">
        <v>3.3647402</v>
      </c>
      <c r="BE625" s="10">
        <v>3.3615249999999999</v>
      </c>
      <c r="BF625" s="10">
        <v>3.3589552</v>
      </c>
      <c r="BG625" s="10">
        <v>3.356995</v>
      </c>
      <c r="BH625" s="10">
        <v>3.3556203999999998</v>
      </c>
      <c r="BI625" s="10">
        <v>3.3548072000000002</v>
      </c>
      <c r="BJ625" s="10">
        <v>3.3545313999999999</v>
      </c>
      <c r="BK625" s="10">
        <v>3.3547688</v>
      </c>
      <c r="BL625" s="10">
        <v>3.3554954000000001</v>
      </c>
      <c r="BM625" s="10">
        <v>3.3566870999999998</v>
      </c>
      <c r="BN625" s="10">
        <v>3.3583197999999999</v>
      </c>
      <c r="BO625" s="10">
        <v>3.3603695</v>
      </c>
      <c r="BP625" s="10">
        <v>3.3628119999999999</v>
      </c>
      <c r="BQ625" s="10">
        <v>3.3656233000000002</v>
      </c>
      <c r="BR625" s="10">
        <v>3.3893309999999999</v>
      </c>
      <c r="BS625" s="10">
        <v>3.4229422</v>
      </c>
      <c r="BU625" s="7">
        <v>4.2300000000000004</v>
      </c>
      <c r="BV625" s="7">
        <v>4.0599999999999996</v>
      </c>
      <c r="BW625" s="9">
        <v>82.631299999999996</v>
      </c>
    </row>
    <row r="626" spans="1:75" x14ac:dyDescent="0.25">
      <c r="A626" s="6">
        <f t="shared" si="59"/>
        <v>45428</v>
      </c>
      <c r="B626" s="13">
        <f t="shared" si="69"/>
        <v>5</v>
      </c>
      <c r="C626" s="13">
        <f t="shared" si="70"/>
        <v>2024</v>
      </c>
      <c r="D626">
        <f t="shared" si="71"/>
        <v>202405</v>
      </c>
      <c r="E626">
        <f t="shared" si="72"/>
        <v>2</v>
      </c>
      <c r="F626">
        <f t="shared" si="73"/>
        <v>202402</v>
      </c>
      <c r="G626" t="s">
        <v>1382</v>
      </c>
      <c r="H626" s="9">
        <v>5.25</v>
      </c>
      <c r="I626" s="9">
        <v>5.2</v>
      </c>
      <c r="J626" s="10">
        <v>5.1477798999999997</v>
      </c>
      <c r="K626" s="10">
        <v>5.0364009999999997</v>
      </c>
      <c r="L626" s="10">
        <v>4.9501748000000001</v>
      </c>
      <c r="M626" s="10">
        <v>4.8789411999999999</v>
      </c>
      <c r="N626" s="10">
        <v>4.8117739999999998</v>
      </c>
      <c r="O626" s="10">
        <v>4.7436211000000004</v>
      </c>
      <c r="P626" s="10">
        <v>4.6737739999999999</v>
      </c>
      <c r="Q626" s="10">
        <v>4.6038291999999998</v>
      </c>
      <c r="R626" s="10">
        <v>4.5358026000000002</v>
      </c>
      <c r="S626" s="10">
        <v>4.4711083</v>
      </c>
      <c r="T626" s="10">
        <v>4.4103960999999998</v>
      </c>
      <c r="U626" s="10">
        <v>4.3538116000000002</v>
      </c>
      <c r="V626" s="10">
        <v>4.3012296000000001</v>
      </c>
      <c r="W626" s="10">
        <v>4.2520515000000003</v>
      </c>
      <c r="X626" s="10">
        <v>4.2055673000000002</v>
      </c>
      <c r="Y626" s="10">
        <v>4.1610654</v>
      </c>
      <c r="Z626" s="10">
        <v>4.1178341999999999</v>
      </c>
      <c r="AA626" s="10">
        <v>4.0751638000000003</v>
      </c>
      <c r="AB626" s="10">
        <v>4.0324795</v>
      </c>
      <c r="AC626" s="10">
        <v>3.9899091000000002</v>
      </c>
      <c r="AD626" s="10">
        <v>3.9478061000000002</v>
      </c>
      <c r="AE626" s="10">
        <v>3.9065224999999999</v>
      </c>
      <c r="AF626" s="10">
        <v>3.8664105000000002</v>
      </c>
      <c r="AG626" s="10">
        <v>3.8278235999999999</v>
      </c>
      <c r="AH626" s="10">
        <v>3.7910623999999999</v>
      </c>
      <c r="AI626" s="10">
        <v>3.7561765999999999</v>
      </c>
      <c r="AJ626" s="10">
        <v>3.7231409000000002</v>
      </c>
      <c r="AK626" s="10">
        <v>3.6919284999999999</v>
      </c>
      <c r="AL626" s="10">
        <v>3.6625128</v>
      </c>
      <c r="AM626" s="10">
        <v>3.6348682999999999</v>
      </c>
      <c r="AN626" s="10">
        <v>3.6089682999999999</v>
      </c>
      <c r="AO626" s="10">
        <v>3.5847863000000002</v>
      </c>
      <c r="AP626" s="10">
        <v>3.5622965</v>
      </c>
      <c r="AQ626" s="10">
        <v>3.5414724999999998</v>
      </c>
      <c r="AR626" s="10">
        <v>3.5222877000000001</v>
      </c>
      <c r="AS626" s="10">
        <v>3.5047163000000001</v>
      </c>
      <c r="AT626" s="10">
        <v>3.4887239000000001</v>
      </c>
      <c r="AU626" s="10">
        <v>3.4742411</v>
      </c>
      <c r="AV626" s="10">
        <v>3.4611890999999999</v>
      </c>
      <c r="AW626" s="10">
        <v>3.4494889</v>
      </c>
      <c r="AX626" s="10">
        <v>3.4390613999999999</v>
      </c>
      <c r="AY626" s="10">
        <v>3.4298278999999998</v>
      </c>
      <c r="AZ626" s="10">
        <v>3.4217092999999998</v>
      </c>
      <c r="BA626" s="10">
        <v>3.4146264999999998</v>
      </c>
      <c r="BB626" s="10">
        <v>3.4085006999999998</v>
      </c>
      <c r="BC626" s="10">
        <v>3.4032529999999999</v>
      </c>
      <c r="BD626" s="10">
        <v>3.3988043000000001</v>
      </c>
      <c r="BE626" s="10">
        <v>3.3950757</v>
      </c>
      <c r="BF626" s="10">
        <v>3.3919969000000001</v>
      </c>
      <c r="BG626" s="10">
        <v>3.3895366</v>
      </c>
      <c r="BH626" s="10">
        <v>3.3876740000000001</v>
      </c>
      <c r="BI626" s="10">
        <v>3.3863881999999998</v>
      </c>
      <c r="BJ626" s="10">
        <v>3.3856584000000001</v>
      </c>
      <c r="BK626" s="10">
        <v>3.3854639</v>
      </c>
      <c r="BL626" s="10">
        <v>3.3857838999999998</v>
      </c>
      <c r="BM626" s="10">
        <v>3.3865976999999998</v>
      </c>
      <c r="BN626" s="10">
        <v>3.3878843000000001</v>
      </c>
      <c r="BO626" s="10">
        <v>3.3896229999999998</v>
      </c>
      <c r="BP626" s="10">
        <v>3.3917931000000001</v>
      </c>
      <c r="BQ626" s="10">
        <v>3.3943737999999999</v>
      </c>
      <c r="BR626" s="10">
        <v>3.4175819999999999</v>
      </c>
      <c r="BS626" s="10">
        <v>3.4519508000000001</v>
      </c>
      <c r="BU626" s="7">
        <v>4.26</v>
      </c>
      <c r="BV626" s="7">
        <v>4.07</v>
      </c>
      <c r="BW626" s="9">
        <v>82.693399999999997</v>
      </c>
    </row>
    <row r="627" spans="1:75" x14ac:dyDescent="0.25">
      <c r="A627" s="6">
        <f t="shared" si="59"/>
        <v>45429</v>
      </c>
      <c r="B627" s="13">
        <f t="shared" si="69"/>
        <v>5</v>
      </c>
      <c r="C627" s="13">
        <f t="shared" si="70"/>
        <v>2024</v>
      </c>
      <c r="D627">
        <f t="shared" si="71"/>
        <v>202405</v>
      </c>
      <c r="E627">
        <f t="shared" si="72"/>
        <v>2</v>
      </c>
      <c r="F627">
        <f t="shared" si="73"/>
        <v>202402</v>
      </c>
      <c r="G627" t="s">
        <v>1383</v>
      </c>
      <c r="H627" s="9">
        <v>5.25</v>
      </c>
      <c r="I627" s="9">
        <v>5.2</v>
      </c>
      <c r="J627" s="10">
        <v>5.1480381</v>
      </c>
      <c r="K627" s="10">
        <v>5.0431695999999997</v>
      </c>
      <c r="L627" s="10">
        <v>4.9609866</v>
      </c>
      <c r="M627" s="10">
        <v>4.8918343999999996</v>
      </c>
      <c r="N627" s="10">
        <v>4.8259088999999999</v>
      </c>
      <c r="O627" s="10">
        <v>4.7593500999999998</v>
      </c>
      <c r="P627" s="10">
        <v>4.6921448000000003</v>
      </c>
      <c r="Q627" s="10">
        <v>4.6263300000000003</v>
      </c>
      <c r="R627" s="10">
        <v>4.5639810000000001</v>
      </c>
      <c r="S627" s="10">
        <v>4.5060874999999996</v>
      </c>
      <c r="T627" s="10">
        <v>4.4526572</v>
      </c>
      <c r="U627" s="10">
        <v>4.4029029</v>
      </c>
      <c r="V627" s="10">
        <v>4.3549837</v>
      </c>
      <c r="W627" s="10">
        <v>4.3082671000000001</v>
      </c>
      <c r="X627" s="10">
        <v>4.2625932999999998</v>
      </c>
      <c r="Y627" s="10">
        <v>4.2178012000000003</v>
      </c>
      <c r="Z627" s="10">
        <v>4.1737297</v>
      </c>
      <c r="AA627" s="10">
        <v>4.1302190000000003</v>
      </c>
      <c r="AB627" s="10">
        <v>4.0871700999999998</v>
      </c>
      <c r="AC627" s="10">
        <v>4.0447718000000004</v>
      </c>
      <c r="AD627" s="10">
        <v>4.003298</v>
      </c>
      <c r="AE627" s="10">
        <v>3.9630207</v>
      </c>
      <c r="AF627" s="10">
        <v>3.9242124999999999</v>
      </c>
      <c r="AG627" s="10">
        <v>3.8871470000000001</v>
      </c>
      <c r="AH627" s="10">
        <v>3.8520460999999999</v>
      </c>
      <c r="AI627" s="10">
        <v>3.8189101000000001</v>
      </c>
      <c r="AJ627" s="10">
        <v>3.7876786999999998</v>
      </c>
      <c r="AK627" s="10">
        <v>3.7582909</v>
      </c>
      <c r="AL627" s="10">
        <v>3.7306854999999999</v>
      </c>
      <c r="AM627" s="10">
        <v>3.7048022999999999</v>
      </c>
      <c r="AN627" s="10">
        <v>3.6805802000000001</v>
      </c>
      <c r="AO627" s="10">
        <v>3.6579581999999999</v>
      </c>
      <c r="AP627" s="10">
        <v>3.6368759000000002</v>
      </c>
      <c r="AQ627" s="10">
        <v>3.6172721999999999</v>
      </c>
      <c r="AR627" s="10">
        <v>3.5990861999999999</v>
      </c>
      <c r="AS627" s="10">
        <v>3.5822574</v>
      </c>
      <c r="AT627" s="10">
        <v>3.5667257999999999</v>
      </c>
      <c r="AU627" s="10">
        <v>3.5524355000000001</v>
      </c>
      <c r="AV627" s="10">
        <v>3.5393317999999998</v>
      </c>
      <c r="AW627" s="10">
        <v>3.5273598000000002</v>
      </c>
      <c r="AX627" s="10">
        <v>3.5164645000000001</v>
      </c>
      <c r="AY627" s="10">
        <v>3.5065913000000002</v>
      </c>
      <c r="AZ627" s="10">
        <v>3.4976851999999998</v>
      </c>
      <c r="BA627" s="10">
        <v>3.4896912000000002</v>
      </c>
      <c r="BB627" s="10">
        <v>3.4825548</v>
      </c>
      <c r="BC627" s="10">
        <v>3.4762208999999999</v>
      </c>
      <c r="BD627" s="10">
        <v>3.4706347000000002</v>
      </c>
      <c r="BE627" s="10">
        <v>3.4657414000000002</v>
      </c>
      <c r="BF627" s="10">
        <v>3.4614916999999998</v>
      </c>
      <c r="BG627" s="10">
        <v>3.4578614000000001</v>
      </c>
      <c r="BH627" s="10">
        <v>3.4548331999999999</v>
      </c>
      <c r="BI627" s="10">
        <v>3.4523898000000002</v>
      </c>
      <c r="BJ627" s="10">
        <v>3.4505137000000001</v>
      </c>
      <c r="BK627" s="10">
        <v>3.4491877</v>
      </c>
      <c r="BL627" s="10">
        <v>3.4483945</v>
      </c>
      <c r="BM627" s="10">
        <v>3.4481164999999998</v>
      </c>
      <c r="BN627" s="10">
        <v>3.4483366000000002</v>
      </c>
      <c r="BO627" s="10">
        <v>3.4490373999999999</v>
      </c>
      <c r="BP627" s="10">
        <v>3.4502014999999999</v>
      </c>
      <c r="BQ627" s="10">
        <v>3.4518116000000001</v>
      </c>
      <c r="BR627" s="10">
        <v>3.4700334000000002</v>
      </c>
      <c r="BS627" s="10">
        <v>3.5009502000000001</v>
      </c>
      <c r="BU627" s="7">
        <v>4.32</v>
      </c>
      <c r="BV627" s="7">
        <v>4.12</v>
      </c>
      <c r="BW627" s="9">
        <v>82.882499999999993</v>
      </c>
    </row>
    <row r="628" spans="1:75" x14ac:dyDescent="0.25">
      <c r="A628" s="6">
        <f t="shared" si="59"/>
        <v>45432</v>
      </c>
      <c r="B628" s="13">
        <f t="shared" si="69"/>
        <v>5</v>
      </c>
      <c r="C628" s="13">
        <f t="shared" si="70"/>
        <v>2024</v>
      </c>
      <c r="D628">
        <f t="shared" si="71"/>
        <v>202405</v>
      </c>
      <c r="E628">
        <f t="shared" si="72"/>
        <v>2</v>
      </c>
      <c r="F628">
        <f t="shared" si="73"/>
        <v>202402</v>
      </c>
      <c r="G628" t="s">
        <v>1384</v>
      </c>
      <c r="H628" s="9">
        <v>5.25</v>
      </c>
      <c r="I628" s="9">
        <v>5.2</v>
      </c>
      <c r="J628" s="10">
        <v>5.1458316999999996</v>
      </c>
      <c r="K628" s="10">
        <v>5.0407188999999999</v>
      </c>
      <c r="L628" s="10">
        <v>4.9615555999999996</v>
      </c>
      <c r="M628" s="10">
        <v>4.8962773000000004</v>
      </c>
      <c r="N628" s="10">
        <v>4.8333933</v>
      </c>
      <c r="O628" s="10">
        <v>4.7694833000000001</v>
      </c>
      <c r="P628" s="10">
        <v>4.7053931999999996</v>
      </c>
      <c r="Q628" s="10">
        <v>4.6437869000000003</v>
      </c>
      <c r="R628" s="10">
        <v>4.5868799999999998</v>
      </c>
      <c r="S628" s="10">
        <v>4.5354488000000002</v>
      </c>
      <c r="T628" s="10">
        <v>4.4891519000000004</v>
      </c>
      <c r="U628" s="10">
        <v>4.4466964000000004</v>
      </c>
      <c r="V628" s="10">
        <v>4.4056141999999996</v>
      </c>
      <c r="W628" s="10">
        <v>4.3650798999999996</v>
      </c>
      <c r="X628" s="10">
        <v>4.3248078000000003</v>
      </c>
      <c r="Y628" s="10">
        <v>4.2845107999999996</v>
      </c>
      <c r="Z628" s="10">
        <v>4.2439017000000003</v>
      </c>
      <c r="AA628" s="10">
        <v>4.2026947999999997</v>
      </c>
      <c r="AB628" s="10">
        <v>4.1607124999999998</v>
      </c>
      <c r="AC628" s="10">
        <v>4.1182859000000001</v>
      </c>
      <c r="AD628" s="10">
        <v>4.0758948000000004</v>
      </c>
      <c r="AE628" s="10">
        <v>4.0340175</v>
      </c>
      <c r="AF628" s="10">
        <v>3.9931323999999999</v>
      </c>
      <c r="AG628" s="10">
        <v>3.9537192999999999</v>
      </c>
      <c r="AH628" s="10">
        <v>3.9161698</v>
      </c>
      <c r="AI628" s="10">
        <v>3.8805293000000001</v>
      </c>
      <c r="AJ628" s="10">
        <v>3.8467573000000002</v>
      </c>
      <c r="AK628" s="10">
        <v>3.8148124000000001</v>
      </c>
      <c r="AL628" s="10">
        <v>3.7846532000000002</v>
      </c>
      <c r="AM628" s="10">
        <v>3.7562392999999998</v>
      </c>
      <c r="AN628" s="10">
        <v>3.7295292999999998</v>
      </c>
      <c r="AO628" s="10">
        <v>3.7044817000000001</v>
      </c>
      <c r="AP628" s="10">
        <v>3.6810559999999999</v>
      </c>
      <c r="AQ628" s="10">
        <v>3.659211</v>
      </c>
      <c r="AR628" s="10">
        <v>3.6389052</v>
      </c>
      <c r="AS628" s="10">
        <v>3.6200980999999999</v>
      </c>
      <c r="AT628" s="10">
        <v>3.6027456999999998</v>
      </c>
      <c r="AU628" s="10">
        <v>3.5867931999999998</v>
      </c>
      <c r="AV628" s="10">
        <v>3.5721837999999999</v>
      </c>
      <c r="AW628" s="10">
        <v>3.5588601</v>
      </c>
      <c r="AX628" s="10">
        <v>3.5467648000000001</v>
      </c>
      <c r="AY628" s="10">
        <v>3.5358409000000002</v>
      </c>
      <c r="AZ628" s="10">
        <v>3.5260311999999998</v>
      </c>
      <c r="BA628" s="10">
        <v>3.5172781999999998</v>
      </c>
      <c r="BB628" s="10">
        <v>3.509525</v>
      </c>
      <c r="BC628" s="10">
        <v>3.5027143000000001</v>
      </c>
      <c r="BD628" s="10">
        <v>3.4967887000000002</v>
      </c>
      <c r="BE628" s="10">
        <v>3.4916912999999998</v>
      </c>
      <c r="BF628" s="10">
        <v>3.4873690000000002</v>
      </c>
      <c r="BG628" s="10">
        <v>3.4837912000000002</v>
      </c>
      <c r="BH628" s="10">
        <v>3.4809351999999998</v>
      </c>
      <c r="BI628" s="10">
        <v>3.4787781</v>
      </c>
      <c r="BJ628" s="10">
        <v>3.4772970999999999</v>
      </c>
      <c r="BK628" s="10">
        <v>3.4764691999999999</v>
      </c>
      <c r="BL628" s="10">
        <v>3.4762718000000001</v>
      </c>
      <c r="BM628" s="10">
        <v>3.4766818000000002</v>
      </c>
      <c r="BN628" s="10">
        <v>3.4776764</v>
      </c>
      <c r="BO628" s="10">
        <v>3.4792329</v>
      </c>
      <c r="BP628" s="10">
        <v>3.4813282999999999</v>
      </c>
      <c r="BQ628" s="10">
        <v>3.4839397000000001</v>
      </c>
      <c r="BR628" s="10">
        <v>3.5091961</v>
      </c>
      <c r="BS628" s="10">
        <v>3.5474530999999998</v>
      </c>
      <c r="BU628" s="7">
        <v>4.3499999999999996</v>
      </c>
      <c r="BV628" s="7">
        <v>4.17</v>
      </c>
      <c r="BW628" s="9">
        <v>83.026899999999998</v>
      </c>
    </row>
    <row r="629" spans="1:75" x14ac:dyDescent="0.25">
      <c r="A629" s="6">
        <f t="shared" si="59"/>
        <v>45433</v>
      </c>
      <c r="B629" s="13">
        <f t="shared" si="69"/>
        <v>5</v>
      </c>
      <c r="C629" s="13">
        <f t="shared" si="70"/>
        <v>2024</v>
      </c>
      <c r="D629">
        <f t="shared" si="71"/>
        <v>202405</v>
      </c>
      <c r="E629">
        <f t="shared" si="72"/>
        <v>2</v>
      </c>
      <c r="F629">
        <f t="shared" si="73"/>
        <v>202402</v>
      </c>
      <c r="G629" t="s">
        <v>1385</v>
      </c>
      <c r="H629" s="9">
        <v>5.25</v>
      </c>
      <c r="I629" s="9">
        <v>5.2</v>
      </c>
      <c r="J629" s="10">
        <v>5.1435703000000004</v>
      </c>
      <c r="K629" s="10">
        <v>5.0432978999999998</v>
      </c>
      <c r="L629" s="10">
        <v>4.9648542000000004</v>
      </c>
      <c r="M629" s="10">
        <v>4.8972071000000001</v>
      </c>
      <c r="N629" s="10">
        <v>4.8305889999999998</v>
      </c>
      <c r="O629" s="10">
        <v>4.7622112999999997</v>
      </c>
      <c r="P629" s="10">
        <v>4.6931747000000001</v>
      </c>
      <c r="Q629" s="10">
        <v>4.6262302999999996</v>
      </c>
      <c r="R629" s="10">
        <v>4.5639472000000003</v>
      </c>
      <c r="S629" s="10">
        <v>4.5075422999999999</v>
      </c>
      <c r="T629" s="10">
        <v>4.4570337000000002</v>
      </c>
      <c r="U629" s="10">
        <v>4.4113217000000002</v>
      </c>
      <c r="V629" s="10">
        <v>4.3676577999999999</v>
      </c>
      <c r="W629" s="10">
        <v>4.3250259</v>
      </c>
      <c r="X629" s="10">
        <v>4.2829981999999998</v>
      </c>
      <c r="Y629" s="10">
        <v>4.2411453000000003</v>
      </c>
      <c r="Z629" s="10">
        <v>4.1990379000000004</v>
      </c>
      <c r="AA629" s="10">
        <v>4.1562479999999997</v>
      </c>
      <c r="AB629" s="10">
        <v>4.1124901999999999</v>
      </c>
      <c r="AC629" s="10">
        <v>4.0681460999999999</v>
      </c>
      <c r="AD629" s="10">
        <v>4.0237920999999996</v>
      </c>
      <c r="AE629" s="10">
        <v>3.9800030999999998</v>
      </c>
      <c r="AF629" s="10">
        <v>3.9373540999999999</v>
      </c>
      <c r="AG629" s="10">
        <v>3.8964215000000002</v>
      </c>
      <c r="AH629" s="10">
        <v>3.8576736999999999</v>
      </c>
      <c r="AI629" s="10">
        <v>3.8211525000000002</v>
      </c>
      <c r="AJ629" s="10">
        <v>3.7867942999999999</v>
      </c>
      <c r="AK629" s="10">
        <v>3.7545345999999999</v>
      </c>
      <c r="AL629" s="10">
        <v>3.7243084</v>
      </c>
      <c r="AM629" s="10">
        <v>3.6960524000000001</v>
      </c>
      <c r="AN629" s="10">
        <v>3.6697015999999998</v>
      </c>
      <c r="AO629" s="10">
        <v>3.6451915000000001</v>
      </c>
      <c r="AP629" s="10">
        <v>3.6224584000000002</v>
      </c>
      <c r="AQ629" s="10">
        <v>3.6014376000000001</v>
      </c>
      <c r="AR629" s="10">
        <v>3.5820645999999998</v>
      </c>
      <c r="AS629" s="10">
        <v>3.5642754000000001</v>
      </c>
      <c r="AT629" s="10">
        <v>3.5480043000000001</v>
      </c>
      <c r="AU629" s="10">
        <v>3.5331807999999998</v>
      </c>
      <c r="AV629" s="10">
        <v>3.5197335999999999</v>
      </c>
      <c r="AW629" s="10">
        <v>3.5075908999999998</v>
      </c>
      <c r="AX629" s="10">
        <v>3.4966811</v>
      </c>
      <c r="AY629" s="10">
        <v>3.4869328999999998</v>
      </c>
      <c r="AZ629" s="10">
        <v>3.4782744000000001</v>
      </c>
      <c r="BA629" s="10">
        <v>3.4706342000000001</v>
      </c>
      <c r="BB629" s="10">
        <v>3.4639407000000002</v>
      </c>
      <c r="BC629" s="10">
        <v>3.4581222</v>
      </c>
      <c r="BD629" s="10">
        <v>3.4531073000000001</v>
      </c>
      <c r="BE629" s="10">
        <v>3.4488243000000001</v>
      </c>
      <c r="BF629" s="10">
        <v>3.4452090000000002</v>
      </c>
      <c r="BG629" s="10">
        <v>3.4422324999999998</v>
      </c>
      <c r="BH629" s="10">
        <v>3.4398770000000001</v>
      </c>
      <c r="BI629" s="10">
        <v>3.4381244</v>
      </c>
      <c r="BJ629" s="10">
        <v>3.4369569000000002</v>
      </c>
      <c r="BK629" s="10">
        <v>3.4363564000000002</v>
      </c>
      <c r="BL629" s="10">
        <v>3.4363050999999998</v>
      </c>
      <c r="BM629" s="10">
        <v>3.4367849000000001</v>
      </c>
      <c r="BN629" s="10">
        <v>3.4377778999999999</v>
      </c>
      <c r="BO629" s="10">
        <v>3.4392662000000001</v>
      </c>
      <c r="BP629" s="10">
        <v>3.4412319</v>
      </c>
      <c r="BQ629" s="10">
        <v>3.4436567999999999</v>
      </c>
      <c r="BR629" s="10">
        <v>3.4668714999999999</v>
      </c>
      <c r="BS629" s="10">
        <v>3.5022427</v>
      </c>
      <c r="BU629" s="7">
        <v>4.3</v>
      </c>
      <c r="BV629" s="7">
        <v>4.13</v>
      </c>
      <c r="BW629" s="9">
        <v>83.147900000000007</v>
      </c>
    </row>
    <row r="630" spans="1:75" x14ac:dyDescent="0.25">
      <c r="A630" s="6">
        <f t="shared" si="59"/>
        <v>45434</v>
      </c>
      <c r="B630" s="13">
        <f t="shared" si="69"/>
        <v>5</v>
      </c>
      <c r="C630" s="13">
        <f t="shared" si="70"/>
        <v>2024</v>
      </c>
      <c r="D630">
        <f t="shared" si="71"/>
        <v>202405</v>
      </c>
      <c r="E630">
        <f t="shared" si="72"/>
        <v>2</v>
      </c>
      <c r="F630">
        <f t="shared" si="73"/>
        <v>202402</v>
      </c>
      <c r="G630" t="s">
        <v>1386</v>
      </c>
      <c r="H630" s="9">
        <v>5.25</v>
      </c>
      <c r="I630" s="9">
        <v>5.2</v>
      </c>
      <c r="J630" s="10">
        <v>5.1884426000000001</v>
      </c>
      <c r="K630" s="10">
        <v>5.1484831</v>
      </c>
      <c r="L630" s="10">
        <v>5.0960044</v>
      </c>
      <c r="M630" s="10">
        <v>5.0258805000000004</v>
      </c>
      <c r="N630" s="10">
        <v>4.9405669999999997</v>
      </c>
      <c r="O630" s="10">
        <v>4.8514404000000004</v>
      </c>
      <c r="P630" s="10">
        <v>4.7719342999999999</v>
      </c>
      <c r="Q630" s="10">
        <v>4.7101937999999999</v>
      </c>
      <c r="R630" s="10">
        <v>4.6608672999999996</v>
      </c>
      <c r="S630" s="10">
        <v>4.6198458999999996</v>
      </c>
      <c r="T630" s="10">
        <v>4.590465</v>
      </c>
      <c r="U630" s="10">
        <v>4.5755412</v>
      </c>
      <c r="V630" s="10">
        <v>4.5617168000000001</v>
      </c>
      <c r="W630" s="10">
        <v>4.5445678999999997</v>
      </c>
      <c r="X630" s="10">
        <v>4.5232343999999998</v>
      </c>
      <c r="Y630" s="10">
        <v>4.4968556</v>
      </c>
      <c r="Z630" s="10">
        <v>4.4645703000000001</v>
      </c>
      <c r="AA630" s="10">
        <v>4.4255187999999999</v>
      </c>
      <c r="AB630" s="10">
        <v>4.3791576000000001</v>
      </c>
      <c r="AC630" s="10">
        <v>4.3267420999999997</v>
      </c>
      <c r="AD630" s="10">
        <v>4.2701621000000003</v>
      </c>
      <c r="AE630" s="10">
        <v>4.2113063000000004</v>
      </c>
      <c r="AF630" s="10">
        <v>4.1520633</v>
      </c>
      <c r="AG630" s="10">
        <v>4.0943236000000001</v>
      </c>
      <c r="AH630" s="10">
        <v>4.0396473000000004</v>
      </c>
      <c r="AI630" s="10">
        <v>3.9882797000000001</v>
      </c>
      <c r="AJ630" s="10">
        <v>3.9401392</v>
      </c>
      <c r="AK630" s="10">
        <v>3.8951427000000001</v>
      </c>
      <c r="AL630" s="10">
        <v>3.8532066999999999</v>
      </c>
      <c r="AM630" s="10">
        <v>3.8142497999999998</v>
      </c>
      <c r="AN630" s="10">
        <v>3.7781885000000002</v>
      </c>
      <c r="AO630" s="10">
        <v>3.7449398</v>
      </c>
      <c r="AP630" s="10">
        <v>3.7144219000000001</v>
      </c>
      <c r="AQ630" s="10">
        <v>3.6865515000000002</v>
      </c>
      <c r="AR630" s="10">
        <v>3.6612456999999998</v>
      </c>
      <c r="AS630" s="10">
        <v>3.6384224000000001</v>
      </c>
      <c r="AT630" s="10">
        <v>3.6179904999999999</v>
      </c>
      <c r="AU630" s="10">
        <v>3.5998204</v>
      </c>
      <c r="AV630" s="10">
        <v>3.5837712000000002</v>
      </c>
      <c r="AW630" s="10">
        <v>3.5697013000000002</v>
      </c>
      <c r="AX630" s="10">
        <v>3.5574693000000002</v>
      </c>
      <c r="AY630" s="10">
        <v>3.5469341999999999</v>
      </c>
      <c r="AZ630" s="10">
        <v>3.5379545000000001</v>
      </c>
      <c r="BA630" s="10">
        <v>3.5303887</v>
      </c>
      <c r="BB630" s="10">
        <v>3.5240958</v>
      </c>
      <c r="BC630" s="10">
        <v>3.5189344</v>
      </c>
      <c r="BD630" s="10">
        <v>3.5147629999999999</v>
      </c>
      <c r="BE630" s="10">
        <v>3.5114404000000001</v>
      </c>
      <c r="BF630" s="10">
        <v>3.5088419000000002</v>
      </c>
      <c r="BG630" s="10">
        <v>3.5069151000000001</v>
      </c>
      <c r="BH630" s="10">
        <v>3.5056281999999999</v>
      </c>
      <c r="BI630" s="10">
        <v>3.5049489999999999</v>
      </c>
      <c r="BJ630" s="10">
        <v>3.5048455999999999</v>
      </c>
      <c r="BK630" s="10">
        <v>3.5052857999999998</v>
      </c>
      <c r="BL630" s="10">
        <v>3.5062376999999998</v>
      </c>
      <c r="BM630" s="10">
        <v>3.5076692</v>
      </c>
      <c r="BN630" s="10">
        <v>3.5095481999999998</v>
      </c>
      <c r="BO630" s="10">
        <v>3.5118426999999999</v>
      </c>
      <c r="BP630" s="10">
        <v>3.5145206999999998</v>
      </c>
      <c r="BQ630" s="10">
        <v>3.51755</v>
      </c>
      <c r="BR630" s="10">
        <v>3.5420273999999998</v>
      </c>
      <c r="BS630" s="10">
        <v>3.5754234999999999</v>
      </c>
      <c r="BU630" s="7">
        <v>4.45</v>
      </c>
      <c r="BV630" s="7">
        <v>4.2300000000000004</v>
      </c>
      <c r="BW630" s="9">
        <v>83.308999999999997</v>
      </c>
    </row>
    <row r="631" spans="1:75" x14ac:dyDescent="0.25">
      <c r="A631" s="6">
        <f t="shared" si="59"/>
        <v>45435</v>
      </c>
      <c r="B631" s="13">
        <f t="shared" si="69"/>
        <v>5</v>
      </c>
      <c r="C631" s="13">
        <f t="shared" si="70"/>
        <v>2024</v>
      </c>
      <c r="D631">
        <f t="shared" si="71"/>
        <v>202405</v>
      </c>
      <c r="E631">
        <f t="shared" si="72"/>
        <v>2</v>
      </c>
      <c r="F631">
        <f t="shared" si="73"/>
        <v>202402</v>
      </c>
      <c r="G631" t="s">
        <v>1387</v>
      </c>
      <c r="H631" s="9">
        <v>5.25</v>
      </c>
      <c r="I631" s="9">
        <v>5.2</v>
      </c>
      <c r="J631" s="10">
        <v>5.1919297999999996</v>
      </c>
      <c r="K631" s="10">
        <v>5.1553902999999996</v>
      </c>
      <c r="L631" s="10">
        <v>5.1130293</v>
      </c>
      <c r="M631" s="10">
        <v>5.0658738999999997</v>
      </c>
      <c r="N631" s="10">
        <v>5.0140570999999996</v>
      </c>
      <c r="O631" s="10">
        <v>4.9587180000000002</v>
      </c>
      <c r="P631" s="10">
        <v>4.9017738</v>
      </c>
      <c r="Q631" s="10">
        <v>4.8453343000000002</v>
      </c>
      <c r="R631" s="10">
        <v>4.7909978000000004</v>
      </c>
      <c r="S631" s="10">
        <v>4.7395003000000004</v>
      </c>
      <c r="T631" s="10">
        <v>4.6907427999999998</v>
      </c>
      <c r="U631" s="10">
        <v>4.6441420000000004</v>
      </c>
      <c r="V631" s="10">
        <v>4.5986377999999997</v>
      </c>
      <c r="W631" s="10">
        <v>4.5536329000000002</v>
      </c>
      <c r="X631" s="10">
        <v>4.5086864999999996</v>
      </c>
      <c r="Y631" s="10">
        <v>4.4633564000000003</v>
      </c>
      <c r="Z631" s="10">
        <v>4.4172003000000002</v>
      </c>
      <c r="AA631" s="10">
        <v>4.3697774999999996</v>
      </c>
      <c r="AB631" s="10">
        <v>4.3207917</v>
      </c>
      <c r="AC631" s="10">
        <v>4.2706951000000002</v>
      </c>
      <c r="AD631" s="10">
        <v>4.2201804000000003</v>
      </c>
      <c r="AE631" s="10">
        <v>4.1699389</v>
      </c>
      <c r="AF631" s="10">
        <v>4.1206619</v>
      </c>
      <c r="AG631" s="10">
        <v>4.0730421999999997</v>
      </c>
      <c r="AH631" s="10">
        <v>4.0276809</v>
      </c>
      <c r="AI631" s="10">
        <v>3.9846941</v>
      </c>
      <c r="AJ631" s="10">
        <v>3.9440363999999999</v>
      </c>
      <c r="AK631" s="10">
        <v>3.9056609</v>
      </c>
      <c r="AL631" s="10">
        <v>3.8695210000000002</v>
      </c>
      <c r="AM631" s="10">
        <v>3.8355709999999998</v>
      </c>
      <c r="AN631" s="10">
        <v>3.8037641999999998</v>
      </c>
      <c r="AO631" s="10">
        <v>3.7740537999999999</v>
      </c>
      <c r="AP631" s="10">
        <v>3.7463943</v>
      </c>
      <c r="AQ631" s="10">
        <v>3.7207387000000001</v>
      </c>
      <c r="AR631" s="10">
        <v>3.6970405999999998</v>
      </c>
      <c r="AS631" s="10">
        <v>3.6752541000000001</v>
      </c>
      <c r="AT631" s="10">
        <v>3.6553252000000001</v>
      </c>
      <c r="AU631" s="10">
        <v>3.6371671999999999</v>
      </c>
      <c r="AV631" s="10">
        <v>3.6206852999999999</v>
      </c>
      <c r="AW631" s="10">
        <v>3.6057838000000002</v>
      </c>
      <c r="AX631" s="10">
        <v>3.5923671000000001</v>
      </c>
      <c r="AY631" s="10">
        <v>3.5803402000000002</v>
      </c>
      <c r="AZ631" s="10">
        <v>3.5696075999999999</v>
      </c>
      <c r="BA631" s="10">
        <v>3.5600736999999998</v>
      </c>
      <c r="BB631" s="10">
        <v>3.5516435</v>
      </c>
      <c r="BC631" s="10">
        <v>3.5442212999999998</v>
      </c>
      <c r="BD631" s="10">
        <v>3.5377117</v>
      </c>
      <c r="BE631" s="10">
        <v>3.5320195000000001</v>
      </c>
      <c r="BF631" s="10">
        <v>3.5270603</v>
      </c>
      <c r="BG631" s="10">
        <v>3.5227982999999998</v>
      </c>
      <c r="BH631" s="10">
        <v>3.5192112</v>
      </c>
      <c r="BI631" s="10">
        <v>3.5162767000000001</v>
      </c>
      <c r="BJ631" s="10">
        <v>3.5139724999999999</v>
      </c>
      <c r="BK631" s="10">
        <v>3.5122764000000002</v>
      </c>
      <c r="BL631" s="10">
        <v>3.5111659999999998</v>
      </c>
      <c r="BM631" s="10">
        <v>3.5106188999999999</v>
      </c>
      <c r="BN631" s="10">
        <v>3.5106130000000002</v>
      </c>
      <c r="BO631" s="10">
        <v>3.5111257999999999</v>
      </c>
      <c r="BP631" s="10">
        <v>3.5121351000000001</v>
      </c>
      <c r="BQ631" s="10">
        <v>3.5136186</v>
      </c>
      <c r="BR631" s="10">
        <v>3.5314220000000001</v>
      </c>
      <c r="BS631" s="10">
        <v>3.561849</v>
      </c>
      <c r="BU631" s="7">
        <v>4.5</v>
      </c>
      <c r="BV631" s="7">
        <v>4.26</v>
      </c>
      <c r="BW631" s="9">
        <v>83.266999999999996</v>
      </c>
    </row>
    <row r="632" spans="1:75" x14ac:dyDescent="0.25">
      <c r="A632" s="6">
        <f t="shared" si="59"/>
        <v>45436</v>
      </c>
      <c r="B632" s="13">
        <f t="shared" si="69"/>
        <v>5</v>
      </c>
      <c r="C632" s="13">
        <f t="shared" si="70"/>
        <v>2024</v>
      </c>
      <c r="D632">
        <f t="shared" si="71"/>
        <v>202405</v>
      </c>
      <c r="E632">
        <f t="shared" si="72"/>
        <v>2</v>
      </c>
      <c r="F632">
        <f t="shared" si="73"/>
        <v>202402</v>
      </c>
      <c r="G632" t="s">
        <v>1388</v>
      </c>
      <c r="H632" s="9">
        <v>5.25</v>
      </c>
      <c r="I632" s="9">
        <v>5.2</v>
      </c>
      <c r="J632" s="10">
        <v>5.1918996999999996</v>
      </c>
      <c r="K632" s="10">
        <v>5.1544352</v>
      </c>
      <c r="L632" s="10">
        <v>5.1109739999999997</v>
      </c>
      <c r="M632" s="10">
        <v>5.0623054999999999</v>
      </c>
      <c r="N632" s="10">
        <v>5.0089364999999999</v>
      </c>
      <c r="O632" s="10">
        <v>4.9529316000000003</v>
      </c>
      <c r="P632" s="10">
        <v>4.8968826999999999</v>
      </c>
      <c r="Q632" s="10">
        <v>4.8430324000000002</v>
      </c>
      <c r="R632" s="10">
        <v>4.7925632</v>
      </c>
      <c r="S632" s="10">
        <v>4.7454649</v>
      </c>
      <c r="T632" s="10">
        <v>4.7008909000000001</v>
      </c>
      <c r="U632" s="10">
        <v>4.6575196999999999</v>
      </c>
      <c r="V632" s="10">
        <v>4.6130578</v>
      </c>
      <c r="W632" s="10">
        <v>4.5670032999999997</v>
      </c>
      <c r="X632" s="10">
        <v>4.5195777000000001</v>
      </c>
      <c r="Y632" s="10">
        <v>4.4710013000000002</v>
      </c>
      <c r="Z632" s="10">
        <v>4.4214945999999999</v>
      </c>
      <c r="AA632" s="10">
        <v>4.3712795</v>
      </c>
      <c r="AB632" s="10">
        <v>4.3206151999999998</v>
      </c>
      <c r="AC632" s="10">
        <v>4.2699407000000003</v>
      </c>
      <c r="AD632" s="10">
        <v>4.2197490999999996</v>
      </c>
      <c r="AE632" s="10">
        <v>4.1705313999999998</v>
      </c>
      <c r="AF632" s="10">
        <v>4.1227787999999999</v>
      </c>
      <c r="AG632" s="10">
        <v>4.0769843999999997</v>
      </c>
      <c r="AH632" s="10">
        <v>4.0335622000000004</v>
      </c>
      <c r="AI632" s="10">
        <v>3.9925510000000002</v>
      </c>
      <c r="AJ632" s="10">
        <v>3.9538769</v>
      </c>
      <c r="AK632" s="10">
        <v>3.9174641000000001</v>
      </c>
      <c r="AL632" s="10">
        <v>3.8832374999999999</v>
      </c>
      <c r="AM632" s="10">
        <v>3.8511226000000001</v>
      </c>
      <c r="AN632" s="10">
        <v>3.8210441999999998</v>
      </c>
      <c r="AO632" s="10">
        <v>3.7929268999999999</v>
      </c>
      <c r="AP632" s="10">
        <v>3.7666962000000002</v>
      </c>
      <c r="AQ632" s="10">
        <v>3.7422768999999998</v>
      </c>
      <c r="AR632" s="10">
        <v>3.7195936000000001</v>
      </c>
      <c r="AS632" s="10">
        <v>3.6985719000000001</v>
      </c>
      <c r="AT632" s="10">
        <v>3.6791372999999998</v>
      </c>
      <c r="AU632" s="10">
        <v>3.6612187999999999</v>
      </c>
      <c r="AV632" s="10">
        <v>3.6447471999999999</v>
      </c>
      <c r="AW632" s="10">
        <v>3.6296520999999999</v>
      </c>
      <c r="AX632" s="10">
        <v>3.6158636999999998</v>
      </c>
      <c r="AY632" s="10">
        <v>3.6033122999999998</v>
      </c>
      <c r="AZ632" s="10">
        <v>3.5919279</v>
      </c>
      <c r="BA632" s="10">
        <v>3.5816406000000001</v>
      </c>
      <c r="BB632" s="10">
        <v>3.5723807000000001</v>
      </c>
      <c r="BC632" s="10">
        <v>3.5640781000000001</v>
      </c>
      <c r="BD632" s="10">
        <v>3.5566629999999999</v>
      </c>
      <c r="BE632" s="10">
        <v>3.5500655999999999</v>
      </c>
      <c r="BF632" s="10">
        <v>3.5442230000000001</v>
      </c>
      <c r="BG632" s="10">
        <v>3.539104</v>
      </c>
      <c r="BH632" s="10">
        <v>3.5346858000000001</v>
      </c>
      <c r="BI632" s="10">
        <v>3.5309457000000002</v>
      </c>
      <c r="BJ632" s="10">
        <v>3.5278611</v>
      </c>
      <c r="BK632" s="10">
        <v>3.5254091999999999</v>
      </c>
      <c r="BL632" s="10">
        <v>3.5235672999999998</v>
      </c>
      <c r="BM632" s="10">
        <v>3.5223127999999999</v>
      </c>
      <c r="BN632" s="10">
        <v>3.5216229999999999</v>
      </c>
      <c r="BO632" s="10">
        <v>3.5214751</v>
      </c>
      <c r="BP632" s="10">
        <v>3.5218465000000001</v>
      </c>
      <c r="BQ632" s="10">
        <v>3.5227143999999999</v>
      </c>
      <c r="BR632" s="10">
        <v>3.5373486000000001</v>
      </c>
      <c r="BS632" s="10">
        <v>3.5657763</v>
      </c>
      <c r="BU632" s="7">
        <v>4.51</v>
      </c>
      <c r="BV632" s="7">
        <v>4.26</v>
      </c>
      <c r="BW632" s="9">
        <v>83.348100000000002</v>
      </c>
    </row>
    <row r="633" spans="1:75" x14ac:dyDescent="0.25">
      <c r="A633" s="6">
        <f t="shared" si="59"/>
        <v>45439</v>
      </c>
      <c r="B633" s="13">
        <f t="shared" si="69"/>
        <v>5</v>
      </c>
      <c r="C633" s="13">
        <f t="shared" si="70"/>
        <v>2024</v>
      </c>
      <c r="D633">
        <f t="shared" si="71"/>
        <v>202405</v>
      </c>
      <c r="E633">
        <f t="shared" si="72"/>
        <v>2</v>
      </c>
      <c r="F633">
        <f t="shared" si="73"/>
        <v>202402</v>
      </c>
      <c r="G633" t="s">
        <v>1389</v>
      </c>
      <c r="H633" s="9">
        <v>5.25</v>
      </c>
      <c r="I633" s="9" t="e">
        <v>#N/A</v>
      </c>
      <c r="J633" s="10" t="e">
        <v>#N/A</v>
      </c>
      <c r="K633" s="10" t="e">
        <v>#N/A</v>
      </c>
      <c r="L633" s="10" t="e">
        <v>#N/A</v>
      </c>
      <c r="M633" s="10" t="e">
        <v>#N/A</v>
      </c>
      <c r="N633" s="10" t="e">
        <v>#N/A</v>
      </c>
      <c r="O633" s="10" t="e">
        <v>#N/A</v>
      </c>
      <c r="P633" s="10" t="e">
        <v>#N/A</v>
      </c>
      <c r="Q633" s="10" t="e">
        <v>#N/A</v>
      </c>
      <c r="R633" s="10" t="e">
        <v>#N/A</v>
      </c>
      <c r="S633" s="10" t="e">
        <v>#N/A</v>
      </c>
      <c r="T633" s="10" t="e">
        <v>#N/A</v>
      </c>
      <c r="U633" s="10" t="e">
        <v>#N/A</v>
      </c>
      <c r="V633" s="10" t="e">
        <v>#N/A</v>
      </c>
      <c r="W633" s="10" t="e">
        <v>#N/A</v>
      </c>
      <c r="X633" s="10" t="e">
        <v>#N/A</v>
      </c>
      <c r="Y633" s="10" t="e">
        <v>#N/A</v>
      </c>
      <c r="Z633" s="10" t="e">
        <v>#N/A</v>
      </c>
      <c r="AA633" s="10" t="e">
        <v>#N/A</v>
      </c>
      <c r="AB633" s="10" t="e">
        <v>#N/A</v>
      </c>
      <c r="AC633" s="10" t="e">
        <v>#N/A</v>
      </c>
      <c r="AD633" s="10" t="e">
        <v>#N/A</v>
      </c>
      <c r="AE633" s="10" t="e">
        <v>#N/A</v>
      </c>
      <c r="AF633" s="10" t="e">
        <v>#N/A</v>
      </c>
      <c r="AG633" s="10" t="e">
        <v>#N/A</v>
      </c>
      <c r="AH633" s="10" t="e">
        <v>#N/A</v>
      </c>
      <c r="AI633" s="10" t="e">
        <v>#N/A</v>
      </c>
      <c r="AJ633" s="10" t="e">
        <v>#N/A</v>
      </c>
      <c r="AK633" s="10" t="e">
        <v>#N/A</v>
      </c>
      <c r="AL633" s="10" t="e">
        <v>#N/A</v>
      </c>
      <c r="AM633" s="10" t="e">
        <v>#N/A</v>
      </c>
      <c r="AN633" s="10" t="e">
        <v>#N/A</v>
      </c>
      <c r="AO633" s="10" t="e">
        <v>#N/A</v>
      </c>
      <c r="AP633" s="10" t="e">
        <v>#N/A</v>
      </c>
      <c r="AQ633" s="10" t="e">
        <v>#N/A</v>
      </c>
      <c r="AR633" s="10" t="e">
        <v>#N/A</v>
      </c>
      <c r="AS633" s="10" t="e">
        <v>#N/A</v>
      </c>
      <c r="AT633" s="10" t="e">
        <v>#N/A</v>
      </c>
      <c r="AU633" s="10" t="e">
        <v>#N/A</v>
      </c>
      <c r="AV633" s="10" t="e">
        <v>#N/A</v>
      </c>
      <c r="AW633" s="10" t="e">
        <v>#N/A</v>
      </c>
      <c r="AX633" s="10" t="e">
        <v>#N/A</v>
      </c>
      <c r="AY633" s="10" t="e">
        <v>#N/A</v>
      </c>
      <c r="AZ633" s="10" t="e">
        <v>#N/A</v>
      </c>
      <c r="BA633" s="10" t="e">
        <v>#N/A</v>
      </c>
      <c r="BB633" s="10" t="e">
        <v>#N/A</v>
      </c>
      <c r="BC633" s="10" t="e">
        <v>#N/A</v>
      </c>
      <c r="BD633" s="10" t="e">
        <v>#N/A</v>
      </c>
      <c r="BE633" s="10" t="e">
        <v>#N/A</v>
      </c>
      <c r="BF633" s="10" t="e">
        <v>#N/A</v>
      </c>
      <c r="BG633" s="10" t="e">
        <v>#N/A</v>
      </c>
      <c r="BH633" s="10" t="e">
        <v>#N/A</v>
      </c>
      <c r="BI633" s="10" t="e">
        <v>#N/A</v>
      </c>
      <c r="BJ633" s="10" t="e">
        <v>#N/A</v>
      </c>
      <c r="BK633" s="10" t="e">
        <v>#N/A</v>
      </c>
      <c r="BL633" s="10" t="e">
        <v>#N/A</v>
      </c>
      <c r="BM633" s="10" t="e">
        <v>#N/A</v>
      </c>
      <c r="BN633" s="10" t="e">
        <v>#N/A</v>
      </c>
      <c r="BO633" s="10" t="e">
        <v>#N/A</v>
      </c>
      <c r="BP633" s="10" t="e">
        <v>#N/A</v>
      </c>
      <c r="BQ633" s="10" t="e">
        <v>#N/A</v>
      </c>
      <c r="BR633" s="10" t="e">
        <v>#N/A</v>
      </c>
      <c r="BS633" s="10" t="e">
        <v>#N/A</v>
      </c>
      <c r="BU633" s="7">
        <v>4.5</v>
      </c>
      <c r="BV633" s="7">
        <v>4.26</v>
      </c>
      <c r="BW633" s="9" t="e">
        <v>#N/A</v>
      </c>
    </row>
    <row r="634" spans="1:75" x14ac:dyDescent="0.25">
      <c r="A634" s="6">
        <f t="shared" si="59"/>
        <v>45440</v>
      </c>
      <c r="B634" s="13">
        <f t="shared" si="69"/>
        <v>5</v>
      </c>
      <c r="C634" s="13">
        <f t="shared" si="70"/>
        <v>2024</v>
      </c>
      <c r="D634">
        <f t="shared" si="71"/>
        <v>202405</v>
      </c>
      <c r="E634">
        <f t="shared" si="72"/>
        <v>2</v>
      </c>
      <c r="F634">
        <f t="shared" si="73"/>
        <v>202402</v>
      </c>
      <c r="G634" t="s">
        <v>1390</v>
      </c>
      <c r="H634" s="9">
        <v>5.25</v>
      </c>
      <c r="I634" s="9">
        <v>5.2</v>
      </c>
      <c r="J634" s="10">
        <v>5.1907866</v>
      </c>
      <c r="K634" s="10">
        <v>5.1537904000000001</v>
      </c>
      <c r="L634" s="10">
        <v>5.1111076000000004</v>
      </c>
      <c r="M634" s="10">
        <v>5.0630185000000001</v>
      </c>
      <c r="N634" s="10">
        <v>5.0089531000000003</v>
      </c>
      <c r="O634" s="10">
        <v>4.9513151000000004</v>
      </c>
      <c r="P634" s="10">
        <v>4.8936897000000004</v>
      </c>
      <c r="Q634" s="10">
        <v>4.8390532999999998</v>
      </c>
      <c r="R634" s="10">
        <v>4.7892071999999999</v>
      </c>
      <c r="S634" s="10">
        <v>4.7444464999999996</v>
      </c>
      <c r="T634" s="10">
        <v>4.7039549999999997</v>
      </c>
      <c r="U634" s="10">
        <v>4.6661868999999996</v>
      </c>
      <c r="V634" s="10">
        <v>4.6285819000000004</v>
      </c>
      <c r="W634" s="10">
        <v>4.590306</v>
      </c>
      <c r="X634" s="10">
        <v>4.5510568999999998</v>
      </c>
      <c r="Y634" s="10">
        <v>4.5105310000000003</v>
      </c>
      <c r="Z634" s="10">
        <v>4.4684244</v>
      </c>
      <c r="AA634" s="10">
        <v>4.4244351000000002</v>
      </c>
      <c r="AB634" s="10">
        <v>4.3783985999999997</v>
      </c>
      <c r="AC634" s="10">
        <v>4.3307957000000004</v>
      </c>
      <c r="AD634" s="10">
        <v>4.2822962000000002</v>
      </c>
      <c r="AE634" s="10">
        <v>4.2335681000000003</v>
      </c>
      <c r="AF634" s="10">
        <v>4.1852795</v>
      </c>
      <c r="AG634" s="10">
        <v>4.1380999000000003</v>
      </c>
      <c r="AH634" s="10">
        <v>4.0925884000000003</v>
      </c>
      <c r="AI634" s="10">
        <v>4.0488672000000001</v>
      </c>
      <c r="AJ634" s="10">
        <v>4.0069508000000003</v>
      </c>
      <c r="AK634" s="10">
        <v>3.9668524000000001</v>
      </c>
      <c r="AL634" s="10">
        <v>3.9285850999999998</v>
      </c>
      <c r="AM634" s="10">
        <v>3.8921633999999998</v>
      </c>
      <c r="AN634" s="10">
        <v>3.8576005000000002</v>
      </c>
      <c r="AO634" s="10">
        <v>3.8249095</v>
      </c>
      <c r="AP634" s="10">
        <v>3.7941047999999999</v>
      </c>
      <c r="AQ634" s="10">
        <v>3.7651997000000001</v>
      </c>
      <c r="AR634" s="10">
        <v>3.7382073999999998</v>
      </c>
      <c r="AS634" s="10">
        <v>3.7131420999999998</v>
      </c>
      <c r="AT634" s="10">
        <v>3.6900013999999999</v>
      </c>
      <c r="AU634" s="10">
        <v>3.6687199000000001</v>
      </c>
      <c r="AV634" s="10">
        <v>3.6492173999999999</v>
      </c>
      <c r="AW634" s="10">
        <v>3.6314126999999998</v>
      </c>
      <c r="AX634" s="10">
        <v>3.6152248999999999</v>
      </c>
      <c r="AY634" s="10">
        <v>3.6005734999999999</v>
      </c>
      <c r="AZ634" s="10">
        <v>3.5873773999999998</v>
      </c>
      <c r="BA634" s="10">
        <v>3.5755558000000001</v>
      </c>
      <c r="BB634" s="10">
        <v>3.5650281000000001</v>
      </c>
      <c r="BC634" s="10">
        <v>3.5557132</v>
      </c>
      <c r="BD634" s="10">
        <v>3.5475303999999999</v>
      </c>
      <c r="BE634" s="10">
        <v>3.5403989</v>
      </c>
      <c r="BF634" s="10">
        <v>3.5342433999999998</v>
      </c>
      <c r="BG634" s="10">
        <v>3.5290173999999999</v>
      </c>
      <c r="BH634" s="10">
        <v>3.5246846999999999</v>
      </c>
      <c r="BI634" s="10">
        <v>3.5212086999999999</v>
      </c>
      <c r="BJ634" s="10">
        <v>3.5185531000000001</v>
      </c>
      <c r="BK634" s="10">
        <v>3.5166814999999998</v>
      </c>
      <c r="BL634" s="10">
        <v>3.5155573000000002</v>
      </c>
      <c r="BM634" s="10">
        <v>3.5151441999999999</v>
      </c>
      <c r="BN634" s="10">
        <v>3.5154057999999999</v>
      </c>
      <c r="BO634" s="10">
        <v>3.5163055000000001</v>
      </c>
      <c r="BP634" s="10">
        <v>3.5178071000000002</v>
      </c>
      <c r="BQ634" s="10">
        <v>3.5198738999999999</v>
      </c>
      <c r="BR634" s="10">
        <v>3.5425561999999999</v>
      </c>
      <c r="BS634" s="10">
        <v>3.5791634999999999</v>
      </c>
      <c r="BU634" s="7">
        <v>4.51</v>
      </c>
      <c r="BV634" s="7">
        <v>4.2699999999999996</v>
      </c>
      <c r="BW634" s="9">
        <v>83.454499999999996</v>
      </c>
    </row>
    <row r="635" spans="1:75" x14ac:dyDescent="0.25">
      <c r="A635" s="6">
        <f t="shared" si="59"/>
        <v>45441</v>
      </c>
      <c r="B635" s="13">
        <f t="shared" si="69"/>
        <v>5</v>
      </c>
      <c r="C635" s="13">
        <f t="shared" si="70"/>
        <v>2024</v>
      </c>
      <c r="D635">
        <f t="shared" si="71"/>
        <v>202405</v>
      </c>
      <c r="E635">
        <f t="shared" si="72"/>
        <v>2</v>
      </c>
      <c r="F635">
        <f t="shared" si="73"/>
        <v>202402</v>
      </c>
      <c r="G635" t="s">
        <v>1391</v>
      </c>
      <c r="H635" s="9">
        <v>5.25</v>
      </c>
      <c r="I635" s="9">
        <v>5.2</v>
      </c>
      <c r="J635" s="10">
        <v>5.1930598000000003</v>
      </c>
      <c r="K635" s="10">
        <v>5.1596666000000004</v>
      </c>
      <c r="L635" s="10">
        <v>5.1192513000000002</v>
      </c>
      <c r="M635" s="10">
        <v>5.0737430000000003</v>
      </c>
      <c r="N635" s="10">
        <v>5.0236947000000001</v>
      </c>
      <c r="O635" s="10">
        <v>4.9718467000000004</v>
      </c>
      <c r="P635" s="10">
        <v>4.9214158000000001</v>
      </c>
      <c r="Q635" s="10">
        <v>4.8746751000000001</v>
      </c>
      <c r="R635" s="10">
        <v>4.8326906999999997</v>
      </c>
      <c r="S635" s="10">
        <v>4.7954834999999996</v>
      </c>
      <c r="T635" s="10">
        <v>4.7617535999999996</v>
      </c>
      <c r="U635" s="10">
        <v>4.7297871999999996</v>
      </c>
      <c r="V635" s="10">
        <v>4.6964981999999997</v>
      </c>
      <c r="W635" s="10">
        <v>4.6611643000000003</v>
      </c>
      <c r="X635" s="10">
        <v>4.6238048000000003</v>
      </c>
      <c r="Y635" s="10">
        <v>4.5844380999999998</v>
      </c>
      <c r="Z635" s="10">
        <v>4.5430824000000003</v>
      </c>
      <c r="AA635" s="10">
        <v>4.4997572999999997</v>
      </c>
      <c r="AB635" s="10">
        <v>4.4545561999999999</v>
      </c>
      <c r="AC635" s="10">
        <v>4.4079962999999998</v>
      </c>
      <c r="AD635" s="10">
        <v>4.3607464</v>
      </c>
      <c r="AE635" s="10">
        <v>4.3134733000000001</v>
      </c>
      <c r="AF635" s="10">
        <v>4.2668441000000001</v>
      </c>
      <c r="AG635" s="10">
        <v>4.2215273</v>
      </c>
      <c r="AH635" s="10">
        <v>4.178077</v>
      </c>
      <c r="AI635" s="10">
        <v>4.1365946999999998</v>
      </c>
      <c r="AJ635" s="10">
        <v>4.0970706999999997</v>
      </c>
      <c r="AK635" s="10">
        <v>4.0594935000000003</v>
      </c>
      <c r="AL635" s="10">
        <v>4.0238518000000001</v>
      </c>
      <c r="AM635" s="10">
        <v>3.9901357000000002</v>
      </c>
      <c r="AN635" s="10">
        <v>3.9583338000000001</v>
      </c>
      <c r="AO635" s="10">
        <v>3.9284347999999998</v>
      </c>
      <c r="AP635" s="10">
        <v>3.9004287</v>
      </c>
      <c r="AQ635" s="10">
        <v>3.8743040999999998</v>
      </c>
      <c r="AR635" s="10">
        <v>3.85005</v>
      </c>
      <c r="AS635" s="10">
        <v>3.8276560000000002</v>
      </c>
      <c r="AT635" s="10">
        <v>3.8071020999999998</v>
      </c>
      <c r="AU635" s="10">
        <v>3.7883201999999998</v>
      </c>
      <c r="AV635" s="10">
        <v>3.7712270999999999</v>
      </c>
      <c r="AW635" s="10">
        <v>3.7557385999999999</v>
      </c>
      <c r="AX635" s="10">
        <v>3.7417707999999998</v>
      </c>
      <c r="AY635" s="10">
        <v>3.7292402</v>
      </c>
      <c r="AZ635" s="10">
        <v>3.7180626999999999</v>
      </c>
      <c r="BA635" s="10">
        <v>3.7081545</v>
      </c>
      <c r="BB635" s="10">
        <v>3.6994319</v>
      </c>
      <c r="BC635" s="10">
        <v>3.691811</v>
      </c>
      <c r="BD635" s="10">
        <v>3.6852079</v>
      </c>
      <c r="BE635" s="10">
        <v>3.6795388999999998</v>
      </c>
      <c r="BF635" s="10">
        <v>3.6747269</v>
      </c>
      <c r="BG635" s="10">
        <v>3.6707279000000002</v>
      </c>
      <c r="BH635" s="10">
        <v>3.6675081999999999</v>
      </c>
      <c r="BI635" s="10">
        <v>3.6650337999999998</v>
      </c>
      <c r="BJ635" s="10">
        <v>3.6632709999999999</v>
      </c>
      <c r="BK635" s="10">
        <v>3.6621858999999999</v>
      </c>
      <c r="BL635" s="10">
        <v>3.6617446999999999</v>
      </c>
      <c r="BM635" s="10">
        <v>3.6619134</v>
      </c>
      <c r="BN635" s="10">
        <v>3.6626584000000002</v>
      </c>
      <c r="BO635" s="10">
        <v>3.6639455999999999</v>
      </c>
      <c r="BP635" s="10">
        <v>3.6657413999999999</v>
      </c>
      <c r="BQ635" s="10">
        <v>3.6680117999999999</v>
      </c>
      <c r="BR635" s="10">
        <v>3.6902642999999999</v>
      </c>
      <c r="BS635" s="10">
        <v>3.724459</v>
      </c>
      <c r="BU635" s="7">
        <v>4.58</v>
      </c>
      <c r="BV635" s="7">
        <v>4.41</v>
      </c>
      <c r="BW635" s="9">
        <v>83.349000000000004</v>
      </c>
    </row>
    <row r="636" spans="1:75" x14ac:dyDescent="0.25">
      <c r="A636" s="6">
        <f t="shared" si="59"/>
        <v>45442</v>
      </c>
      <c r="B636" s="13">
        <f t="shared" si="69"/>
        <v>5</v>
      </c>
      <c r="C636" s="13">
        <f t="shared" si="70"/>
        <v>2024</v>
      </c>
      <c r="D636">
        <f t="shared" si="71"/>
        <v>202405</v>
      </c>
      <c r="E636">
        <f t="shared" si="72"/>
        <v>2</v>
      </c>
      <c r="F636">
        <f t="shared" si="73"/>
        <v>202402</v>
      </c>
      <c r="G636" t="s">
        <v>1392</v>
      </c>
      <c r="H636" s="9">
        <v>5.25</v>
      </c>
      <c r="I636" s="9">
        <v>5.2</v>
      </c>
      <c r="J636" s="10">
        <v>5.1906704000000001</v>
      </c>
      <c r="K636" s="10">
        <v>5.1519018000000001</v>
      </c>
      <c r="L636" s="10">
        <v>5.1072775999999998</v>
      </c>
      <c r="M636" s="10">
        <v>5.0587531999999999</v>
      </c>
      <c r="N636" s="10">
        <v>5.0059868999999999</v>
      </c>
      <c r="O636" s="10">
        <v>4.9506031000000004</v>
      </c>
      <c r="P636" s="10">
        <v>4.8952542000000001</v>
      </c>
      <c r="Q636" s="10">
        <v>4.8420041999999999</v>
      </c>
      <c r="R636" s="10">
        <v>4.7917629000000002</v>
      </c>
      <c r="S636" s="10">
        <v>4.7446814000000002</v>
      </c>
      <c r="T636" s="10">
        <v>4.7001742000000002</v>
      </c>
      <c r="U636" s="10">
        <v>4.6573225000000003</v>
      </c>
      <c r="V636" s="10">
        <v>4.6144859</v>
      </c>
      <c r="W636" s="10">
        <v>4.5712954999999997</v>
      </c>
      <c r="X636" s="10">
        <v>4.5277779000000002</v>
      </c>
      <c r="Y636" s="10">
        <v>4.4839580999999997</v>
      </c>
      <c r="Z636" s="10">
        <v>4.4398612999999996</v>
      </c>
      <c r="AA636" s="10">
        <v>4.3955140000000004</v>
      </c>
      <c r="AB636" s="10">
        <v>4.3509874000000002</v>
      </c>
      <c r="AC636" s="10">
        <v>4.3065883999999999</v>
      </c>
      <c r="AD636" s="10">
        <v>4.2627012999999998</v>
      </c>
      <c r="AE636" s="10">
        <v>4.2197084</v>
      </c>
      <c r="AF636" s="10">
        <v>4.1779923999999999</v>
      </c>
      <c r="AG636" s="10">
        <v>4.1379371999999996</v>
      </c>
      <c r="AH636" s="10">
        <v>4.0998659999999996</v>
      </c>
      <c r="AI636" s="10">
        <v>4.0638123999999998</v>
      </c>
      <c r="AJ636" s="10">
        <v>4.0297232000000003</v>
      </c>
      <c r="AK636" s="10">
        <v>3.9975437999999999</v>
      </c>
      <c r="AL636" s="10">
        <v>3.9672196999999998</v>
      </c>
      <c r="AM636" s="10">
        <v>3.9386975999999998</v>
      </c>
      <c r="AN636" s="10">
        <v>3.9119231000000001</v>
      </c>
      <c r="AO636" s="10">
        <v>3.8868415999999999</v>
      </c>
      <c r="AP636" s="10">
        <v>3.8633997</v>
      </c>
      <c r="AQ636" s="10">
        <v>3.8415431</v>
      </c>
      <c r="AR636" s="10">
        <v>3.8212172999999998</v>
      </c>
      <c r="AS636" s="10">
        <v>3.8023687000000002</v>
      </c>
      <c r="AT636" s="10">
        <v>3.7849412</v>
      </c>
      <c r="AU636" s="10">
        <v>3.7688698</v>
      </c>
      <c r="AV636" s="10">
        <v>3.7540873000000001</v>
      </c>
      <c r="AW636" s="10">
        <v>3.7405262000000001</v>
      </c>
      <c r="AX636" s="10">
        <v>3.7281186000000002</v>
      </c>
      <c r="AY636" s="10">
        <v>3.7167975000000002</v>
      </c>
      <c r="AZ636" s="10">
        <v>3.7064952</v>
      </c>
      <c r="BA636" s="10">
        <v>3.6971440000000002</v>
      </c>
      <c r="BB636" s="10">
        <v>3.6886768000000001</v>
      </c>
      <c r="BC636" s="10">
        <v>3.6810258</v>
      </c>
      <c r="BD636" s="10">
        <v>3.6741236000000002</v>
      </c>
      <c r="BE636" s="10">
        <v>3.6679027</v>
      </c>
      <c r="BF636" s="10">
        <v>3.6623036999999998</v>
      </c>
      <c r="BG636" s="10">
        <v>3.6573026</v>
      </c>
      <c r="BH636" s="10">
        <v>3.6528854000000002</v>
      </c>
      <c r="BI636" s="10">
        <v>3.649038</v>
      </c>
      <c r="BJ636" s="10">
        <v>3.6457461000000002</v>
      </c>
      <c r="BK636" s="10">
        <v>3.6429958999999998</v>
      </c>
      <c r="BL636" s="10">
        <v>3.6407731000000001</v>
      </c>
      <c r="BM636" s="10">
        <v>3.6390636999999999</v>
      </c>
      <c r="BN636" s="10">
        <v>3.6378536000000001</v>
      </c>
      <c r="BO636" s="10">
        <v>3.6371286</v>
      </c>
      <c r="BP636" s="10">
        <v>3.6368746999999999</v>
      </c>
      <c r="BQ636" s="10">
        <v>3.6370778000000001</v>
      </c>
      <c r="BR636" s="10">
        <v>3.6472413000000001</v>
      </c>
      <c r="BS636" s="10">
        <v>3.6711414000000002</v>
      </c>
      <c r="BU636" s="7">
        <v>4.37</v>
      </c>
      <c r="BV636" s="7">
        <v>4.34</v>
      </c>
      <c r="BW636" s="9">
        <v>83.333299999999994</v>
      </c>
    </row>
    <row r="637" spans="1:75" x14ac:dyDescent="0.25">
      <c r="A637" s="6">
        <f t="shared" si="59"/>
        <v>45443</v>
      </c>
      <c r="B637" s="13">
        <f t="shared" si="69"/>
        <v>5</v>
      </c>
      <c r="C637" s="13">
        <f t="shared" si="70"/>
        <v>2024</v>
      </c>
      <c r="D637">
        <f t="shared" si="71"/>
        <v>202405</v>
      </c>
      <c r="E637">
        <f t="shared" si="72"/>
        <v>2</v>
      </c>
      <c r="F637">
        <f t="shared" si="73"/>
        <v>202402</v>
      </c>
      <c r="G637" t="s">
        <v>1393</v>
      </c>
      <c r="H637" s="9">
        <v>5.25</v>
      </c>
      <c r="I637" s="9">
        <v>5.2</v>
      </c>
      <c r="J637" s="10">
        <v>5.1914861999999999</v>
      </c>
      <c r="K637" s="10">
        <v>5.1532651999999999</v>
      </c>
      <c r="L637" s="10">
        <v>5.1085288000000002</v>
      </c>
      <c r="M637" s="10">
        <v>5.0601905</v>
      </c>
      <c r="N637" s="10">
        <v>5.0075459000000002</v>
      </c>
      <c r="O637" s="10">
        <v>4.9512707000000002</v>
      </c>
      <c r="P637" s="10">
        <v>4.8933999000000004</v>
      </c>
      <c r="Q637" s="10">
        <v>4.8355563999999998</v>
      </c>
      <c r="R637" s="10">
        <v>4.7787506000000004</v>
      </c>
      <c r="S637" s="10">
        <v>4.7235480000000001</v>
      </c>
      <c r="T637" s="10">
        <v>4.6702707999999999</v>
      </c>
      <c r="U637" s="10">
        <v>4.6189746999999999</v>
      </c>
      <c r="V637" s="10">
        <v>4.5698103999999997</v>
      </c>
      <c r="W637" s="10">
        <v>4.5225239999999998</v>
      </c>
      <c r="X637" s="10">
        <v>4.4767210000000004</v>
      </c>
      <c r="Y637" s="10">
        <v>4.4320051999999999</v>
      </c>
      <c r="Z637" s="10">
        <v>4.3879804</v>
      </c>
      <c r="AA637" s="10">
        <v>4.3442521000000003</v>
      </c>
      <c r="AB637" s="10">
        <v>4.3005317999999999</v>
      </c>
      <c r="AC637" s="10">
        <v>4.2570309000000002</v>
      </c>
      <c r="AD637" s="10">
        <v>4.2141070000000003</v>
      </c>
      <c r="AE637" s="10">
        <v>4.1721162999999999</v>
      </c>
      <c r="AF637" s="10">
        <v>4.1314150999999999</v>
      </c>
      <c r="AG637" s="10">
        <v>4.0923609000000001</v>
      </c>
      <c r="AH637" s="10">
        <v>4.0552489999999999</v>
      </c>
      <c r="AI637" s="10">
        <v>4.0201054000000003</v>
      </c>
      <c r="AJ637" s="10">
        <v>3.9868831</v>
      </c>
      <c r="AK637" s="10">
        <v>3.9555338999999998</v>
      </c>
      <c r="AL637" s="10">
        <v>3.9260095000000002</v>
      </c>
      <c r="AM637" s="10">
        <v>3.898263</v>
      </c>
      <c r="AN637" s="10">
        <v>3.8722460000000001</v>
      </c>
      <c r="AO637" s="10">
        <v>3.8479104999999998</v>
      </c>
      <c r="AP637" s="10">
        <v>3.8252092000000002</v>
      </c>
      <c r="AQ637" s="10">
        <v>3.8040940000000001</v>
      </c>
      <c r="AR637" s="10">
        <v>3.7845168</v>
      </c>
      <c r="AS637" s="10">
        <v>3.7664304</v>
      </c>
      <c r="AT637" s="10">
        <v>3.7497829</v>
      </c>
      <c r="AU637" s="10">
        <v>3.7345068000000001</v>
      </c>
      <c r="AV637" s="10">
        <v>3.7205306999999999</v>
      </c>
      <c r="AW637" s="10">
        <v>3.7077824000000001</v>
      </c>
      <c r="AX637" s="10">
        <v>3.6961902000000002</v>
      </c>
      <c r="AY637" s="10">
        <v>3.6856824000000001</v>
      </c>
      <c r="AZ637" s="10">
        <v>3.6761870000000001</v>
      </c>
      <c r="BA637" s="10">
        <v>3.6676321000000001</v>
      </c>
      <c r="BB637" s="10">
        <v>3.6599461</v>
      </c>
      <c r="BC637" s="10">
        <v>3.6530570999999998</v>
      </c>
      <c r="BD637" s="10">
        <v>3.6468931000000002</v>
      </c>
      <c r="BE637" s="10">
        <v>3.6413826</v>
      </c>
      <c r="BF637" s="10">
        <v>3.6364624000000001</v>
      </c>
      <c r="BG637" s="10">
        <v>3.6321089999999998</v>
      </c>
      <c r="BH637" s="10">
        <v>3.6283096000000001</v>
      </c>
      <c r="BI637" s="10">
        <v>3.6250515000000001</v>
      </c>
      <c r="BJ637" s="10">
        <v>3.6223217999999999</v>
      </c>
      <c r="BK637" s="10">
        <v>3.6201078999999998</v>
      </c>
      <c r="BL637" s="10">
        <v>3.6183969999999999</v>
      </c>
      <c r="BM637" s="10">
        <v>3.6171761999999998</v>
      </c>
      <c r="BN637" s="10">
        <v>3.6164329</v>
      </c>
      <c r="BO637" s="10">
        <v>3.6161542</v>
      </c>
      <c r="BP637" s="10">
        <v>3.6163275000000001</v>
      </c>
      <c r="BQ637" s="10">
        <v>3.6169397999999999</v>
      </c>
      <c r="BR637" s="10">
        <v>3.6291924999999998</v>
      </c>
      <c r="BS637" s="10">
        <v>3.6544702</v>
      </c>
      <c r="BU637" s="7">
        <v>4.43</v>
      </c>
      <c r="BV637" s="7">
        <v>4.33</v>
      </c>
      <c r="BW637" s="9">
        <v>83.245999999999995</v>
      </c>
    </row>
    <row r="638" spans="1:75" x14ac:dyDescent="0.25">
      <c r="A638" s="6">
        <f t="shared" si="59"/>
        <v>45446</v>
      </c>
      <c r="B638" s="13">
        <f t="shared" si="69"/>
        <v>6</v>
      </c>
      <c r="C638" s="13">
        <f t="shared" si="70"/>
        <v>2024</v>
      </c>
      <c r="D638">
        <f t="shared" si="71"/>
        <v>202406</v>
      </c>
      <c r="E638">
        <f t="shared" si="72"/>
        <v>2</v>
      </c>
      <c r="F638">
        <f t="shared" si="73"/>
        <v>202402</v>
      </c>
      <c r="G638" t="s">
        <v>1394</v>
      </c>
      <c r="H638" s="9">
        <v>5.25</v>
      </c>
      <c r="I638" s="9">
        <v>5.2</v>
      </c>
      <c r="J638" s="10">
        <v>5.1837952999999999</v>
      </c>
      <c r="K638" s="10">
        <v>5.1408525999999997</v>
      </c>
      <c r="L638" s="10">
        <v>5.0905588000000002</v>
      </c>
      <c r="M638" s="10">
        <v>5.0343780999999996</v>
      </c>
      <c r="N638" s="10">
        <v>4.9724934000000003</v>
      </c>
      <c r="O638" s="10">
        <v>4.9076839999999997</v>
      </c>
      <c r="P638" s="10">
        <v>4.8437055000000004</v>
      </c>
      <c r="Q638" s="10">
        <v>4.7831393999999996</v>
      </c>
      <c r="R638" s="10">
        <v>4.7273848000000003</v>
      </c>
      <c r="S638" s="10">
        <v>4.6764945999999998</v>
      </c>
      <c r="T638" s="10">
        <v>4.6297622</v>
      </c>
      <c r="U638" s="10">
        <v>4.5858413000000002</v>
      </c>
      <c r="V638" s="10">
        <v>4.5426647000000004</v>
      </c>
      <c r="W638" s="10">
        <v>4.4996039000000003</v>
      </c>
      <c r="X638" s="10">
        <v>4.4564776999999998</v>
      </c>
      <c r="Y638" s="10">
        <v>4.4131032000000001</v>
      </c>
      <c r="Z638" s="10">
        <v>4.3692976000000003</v>
      </c>
      <c r="AA638" s="10">
        <v>4.3248794999999998</v>
      </c>
      <c r="AB638" s="10">
        <v>4.2797656999999996</v>
      </c>
      <c r="AC638" s="10">
        <v>4.2342903999999999</v>
      </c>
      <c r="AD638" s="10">
        <v>4.1888994999999998</v>
      </c>
      <c r="AE638" s="10">
        <v>4.144037</v>
      </c>
      <c r="AF638" s="10">
        <v>4.1001472000000003</v>
      </c>
      <c r="AG638" s="10">
        <v>4.0576758999999996</v>
      </c>
      <c r="AH638" s="10">
        <v>4.0169886999999997</v>
      </c>
      <c r="AI638" s="10">
        <v>3.9781387000000001</v>
      </c>
      <c r="AJ638" s="10">
        <v>3.9411018000000002</v>
      </c>
      <c r="AK638" s="10">
        <v>3.9058525999999998</v>
      </c>
      <c r="AL638" s="10">
        <v>3.8723656000000002</v>
      </c>
      <c r="AM638" s="10">
        <v>3.8406167999999998</v>
      </c>
      <c r="AN638" s="10">
        <v>3.8105807999999999</v>
      </c>
      <c r="AO638" s="10">
        <v>3.7822323</v>
      </c>
      <c r="AP638" s="10">
        <v>3.7555469000000001</v>
      </c>
      <c r="AQ638" s="10">
        <v>3.7304995000000001</v>
      </c>
      <c r="AR638" s="10">
        <v>3.7070647000000001</v>
      </c>
      <c r="AS638" s="10">
        <v>3.6852182</v>
      </c>
      <c r="AT638" s="10">
        <v>3.6649289</v>
      </c>
      <c r="AU638" s="10">
        <v>3.6461432</v>
      </c>
      <c r="AV638" s="10">
        <v>3.6288022</v>
      </c>
      <c r="AW638" s="10">
        <v>3.6128464</v>
      </c>
      <c r="AX638" s="10">
        <v>3.5982164999999999</v>
      </c>
      <c r="AY638" s="10">
        <v>3.5848532999999998</v>
      </c>
      <c r="AZ638" s="10">
        <v>3.5726976000000001</v>
      </c>
      <c r="BA638" s="10">
        <v>3.56169</v>
      </c>
      <c r="BB638" s="10">
        <v>3.5517713</v>
      </c>
      <c r="BC638" s="10">
        <v>3.5428823</v>
      </c>
      <c r="BD638" s="10">
        <v>3.5349636000000002</v>
      </c>
      <c r="BE638" s="10">
        <v>3.5279560999999999</v>
      </c>
      <c r="BF638" s="10">
        <v>3.5218044000000002</v>
      </c>
      <c r="BG638" s="10">
        <v>3.5164751999999999</v>
      </c>
      <c r="BH638" s="10">
        <v>3.5119422999999999</v>
      </c>
      <c r="BI638" s="10">
        <v>3.5081796000000001</v>
      </c>
      <c r="BJ638" s="10">
        <v>3.5051608999999999</v>
      </c>
      <c r="BK638" s="10">
        <v>3.5028600999999999</v>
      </c>
      <c r="BL638" s="10">
        <v>3.5012511000000002</v>
      </c>
      <c r="BM638" s="10">
        <v>3.5003077</v>
      </c>
      <c r="BN638" s="10">
        <v>3.5000038</v>
      </c>
      <c r="BO638" s="10">
        <v>3.5003131999999999</v>
      </c>
      <c r="BP638" s="10">
        <v>3.5012099000000001</v>
      </c>
      <c r="BQ638" s="10">
        <v>3.5026676999999999</v>
      </c>
      <c r="BR638" s="10">
        <v>3.5218950000000002</v>
      </c>
      <c r="BS638" s="10">
        <v>3.5557243000000001</v>
      </c>
      <c r="BU638" s="7">
        <v>4.3600000000000003</v>
      </c>
      <c r="BV638" s="7">
        <v>4.22</v>
      </c>
      <c r="BW638" s="9">
        <v>83.381799999999998</v>
      </c>
    </row>
    <row r="639" spans="1:75" x14ac:dyDescent="0.25">
      <c r="A639" s="6">
        <f t="shared" si="59"/>
        <v>45447</v>
      </c>
      <c r="B639" s="13">
        <f t="shared" si="69"/>
        <v>6</v>
      </c>
      <c r="C639" s="13">
        <f t="shared" si="70"/>
        <v>2024</v>
      </c>
      <c r="D639">
        <f t="shared" si="71"/>
        <v>202406</v>
      </c>
      <c r="E639">
        <f t="shared" si="72"/>
        <v>2</v>
      </c>
      <c r="F639">
        <f t="shared" si="73"/>
        <v>202402</v>
      </c>
      <c r="G639" t="s">
        <v>1395</v>
      </c>
      <c r="H639" s="9">
        <v>5.25</v>
      </c>
      <c r="I639" s="9">
        <v>5.2</v>
      </c>
      <c r="J639" s="10">
        <v>5.1849217000000003</v>
      </c>
      <c r="K639" s="10">
        <v>5.1420211</v>
      </c>
      <c r="L639" s="10">
        <v>5.0904666000000001</v>
      </c>
      <c r="M639" s="10">
        <v>5.0323023999999998</v>
      </c>
      <c r="N639" s="10">
        <v>4.9680967000000003</v>
      </c>
      <c r="O639" s="10">
        <v>4.9008148</v>
      </c>
      <c r="P639" s="10">
        <v>4.8344589999999998</v>
      </c>
      <c r="Q639" s="10">
        <v>4.7717549000000004</v>
      </c>
      <c r="R639" s="10">
        <v>4.7142724999999999</v>
      </c>
      <c r="S639" s="10">
        <v>4.6620264999999996</v>
      </c>
      <c r="T639" s="10">
        <v>4.6141402999999999</v>
      </c>
      <c r="U639" s="10">
        <v>4.5690584999999997</v>
      </c>
      <c r="V639" s="10">
        <v>4.5241911999999997</v>
      </c>
      <c r="W639" s="10">
        <v>4.4788812</v>
      </c>
      <c r="X639" s="10">
        <v>4.4330699999999998</v>
      </c>
      <c r="Y639" s="10">
        <v>4.3866969999999998</v>
      </c>
      <c r="Z639" s="10">
        <v>4.3397021000000002</v>
      </c>
      <c r="AA639" s="10">
        <v>4.2920264000000001</v>
      </c>
      <c r="AB639" s="10">
        <v>4.2436970000000001</v>
      </c>
      <c r="AC639" s="10">
        <v>4.1951077000000003</v>
      </c>
      <c r="AD639" s="10">
        <v>4.1467502999999999</v>
      </c>
      <c r="AE639" s="10">
        <v>4.0991149</v>
      </c>
      <c r="AF639" s="10">
        <v>4.0526917999999998</v>
      </c>
      <c r="AG639" s="10">
        <v>4.0079726000000004</v>
      </c>
      <c r="AH639" s="10">
        <v>3.9653577000000002</v>
      </c>
      <c r="AI639" s="10">
        <v>3.9248872000000001</v>
      </c>
      <c r="AJ639" s="10">
        <v>3.8865129999999999</v>
      </c>
      <c r="AK639" s="10">
        <v>3.8501851999999999</v>
      </c>
      <c r="AL639" s="10">
        <v>3.8158542</v>
      </c>
      <c r="AM639" s="10">
        <v>3.7834717000000002</v>
      </c>
      <c r="AN639" s="10">
        <v>3.7529878999999999</v>
      </c>
      <c r="AO639" s="10">
        <v>3.7243533000000002</v>
      </c>
      <c r="AP639" s="10">
        <v>3.6975193000000002</v>
      </c>
      <c r="AQ639" s="10">
        <v>3.6724364</v>
      </c>
      <c r="AR639" s="10">
        <v>3.6490548999999999</v>
      </c>
      <c r="AS639" s="10">
        <v>3.6273263999999998</v>
      </c>
      <c r="AT639" s="10">
        <v>3.6071987000000001</v>
      </c>
      <c r="AU639" s="10">
        <v>3.5886106999999998</v>
      </c>
      <c r="AV639" s="10">
        <v>3.5714991999999999</v>
      </c>
      <c r="AW639" s="10">
        <v>3.5558003999999999</v>
      </c>
      <c r="AX639" s="10">
        <v>3.5414507999999998</v>
      </c>
      <c r="AY639" s="10">
        <v>3.5283869999999999</v>
      </c>
      <c r="AZ639" s="10">
        <v>3.5165454999999999</v>
      </c>
      <c r="BA639" s="10">
        <v>3.5058625999999999</v>
      </c>
      <c r="BB639" s="10">
        <v>3.4962749999999998</v>
      </c>
      <c r="BC639" s="10">
        <v>3.4877191000000001</v>
      </c>
      <c r="BD639" s="10">
        <v>3.4801313</v>
      </c>
      <c r="BE639" s="10">
        <v>3.4734482</v>
      </c>
      <c r="BF639" s="10">
        <v>3.4676111000000001</v>
      </c>
      <c r="BG639" s="10">
        <v>3.4625854</v>
      </c>
      <c r="BH639" s="10">
        <v>3.4583438000000002</v>
      </c>
      <c r="BI639" s="10">
        <v>3.4548589000000001</v>
      </c>
      <c r="BJ639" s="10">
        <v>3.4521033000000001</v>
      </c>
      <c r="BK639" s="10">
        <v>3.4500497000000001</v>
      </c>
      <c r="BL639" s="10">
        <v>3.4486707999999999</v>
      </c>
      <c r="BM639" s="10">
        <v>3.4479391000000001</v>
      </c>
      <c r="BN639" s="10">
        <v>3.4478273000000002</v>
      </c>
      <c r="BO639" s="10">
        <v>3.4483081000000002</v>
      </c>
      <c r="BP639" s="10">
        <v>3.4493542000000001</v>
      </c>
      <c r="BQ639" s="10">
        <v>3.4509379999999998</v>
      </c>
      <c r="BR639" s="10">
        <v>3.4704155000000001</v>
      </c>
      <c r="BS639" s="10">
        <v>3.5036426999999999</v>
      </c>
      <c r="BU639" s="7">
        <v>4.3499999999999996</v>
      </c>
      <c r="BV639" s="7">
        <v>4.17</v>
      </c>
      <c r="BW639" s="9">
        <v>83.404600000000002</v>
      </c>
    </row>
    <row r="640" spans="1:75" x14ac:dyDescent="0.25">
      <c r="A640" s="6">
        <f t="shared" si="59"/>
        <v>45448</v>
      </c>
      <c r="B640" s="13">
        <f t="shared" si="69"/>
        <v>6</v>
      </c>
      <c r="C640" s="13">
        <f t="shared" si="70"/>
        <v>2024</v>
      </c>
      <c r="D640">
        <f t="shared" si="71"/>
        <v>202406</v>
      </c>
      <c r="E640">
        <f t="shared" si="72"/>
        <v>2</v>
      </c>
      <c r="F640">
        <f t="shared" si="73"/>
        <v>202402</v>
      </c>
      <c r="G640" t="s">
        <v>1396</v>
      </c>
      <c r="H640" s="9">
        <v>5.25</v>
      </c>
      <c r="I640" s="9">
        <v>5.2</v>
      </c>
      <c r="J640" s="10">
        <v>5.1868981999999999</v>
      </c>
      <c r="K640" s="10">
        <v>5.1455248999999998</v>
      </c>
      <c r="L640" s="10">
        <v>5.0955963999999998</v>
      </c>
      <c r="M640" s="10">
        <v>5.0384820000000001</v>
      </c>
      <c r="N640" s="10">
        <v>4.9747152999999997</v>
      </c>
      <c r="O640" s="10">
        <v>4.9076475999999998</v>
      </c>
      <c r="P640" s="10">
        <v>4.8412077</v>
      </c>
      <c r="Q640" s="10">
        <v>4.7779631</v>
      </c>
      <c r="R640" s="10">
        <v>4.7194608999999996</v>
      </c>
      <c r="S640" s="10">
        <v>4.6660152999999998</v>
      </c>
      <c r="T640" s="10">
        <v>4.6169117000000002</v>
      </c>
      <c r="U640" s="10">
        <v>4.5709154999999999</v>
      </c>
      <c r="V640" s="10">
        <v>4.5254839999999996</v>
      </c>
      <c r="W640" s="10">
        <v>4.4798958999999998</v>
      </c>
      <c r="X640" s="10">
        <v>4.4340134000000004</v>
      </c>
      <c r="Y640" s="10">
        <v>4.3876970000000002</v>
      </c>
      <c r="Z640" s="10">
        <v>4.3408069999999999</v>
      </c>
      <c r="AA640" s="10">
        <v>4.2932055</v>
      </c>
      <c r="AB640" s="10">
        <v>4.2448500999999998</v>
      </c>
      <c r="AC640" s="10">
        <v>4.1961060999999997</v>
      </c>
      <c r="AD640" s="10">
        <v>4.1474478000000001</v>
      </c>
      <c r="AE640" s="10">
        <v>4.0993478000000003</v>
      </c>
      <c r="AF640" s="10">
        <v>4.0522786000000002</v>
      </c>
      <c r="AG640" s="10">
        <v>4.0067145000000002</v>
      </c>
      <c r="AH640" s="10">
        <v>3.9630472999999999</v>
      </c>
      <c r="AI640" s="10">
        <v>3.9213461000000001</v>
      </c>
      <c r="AJ640" s="10">
        <v>3.8816008000000002</v>
      </c>
      <c r="AK640" s="10">
        <v>3.8437996999999999</v>
      </c>
      <c r="AL640" s="10">
        <v>3.8079312000000001</v>
      </c>
      <c r="AM640" s="10">
        <v>3.7739851</v>
      </c>
      <c r="AN640" s="10">
        <v>3.7419498999999998</v>
      </c>
      <c r="AO640" s="10">
        <v>3.7118139999999999</v>
      </c>
      <c r="AP640" s="10">
        <v>3.6835669000000002</v>
      </c>
      <c r="AQ640" s="10">
        <v>3.6571973</v>
      </c>
      <c r="AR640" s="10">
        <v>3.6326936999999999</v>
      </c>
      <c r="AS640" s="10">
        <v>3.6100455</v>
      </c>
      <c r="AT640" s="10">
        <v>3.5892317999999999</v>
      </c>
      <c r="AU640" s="10">
        <v>3.5701857000000001</v>
      </c>
      <c r="AV640" s="10">
        <v>3.5528265000000001</v>
      </c>
      <c r="AW640" s="10">
        <v>3.5370732999999999</v>
      </c>
      <c r="AX640" s="10">
        <v>3.5228449999999998</v>
      </c>
      <c r="AY640" s="10">
        <v>3.5100611000000002</v>
      </c>
      <c r="AZ640" s="10">
        <v>3.4986404000000002</v>
      </c>
      <c r="BA640" s="10">
        <v>3.4885020999999998</v>
      </c>
      <c r="BB640" s="10">
        <v>3.4795653999999998</v>
      </c>
      <c r="BC640" s="10">
        <v>3.4717494000000002</v>
      </c>
      <c r="BD640" s="10">
        <v>3.4649730000000001</v>
      </c>
      <c r="BE640" s="10">
        <v>3.4591557000000002</v>
      </c>
      <c r="BF640" s="10">
        <v>3.4542229</v>
      </c>
      <c r="BG640" s="10">
        <v>3.4501292000000001</v>
      </c>
      <c r="BH640" s="10">
        <v>3.4468374000000002</v>
      </c>
      <c r="BI640" s="10">
        <v>3.4443101</v>
      </c>
      <c r="BJ640" s="10">
        <v>3.4425097999999998</v>
      </c>
      <c r="BK640" s="10">
        <v>3.4413992000000002</v>
      </c>
      <c r="BL640" s="10">
        <v>3.4409409000000002</v>
      </c>
      <c r="BM640" s="10">
        <v>3.4410976</v>
      </c>
      <c r="BN640" s="10">
        <v>3.4418316999999998</v>
      </c>
      <c r="BO640" s="10">
        <v>3.4431061000000001</v>
      </c>
      <c r="BP640" s="10">
        <v>3.4448832</v>
      </c>
      <c r="BQ640" s="10">
        <v>3.4471257</v>
      </c>
      <c r="BR640" s="10">
        <v>3.4689866</v>
      </c>
      <c r="BS640" s="10">
        <v>3.5025835000000001</v>
      </c>
      <c r="BU640" s="7">
        <v>4.3600000000000003</v>
      </c>
      <c r="BV640" s="7">
        <v>4.1900000000000004</v>
      </c>
      <c r="BW640" s="9">
        <v>83.349900000000005</v>
      </c>
    </row>
    <row r="641" spans="1:75" x14ac:dyDescent="0.25">
      <c r="A641" s="6">
        <f t="shared" si="59"/>
        <v>45449</v>
      </c>
      <c r="B641" s="13">
        <f t="shared" si="69"/>
        <v>6</v>
      </c>
      <c r="C641" s="13">
        <f t="shared" si="70"/>
        <v>2024</v>
      </c>
      <c r="D641">
        <f t="shared" si="71"/>
        <v>202406</v>
      </c>
      <c r="E641">
        <f t="shared" si="72"/>
        <v>2</v>
      </c>
      <c r="F641">
        <f t="shared" si="73"/>
        <v>202402</v>
      </c>
      <c r="G641" t="s">
        <v>1397</v>
      </c>
      <c r="H641" s="9">
        <v>5.25</v>
      </c>
      <c r="I641" s="9">
        <v>5.2</v>
      </c>
      <c r="J641" s="10">
        <v>5.1779003000000001</v>
      </c>
      <c r="K641" s="10">
        <v>5.1351230000000001</v>
      </c>
      <c r="L641" s="10">
        <v>5.0821582000000003</v>
      </c>
      <c r="M641" s="10">
        <v>5.0203309000000003</v>
      </c>
      <c r="N641" s="10">
        <v>4.9509381000000001</v>
      </c>
      <c r="O641" s="10">
        <v>4.8782303999999996</v>
      </c>
      <c r="P641" s="10">
        <v>4.8069991999999999</v>
      </c>
      <c r="Q641" s="10">
        <v>4.7402835999999997</v>
      </c>
      <c r="R641" s="10">
        <v>4.6796515000000003</v>
      </c>
      <c r="S641" s="10">
        <v>4.6251147000000001</v>
      </c>
      <c r="T641" s="10">
        <v>4.5756481000000004</v>
      </c>
      <c r="U641" s="10">
        <v>4.5295635000000001</v>
      </c>
      <c r="V641" s="10">
        <v>4.4839205</v>
      </c>
      <c r="W641" s="10">
        <v>4.4379189999999999</v>
      </c>
      <c r="X641" s="10">
        <v>4.3914083000000002</v>
      </c>
      <c r="Y641" s="10">
        <v>4.3442362000000001</v>
      </c>
      <c r="Z641" s="10">
        <v>4.2962502999999996</v>
      </c>
      <c r="AA641" s="10">
        <v>4.2472998000000004</v>
      </c>
      <c r="AB641" s="10">
        <v>4.1973343999999999</v>
      </c>
      <c r="AC641" s="10">
        <v>4.1468254</v>
      </c>
      <c r="AD641" s="10">
        <v>4.0964127000000001</v>
      </c>
      <c r="AE641" s="10">
        <v>4.0467342999999998</v>
      </c>
      <c r="AF641" s="10">
        <v>3.9984283999999999</v>
      </c>
      <c r="AG641" s="10">
        <v>3.9521350000000002</v>
      </c>
      <c r="AH641" s="10">
        <v>3.9083945</v>
      </c>
      <c r="AI641" s="10">
        <v>3.8672721000000001</v>
      </c>
      <c r="AJ641" s="10">
        <v>3.8286896000000001</v>
      </c>
      <c r="AK641" s="10">
        <v>3.7925673999999998</v>
      </c>
      <c r="AL641" s="10">
        <v>3.7588257999999999</v>
      </c>
      <c r="AM641" s="10">
        <v>3.7273865000000002</v>
      </c>
      <c r="AN641" s="10">
        <v>3.6981698999999999</v>
      </c>
      <c r="AO641" s="10">
        <v>3.6710965</v>
      </c>
      <c r="AP641" s="10">
        <v>3.6460878000000001</v>
      </c>
      <c r="AQ641" s="10">
        <v>3.6230642</v>
      </c>
      <c r="AR641" s="10">
        <v>3.6019464000000001</v>
      </c>
      <c r="AS641" s="10">
        <v>3.5826557000000001</v>
      </c>
      <c r="AT641" s="10">
        <v>3.5651107999999998</v>
      </c>
      <c r="AU641" s="10">
        <v>3.5492216000000001</v>
      </c>
      <c r="AV641" s="10">
        <v>3.5348967</v>
      </c>
      <c r="AW641" s="10">
        <v>3.5220438999999999</v>
      </c>
      <c r="AX641" s="10">
        <v>3.5105708999999998</v>
      </c>
      <c r="AY641" s="10">
        <v>3.5003861000000001</v>
      </c>
      <c r="AZ641" s="10">
        <v>3.4913972000000002</v>
      </c>
      <c r="BA641" s="10">
        <v>3.4835121999999998</v>
      </c>
      <c r="BB641" s="10">
        <v>3.4766393</v>
      </c>
      <c r="BC641" s="10">
        <v>3.4706863000000001</v>
      </c>
      <c r="BD641" s="10">
        <v>3.4655611999999998</v>
      </c>
      <c r="BE641" s="10">
        <v>3.4611719999999999</v>
      </c>
      <c r="BF641" s="10">
        <v>3.4574375000000002</v>
      </c>
      <c r="BG641" s="10">
        <v>3.4543238999999999</v>
      </c>
      <c r="BH641" s="10">
        <v>3.4518103999999998</v>
      </c>
      <c r="BI641" s="10">
        <v>3.4498764999999998</v>
      </c>
      <c r="BJ641" s="10">
        <v>3.4485014000000001</v>
      </c>
      <c r="BK641" s="10">
        <v>3.4476643999999999</v>
      </c>
      <c r="BL641" s="10">
        <v>3.4473449</v>
      </c>
      <c r="BM641" s="10">
        <v>3.4475221</v>
      </c>
      <c r="BN641" s="10">
        <v>3.4481755000000001</v>
      </c>
      <c r="BO641" s="10">
        <v>3.4492842000000001</v>
      </c>
      <c r="BP641" s="10">
        <v>3.4508276000000002</v>
      </c>
      <c r="BQ641" s="10">
        <v>3.4527850999999998</v>
      </c>
      <c r="BR641" s="10">
        <v>3.4723554000000001</v>
      </c>
      <c r="BS641" s="10">
        <v>3.5033721</v>
      </c>
      <c r="BU641" s="7">
        <v>4.3099999999999996</v>
      </c>
      <c r="BV641" s="7">
        <v>4.17</v>
      </c>
      <c r="BW641" s="9">
        <v>83.374099999999999</v>
      </c>
    </row>
    <row r="642" spans="1:75" x14ac:dyDescent="0.25">
      <c r="A642" s="6">
        <f t="shared" si="59"/>
        <v>45450</v>
      </c>
      <c r="B642" s="13">
        <f t="shared" si="69"/>
        <v>6</v>
      </c>
      <c r="C642" s="13">
        <f t="shared" si="70"/>
        <v>2024</v>
      </c>
      <c r="D642">
        <f t="shared" si="71"/>
        <v>202406</v>
      </c>
      <c r="E642">
        <f t="shared" si="72"/>
        <v>2</v>
      </c>
      <c r="F642">
        <f t="shared" si="73"/>
        <v>202402</v>
      </c>
      <c r="G642" t="s">
        <v>1398</v>
      </c>
      <c r="H642" s="9">
        <v>5.25</v>
      </c>
      <c r="I642" s="9">
        <v>5.2</v>
      </c>
      <c r="J642" s="10">
        <v>5.1782710999999999</v>
      </c>
      <c r="K642" s="10">
        <v>5.1375843999999997</v>
      </c>
      <c r="L642" s="10">
        <v>5.0895904999999999</v>
      </c>
      <c r="M642" s="10">
        <v>5.0355631000000001</v>
      </c>
      <c r="N642" s="10">
        <v>4.9763842</v>
      </c>
      <c r="O642" s="10">
        <v>4.9147388000000003</v>
      </c>
      <c r="P642" s="10">
        <v>4.8536951999999998</v>
      </c>
      <c r="Q642" s="10">
        <v>4.7950121000000001</v>
      </c>
      <c r="R642" s="10">
        <v>4.7394471999999999</v>
      </c>
      <c r="S642" s="10">
        <v>4.6869342999999999</v>
      </c>
      <c r="T642" s="10">
        <v>4.6369173000000004</v>
      </c>
      <c r="U642" s="10">
        <v>4.5885470000000002</v>
      </c>
      <c r="V642" s="10">
        <v>4.5405591999999997</v>
      </c>
      <c r="W642" s="10">
        <v>4.492661</v>
      </c>
      <c r="X642" s="10">
        <v>4.4449025999999998</v>
      </c>
      <c r="Y642" s="10">
        <v>4.3973326999999998</v>
      </c>
      <c r="Z642" s="10">
        <v>4.3499999999999996</v>
      </c>
      <c r="AA642" s="10">
        <v>4.3029548000000002</v>
      </c>
      <c r="AB642" s="10">
        <v>4.2562841000000002</v>
      </c>
      <c r="AC642" s="10">
        <v>4.2102535999999997</v>
      </c>
      <c r="AD642" s="10">
        <v>4.1651818</v>
      </c>
      <c r="AE642" s="10">
        <v>4.1213860000000002</v>
      </c>
      <c r="AF642" s="10">
        <v>4.0791833999999998</v>
      </c>
      <c r="AG642" s="10">
        <v>4.0388925000000002</v>
      </c>
      <c r="AH642" s="10">
        <v>4.0007716000000002</v>
      </c>
      <c r="AI642" s="10">
        <v>3.9648186999999999</v>
      </c>
      <c r="AJ642" s="10">
        <v>3.9309612999999999</v>
      </c>
      <c r="AK642" s="10">
        <v>3.8991256000000001</v>
      </c>
      <c r="AL642" s="10">
        <v>3.8692378999999999</v>
      </c>
      <c r="AM642" s="10">
        <v>3.8412255000000002</v>
      </c>
      <c r="AN642" s="10">
        <v>3.8150146</v>
      </c>
      <c r="AO642" s="10">
        <v>3.7905315000000002</v>
      </c>
      <c r="AP642" s="10">
        <v>3.7677035999999999</v>
      </c>
      <c r="AQ642" s="10">
        <v>3.7464571000000002</v>
      </c>
      <c r="AR642" s="10">
        <v>3.7267184000000002</v>
      </c>
      <c r="AS642" s="10">
        <v>3.7084145999999998</v>
      </c>
      <c r="AT642" s="10">
        <v>3.6914742999999999</v>
      </c>
      <c r="AU642" s="10">
        <v>3.6758348999999999</v>
      </c>
      <c r="AV642" s="10">
        <v>3.6614365000000002</v>
      </c>
      <c r="AW642" s="10">
        <v>3.6482187000000001</v>
      </c>
      <c r="AX642" s="10">
        <v>3.6361213000000001</v>
      </c>
      <c r="AY642" s="10">
        <v>3.6250841999999999</v>
      </c>
      <c r="AZ642" s="10">
        <v>3.6150471</v>
      </c>
      <c r="BA642" s="10">
        <v>3.6059497</v>
      </c>
      <c r="BB642" s="10">
        <v>3.5977320000000002</v>
      </c>
      <c r="BC642" s="10">
        <v>3.5903337</v>
      </c>
      <c r="BD642" s="10">
        <v>3.5836944000000002</v>
      </c>
      <c r="BE642" s="10">
        <v>3.5777542000000002</v>
      </c>
      <c r="BF642" s="10">
        <v>3.5724592999999998</v>
      </c>
      <c r="BG642" s="10">
        <v>3.5677853000000002</v>
      </c>
      <c r="BH642" s="10">
        <v>3.5637159999999999</v>
      </c>
      <c r="BI642" s="10">
        <v>3.5602350999999999</v>
      </c>
      <c r="BJ642" s="10">
        <v>3.5573261</v>
      </c>
      <c r="BK642" s="10">
        <v>3.5549729000000001</v>
      </c>
      <c r="BL642" s="10">
        <v>3.5531590999999998</v>
      </c>
      <c r="BM642" s="10">
        <v>3.5518683000000002</v>
      </c>
      <c r="BN642" s="10">
        <v>3.5510844000000001</v>
      </c>
      <c r="BO642" s="10">
        <v>3.5507908000000001</v>
      </c>
      <c r="BP642" s="10">
        <v>3.5509713999999999</v>
      </c>
      <c r="BQ642" s="10">
        <v>3.5516098</v>
      </c>
      <c r="BR642" s="10">
        <v>3.5642626000000002</v>
      </c>
      <c r="BS642" s="10">
        <v>3.5900259000000001</v>
      </c>
      <c r="BU642" s="7">
        <v>4.37</v>
      </c>
      <c r="BV642" s="7">
        <v>4.25</v>
      </c>
      <c r="BW642" s="9">
        <v>83.369100000000003</v>
      </c>
    </row>
    <row r="643" spans="1:75" x14ac:dyDescent="0.25">
      <c r="A643" s="6">
        <f t="shared" si="59"/>
        <v>45453</v>
      </c>
      <c r="B643" s="13">
        <f t="shared" ref="B643:B668" si="74">MONTH(A643)</f>
        <v>6</v>
      </c>
      <c r="C643" s="13">
        <f t="shared" ref="C643:C668" si="75">YEAR(A643)</f>
        <v>2024</v>
      </c>
      <c r="D643">
        <f t="shared" ref="D643:D668" si="76">C643*100+B643</f>
        <v>202406</v>
      </c>
      <c r="E643">
        <f t="shared" ref="E643:E668" si="77">IF(B643&lt;4,1,IF(B643&lt;7,2,IF(B643&lt;10,3,4)))</f>
        <v>2</v>
      </c>
      <c r="F643">
        <f t="shared" ref="F643:F668" si="78">C643*100+E643</f>
        <v>202402</v>
      </c>
      <c r="G643" t="s">
        <v>1403</v>
      </c>
      <c r="H643" s="9">
        <v>5.25</v>
      </c>
      <c r="I643" s="9">
        <v>5.2</v>
      </c>
      <c r="J643" s="10">
        <v>5.1819705999999996</v>
      </c>
      <c r="K643" s="10">
        <v>5.1425089000000002</v>
      </c>
      <c r="L643" s="10">
        <v>5.0989250000000004</v>
      </c>
      <c r="M643" s="10">
        <v>5.0496074000000002</v>
      </c>
      <c r="N643" s="10">
        <v>4.9938681999999996</v>
      </c>
      <c r="O643" s="10">
        <v>4.9343500999999996</v>
      </c>
      <c r="P643" s="10">
        <v>4.8752344000000001</v>
      </c>
      <c r="Q643" s="10">
        <v>4.8198587000000002</v>
      </c>
      <c r="R643" s="10">
        <v>4.7701855000000002</v>
      </c>
      <c r="S643" s="10">
        <v>4.7263871000000002</v>
      </c>
      <c r="T643" s="10">
        <v>4.6874821999999998</v>
      </c>
      <c r="U643" s="10">
        <v>4.6515531000000001</v>
      </c>
      <c r="V643" s="10">
        <v>4.6153975000000003</v>
      </c>
      <c r="W643" s="10">
        <v>4.5782235</v>
      </c>
      <c r="X643" s="10">
        <v>4.5399823000000001</v>
      </c>
      <c r="Y643" s="10">
        <v>4.5006240000000002</v>
      </c>
      <c r="Z643" s="10">
        <v>4.4600982</v>
      </c>
      <c r="AA643" s="10">
        <v>4.4183564999999998</v>
      </c>
      <c r="AB643" s="10">
        <v>4.3754419000000002</v>
      </c>
      <c r="AC643" s="10">
        <v>4.3317892999999996</v>
      </c>
      <c r="AD643" s="10">
        <v>4.2879379000000002</v>
      </c>
      <c r="AE643" s="10">
        <v>4.2444255000000002</v>
      </c>
      <c r="AF643" s="10">
        <v>4.2017898000000002</v>
      </c>
      <c r="AG643" s="10">
        <v>4.1605701000000002</v>
      </c>
      <c r="AH643" s="10">
        <v>4.1212074999999997</v>
      </c>
      <c r="AI643" s="10">
        <v>4.0837574999999999</v>
      </c>
      <c r="AJ643" s="10">
        <v>4.0481802</v>
      </c>
      <c r="AK643" s="10">
        <v>4.0144343999999998</v>
      </c>
      <c r="AL643" s="10">
        <v>3.9824792000000002</v>
      </c>
      <c r="AM643" s="10">
        <v>3.9522745000000001</v>
      </c>
      <c r="AN643" s="10">
        <v>3.9237793000000001</v>
      </c>
      <c r="AO643" s="10">
        <v>3.8969526000000001</v>
      </c>
      <c r="AP643" s="10">
        <v>3.8717543000000001</v>
      </c>
      <c r="AQ643" s="10">
        <v>3.8481432999999998</v>
      </c>
      <c r="AR643" s="10">
        <v>3.8260787000000001</v>
      </c>
      <c r="AS643" s="10">
        <v>3.8055203</v>
      </c>
      <c r="AT643" s="10">
        <v>3.7864244999999999</v>
      </c>
      <c r="AU643" s="10">
        <v>3.7687363</v>
      </c>
      <c r="AV643" s="10">
        <v>3.7523989000000002</v>
      </c>
      <c r="AW643" s="10">
        <v>3.7373547</v>
      </c>
      <c r="AX643" s="10">
        <v>3.7235461000000001</v>
      </c>
      <c r="AY643" s="10">
        <v>3.7109162000000002</v>
      </c>
      <c r="AZ643" s="10">
        <v>3.6994074000000001</v>
      </c>
      <c r="BA643" s="10">
        <v>3.6889622000000002</v>
      </c>
      <c r="BB643" s="10">
        <v>3.6795235000000002</v>
      </c>
      <c r="BC643" s="10">
        <v>3.6710338</v>
      </c>
      <c r="BD643" s="10">
        <v>3.6634357999999998</v>
      </c>
      <c r="BE643" s="10">
        <v>3.6566721000000002</v>
      </c>
      <c r="BF643" s="10">
        <v>3.6506897999999999</v>
      </c>
      <c r="BG643" s="10">
        <v>3.6454594</v>
      </c>
      <c r="BH643" s="10">
        <v>3.6409596999999998</v>
      </c>
      <c r="BI643" s="10">
        <v>3.6371690999999999</v>
      </c>
      <c r="BJ643" s="10">
        <v>3.6340661999999999</v>
      </c>
      <c r="BK643" s="10">
        <v>3.6316296000000001</v>
      </c>
      <c r="BL643" s="10">
        <v>3.6298379999999999</v>
      </c>
      <c r="BM643" s="10">
        <v>3.6286697999999999</v>
      </c>
      <c r="BN643" s="10">
        <v>3.6281036000000002</v>
      </c>
      <c r="BO643" s="10">
        <v>3.6281181</v>
      </c>
      <c r="BP643" s="10">
        <v>3.6286917999999999</v>
      </c>
      <c r="BQ643" s="10">
        <v>3.6298032999999998</v>
      </c>
      <c r="BR643" s="10">
        <v>3.6466186999999999</v>
      </c>
      <c r="BS643" s="10">
        <v>3.6777185000000001</v>
      </c>
      <c r="BU643" s="7">
        <v>4.42</v>
      </c>
      <c r="BV643" s="7">
        <v>4.33</v>
      </c>
      <c r="BW643" s="9">
        <v>83.624899999999997</v>
      </c>
    </row>
    <row r="644" spans="1:75" x14ac:dyDescent="0.25">
      <c r="A644" s="6">
        <f t="shared" si="59"/>
        <v>45454</v>
      </c>
      <c r="B644" s="13">
        <f t="shared" si="74"/>
        <v>6</v>
      </c>
      <c r="C644" s="13">
        <f t="shared" si="75"/>
        <v>2024</v>
      </c>
      <c r="D644">
        <f t="shared" si="76"/>
        <v>202406</v>
      </c>
      <c r="E644">
        <f t="shared" si="77"/>
        <v>2</v>
      </c>
      <c r="F644">
        <f t="shared" si="78"/>
        <v>202402</v>
      </c>
      <c r="G644" t="s">
        <v>1405</v>
      </c>
      <c r="H644" s="9">
        <v>5.25</v>
      </c>
      <c r="I644" s="9">
        <v>5.2</v>
      </c>
      <c r="J644" s="10">
        <v>5.1757966</v>
      </c>
      <c r="K644" s="10">
        <v>5.1287644999999999</v>
      </c>
      <c r="L644" s="10">
        <v>5.0786992</v>
      </c>
      <c r="M644" s="10">
        <v>5.0250579999999996</v>
      </c>
      <c r="N644" s="10">
        <v>4.9668390999999996</v>
      </c>
      <c r="O644" s="10">
        <v>4.9057687000000003</v>
      </c>
      <c r="P644" s="10">
        <v>4.8450249000000003</v>
      </c>
      <c r="Q644" s="10">
        <v>4.7871360000000003</v>
      </c>
      <c r="R644" s="10">
        <v>4.7338183999999996</v>
      </c>
      <c r="S644" s="10">
        <v>4.6854376999999996</v>
      </c>
      <c r="T644" s="10">
        <v>4.6414597999999998</v>
      </c>
      <c r="U644" s="10">
        <v>4.6005561999999998</v>
      </c>
      <c r="V644" s="10">
        <v>4.5601925999999997</v>
      </c>
      <c r="W644" s="10">
        <v>4.5196576000000004</v>
      </c>
      <c r="X644" s="10">
        <v>4.4788081000000002</v>
      </c>
      <c r="Y644" s="10">
        <v>4.4374998999999997</v>
      </c>
      <c r="Z644" s="10">
        <v>4.3955884000000003</v>
      </c>
      <c r="AA644" s="10">
        <v>4.3529309999999999</v>
      </c>
      <c r="AB644" s="10">
        <v>4.3094787999999999</v>
      </c>
      <c r="AC644" s="10">
        <v>4.2655849000000003</v>
      </c>
      <c r="AD644" s="10">
        <v>4.2217095000000002</v>
      </c>
      <c r="AE644" s="10">
        <v>4.1783112999999998</v>
      </c>
      <c r="AF644" s="10">
        <v>4.1358490000000003</v>
      </c>
      <c r="AG644" s="10">
        <v>4.0947826999999997</v>
      </c>
      <c r="AH644" s="10">
        <v>4.0554899999999998</v>
      </c>
      <c r="AI644" s="10">
        <v>4.0180243999999998</v>
      </c>
      <c r="AJ644" s="10">
        <v>3.9823594</v>
      </c>
      <c r="AK644" s="10">
        <v>3.9484674000000002</v>
      </c>
      <c r="AL644" s="10">
        <v>3.9163209000000001</v>
      </c>
      <c r="AM644" s="10">
        <v>3.8858931999999999</v>
      </c>
      <c r="AN644" s="10">
        <v>3.8571569999999999</v>
      </c>
      <c r="AO644" s="10">
        <v>3.8300844999999999</v>
      </c>
      <c r="AP644" s="10">
        <v>3.8046492000000001</v>
      </c>
      <c r="AQ644" s="10">
        <v>3.7808236000000002</v>
      </c>
      <c r="AR644" s="10">
        <v>3.7585801000000001</v>
      </c>
      <c r="AS644" s="10">
        <v>3.7378922000000001</v>
      </c>
      <c r="AT644" s="10">
        <v>3.7187271000000002</v>
      </c>
      <c r="AU644" s="10">
        <v>3.7010322000000002</v>
      </c>
      <c r="AV644" s="10">
        <v>3.6847501999999999</v>
      </c>
      <c r="AW644" s="10">
        <v>3.6698233</v>
      </c>
      <c r="AX644" s="10">
        <v>3.6561935999999999</v>
      </c>
      <c r="AY644" s="10">
        <v>3.6438039</v>
      </c>
      <c r="AZ644" s="10">
        <v>3.6325964000000002</v>
      </c>
      <c r="BA644" s="10">
        <v>3.6225133</v>
      </c>
      <c r="BB644" s="10">
        <v>3.6134971999999999</v>
      </c>
      <c r="BC644" s="10">
        <v>3.6054903999999999</v>
      </c>
      <c r="BD644" s="10">
        <v>3.5984351999999999</v>
      </c>
      <c r="BE644" s="10">
        <v>3.5922740000000002</v>
      </c>
      <c r="BF644" s="10">
        <v>3.5869531000000001</v>
      </c>
      <c r="BG644" s="10">
        <v>3.5824379</v>
      </c>
      <c r="BH644" s="10">
        <v>3.5787</v>
      </c>
      <c r="BI644" s="10">
        <v>3.5757105</v>
      </c>
      <c r="BJ644" s="10">
        <v>3.5734408000000002</v>
      </c>
      <c r="BK644" s="10">
        <v>3.5718624000000001</v>
      </c>
      <c r="BL644" s="10">
        <v>3.5709464999999998</v>
      </c>
      <c r="BM644" s="10">
        <v>3.5706644000000001</v>
      </c>
      <c r="BN644" s="10">
        <v>3.5709876</v>
      </c>
      <c r="BO644" s="10">
        <v>3.5718874</v>
      </c>
      <c r="BP644" s="10">
        <v>3.5733351</v>
      </c>
      <c r="BQ644" s="10">
        <v>3.5753020000000002</v>
      </c>
      <c r="BR644" s="10">
        <v>3.5966746000000001</v>
      </c>
      <c r="BS644" s="10">
        <v>3.6311632999999999</v>
      </c>
      <c r="BU644" s="7">
        <v>4.3499999999999996</v>
      </c>
      <c r="BV644" s="7">
        <v>4.26</v>
      </c>
      <c r="BW644" s="9">
        <v>83.663899999999998</v>
      </c>
    </row>
    <row r="645" spans="1:75" x14ac:dyDescent="0.25">
      <c r="A645" s="6">
        <f t="shared" si="59"/>
        <v>45455</v>
      </c>
      <c r="B645" s="13">
        <f t="shared" si="74"/>
        <v>6</v>
      </c>
      <c r="C645" s="13">
        <f t="shared" si="75"/>
        <v>2024</v>
      </c>
      <c r="D645">
        <f t="shared" si="76"/>
        <v>202406</v>
      </c>
      <c r="E645">
        <f t="shared" si="77"/>
        <v>2</v>
      </c>
      <c r="F645">
        <f t="shared" si="78"/>
        <v>202402</v>
      </c>
      <c r="G645" t="s">
        <v>1406</v>
      </c>
      <c r="H645" s="9">
        <v>5.25</v>
      </c>
      <c r="I645" s="9">
        <v>5.2</v>
      </c>
      <c r="J645" s="10">
        <v>5.1684716000000002</v>
      </c>
      <c r="K645" s="10">
        <v>5.1115349999999999</v>
      </c>
      <c r="L645" s="10">
        <v>5.0509285000000004</v>
      </c>
      <c r="M645" s="10">
        <v>4.9863635999999998</v>
      </c>
      <c r="N645" s="10">
        <v>4.9167901000000001</v>
      </c>
      <c r="O645" s="10">
        <v>4.8438631000000001</v>
      </c>
      <c r="P645" s="10">
        <v>4.7707455999999997</v>
      </c>
      <c r="Q645" s="10">
        <v>4.7002800000000002</v>
      </c>
      <c r="R645" s="10">
        <v>4.6345546999999998</v>
      </c>
      <c r="S645" s="10">
        <v>4.5742799999999999</v>
      </c>
      <c r="T645" s="10">
        <v>4.5189558999999999</v>
      </c>
      <c r="U645" s="10">
        <v>4.4675251999999999</v>
      </c>
      <c r="V645" s="10">
        <v>4.4178369000000002</v>
      </c>
      <c r="W645" s="10">
        <v>4.3691873000000001</v>
      </c>
      <c r="X645" s="10">
        <v>4.3213299000000003</v>
      </c>
      <c r="Y645" s="10">
        <v>4.2740163000000004</v>
      </c>
      <c r="Z645" s="10">
        <v>4.2269981000000003</v>
      </c>
      <c r="AA645" s="10">
        <v>4.1800286</v>
      </c>
      <c r="AB645" s="10">
        <v>4.1329582</v>
      </c>
      <c r="AC645" s="10">
        <v>4.0860516000000002</v>
      </c>
      <c r="AD645" s="10">
        <v>4.0396843999999996</v>
      </c>
      <c r="AE645" s="10">
        <v>3.9942302000000001</v>
      </c>
      <c r="AF645" s="10">
        <v>3.9500628999999998</v>
      </c>
      <c r="AG645" s="10">
        <v>3.9075578000000002</v>
      </c>
      <c r="AH645" s="10">
        <v>3.8670222000000001</v>
      </c>
      <c r="AI645" s="10">
        <v>3.8284973</v>
      </c>
      <c r="AJ645" s="10">
        <v>3.7919592</v>
      </c>
      <c r="AK645" s="10">
        <v>3.7573826000000001</v>
      </c>
      <c r="AL645" s="10">
        <v>3.7247423</v>
      </c>
      <c r="AM645" s="10">
        <v>3.6940143000000001</v>
      </c>
      <c r="AN645" s="10">
        <v>3.6651734</v>
      </c>
      <c r="AO645" s="10">
        <v>3.6381942999999999</v>
      </c>
      <c r="AP645" s="10">
        <v>3.6130529</v>
      </c>
      <c r="AQ645" s="10">
        <v>3.5897241000000002</v>
      </c>
      <c r="AR645" s="10">
        <v>3.5681828000000002</v>
      </c>
      <c r="AS645" s="10">
        <v>3.5484046</v>
      </c>
      <c r="AT645" s="10">
        <v>3.5303569000000001</v>
      </c>
      <c r="AU645" s="10">
        <v>3.5139703999999998</v>
      </c>
      <c r="AV645" s="10">
        <v>3.4991648999999998</v>
      </c>
      <c r="AW645" s="10">
        <v>3.4858598999999999</v>
      </c>
      <c r="AX645" s="10">
        <v>3.4739749</v>
      </c>
      <c r="AY645" s="10">
        <v>3.4634296999999998</v>
      </c>
      <c r="AZ645" s="10">
        <v>3.4541436999999999</v>
      </c>
      <c r="BA645" s="10">
        <v>3.4460364000000001</v>
      </c>
      <c r="BB645" s="10">
        <v>3.4390277</v>
      </c>
      <c r="BC645" s="10">
        <v>3.4330370000000001</v>
      </c>
      <c r="BD645" s="10">
        <v>3.4279837999999998</v>
      </c>
      <c r="BE645" s="10">
        <v>3.4237879000000002</v>
      </c>
      <c r="BF645" s="10">
        <v>3.4203758</v>
      </c>
      <c r="BG645" s="10">
        <v>3.4177051000000001</v>
      </c>
      <c r="BH645" s="10">
        <v>3.4157421000000001</v>
      </c>
      <c r="BI645" s="10">
        <v>3.414453</v>
      </c>
      <c r="BJ645" s="10">
        <v>3.4138039999999998</v>
      </c>
      <c r="BK645" s="10">
        <v>3.4137613999999998</v>
      </c>
      <c r="BL645" s="10">
        <v>3.4142914000000002</v>
      </c>
      <c r="BM645" s="10">
        <v>3.4153601</v>
      </c>
      <c r="BN645" s="10">
        <v>3.4169337999999998</v>
      </c>
      <c r="BO645" s="10">
        <v>3.4189788000000001</v>
      </c>
      <c r="BP645" s="10">
        <v>3.4214612</v>
      </c>
      <c r="BQ645" s="10">
        <v>3.4243472000000001</v>
      </c>
      <c r="BR645" s="10">
        <v>3.4489611999999998</v>
      </c>
      <c r="BS645" s="10">
        <v>3.4839155000000002</v>
      </c>
      <c r="BU645" s="7">
        <v>4.2</v>
      </c>
      <c r="BV645" s="7">
        <v>4.1100000000000003</v>
      </c>
      <c r="BW645" s="9">
        <v>83.900700000000001</v>
      </c>
    </row>
    <row r="646" spans="1:75" x14ac:dyDescent="0.25">
      <c r="A646" s="6">
        <f t="shared" si="59"/>
        <v>45456</v>
      </c>
      <c r="B646" s="13">
        <f t="shared" si="74"/>
        <v>6</v>
      </c>
      <c r="C646" s="13">
        <f t="shared" si="75"/>
        <v>2024</v>
      </c>
      <c r="D646">
        <f t="shared" si="76"/>
        <v>202406</v>
      </c>
      <c r="E646">
        <f t="shared" si="77"/>
        <v>2</v>
      </c>
      <c r="F646">
        <f t="shared" si="78"/>
        <v>202402</v>
      </c>
      <c r="G646" t="s">
        <v>1407</v>
      </c>
      <c r="H646" s="9">
        <v>5.25</v>
      </c>
      <c r="I646" s="9">
        <v>5.2</v>
      </c>
      <c r="J646" s="10">
        <v>5.1648788999999997</v>
      </c>
      <c r="K646" s="10">
        <v>5.1040184000000002</v>
      </c>
      <c r="L646" s="10">
        <v>5.0415160999999999</v>
      </c>
      <c r="M646" s="10">
        <v>4.9755322</v>
      </c>
      <c r="N646" s="10">
        <v>4.9045353</v>
      </c>
      <c r="O646" s="10">
        <v>4.8300710999999996</v>
      </c>
      <c r="P646" s="10">
        <v>4.7554347000000003</v>
      </c>
      <c r="Q646" s="10">
        <v>4.6837100999999999</v>
      </c>
      <c r="R646" s="10">
        <v>4.6169564000000003</v>
      </c>
      <c r="S646" s="10">
        <v>4.5557277999999997</v>
      </c>
      <c r="T646" s="10">
        <v>4.4994573999999998</v>
      </c>
      <c r="U646" s="10">
        <v>4.4468272999999998</v>
      </c>
      <c r="V646" s="10">
        <v>4.3953346</v>
      </c>
      <c r="W646" s="10">
        <v>4.3443104000000003</v>
      </c>
      <c r="X646" s="10">
        <v>4.2936478999999999</v>
      </c>
      <c r="Y646" s="10">
        <v>4.2432382999999998</v>
      </c>
      <c r="Z646" s="10">
        <v>4.1929729</v>
      </c>
      <c r="AA646" s="10">
        <v>4.1427446000000003</v>
      </c>
      <c r="AB646" s="10">
        <v>4.0925218000000001</v>
      </c>
      <c r="AC646" s="10">
        <v>4.0426669999999998</v>
      </c>
      <c r="AD646" s="10">
        <v>3.9936704000000001</v>
      </c>
      <c r="AE646" s="10">
        <v>3.9460204999999999</v>
      </c>
      <c r="AF646" s="10">
        <v>3.9002059999999998</v>
      </c>
      <c r="AG646" s="10">
        <v>3.8567168999999999</v>
      </c>
      <c r="AH646" s="10">
        <v>3.8159613000000001</v>
      </c>
      <c r="AI646" s="10">
        <v>3.7779539</v>
      </c>
      <c r="AJ646" s="10">
        <v>3.7425913999999998</v>
      </c>
      <c r="AK646" s="10">
        <v>3.7097690000000001</v>
      </c>
      <c r="AL646" s="10">
        <v>3.6793819000000001</v>
      </c>
      <c r="AM646" s="10">
        <v>3.6513266</v>
      </c>
      <c r="AN646" s="10">
        <v>3.6254982</v>
      </c>
      <c r="AO646" s="10">
        <v>3.6017923000000001</v>
      </c>
      <c r="AP646" s="10">
        <v>3.5801048999999998</v>
      </c>
      <c r="AQ646" s="10">
        <v>3.5603315000000002</v>
      </c>
      <c r="AR646" s="10">
        <v>3.5423675000000001</v>
      </c>
      <c r="AS646" s="10">
        <v>3.5261089999999999</v>
      </c>
      <c r="AT646" s="10">
        <v>3.5114543999999999</v>
      </c>
      <c r="AU646" s="10">
        <v>3.4983157</v>
      </c>
      <c r="AV646" s="10">
        <v>3.4866088999999998</v>
      </c>
      <c r="AW646" s="10">
        <v>3.4762496000000001</v>
      </c>
      <c r="AX646" s="10">
        <v>3.4671535000000002</v>
      </c>
      <c r="AY646" s="10">
        <v>3.4592364</v>
      </c>
      <c r="AZ646" s="10">
        <v>3.4524140999999999</v>
      </c>
      <c r="BA646" s="10">
        <v>3.4466022000000001</v>
      </c>
      <c r="BB646" s="10">
        <v>3.4417167000000002</v>
      </c>
      <c r="BC646" s="10">
        <v>3.4376731</v>
      </c>
      <c r="BD646" s="10">
        <v>3.4343872000000002</v>
      </c>
      <c r="BE646" s="10">
        <v>3.4317749000000002</v>
      </c>
      <c r="BF646" s="10">
        <v>3.4297616</v>
      </c>
      <c r="BG646" s="10">
        <v>3.4283166</v>
      </c>
      <c r="BH646" s="10">
        <v>3.4274209999999998</v>
      </c>
      <c r="BI646" s="10">
        <v>3.4270559</v>
      </c>
      <c r="BJ646" s="10">
        <v>3.4272024000000001</v>
      </c>
      <c r="BK646" s="10">
        <v>3.4278417999999999</v>
      </c>
      <c r="BL646" s="10">
        <v>3.4289551999999999</v>
      </c>
      <c r="BM646" s="10">
        <v>3.4305237000000002</v>
      </c>
      <c r="BN646" s="10">
        <v>3.4325283999999998</v>
      </c>
      <c r="BO646" s="10">
        <v>3.4349504999999998</v>
      </c>
      <c r="BP646" s="10">
        <v>3.4377711999999998</v>
      </c>
      <c r="BQ646" s="10">
        <v>3.4409716000000001</v>
      </c>
      <c r="BR646" s="10">
        <v>3.4673280000000002</v>
      </c>
      <c r="BS646" s="10">
        <v>3.5040342</v>
      </c>
      <c r="BU646" s="7">
        <v>4.22</v>
      </c>
      <c r="BV646" s="7">
        <v>4.13</v>
      </c>
      <c r="BW646" s="9">
        <v>83.791899999999998</v>
      </c>
    </row>
    <row r="647" spans="1:75" x14ac:dyDescent="0.25">
      <c r="A647" s="6">
        <f t="shared" si="59"/>
        <v>45457</v>
      </c>
      <c r="B647" s="13">
        <f t="shared" si="74"/>
        <v>6</v>
      </c>
      <c r="C647" s="13">
        <f t="shared" si="75"/>
        <v>2024</v>
      </c>
      <c r="D647">
        <f t="shared" si="76"/>
        <v>202406</v>
      </c>
      <c r="E647">
        <f t="shared" si="77"/>
        <v>2</v>
      </c>
      <c r="F647">
        <f t="shared" si="78"/>
        <v>202402</v>
      </c>
      <c r="G647" t="s">
        <v>1408</v>
      </c>
      <c r="H647" s="9">
        <v>5.25</v>
      </c>
      <c r="I647" s="9">
        <v>5.2</v>
      </c>
      <c r="J647" s="10">
        <v>5.1745975</v>
      </c>
      <c r="K647" s="10">
        <v>5.1105308999999997</v>
      </c>
      <c r="L647" s="10">
        <v>5.0447573999999999</v>
      </c>
      <c r="M647" s="10">
        <v>4.9756359999999997</v>
      </c>
      <c r="N647" s="10">
        <v>4.9018158999999999</v>
      </c>
      <c r="O647" s="10">
        <v>4.8242120999999996</v>
      </c>
      <c r="P647" s="10">
        <v>4.7453956000000002</v>
      </c>
      <c r="Q647" s="10">
        <v>4.6676450000000003</v>
      </c>
      <c r="R647" s="10">
        <v>4.5923952000000003</v>
      </c>
      <c r="S647" s="10">
        <v>4.5202315000000004</v>
      </c>
      <c r="T647" s="10">
        <v>4.4511915999999996</v>
      </c>
      <c r="U647" s="10">
        <v>4.3848919000000004</v>
      </c>
      <c r="V647" s="10">
        <v>4.3207466999999999</v>
      </c>
      <c r="W647" s="10">
        <v>4.2585856</v>
      </c>
      <c r="X647" s="10">
        <v>4.1983835999999997</v>
      </c>
      <c r="Y647" s="10">
        <v>4.1401133999999997</v>
      </c>
      <c r="Z647" s="10">
        <v>4.0837481000000002</v>
      </c>
      <c r="AA647" s="10">
        <v>4.0292623000000001</v>
      </c>
      <c r="AB647" s="10">
        <v>3.9766631000000001</v>
      </c>
      <c r="AC647" s="10">
        <v>3.9261153000000002</v>
      </c>
      <c r="AD647" s="10">
        <v>3.8778313999999998</v>
      </c>
      <c r="AE647" s="10">
        <v>3.8320221000000001</v>
      </c>
      <c r="AF647" s="10">
        <v>3.7888980000000001</v>
      </c>
      <c r="AG647" s="10">
        <v>3.7486717000000001</v>
      </c>
      <c r="AH647" s="10">
        <v>3.711497</v>
      </c>
      <c r="AI647" s="10">
        <v>3.6772779999999998</v>
      </c>
      <c r="AJ647" s="10">
        <v>3.6458507999999998</v>
      </c>
      <c r="AK647" s="10">
        <v>3.6170504000000001</v>
      </c>
      <c r="AL647" s="10">
        <v>3.5907119000000001</v>
      </c>
      <c r="AM647" s="10">
        <v>3.5666711000000002</v>
      </c>
      <c r="AN647" s="10">
        <v>3.5447630999999999</v>
      </c>
      <c r="AO647" s="10">
        <v>3.5248230999999999</v>
      </c>
      <c r="AP647" s="10">
        <v>3.5066868000000002</v>
      </c>
      <c r="AQ647" s="10">
        <v>3.4901894000000002</v>
      </c>
      <c r="AR647" s="10">
        <v>3.4751660000000002</v>
      </c>
      <c r="AS647" s="10">
        <v>3.4614522999999999</v>
      </c>
      <c r="AT647" s="10">
        <v>3.4489013000000002</v>
      </c>
      <c r="AU647" s="10">
        <v>3.4374368</v>
      </c>
      <c r="AV647" s="10">
        <v>3.4270011999999999</v>
      </c>
      <c r="AW647" s="10">
        <v>3.4175358999999998</v>
      </c>
      <c r="AX647" s="10">
        <v>3.4089828</v>
      </c>
      <c r="AY647" s="10">
        <v>3.401284</v>
      </c>
      <c r="AZ647" s="10">
        <v>3.3943812000000002</v>
      </c>
      <c r="BA647" s="10">
        <v>3.3882159999999999</v>
      </c>
      <c r="BB647" s="10">
        <v>3.3827307000000002</v>
      </c>
      <c r="BC647" s="10">
        <v>3.3778668000000001</v>
      </c>
      <c r="BD647" s="10">
        <v>3.3735662999999998</v>
      </c>
      <c r="BE647" s="10">
        <v>3.3697710000000001</v>
      </c>
      <c r="BF647" s="10">
        <v>3.366431</v>
      </c>
      <c r="BG647" s="10">
        <v>3.3635326999999999</v>
      </c>
      <c r="BH647" s="10">
        <v>3.3610728000000001</v>
      </c>
      <c r="BI647" s="10">
        <v>3.3590475999999998</v>
      </c>
      <c r="BJ647" s="10">
        <v>3.3574535999999999</v>
      </c>
      <c r="BK647" s="10">
        <v>3.3562875000000001</v>
      </c>
      <c r="BL647" s="10">
        <v>3.3555457</v>
      </c>
      <c r="BM647" s="10">
        <v>3.3552246999999999</v>
      </c>
      <c r="BN647" s="10">
        <v>3.3553209000000002</v>
      </c>
      <c r="BO647" s="10">
        <v>3.3558309999999998</v>
      </c>
      <c r="BP647" s="10">
        <v>3.3567515000000001</v>
      </c>
      <c r="BQ647" s="10">
        <v>3.3580787000000001</v>
      </c>
      <c r="BR647" s="10">
        <v>3.374142</v>
      </c>
      <c r="BS647" s="10">
        <v>3.4024665999999999</v>
      </c>
      <c r="BU647" s="7">
        <v>4.18</v>
      </c>
      <c r="BV647" s="7">
        <v>4.05</v>
      </c>
      <c r="BW647" s="9">
        <v>83.503100000000003</v>
      </c>
    </row>
    <row r="648" spans="1:75" x14ac:dyDescent="0.25">
      <c r="A648" s="6">
        <f t="shared" si="59"/>
        <v>45460</v>
      </c>
      <c r="B648" s="13">
        <f t="shared" si="74"/>
        <v>6</v>
      </c>
      <c r="C648" s="13">
        <f t="shared" si="75"/>
        <v>2024</v>
      </c>
      <c r="D648">
        <f t="shared" si="76"/>
        <v>202406</v>
      </c>
      <c r="E648">
        <f t="shared" si="77"/>
        <v>2</v>
      </c>
      <c r="F648">
        <f t="shared" si="78"/>
        <v>202402</v>
      </c>
      <c r="G648" t="s">
        <v>1409</v>
      </c>
      <c r="H648" s="9">
        <v>5.25</v>
      </c>
      <c r="I648" s="9">
        <v>5.2</v>
      </c>
      <c r="J648" s="10">
        <v>5.1661722000000001</v>
      </c>
      <c r="K648" s="10">
        <v>5.1066231000000002</v>
      </c>
      <c r="L648" s="10">
        <v>5.0467928000000004</v>
      </c>
      <c r="M648" s="10">
        <v>4.9821011999999998</v>
      </c>
      <c r="N648" s="10">
        <v>4.9109506999999999</v>
      </c>
      <c r="O648" s="10">
        <v>4.8349535000000001</v>
      </c>
      <c r="P648" s="10">
        <v>4.7575845000000001</v>
      </c>
      <c r="Q648" s="10">
        <v>4.6823059999999996</v>
      </c>
      <c r="R648" s="10">
        <v>4.6114649999999999</v>
      </c>
      <c r="S648" s="10">
        <v>4.5458712999999999</v>
      </c>
      <c r="T648" s="10">
        <v>4.4853035999999999</v>
      </c>
      <c r="U648" s="10">
        <v>4.4286241000000004</v>
      </c>
      <c r="V648" s="10">
        <v>4.3737287</v>
      </c>
      <c r="W648" s="10">
        <v>4.3200305999999999</v>
      </c>
      <c r="X648" s="10">
        <v>4.2674193999999996</v>
      </c>
      <c r="Y648" s="10">
        <v>4.2157827000000001</v>
      </c>
      <c r="Z648" s="10">
        <v>4.1650080000000003</v>
      </c>
      <c r="AA648" s="10">
        <v>4.1149849999999999</v>
      </c>
      <c r="AB648" s="10">
        <v>4.0656670999999998</v>
      </c>
      <c r="AC648" s="10">
        <v>4.0172848999999999</v>
      </c>
      <c r="AD648" s="10">
        <v>3.9701433000000002</v>
      </c>
      <c r="AE648" s="10">
        <v>3.9245456999999999</v>
      </c>
      <c r="AF648" s="10">
        <v>3.8807952999999999</v>
      </c>
      <c r="AG648" s="10">
        <v>3.839197</v>
      </c>
      <c r="AH648" s="10">
        <v>3.7999890999999999</v>
      </c>
      <c r="AI648" s="10">
        <v>3.7631492999999998</v>
      </c>
      <c r="AJ648" s="10">
        <v>3.7285916000000001</v>
      </c>
      <c r="AK648" s="10">
        <v>3.6962286999999998</v>
      </c>
      <c r="AL648" s="10">
        <v>3.6659731</v>
      </c>
      <c r="AM648" s="10">
        <v>3.6377389</v>
      </c>
      <c r="AN648" s="10">
        <v>3.6114386999999999</v>
      </c>
      <c r="AO648" s="10">
        <v>3.5869852999999998</v>
      </c>
      <c r="AP648" s="10">
        <v>3.5642923</v>
      </c>
      <c r="AQ648" s="10">
        <v>3.5432727000000002</v>
      </c>
      <c r="AR648" s="10">
        <v>3.5238391999999998</v>
      </c>
      <c r="AS648" s="10">
        <v>3.5059052999999998</v>
      </c>
      <c r="AT648" s="10">
        <v>3.4893888999999998</v>
      </c>
      <c r="AU648" s="10">
        <v>3.474227</v>
      </c>
      <c r="AV648" s="10">
        <v>3.4603622000000001</v>
      </c>
      <c r="AW648" s="10">
        <v>3.4477364000000001</v>
      </c>
      <c r="AX648" s="10">
        <v>3.4362917999999998</v>
      </c>
      <c r="AY648" s="10">
        <v>3.4259705999999999</v>
      </c>
      <c r="AZ648" s="10">
        <v>3.4167149999999999</v>
      </c>
      <c r="BA648" s="10">
        <v>3.4084669999999999</v>
      </c>
      <c r="BB648" s="10">
        <v>3.4011689999999999</v>
      </c>
      <c r="BC648" s="10">
        <v>3.3947631</v>
      </c>
      <c r="BD648" s="10">
        <v>3.3891912999999998</v>
      </c>
      <c r="BE648" s="10">
        <v>3.3843958999999999</v>
      </c>
      <c r="BF648" s="10">
        <v>3.3803236999999999</v>
      </c>
      <c r="BG648" s="10">
        <v>3.3769464</v>
      </c>
      <c r="BH648" s="10">
        <v>3.3742440999999999</v>
      </c>
      <c r="BI648" s="10">
        <v>3.3721969000000001</v>
      </c>
      <c r="BJ648" s="10">
        <v>3.3707848</v>
      </c>
      <c r="BK648" s="10">
        <v>3.3699880000000002</v>
      </c>
      <c r="BL648" s="10">
        <v>3.3697864000000002</v>
      </c>
      <c r="BM648" s="10">
        <v>3.3701603000000002</v>
      </c>
      <c r="BN648" s="10">
        <v>3.3710897000000002</v>
      </c>
      <c r="BO648" s="10">
        <v>3.3725546</v>
      </c>
      <c r="BP648" s="10">
        <v>3.3745352</v>
      </c>
      <c r="BQ648" s="10">
        <v>3.3770115000000001</v>
      </c>
      <c r="BR648" s="10">
        <v>3.4012093999999999</v>
      </c>
      <c r="BS648" s="10">
        <v>3.4385089999999998</v>
      </c>
      <c r="BU648" s="7">
        <v>4.2</v>
      </c>
      <c r="BV648" s="7">
        <v>4.1100000000000003</v>
      </c>
      <c r="BW648" s="9">
        <v>83.496700000000004</v>
      </c>
    </row>
    <row r="649" spans="1:75" x14ac:dyDescent="0.25">
      <c r="A649" s="6">
        <f t="shared" si="59"/>
        <v>45461</v>
      </c>
      <c r="B649" s="13">
        <f t="shared" si="74"/>
        <v>6</v>
      </c>
      <c r="C649" s="13">
        <f t="shared" si="75"/>
        <v>2024</v>
      </c>
      <c r="D649">
        <f t="shared" si="76"/>
        <v>202406</v>
      </c>
      <c r="E649">
        <f t="shared" si="77"/>
        <v>2</v>
      </c>
      <c r="F649">
        <f t="shared" si="78"/>
        <v>202402</v>
      </c>
      <c r="G649" t="s">
        <v>1410</v>
      </c>
      <c r="H649" s="9">
        <v>5.25</v>
      </c>
      <c r="I649" s="9">
        <v>5.2</v>
      </c>
      <c r="J649" s="10">
        <v>5.1581225999999996</v>
      </c>
      <c r="K649" s="10">
        <v>5.0960149000000001</v>
      </c>
      <c r="L649" s="10">
        <v>5.0315345000000002</v>
      </c>
      <c r="M649" s="10">
        <v>4.9611574000000003</v>
      </c>
      <c r="N649" s="10">
        <v>4.8839848000000003</v>
      </c>
      <c r="O649" s="10">
        <v>4.8017835</v>
      </c>
      <c r="P649" s="10">
        <v>4.7181398999999997</v>
      </c>
      <c r="Q649" s="10">
        <v>4.6366544000000003</v>
      </c>
      <c r="R649" s="10">
        <v>4.5599354999999999</v>
      </c>
      <c r="S649" s="10">
        <v>4.4890600000000003</v>
      </c>
      <c r="T649" s="10">
        <v>4.4238445999999998</v>
      </c>
      <c r="U649" s="10">
        <v>4.3633218999999999</v>
      </c>
      <c r="V649" s="10">
        <v>4.3052530000000004</v>
      </c>
      <c r="W649" s="10">
        <v>4.2489384000000001</v>
      </c>
      <c r="X649" s="10">
        <v>4.1941775000000003</v>
      </c>
      <c r="Y649" s="10">
        <v>4.1407674999999999</v>
      </c>
      <c r="Z649" s="10">
        <v>4.0885058000000001</v>
      </c>
      <c r="AA649" s="10">
        <v>4.0371914999999996</v>
      </c>
      <c r="AB649" s="10">
        <v>3.9867028000000002</v>
      </c>
      <c r="AC649" s="10">
        <v>3.9372577</v>
      </c>
      <c r="AD649" s="10">
        <v>3.8891648999999999</v>
      </c>
      <c r="AE649" s="10">
        <v>3.8427313999999999</v>
      </c>
      <c r="AF649" s="10">
        <v>3.7982645000000002</v>
      </c>
      <c r="AG649" s="10">
        <v>3.7560728000000001</v>
      </c>
      <c r="AH649" s="10">
        <v>3.7163968999999999</v>
      </c>
      <c r="AI649" s="10">
        <v>3.679211</v>
      </c>
      <c r="AJ649" s="10">
        <v>3.6444242</v>
      </c>
      <c r="AK649" s="10">
        <v>3.6119441999999999</v>
      </c>
      <c r="AL649" s="10">
        <v>3.5816788000000002</v>
      </c>
      <c r="AM649" s="10">
        <v>3.5535369000000001</v>
      </c>
      <c r="AN649" s="10">
        <v>3.5274261999999998</v>
      </c>
      <c r="AO649" s="10">
        <v>3.5032546999999998</v>
      </c>
      <c r="AP649" s="10">
        <v>3.4809309000000002</v>
      </c>
      <c r="AQ649" s="10">
        <v>3.4603628999999998</v>
      </c>
      <c r="AR649" s="10">
        <v>3.4414585</v>
      </c>
      <c r="AS649" s="10">
        <v>3.4241263000000002</v>
      </c>
      <c r="AT649" s="10">
        <v>3.4082792</v>
      </c>
      <c r="AU649" s="10">
        <v>3.3938499000000002</v>
      </c>
      <c r="AV649" s="10">
        <v>3.3807767000000002</v>
      </c>
      <c r="AW649" s="10">
        <v>3.3689971000000001</v>
      </c>
      <c r="AX649" s="10">
        <v>3.3584491000000001</v>
      </c>
      <c r="AY649" s="10">
        <v>3.3490706000000001</v>
      </c>
      <c r="AZ649" s="10">
        <v>3.3407993999999999</v>
      </c>
      <c r="BA649" s="10">
        <v>3.3335732999999999</v>
      </c>
      <c r="BB649" s="10">
        <v>3.3273302999999999</v>
      </c>
      <c r="BC649" s="10">
        <v>3.3220082</v>
      </c>
      <c r="BD649" s="10">
        <v>3.3175447999999998</v>
      </c>
      <c r="BE649" s="10">
        <v>3.3138781000000002</v>
      </c>
      <c r="BF649" s="10">
        <v>3.3109508000000001</v>
      </c>
      <c r="BG649" s="10">
        <v>3.3087301</v>
      </c>
      <c r="BH649" s="10">
        <v>3.3071907999999999</v>
      </c>
      <c r="BI649" s="10">
        <v>3.3063072999999998</v>
      </c>
      <c r="BJ649" s="10">
        <v>3.3060543</v>
      </c>
      <c r="BK649" s="10">
        <v>3.3064065</v>
      </c>
      <c r="BL649" s="10">
        <v>3.3073383000000001</v>
      </c>
      <c r="BM649" s="10">
        <v>3.3088245999999999</v>
      </c>
      <c r="BN649" s="10">
        <v>3.3108398000000001</v>
      </c>
      <c r="BO649" s="10">
        <v>3.3133585000000001</v>
      </c>
      <c r="BP649" s="10">
        <v>3.3163554999999998</v>
      </c>
      <c r="BQ649" s="10">
        <v>3.3198053000000001</v>
      </c>
      <c r="BR649" s="10">
        <v>3.3488074999999999</v>
      </c>
      <c r="BS649" s="10">
        <v>3.3890262</v>
      </c>
      <c r="BU649" s="7">
        <v>4.16</v>
      </c>
      <c r="BV649" s="7">
        <v>4.04</v>
      </c>
      <c r="BW649" s="9">
        <v>83.403499999999994</v>
      </c>
    </row>
    <row r="650" spans="1:75" x14ac:dyDescent="0.25">
      <c r="A650" s="6">
        <f t="shared" si="59"/>
        <v>45462</v>
      </c>
      <c r="B650" s="13">
        <f t="shared" si="74"/>
        <v>6</v>
      </c>
      <c r="C650" s="13">
        <f t="shared" si="75"/>
        <v>2024</v>
      </c>
      <c r="D650">
        <f t="shared" si="76"/>
        <v>202406</v>
      </c>
      <c r="E650">
        <f t="shared" si="77"/>
        <v>2</v>
      </c>
      <c r="F650">
        <f t="shared" si="78"/>
        <v>202402</v>
      </c>
      <c r="G650" t="s">
        <v>1411</v>
      </c>
      <c r="H650" s="9">
        <v>5.25</v>
      </c>
      <c r="I650" s="9">
        <v>5.2</v>
      </c>
      <c r="J650" s="10">
        <v>5.1812513999999998</v>
      </c>
      <c r="K650" s="10">
        <v>5.1275348000000003</v>
      </c>
      <c r="L650" s="10">
        <v>5.0642493000000002</v>
      </c>
      <c r="M650" s="10">
        <v>4.9906005000000002</v>
      </c>
      <c r="N650" s="10">
        <v>4.9103782999999996</v>
      </c>
      <c r="O650" s="10">
        <v>4.8271755000000001</v>
      </c>
      <c r="P650" s="10">
        <v>4.7443191000000002</v>
      </c>
      <c r="Q650" s="10">
        <v>4.6644202000000003</v>
      </c>
      <c r="R650" s="10">
        <v>4.5890737000000001</v>
      </c>
      <c r="S650" s="10">
        <v>4.5188790000000001</v>
      </c>
      <c r="T650" s="10">
        <v>4.4535337999999998</v>
      </c>
      <c r="U650" s="10">
        <v>4.3923354000000003</v>
      </c>
      <c r="V650" s="10">
        <v>4.3335027999999998</v>
      </c>
      <c r="W650" s="10">
        <v>4.2764635000000002</v>
      </c>
      <c r="X650" s="10">
        <v>4.2210400999999997</v>
      </c>
      <c r="Y650" s="10">
        <v>4.1670531000000004</v>
      </c>
      <c r="Z650" s="10">
        <v>4.1143229000000003</v>
      </c>
      <c r="AA650" s="10">
        <v>4.0626721000000003</v>
      </c>
      <c r="AB650" s="10">
        <v>4.0119870000000004</v>
      </c>
      <c r="AC650" s="10">
        <v>3.9624313</v>
      </c>
      <c r="AD650" s="10">
        <v>3.9142431000000002</v>
      </c>
      <c r="AE650" s="10">
        <v>3.8676586999999998</v>
      </c>
      <c r="AF650" s="10">
        <v>3.8229145999999998</v>
      </c>
      <c r="AG650" s="10">
        <v>3.7802487</v>
      </c>
      <c r="AH650" s="10">
        <v>3.7398494000000002</v>
      </c>
      <c r="AI650" s="10">
        <v>3.7017133000000002</v>
      </c>
      <c r="AJ650" s="10">
        <v>3.6657902</v>
      </c>
      <c r="AK650" s="10">
        <v>3.6320285999999999</v>
      </c>
      <c r="AL650" s="10">
        <v>3.6003772000000001</v>
      </c>
      <c r="AM650" s="10">
        <v>3.5707857000000001</v>
      </c>
      <c r="AN650" s="10">
        <v>3.5432025999999999</v>
      </c>
      <c r="AO650" s="10">
        <v>3.5175765999999999</v>
      </c>
      <c r="AP650" s="10">
        <v>3.4938573000000002</v>
      </c>
      <c r="AQ650" s="10">
        <v>3.4719934000000001</v>
      </c>
      <c r="AR650" s="10">
        <v>3.4519335999999998</v>
      </c>
      <c r="AS650" s="10">
        <v>3.4336272999999999</v>
      </c>
      <c r="AT650" s="10">
        <v>3.4170197</v>
      </c>
      <c r="AU650" s="10">
        <v>3.4020394</v>
      </c>
      <c r="AV650" s="10">
        <v>3.3886097999999998</v>
      </c>
      <c r="AW650" s="10">
        <v>3.3766544000000001</v>
      </c>
      <c r="AX650" s="10">
        <v>3.3660961</v>
      </c>
      <c r="AY650" s="10">
        <v>3.3568587999999999</v>
      </c>
      <c r="AZ650" s="10">
        <v>3.3488655999999999</v>
      </c>
      <c r="BA650" s="10">
        <v>3.3420399000000001</v>
      </c>
      <c r="BB650" s="10">
        <v>3.3363049999999999</v>
      </c>
      <c r="BC650" s="10">
        <v>3.3315844000000001</v>
      </c>
      <c r="BD650" s="10">
        <v>3.3278013</v>
      </c>
      <c r="BE650" s="10">
        <v>3.3248791999999998</v>
      </c>
      <c r="BF650" s="10">
        <v>3.3227476</v>
      </c>
      <c r="BG650" s="10">
        <v>3.3213634000000001</v>
      </c>
      <c r="BH650" s="10">
        <v>3.3206912000000002</v>
      </c>
      <c r="BI650" s="10">
        <v>3.3206956000000001</v>
      </c>
      <c r="BJ650" s="10">
        <v>3.3213409</v>
      </c>
      <c r="BK650" s="10">
        <v>3.3225916</v>
      </c>
      <c r="BL650" s="10">
        <v>3.3244123999999999</v>
      </c>
      <c r="BM650" s="10">
        <v>3.3267677999999998</v>
      </c>
      <c r="BN650" s="10">
        <v>3.3296220999999999</v>
      </c>
      <c r="BO650" s="10">
        <v>3.3329399</v>
      </c>
      <c r="BP650" s="10">
        <v>3.3366859</v>
      </c>
      <c r="BQ650" s="10">
        <v>3.3408243</v>
      </c>
      <c r="BR650" s="10">
        <v>3.3726232999999999</v>
      </c>
      <c r="BS650" s="10">
        <v>3.4139320999999998</v>
      </c>
      <c r="BU650" s="7">
        <v>4.1900000000000004</v>
      </c>
      <c r="BV650" s="7">
        <v>4.07</v>
      </c>
      <c r="BW650" s="9">
        <v>83.632099999999994</v>
      </c>
    </row>
    <row r="651" spans="1:75" x14ac:dyDescent="0.25">
      <c r="A651" s="6">
        <f t="shared" si="59"/>
        <v>45463</v>
      </c>
      <c r="B651" s="13">
        <f t="shared" si="74"/>
        <v>6</v>
      </c>
      <c r="C651" s="13">
        <f t="shared" si="75"/>
        <v>2024</v>
      </c>
      <c r="D651">
        <f t="shared" si="76"/>
        <v>202406</v>
      </c>
      <c r="E651">
        <f t="shared" si="77"/>
        <v>2</v>
      </c>
      <c r="F651">
        <f t="shared" si="78"/>
        <v>202402</v>
      </c>
      <c r="G651" t="s">
        <v>1412</v>
      </c>
      <c r="H651" s="9">
        <v>5.25</v>
      </c>
      <c r="I651" s="9">
        <v>5.2</v>
      </c>
      <c r="J651" s="10">
        <v>5.1624705000000004</v>
      </c>
      <c r="K651" s="10">
        <v>5.0767312999999996</v>
      </c>
      <c r="L651" s="10">
        <v>4.9999909000000002</v>
      </c>
      <c r="M651" s="10">
        <v>4.9235989</v>
      </c>
      <c r="N651" s="10">
        <v>4.8431430999999998</v>
      </c>
      <c r="O651" s="10">
        <v>4.7598172999999999</v>
      </c>
      <c r="P651" s="10">
        <v>4.6770832999999996</v>
      </c>
      <c r="Q651" s="10">
        <v>4.5981500999999998</v>
      </c>
      <c r="R651" s="10">
        <v>4.5249451000000001</v>
      </c>
      <c r="S651" s="10">
        <v>4.4578987999999997</v>
      </c>
      <c r="T651" s="10">
        <v>4.3962801000000002</v>
      </c>
      <c r="U651" s="10">
        <v>4.3387365999999998</v>
      </c>
      <c r="V651" s="10">
        <v>4.2827009</v>
      </c>
      <c r="W651" s="10">
        <v>4.2274855000000002</v>
      </c>
      <c r="X651" s="10">
        <v>4.1729824000000004</v>
      </c>
      <c r="Y651" s="10">
        <v>4.1190815000000001</v>
      </c>
      <c r="Z651" s="10">
        <v>4.0656727000000004</v>
      </c>
      <c r="AA651" s="10">
        <v>4.0126479000000002</v>
      </c>
      <c r="AB651" s="10">
        <v>3.9599728999999999</v>
      </c>
      <c r="AC651" s="10">
        <v>3.9080023000000002</v>
      </c>
      <c r="AD651" s="10">
        <v>3.8572171000000002</v>
      </c>
      <c r="AE651" s="10">
        <v>3.8080962</v>
      </c>
      <c r="AF651" s="10">
        <v>3.7611186000000001</v>
      </c>
      <c r="AG651" s="10">
        <v>3.7167650000000001</v>
      </c>
      <c r="AH651" s="10">
        <v>3.6754324</v>
      </c>
      <c r="AI651" s="10">
        <v>3.6371175</v>
      </c>
      <c r="AJ651" s="10">
        <v>3.6016965999999999</v>
      </c>
      <c r="AK651" s="10">
        <v>3.5690445</v>
      </c>
      <c r="AL651" s="10">
        <v>3.5390362999999998</v>
      </c>
      <c r="AM651" s="10">
        <v>3.5115481000000002</v>
      </c>
      <c r="AN651" s="10">
        <v>3.4864548000000002</v>
      </c>
      <c r="AO651" s="10">
        <v>3.4636315</v>
      </c>
      <c r="AP651" s="10">
        <v>3.4429542</v>
      </c>
      <c r="AQ651" s="10">
        <v>3.4242978000000002</v>
      </c>
      <c r="AR651" s="10">
        <v>3.4075376999999998</v>
      </c>
      <c r="AS651" s="10">
        <v>3.3925494</v>
      </c>
      <c r="AT651" s="10">
        <v>3.3792135999999999</v>
      </c>
      <c r="AU651" s="10">
        <v>3.3674347999999998</v>
      </c>
      <c r="AV651" s="10">
        <v>3.3571244999999998</v>
      </c>
      <c r="AW651" s="10">
        <v>3.3481936999999999</v>
      </c>
      <c r="AX651" s="10">
        <v>3.3405537000000001</v>
      </c>
      <c r="AY651" s="10">
        <v>3.3341156999999999</v>
      </c>
      <c r="AZ651" s="10">
        <v>3.3287909</v>
      </c>
      <c r="BA651" s="10">
        <v>3.3244905</v>
      </c>
      <c r="BB651" s="10">
        <v>3.3211257999999999</v>
      </c>
      <c r="BC651" s="10">
        <v>3.3186079999999998</v>
      </c>
      <c r="BD651" s="10">
        <v>3.3168483000000002</v>
      </c>
      <c r="BE651" s="10">
        <v>3.3157578999999999</v>
      </c>
      <c r="BF651" s="10">
        <v>3.3152585999999999</v>
      </c>
      <c r="BG651" s="10">
        <v>3.3153185999999999</v>
      </c>
      <c r="BH651" s="10">
        <v>3.3159190000000001</v>
      </c>
      <c r="BI651" s="10">
        <v>3.3170408999999998</v>
      </c>
      <c r="BJ651" s="10">
        <v>3.3186653000000002</v>
      </c>
      <c r="BK651" s="10">
        <v>3.3207734000000002</v>
      </c>
      <c r="BL651" s="10">
        <v>3.3233461000000002</v>
      </c>
      <c r="BM651" s="10">
        <v>3.3263645999999998</v>
      </c>
      <c r="BN651" s="10">
        <v>3.3298100000000002</v>
      </c>
      <c r="BO651" s="10">
        <v>3.3336633</v>
      </c>
      <c r="BP651" s="10">
        <v>3.3379056</v>
      </c>
      <c r="BQ651" s="10">
        <v>3.3425180000000001</v>
      </c>
      <c r="BR651" s="10">
        <v>3.3770908999999998</v>
      </c>
      <c r="BS651" s="10">
        <v>3.4213502</v>
      </c>
      <c r="BU651" s="7">
        <v>4.1500000000000004</v>
      </c>
      <c r="BV651" s="7">
        <v>4.05</v>
      </c>
      <c r="BW651" s="9">
        <v>83.495099999999994</v>
      </c>
    </row>
    <row r="652" spans="1:75" x14ac:dyDescent="0.25">
      <c r="A652" s="6">
        <f t="shared" si="59"/>
        <v>45464</v>
      </c>
      <c r="B652" s="13">
        <f t="shared" si="74"/>
        <v>6</v>
      </c>
      <c r="C652" s="13">
        <f t="shared" si="75"/>
        <v>2024</v>
      </c>
      <c r="D652">
        <f t="shared" si="76"/>
        <v>202406</v>
      </c>
      <c r="E652">
        <f t="shared" si="77"/>
        <v>2</v>
      </c>
      <c r="F652">
        <f t="shared" si="78"/>
        <v>202402</v>
      </c>
      <c r="G652" t="s">
        <v>1413</v>
      </c>
      <c r="H652" s="9">
        <v>5.25</v>
      </c>
      <c r="I652" s="9">
        <v>5.2</v>
      </c>
      <c r="J652" s="10">
        <v>5.1597400999999996</v>
      </c>
      <c r="K652" s="10">
        <v>5.0739947000000001</v>
      </c>
      <c r="L652" s="10">
        <v>5.0003225000000002</v>
      </c>
      <c r="M652" s="10">
        <v>4.9280438000000002</v>
      </c>
      <c r="N652" s="10">
        <v>4.8510372000000004</v>
      </c>
      <c r="O652" s="10">
        <v>4.7698023999999997</v>
      </c>
      <c r="P652" s="10">
        <v>4.6871717999999998</v>
      </c>
      <c r="Q652" s="10">
        <v>4.6058510000000004</v>
      </c>
      <c r="R652" s="10">
        <v>4.5277073000000003</v>
      </c>
      <c r="S652" s="10">
        <v>4.4536420000000003</v>
      </c>
      <c r="T652" s="10">
        <v>4.3839294000000004</v>
      </c>
      <c r="U652" s="10">
        <v>4.3183452999999998</v>
      </c>
      <c r="V652" s="10">
        <v>4.2559969000000004</v>
      </c>
      <c r="W652" s="10">
        <v>4.1965022999999997</v>
      </c>
      <c r="X652" s="10">
        <v>4.1396911999999997</v>
      </c>
      <c r="Y652" s="10">
        <v>4.0853912000000001</v>
      </c>
      <c r="Z652" s="10">
        <v>4.0334303</v>
      </c>
      <c r="AA652" s="10">
        <v>3.9836382000000001</v>
      </c>
      <c r="AB652" s="10">
        <v>3.9358764000000002</v>
      </c>
      <c r="AC652" s="10">
        <v>3.890164</v>
      </c>
      <c r="AD652" s="10">
        <v>3.8465668000000002</v>
      </c>
      <c r="AE652" s="10">
        <v>3.8051493999999999</v>
      </c>
      <c r="AF652" s="10">
        <v>3.7659761999999999</v>
      </c>
      <c r="AG652" s="10">
        <v>3.7291129999999999</v>
      </c>
      <c r="AH652" s="10">
        <v>3.6946005</v>
      </c>
      <c r="AI652" s="10">
        <v>3.6623746000000001</v>
      </c>
      <c r="AJ652" s="10">
        <v>3.6323430999999999</v>
      </c>
      <c r="AK652" s="10">
        <v>3.6044130000000001</v>
      </c>
      <c r="AL652" s="10">
        <v>3.5784910999999999</v>
      </c>
      <c r="AM652" s="10">
        <v>3.5544851999999998</v>
      </c>
      <c r="AN652" s="10">
        <v>3.5323022000000002</v>
      </c>
      <c r="AO652" s="10">
        <v>3.5118491000000001</v>
      </c>
      <c r="AP652" s="10">
        <v>3.4930336</v>
      </c>
      <c r="AQ652" s="10">
        <v>3.4757625999999999</v>
      </c>
      <c r="AR652" s="10">
        <v>3.4599430999999998</v>
      </c>
      <c r="AS652" s="10">
        <v>3.4454828000000002</v>
      </c>
      <c r="AT652" s="10">
        <v>3.4322949999999999</v>
      </c>
      <c r="AU652" s="10">
        <v>3.4203190999999999</v>
      </c>
      <c r="AV652" s="10">
        <v>3.4095011</v>
      </c>
      <c r="AW652" s="10">
        <v>3.3997869000000001</v>
      </c>
      <c r="AX652" s="10">
        <v>3.3911220000000002</v>
      </c>
      <c r="AY652" s="10">
        <v>3.3834526999999999</v>
      </c>
      <c r="AZ652" s="10">
        <v>3.3767246000000002</v>
      </c>
      <c r="BA652" s="10">
        <v>3.3708833999999999</v>
      </c>
      <c r="BB652" s="10">
        <v>3.3658752999999999</v>
      </c>
      <c r="BC652" s="10">
        <v>3.3616459999999999</v>
      </c>
      <c r="BD652" s="10">
        <v>3.3581411999999999</v>
      </c>
      <c r="BE652" s="10">
        <v>3.3553069999999998</v>
      </c>
      <c r="BF652" s="10">
        <v>3.3530943</v>
      </c>
      <c r="BG652" s="10">
        <v>3.3514770999999999</v>
      </c>
      <c r="BH652" s="10">
        <v>3.3504358999999999</v>
      </c>
      <c r="BI652" s="10">
        <v>3.3499509000000001</v>
      </c>
      <c r="BJ652" s="10">
        <v>3.3500025</v>
      </c>
      <c r="BK652" s="10">
        <v>3.3505710999999998</v>
      </c>
      <c r="BL652" s="10">
        <v>3.3516370000000002</v>
      </c>
      <c r="BM652" s="10">
        <v>3.3531806999999998</v>
      </c>
      <c r="BN652" s="10">
        <v>3.3551823000000001</v>
      </c>
      <c r="BO652" s="10">
        <v>3.3576223000000001</v>
      </c>
      <c r="BP652" s="10">
        <v>3.3604810999999999</v>
      </c>
      <c r="BQ652" s="10">
        <v>3.3637389999999998</v>
      </c>
      <c r="BR652" s="10">
        <v>3.3908144999999998</v>
      </c>
      <c r="BS652" s="10">
        <v>3.4288069000000001</v>
      </c>
      <c r="BU652" s="7">
        <v>4.17</v>
      </c>
      <c r="BV652" s="7">
        <v>4.07</v>
      </c>
      <c r="BW652" s="9">
        <v>83.298199999999994</v>
      </c>
    </row>
    <row r="653" spans="1:75" x14ac:dyDescent="0.25">
      <c r="A653" s="6">
        <f t="shared" si="59"/>
        <v>45467</v>
      </c>
      <c r="B653" s="13">
        <f t="shared" si="74"/>
        <v>6</v>
      </c>
      <c r="C653" s="13">
        <f t="shared" si="75"/>
        <v>2024</v>
      </c>
      <c r="D653">
        <f t="shared" si="76"/>
        <v>202406</v>
      </c>
      <c r="E653">
        <f t="shared" si="77"/>
        <v>2</v>
      </c>
      <c r="F653">
        <f t="shared" si="78"/>
        <v>202402</v>
      </c>
      <c r="G653" t="s">
        <v>1414</v>
      </c>
      <c r="H653" s="9">
        <v>5.25</v>
      </c>
      <c r="I653" s="9">
        <v>5.2</v>
      </c>
      <c r="J653" s="10">
        <v>5.1500171000000003</v>
      </c>
      <c r="K653" s="10">
        <v>5.0601991000000002</v>
      </c>
      <c r="L653" s="10">
        <v>4.9881393000000003</v>
      </c>
      <c r="M653" s="10">
        <v>4.9189147000000002</v>
      </c>
      <c r="N653" s="10">
        <v>4.8438410000000003</v>
      </c>
      <c r="O653" s="10">
        <v>4.7636541000000001</v>
      </c>
      <c r="P653" s="10">
        <v>4.6823331000000001</v>
      </c>
      <c r="Q653" s="10">
        <v>4.6039124999999999</v>
      </c>
      <c r="R653" s="10">
        <v>4.5310772999999998</v>
      </c>
      <c r="S653" s="10">
        <v>4.4646920999999997</v>
      </c>
      <c r="T653" s="10">
        <v>4.4045737000000003</v>
      </c>
      <c r="U653" s="10">
        <v>4.3494009</v>
      </c>
      <c r="V653" s="10">
        <v>4.2966831000000001</v>
      </c>
      <c r="W653" s="10">
        <v>4.2456455000000002</v>
      </c>
      <c r="X653" s="10">
        <v>4.1960663</v>
      </c>
      <c r="Y653" s="10">
        <v>4.1477218000000002</v>
      </c>
      <c r="Z653" s="10">
        <v>4.1003883999999999</v>
      </c>
      <c r="AA653" s="10">
        <v>4.0538442999999997</v>
      </c>
      <c r="AB653" s="10">
        <v>4.0079412000000003</v>
      </c>
      <c r="AC653" s="10">
        <v>3.9628478999999999</v>
      </c>
      <c r="AD653" s="10">
        <v>3.9188184000000001</v>
      </c>
      <c r="AE653" s="10">
        <v>3.8761047999999998</v>
      </c>
      <c r="AF653" s="10">
        <v>3.8349592000000001</v>
      </c>
      <c r="AG653" s="10">
        <v>3.7956352999999998</v>
      </c>
      <c r="AH653" s="10">
        <v>3.7583338999999998</v>
      </c>
      <c r="AI653" s="10">
        <v>3.7230501</v>
      </c>
      <c r="AJ653" s="10">
        <v>3.6897289</v>
      </c>
      <c r="AK653" s="10">
        <v>3.6583139999999998</v>
      </c>
      <c r="AL653" s="10">
        <v>3.6287489000000002</v>
      </c>
      <c r="AM653" s="10">
        <v>3.6009787000000002</v>
      </c>
      <c r="AN653" s="10">
        <v>3.5749469999999999</v>
      </c>
      <c r="AO653" s="10">
        <v>3.5505976000000001</v>
      </c>
      <c r="AP653" s="10">
        <v>3.5278752</v>
      </c>
      <c r="AQ653" s="10">
        <v>3.5067235000000001</v>
      </c>
      <c r="AR653" s="10">
        <v>3.4870866</v>
      </c>
      <c r="AS653" s="10">
        <v>3.4689089000000002</v>
      </c>
      <c r="AT653" s="10">
        <v>3.4521354</v>
      </c>
      <c r="AU653" s="10">
        <v>3.4367158</v>
      </c>
      <c r="AV653" s="10">
        <v>3.4226014</v>
      </c>
      <c r="AW653" s="10">
        <v>3.4097430000000002</v>
      </c>
      <c r="AX653" s="10">
        <v>3.3980915</v>
      </c>
      <c r="AY653" s="10">
        <v>3.3875980000000001</v>
      </c>
      <c r="AZ653" s="10">
        <v>3.3782133999999999</v>
      </c>
      <c r="BA653" s="10">
        <v>3.3698885999999999</v>
      </c>
      <c r="BB653" s="10">
        <v>3.3625748</v>
      </c>
      <c r="BC653" s="10">
        <v>3.3562227</v>
      </c>
      <c r="BD653" s="10">
        <v>3.3507834000000001</v>
      </c>
      <c r="BE653" s="10">
        <v>3.3462079</v>
      </c>
      <c r="BF653" s="10">
        <v>3.3424501000000002</v>
      </c>
      <c r="BG653" s="10">
        <v>3.3394794999999999</v>
      </c>
      <c r="BH653" s="10">
        <v>3.3372711000000002</v>
      </c>
      <c r="BI653" s="10">
        <v>3.3357996999999999</v>
      </c>
      <c r="BJ653" s="10">
        <v>3.3350403000000002</v>
      </c>
      <c r="BK653" s="10">
        <v>3.3349677999999998</v>
      </c>
      <c r="BL653" s="10">
        <v>3.3355570999999999</v>
      </c>
      <c r="BM653" s="10">
        <v>3.3367830000000001</v>
      </c>
      <c r="BN653" s="10">
        <v>3.3386205000000002</v>
      </c>
      <c r="BO653" s="10">
        <v>3.3410445000000002</v>
      </c>
      <c r="BP653" s="10">
        <v>3.3440299000000002</v>
      </c>
      <c r="BQ653" s="10">
        <v>3.3475516000000001</v>
      </c>
      <c r="BR653" s="10">
        <v>3.3786342</v>
      </c>
      <c r="BS653" s="10">
        <v>3.4232889000000002</v>
      </c>
      <c r="BU653" s="7">
        <v>4.1900000000000004</v>
      </c>
      <c r="BV653" s="7">
        <v>4.07</v>
      </c>
      <c r="BW653" s="9">
        <v>83.486699999999999</v>
      </c>
    </row>
    <row r="654" spans="1:75" x14ac:dyDescent="0.25">
      <c r="A654" s="6">
        <f t="shared" ref="A654:A707" si="79">+A649+7</f>
        <v>45468</v>
      </c>
      <c r="B654" s="13">
        <f t="shared" si="74"/>
        <v>6</v>
      </c>
      <c r="C654" s="13">
        <f t="shared" si="75"/>
        <v>2024</v>
      </c>
      <c r="D654">
        <f t="shared" si="76"/>
        <v>202406</v>
      </c>
      <c r="E654">
        <f t="shared" si="77"/>
        <v>2</v>
      </c>
      <c r="F654">
        <f t="shared" si="78"/>
        <v>202402</v>
      </c>
      <c r="G654" t="s">
        <v>1415</v>
      </c>
      <c r="H654" s="9">
        <v>5.25</v>
      </c>
      <c r="I654" s="9">
        <v>5.2</v>
      </c>
      <c r="J654" s="10">
        <v>5.1501304000000001</v>
      </c>
      <c r="K654" s="10">
        <v>5.0637746999999997</v>
      </c>
      <c r="L654" s="10">
        <v>4.9955869000000002</v>
      </c>
      <c r="M654" s="10">
        <v>4.9300483000000002</v>
      </c>
      <c r="N654" s="10">
        <v>4.8581463999999999</v>
      </c>
      <c r="O654" s="10">
        <v>4.7800741999999996</v>
      </c>
      <c r="P654" s="10">
        <v>4.6993276000000002</v>
      </c>
      <c r="Q654" s="10">
        <v>4.6196994</v>
      </c>
      <c r="R654" s="10">
        <v>4.5440360000000002</v>
      </c>
      <c r="S654" s="10">
        <v>4.4734815000000001</v>
      </c>
      <c r="T654" s="10">
        <v>4.4083315000000001</v>
      </c>
      <c r="U654" s="10">
        <v>4.3480395999999999</v>
      </c>
      <c r="V654" s="10">
        <v>4.2915359999999998</v>
      </c>
      <c r="W654" s="10">
        <v>4.2381412000000003</v>
      </c>
      <c r="X654" s="10">
        <v>4.1873111999999999</v>
      </c>
      <c r="Y654" s="10">
        <v>4.1385000999999999</v>
      </c>
      <c r="Z654" s="10">
        <v>4.0911619999999997</v>
      </c>
      <c r="AA654" s="10">
        <v>4.0447528000000004</v>
      </c>
      <c r="AB654" s="10">
        <v>3.9988123999999998</v>
      </c>
      <c r="AC654" s="10">
        <v>3.9534202000000001</v>
      </c>
      <c r="AD654" s="10">
        <v>3.9088653999999998</v>
      </c>
      <c r="AE654" s="10">
        <v>3.8654359999999999</v>
      </c>
      <c r="AF654" s="10">
        <v>3.8234203</v>
      </c>
      <c r="AG654" s="10">
        <v>3.7831079000000001</v>
      </c>
      <c r="AH654" s="10">
        <v>3.7447338000000001</v>
      </c>
      <c r="AI654" s="10">
        <v>3.7083206</v>
      </c>
      <c r="AJ654" s="10">
        <v>3.6738390999999999</v>
      </c>
      <c r="AK654" s="10">
        <v>3.6412588000000001</v>
      </c>
      <c r="AL654" s="10">
        <v>3.6105493000000002</v>
      </c>
      <c r="AM654" s="10">
        <v>3.5816813000000001</v>
      </c>
      <c r="AN654" s="10">
        <v>3.5546242000000001</v>
      </c>
      <c r="AO654" s="10">
        <v>3.5293478</v>
      </c>
      <c r="AP654" s="10">
        <v>3.5058226000000001</v>
      </c>
      <c r="AQ654" s="10">
        <v>3.4840182</v>
      </c>
      <c r="AR654" s="10">
        <v>3.4639042</v>
      </c>
      <c r="AS654" s="10">
        <v>3.4454511999999999</v>
      </c>
      <c r="AT654" s="10">
        <v>3.4286219999999998</v>
      </c>
      <c r="AU654" s="10">
        <v>3.4133529999999999</v>
      </c>
      <c r="AV654" s="10">
        <v>3.3995739999999999</v>
      </c>
      <c r="AW654" s="10">
        <v>3.3872144999999998</v>
      </c>
      <c r="AX654" s="10">
        <v>3.3762040999999998</v>
      </c>
      <c r="AY654" s="10">
        <v>3.3664727000000001</v>
      </c>
      <c r="AZ654" s="10">
        <v>3.3579498000000001</v>
      </c>
      <c r="BA654" s="10">
        <v>3.350565</v>
      </c>
      <c r="BB654" s="10">
        <v>3.3442479999999999</v>
      </c>
      <c r="BC654" s="10">
        <v>3.3389285000000002</v>
      </c>
      <c r="BD654" s="10">
        <v>3.3345359999999999</v>
      </c>
      <c r="BE654" s="10">
        <v>3.3310002999999999</v>
      </c>
      <c r="BF654" s="10">
        <v>3.3282563999999999</v>
      </c>
      <c r="BG654" s="10">
        <v>3.3262657</v>
      </c>
      <c r="BH654" s="10">
        <v>3.3249976000000001</v>
      </c>
      <c r="BI654" s="10">
        <v>3.3244215000000001</v>
      </c>
      <c r="BJ654" s="10">
        <v>3.3245068999999998</v>
      </c>
      <c r="BK654" s="10">
        <v>3.3252231000000001</v>
      </c>
      <c r="BL654" s="10">
        <v>3.3265395</v>
      </c>
      <c r="BM654" s="10">
        <v>3.3284256999999999</v>
      </c>
      <c r="BN654" s="10">
        <v>3.3308509000000002</v>
      </c>
      <c r="BO654" s="10">
        <v>3.3337846</v>
      </c>
      <c r="BP654" s="10">
        <v>3.3371962000000002</v>
      </c>
      <c r="BQ654" s="10">
        <v>3.3410551000000002</v>
      </c>
      <c r="BR654" s="10">
        <v>3.3723071999999998</v>
      </c>
      <c r="BS654" s="10">
        <v>3.4144890999999999</v>
      </c>
      <c r="BU654" s="7">
        <v>4.21</v>
      </c>
      <c r="BV654" s="7">
        <v>4.07</v>
      </c>
      <c r="BW654" s="9">
        <v>83.513900000000007</v>
      </c>
    </row>
    <row r="655" spans="1:75" x14ac:dyDescent="0.25">
      <c r="A655" s="6">
        <f t="shared" si="79"/>
        <v>45469</v>
      </c>
      <c r="B655" s="13">
        <f t="shared" si="74"/>
        <v>6</v>
      </c>
      <c r="C655" s="13">
        <f t="shared" si="75"/>
        <v>2024</v>
      </c>
      <c r="D655">
        <f t="shared" si="76"/>
        <v>202406</v>
      </c>
      <c r="E655">
        <f t="shared" si="77"/>
        <v>2</v>
      </c>
      <c r="F655">
        <f t="shared" si="78"/>
        <v>202402</v>
      </c>
      <c r="G655" t="s">
        <v>1416</v>
      </c>
      <c r="H655" s="9">
        <v>5.25</v>
      </c>
      <c r="I655" s="9">
        <v>5.2</v>
      </c>
      <c r="J655" s="10">
        <v>5.1496617000000002</v>
      </c>
      <c r="K655" s="10">
        <v>5.0653807999999998</v>
      </c>
      <c r="L655" s="10">
        <v>5.0006561999999999</v>
      </c>
      <c r="M655" s="10">
        <v>4.9388870000000002</v>
      </c>
      <c r="N655" s="10">
        <v>4.8709961000000002</v>
      </c>
      <c r="O655" s="10">
        <v>4.7976916000000003</v>
      </c>
      <c r="P655" s="10">
        <v>4.7224162999999999</v>
      </c>
      <c r="Q655" s="10">
        <v>4.6487717999999996</v>
      </c>
      <c r="R655" s="10">
        <v>4.5793137000000002</v>
      </c>
      <c r="S655" s="10">
        <v>4.5150449000000004</v>
      </c>
      <c r="T655" s="10">
        <v>4.4558694000000001</v>
      </c>
      <c r="U655" s="10">
        <v>4.4010797000000004</v>
      </c>
      <c r="V655" s="10">
        <v>4.3488517</v>
      </c>
      <c r="W655" s="10">
        <v>4.2984672000000002</v>
      </c>
      <c r="X655" s="10">
        <v>4.2495821999999999</v>
      </c>
      <c r="Y655" s="10">
        <v>4.2018507999999999</v>
      </c>
      <c r="Z655" s="10">
        <v>4.1549272000000004</v>
      </c>
      <c r="AA655" s="10">
        <v>4.1084673</v>
      </c>
      <c r="AB655" s="10">
        <v>4.0622052000000002</v>
      </c>
      <c r="AC655" s="10">
        <v>4.0163275000000001</v>
      </c>
      <c r="AD655" s="10">
        <v>3.9711816999999998</v>
      </c>
      <c r="AE655" s="10">
        <v>3.9271137</v>
      </c>
      <c r="AF655" s="10">
        <v>3.8844696000000001</v>
      </c>
      <c r="AG655" s="10">
        <v>3.8435969000000001</v>
      </c>
      <c r="AH655" s="10">
        <v>3.8047778000000001</v>
      </c>
      <c r="AI655" s="10">
        <v>3.7680389000000001</v>
      </c>
      <c r="AJ655" s="10">
        <v>3.7333443000000002</v>
      </c>
      <c r="AK655" s="10">
        <v>3.7006567000000001</v>
      </c>
      <c r="AL655" s="10">
        <v>3.6699391000000001</v>
      </c>
      <c r="AM655" s="10">
        <v>3.6411554000000002</v>
      </c>
      <c r="AN655" s="10">
        <v>3.6142683999999998</v>
      </c>
      <c r="AO655" s="10">
        <v>3.5892411000000002</v>
      </c>
      <c r="AP655" s="10">
        <v>3.5660371999999998</v>
      </c>
      <c r="AQ655" s="10">
        <v>3.5446197000000002</v>
      </c>
      <c r="AR655" s="10">
        <v>3.5249514999999998</v>
      </c>
      <c r="AS655" s="10">
        <v>3.5069963999999998</v>
      </c>
      <c r="AT655" s="10">
        <v>3.4907116999999999</v>
      </c>
      <c r="AU655" s="10">
        <v>3.4760268999999999</v>
      </c>
      <c r="AV655" s="10">
        <v>3.4628638</v>
      </c>
      <c r="AW655" s="10">
        <v>3.4511435000000001</v>
      </c>
      <c r="AX655" s="10">
        <v>3.4407873000000002</v>
      </c>
      <c r="AY655" s="10">
        <v>3.4317167</v>
      </c>
      <c r="AZ655" s="10">
        <v>3.4238529999999998</v>
      </c>
      <c r="BA655" s="10">
        <v>3.4171174999999998</v>
      </c>
      <c r="BB655" s="10">
        <v>3.4114317000000001</v>
      </c>
      <c r="BC655" s="10">
        <v>3.4067169000000002</v>
      </c>
      <c r="BD655" s="10">
        <v>3.4028942999999998</v>
      </c>
      <c r="BE655" s="10">
        <v>3.3998854000000001</v>
      </c>
      <c r="BF655" s="10">
        <v>3.3976188</v>
      </c>
      <c r="BG655" s="10">
        <v>3.3960553999999998</v>
      </c>
      <c r="BH655" s="10">
        <v>3.3951647999999999</v>
      </c>
      <c r="BI655" s="10">
        <v>3.3949169000000001</v>
      </c>
      <c r="BJ655" s="10">
        <v>3.3952814</v>
      </c>
      <c r="BK655" s="10">
        <v>3.3962279999999998</v>
      </c>
      <c r="BL655" s="10">
        <v>3.3977263999999998</v>
      </c>
      <c r="BM655" s="10">
        <v>3.3997465</v>
      </c>
      <c r="BN655" s="10">
        <v>3.4022578000000001</v>
      </c>
      <c r="BO655" s="10">
        <v>3.4052302000000001</v>
      </c>
      <c r="BP655" s="10">
        <v>3.4086333999999998</v>
      </c>
      <c r="BQ655" s="10">
        <v>3.4124371999999998</v>
      </c>
      <c r="BR655" s="10">
        <v>3.4425121000000001</v>
      </c>
      <c r="BS655" s="10">
        <v>3.4826304000000001</v>
      </c>
      <c r="BU655" s="7">
        <v>4.25</v>
      </c>
      <c r="BV655" s="7">
        <v>4.13</v>
      </c>
      <c r="BW655" s="9">
        <v>83.325900000000004</v>
      </c>
    </row>
    <row r="656" spans="1:75" x14ac:dyDescent="0.25">
      <c r="A656" s="6">
        <f t="shared" si="79"/>
        <v>45470</v>
      </c>
      <c r="B656" s="13">
        <f t="shared" si="74"/>
        <v>6</v>
      </c>
      <c r="C656" s="13">
        <f t="shared" si="75"/>
        <v>2024</v>
      </c>
      <c r="D656">
        <f t="shared" si="76"/>
        <v>202406</v>
      </c>
      <c r="E656">
        <f t="shared" si="77"/>
        <v>2</v>
      </c>
      <c r="F656">
        <f t="shared" si="78"/>
        <v>202402</v>
      </c>
      <c r="G656" t="s">
        <v>1417</v>
      </c>
      <c r="H656" s="9">
        <v>5.25</v>
      </c>
      <c r="I656" s="9">
        <v>5.2</v>
      </c>
      <c r="J656" s="10">
        <v>5.1463356999999998</v>
      </c>
      <c r="K656" s="10">
        <v>5.0554297000000004</v>
      </c>
      <c r="L656" s="10">
        <v>4.9897333000000001</v>
      </c>
      <c r="M656" s="10">
        <v>4.9295353999999998</v>
      </c>
      <c r="N656" s="10">
        <v>4.8636638999999997</v>
      </c>
      <c r="O656" s="10">
        <v>4.7922843000000004</v>
      </c>
      <c r="P656" s="10">
        <v>4.7191866999999998</v>
      </c>
      <c r="Q656" s="10">
        <v>4.6486983999999998</v>
      </c>
      <c r="R656" s="10">
        <v>4.5837734000000001</v>
      </c>
      <c r="S656" s="10">
        <v>4.5251754000000002</v>
      </c>
      <c r="T656" s="10">
        <v>4.4722831999999997</v>
      </c>
      <c r="U656" s="10">
        <v>4.4235787000000002</v>
      </c>
      <c r="V656" s="10">
        <v>4.3762233000000004</v>
      </c>
      <c r="W656" s="10">
        <v>4.3293778999999999</v>
      </c>
      <c r="X656" s="10">
        <v>4.2828159000000001</v>
      </c>
      <c r="Y656" s="10">
        <v>4.2363089</v>
      </c>
      <c r="Z656" s="10">
        <v>4.1896285999999998</v>
      </c>
      <c r="AA656" s="10">
        <v>4.1425482000000002</v>
      </c>
      <c r="AB656" s="10">
        <v>4.0949349000000002</v>
      </c>
      <c r="AC656" s="10">
        <v>4.0471446000000002</v>
      </c>
      <c r="AD656" s="10">
        <v>3.9996912</v>
      </c>
      <c r="AE656" s="10">
        <v>3.9530867999999999</v>
      </c>
      <c r="AF656" s="10">
        <v>3.9078438000000002</v>
      </c>
      <c r="AG656" s="10">
        <v>3.8644759</v>
      </c>
      <c r="AH656" s="10">
        <v>3.8234175000000001</v>
      </c>
      <c r="AI656" s="10">
        <v>3.7847236999999998</v>
      </c>
      <c r="AJ656" s="10">
        <v>3.7483354000000002</v>
      </c>
      <c r="AK656" s="10">
        <v>3.7141921</v>
      </c>
      <c r="AL656" s="10">
        <v>3.6822336</v>
      </c>
      <c r="AM656" s="10">
        <v>3.6524005000000002</v>
      </c>
      <c r="AN656" s="10">
        <v>3.6246326</v>
      </c>
      <c r="AO656" s="10">
        <v>3.5988693999999999</v>
      </c>
      <c r="AP656" s="10">
        <v>3.5750516999999999</v>
      </c>
      <c r="AQ656" s="10">
        <v>3.5531191</v>
      </c>
      <c r="AR656" s="10">
        <v>3.5330113999999999</v>
      </c>
      <c r="AS656" s="10">
        <v>3.514669</v>
      </c>
      <c r="AT656" s="10">
        <v>3.4980285000000002</v>
      </c>
      <c r="AU656" s="10">
        <v>3.4830112999999998</v>
      </c>
      <c r="AV656" s="10">
        <v>3.4695353999999998</v>
      </c>
      <c r="AW656" s="10">
        <v>3.4575182999999998</v>
      </c>
      <c r="AX656" s="10">
        <v>3.4468774</v>
      </c>
      <c r="AY656" s="10">
        <v>3.4375304999999998</v>
      </c>
      <c r="AZ656" s="10">
        <v>3.4293952999999999</v>
      </c>
      <c r="BA656" s="10">
        <v>3.4223892</v>
      </c>
      <c r="BB656" s="10">
        <v>3.4164298999999998</v>
      </c>
      <c r="BC656" s="10">
        <v>3.4114350999999998</v>
      </c>
      <c r="BD656" s="10">
        <v>3.4073223000000001</v>
      </c>
      <c r="BE656" s="10">
        <v>3.4040092</v>
      </c>
      <c r="BF656" s="10">
        <v>3.4014215999999999</v>
      </c>
      <c r="BG656" s="10">
        <v>3.3995215000000001</v>
      </c>
      <c r="BH656" s="10">
        <v>3.3982811000000002</v>
      </c>
      <c r="BI656" s="10">
        <v>3.3976723999999998</v>
      </c>
      <c r="BJ656" s="10">
        <v>3.3976674</v>
      </c>
      <c r="BK656" s="10">
        <v>3.3982382000000002</v>
      </c>
      <c r="BL656" s="10">
        <v>3.3993568999999999</v>
      </c>
      <c r="BM656" s="10">
        <v>3.4009955999999999</v>
      </c>
      <c r="BN656" s="10">
        <v>3.4031264000000001</v>
      </c>
      <c r="BO656" s="10">
        <v>3.4057211999999999</v>
      </c>
      <c r="BP656" s="10">
        <v>3.4087521999999999</v>
      </c>
      <c r="BQ656" s="10">
        <v>3.4121915</v>
      </c>
      <c r="BR656" s="10">
        <v>3.4402849</v>
      </c>
      <c r="BS656" s="10">
        <v>3.4787602999999998</v>
      </c>
      <c r="BU656" s="7">
        <v>4.2300000000000004</v>
      </c>
      <c r="BV656" s="7">
        <v>4.13</v>
      </c>
      <c r="BW656" s="9">
        <v>83.386499999999998</v>
      </c>
    </row>
    <row r="657" spans="1:75" x14ac:dyDescent="0.25">
      <c r="A657" s="6">
        <f t="shared" si="79"/>
        <v>45471</v>
      </c>
      <c r="B657" s="13">
        <f t="shared" si="74"/>
        <v>6</v>
      </c>
      <c r="C657" s="13">
        <f t="shared" si="75"/>
        <v>2024</v>
      </c>
      <c r="D657">
        <f t="shared" si="76"/>
        <v>202406</v>
      </c>
      <c r="E657">
        <f t="shared" si="77"/>
        <v>2</v>
      </c>
      <c r="F657">
        <f t="shared" si="78"/>
        <v>202402</v>
      </c>
      <c r="G657" t="s">
        <v>1418</v>
      </c>
      <c r="H657" s="9">
        <v>5.25</v>
      </c>
      <c r="I657" s="9">
        <v>5.2</v>
      </c>
      <c r="J657" s="10">
        <v>5.1453411999999998</v>
      </c>
      <c r="K657" s="10">
        <v>5.0542197</v>
      </c>
      <c r="L657" s="10">
        <v>4.9869187999999998</v>
      </c>
      <c r="M657" s="10">
        <v>4.9244669999999999</v>
      </c>
      <c r="N657" s="10">
        <v>4.8566773000000003</v>
      </c>
      <c r="O657" s="10">
        <v>4.7835869999999998</v>
      </c>
      <c r="P657" s="10">
        <v>4.7082898999999996</v>
      </c>
      <c r="Q657" s="10">
        <v>4.6342011999999997</v>
      </c>
      <c r="R657" s="10">
        <v>4.5637847999999996</v>
      </c>
      <c r="S657" s="10">
        <v>4.4976652000000001</v>
      </c>
      <c r="T657" s="10">
        <v>4.4357110999999998</v>
      </c>
      <c r="U657" s="10">
        <v>4.3775148000000002</v>
      </c>
      <c r="V657" s="10">
        <v>4.3222961</v>
      </c>
      <c r="W657" s="10">
        <v>4.2696746000000001</v>
      </c>
      <c r="X657" s="10">
        <v>4.2194270999999999</v>
      </c>
      <c r="Y657" s="10">
        <v>4.1713284000000002</v>
      </c>
      <c r="Z657" s="10">
        <v>4.1251534000000003</v>
      </c>
      <c r="AA657" s="10">
        <v>4.0806787</v>
      </c>
      <c r="AB657" s="10">
        <v>4.0377226000000004</v>
      </c>
      <c r="AC657" s="10">
        <v>3.9963050999999998</v>
      </c>
      <c r="AD657" s="10">
        <v>3.9565063999999999</v>
      </c>
      <c r="AE657" s="10">
        <v>3.9184049999999999</v>
      </c>
      <c r="AF657" s="10">
        <v>3.8820793</v>
      </c>
      <c r="AG657" s="10">
        <v>3.8476094000000001</v>
      </c>
      <c r="AH657" s="10">
        <v>3.8150531000000001</v>
      </c>
      <c r="AI657" s="10">
        <v>3.7843768999999998</v>
      </c>
      <c r="AJ657" s="10">
        <v>3.7555233000000001</v>
      </c>
      <c r="AK657" s="10">
        <v>3.7284335999999998</v>
      </c>
      <c r="AL657" s="10">
        <v>3.7030492000000002</v>
      </c>
      <c r="AM657" s="10">
        <v>3.6793122999999999</v>
      </c>
      <c r="AN657" s="10">
        <v>3.6571644999999999</v>
      </c>
      <c r="AO657" s="10">
        <v>3.6365470000000002</v>
      </c>
      <c r="AP657" s="10">
        <v>3.6174021999999999</v>
      </c>
      <c r="AQ657" s="10">
        <v>3.5996714000000001</v>
      </c>
      <c r="AR657" s="10">
        <v>3.5832961999999999</v>
      </c>
      <c r="AS657" s="10">
        <v>3.5682185999999998</v>
      </c>
      <c r="AT657" s="10">
        <v>3.5543822</v>
      </c>
      <c r="AU657" s="10">
        <v>3.5417380999999999</v>
      </c>
      <c r="AV657" s="10">
        <v>3.5302402000000002</v>
      </c>
      <c r="AW657" s="10">
        <v>3.5198417000000002</v>
      </c>
      <c r="AX657" s="10">
        <v>3.5104959999999998</v>
      </c>
      <c r="AY657" s="10">
        <v>3.5021567</v>
      </c>
      <c r="AZ657" s="10">
        <v>3.4947772000000001</v>
      </c>
      <c r="BA657" s="10">
        <v>3.4883107</v>
      </c>
      <c r="BB657" s="10">
        <v>3.4827110000000001</v>
      </c>
      <c r="BC657" s="10">
        <v>3.4779312999999998</v>
      </c>
      <c r="BD657" s="10">
        <v>3.4739249999999999</v>
      </c>
      <c r="BE657" s="10">
        <v>3.4706456999999999</v>
      </c>
      <c r="BF657" s="10">
        <v>3.4680504000000001</v>
      </c>
      <c r="BG657" s="10">
        <v>3.4661119999999999</v>
      </c>
      <c r="BH657" s="10">
        <v>3.4648080000000001</v>
      </c>
      <c r="BI657" s="10">
        <v>3.4641156999999998</v>
      </c>
      <c r="BJ657" s="10">
        <v>3.4640124999999999</v>
      </c>
      <c r="BK657" s="10">
        <v>3.4644759999999999</v>
      </c>
      <c r="BL657" s="10">
        <v>3.4654832999999998</v>
      </c>
      <c r="BM657" s="10">
        <v>3.4670119000000001</v>
      </c>
      <c r="BN657" s="10">
        <v>3.4690392999999999</v>
      </c>
      <c r="BO657" s="10">
        <v>3.4715427999999999</v>
      </c>
      <c r="BP657" s="10">
        <v>3.4744997999999998</v>
      </c>
      <c r="BQ657" s="10">
        <v>3.4778877000000001</v>
      </c>
      <c r="BR657" s="10">
        <v>3.5062378000000001</v>
      </c>
      <c r="BS657" s="10">
        <v>3.5458573000000002</v>
      </c>
      <c r="BU657" s="7">
        <v>4.2300000000000004</v>
      </c>
      <c r="BV657" s="7">
        <v>4.17</v>
      </c>
      <c r="BW657" s="9">
        <v>83.304100000000005</v>
      </c>
    </row>
    <row r="658" spans="1:75" x14ac:dyDescent="0.25">
      <c r="A658" s="6">
        <f t="shared" si="79"/>
        <v>45474</v>
      </c>
      <c r="B658" s="13">
        <f t="shared" si="74"/>
        <v>7</v>
      </c>
      <c r="C658" s="13">
        <f t="shared" si="75"/>
        <v>2024</v>
      </c>
      <c r="D658">
        <f t="shared" si="76"/>
        <v>202407</v>
      </c>
      <c r="E658">
        <f t="shared" si="77"/>
        <v>3</v>
      </c>
      <c r="F658">
        <f t="shared" si="78"/>
        <v>202403</v>
      </c>
      <c r="G658" t="s">
        <v>1419</v>
      </c>
      <c r="H658" s="9">
        <v>5.25</v>
      </c>
      <c r="I658" s="9">
        <v>5.2</v>
      </c>
      <c r="J658" s="10">
        <v>5.1414833</v>
      </c>
      <c r="K658" s="10">
        <v>5.0512322999999997</v>
      </c>
      <c r="L658" s="10">
        <v>4.9880541999999997</v>
      </c>
      <c r="M658" s="10">
        <v>4.9302989000000004</v>
      </c>
      <c r="N658" s="10">
        <v>4.8665618999999998</v>
      </c>
      <c r="O658" s="10">
        <v>4.7974493000000002</v>
      </c>
      <c r="P658" s="10">
        <v>4.7265506999999998</v>
      </c>
      <c r="Q658" s="10">
        <v>4.6576379000000001</v>
      </c>
      <c r="R658" s="10">
        <v>4.5936893000000003</v>
      </c>
      <c r="S658" s="10">
        <v>4.5355413999999996</v>
      </c>
      <c r="T658" s="10">
        <v>4.4832359999999998</v>
      </c>
      <c r="U658" s="10">
        <v>4.4358377999999998</v>
      </c>
      <c r="V658" s="10">
        <v>4.3915604000000004</v>
      </c>
      <c r="W658" s="10">
        <v>4.3495638000000003</v>
      </c>
      <c r="X658" s="10">
        <v>4.3093165999999998</v>
      </c>
      <c r="Y658" s="10">
        <v>4.2702856999999996</v>
      </c>
      <c r="Z658" s="10">
        <v>4.2319380000000004</v>
      </c>
      <c r="AA658" s="10">
        <v>4.1937419</v>
      </c>
      <c r="AB658" s="10">
        <v>4.1552737000000004</v>
      </c>
      <c r="AC658" s="10">
        <v>4.1166687</v>
      </c>
      <c r="AD658" s="10">
        <v>4.0782429000000002</v>
      </c>
      <c r="AE658" s="10">
        <v>4.0403105000000004</v>
      </c>
      <c r="AF658" s="10">
        <v>4.0031860000000004</v>
      </c>
      <c r="AG658" s="10">
        <v>3.9671851</v>
      </c>
      <c r="AH658" s="10">
        <v>3.9325711000000001</v>
      </c>
      <c r="AI658" s="10">
        <v>3.8994038</v>
      </c>
      <c r="AJ658" s="10">
        <v>3.867693</v>
      </c>
      <c r="AK658" s="10">
        <v>3.8374473</v>
      </c>
      <c r="AL658" s="10">
        <v>3.8086755000000001</v>
      </c>
      <c r="AM658" s="10">
        <v>3.7813873</v>
      </c>
      <c r="AN658" s="10">
        <v>3.7555912999999999</v>
      </c>
      <c r="AO658" s="10">
        <v>3.7312964000000002</v>
      </c>
      <c r="AP658" s="10">
        <v>3.7085121999999999</v>
      </c>
      <c r="AQ658" s="10">
        <v>3.6872474</v>
      </c>
      <c r="AR658" s="10">
        <v>3.6675108999999999</v>
      </c>
      <c r="AS658" s="10">
        <v>3.6493121999999998</v>
      </c>
      <c r="AT658" s="10">
        <v>3.6326494</v>
      </c>
      <c r="AU658" s="10">
        <v>3.6174773999999998</v>
      </c>
      <c r="AV658" s="10">
        <v>3.6037412999999998</v>
      </c>
      <c r="AW658" s="10">
        <v>3.5913854000000001</v>
      </c>
      <c r="AX658" s="10">
        <v>3.5803539</v>
      </c>
      <c r="AY658" s="10">
        <v>3.5705917999999999</v>
      </c>
      <c r="AZ658" s="10">
        <v>3.5620433</v>
      </c>
      <c r="BA658" s="10">
        <v>3.5546530000000001</v>
      </c>
      <c r="BB658" s="10">
        <v>3.5483653999999998</v>
      </c>
      <c r="BC658" s="10">
        <v>3.5431249999999999</v>
      </c>
      <c r="BD658" s="10">
        <v>3.5388763999999999</v>
      </c>
      <c r="BE658" s="10">
        <v>3.5355639999999999</v>
      </c>
      <c r="BF658" s="10">
        <v>3.5331348999999999</v>
      </c>
      <c r="BG658" s="10">
        <v>3.5315503000000001</v>
      </c>
      <c r="BH658" s="10">
        <v>3.5307757999999998</v>
      </c>
      <c r="BI658" s="10">
        <v>3.5307773999999998</v>
      </c>
      <c r="BJ658" s="10">
        <v>3.5315207000000002</v>
      </c>
      <c r="BK658" s="10">
        <v>3.5329716000000002</v>
      </c>
      <c r="BL658" s="10">
        <v>3.5350956999999998</v>
      </c>
      <c r="BM658" s="10">
        <v>3.5378590000000001</v>
      </c>
      <c r="BN658" s="10">
        <v>3.5412271</v>
      </c>
      <c r="BO658" s="10">
        <v>3.5451657999999999</v>
      </c>
      <c r="BP658" s="10">
        <v>3.5496409999999998</v>
      </c>
      <c r="BQ658" s="10">
        <v>3.5546183</v>
      </c>
      <c r="BR658" s="10">
        <v>3.5934759000000001</v>
      </c>
      <c r="BS658" s="10">
        <v>3.644021</v>
      </c>
      <c r="BU658" s="7">
        <v>4.1900000000000004</v>
      </c>
      <c r="BV658" s="7">
        <v>4.28</v>
      </c>
      <c r="BW658" s="9">
        <v>83.341999999999999</v>
      </c>
    </row>
    <row r="659" spans="1:75" x14ac:dyDescent="0.25">
      <c r="A659" s="6">
        <f t="shared" si="79"/>
        <v>45475</v>
      </c>
      <c r="B659" s="13">
        <f t="shared" si="74"/>
        <v>7</v>
      </c>
      <c r="C659" s="13">
        <f t="shared" si="75"/>
        <v>2024</v>
      </c>
      <c r="D659">
        <f t="shared" si="76"/>
        <v>202407</v>
      </c>
      <c r="E659">
        <f t="shared" si="77"/>
        <v>3</v>
      </c>
      <c r="F659">
        <f t="shared" si="78"/>
        <v>202403</v>
      </c>
      <c r="G659" t="s">
        <v>1420</v>
      </c>
      <c r="H659" s="9">
        <v>5.25</v>
      </c>
      <c r="I659" s="9">
        <v>5.2</v>
      </c>
      <c r="J659" s="10">
        <v>5.1362519999999998</v>
      </c>
      <c r="K659" s="10">
        <v>5.0458777000000001</v>
      </c>
      <c r="L659" s="10">
        <v>4.9812656999999998</v>
      </c>
      <c r="M659" s="10">
        <v>4.9207792000000001</v>
      </c>
      <c r="N659" s="10">
        <v>4.8541056999999999</v>
      </c>
      <c r="O659" s="10">
        <v>4.7827698999999999</v>
      </c>
      <c r="P659" s="10">
        <v>4.7105142000000004</v>
      </c>
      <c r="Q659" s="10">
        <v>4.6412294000000003</v>
      </c>
      <c r="R659" s="10">
        <v>4.5777956</v>
      </c>
      <c r="S659" s="10">
        <v>4.5208918999999996</v>
      </c>
      <c r="T659" s="10">
        <v>4.4702950000000001</v>
      </c>
      <c r="U659" s="10">
        <v>4.4247104999999998</v>
      </c>
      <c r="V659" s="10">
        <v>4.3816316000000004</v>
      </c>
      <c r="W659" s="10">
        <v>4.3401357999999997</v>
      </c>
      <c r="X659" s="10">
        <v>4.2997997000000003</v>
      </c>
      <c r="Y659" s="10">
        <v>4.2601985999999998</v>
      </c>
      <c r="Z659" s="10">
        <v>4.2209075</v>
      </c>
      <c r="AA659" s="10">
        <v>4.1815030000000002</v>
      </c>
      <c r="AB659" s="10">
        <v>4.1416744000000003</v>
      </c>
      <c r="AC659" s="10">
        <v>4.1016399999999997</v>
      </c>
      <c r="AD659" s="10">
        <v>4.0617726999999997</v>
      </c>
      <c r="AE659" s="10">
        <v>4.0224443000000001</v>
      </c>
      <c r="AF659" s="10">
        <v>3.9840263999999999</v>
      </c>
      <c r="AG659" s="10">
        <v>3.9468920000000001</v>
      </c>
      <c r="AH659" s="10">
        <v>3.9113495999999999</v>
      </c>
      <c r="AI659" s="10">
        <v>3.8774554999999999</v>
      </c>
      <c r="AJ659" s="10">
        <v>3.8452042</v>
      </c>
      <c r="AK659" s="10">
        <v>3.8145888999999999</v>
      </c>
      <c r="AL659" s="10">
        <v>3.7856027999999999</v>
      </c>
      <c r="AM659" s="10">
        <v>3.7582403000000002</v>
      </c>
      <c r="AN659" s="10">
        <v>3.7324947000000002</v>
      </c>
      <c r="AO659" s="10">
        <v>3.7083591999999999</v>
      </c>
      <c r="AP659" s="10">
        <v>3.6858279999999999</v>
      </c>
      <c r="AQ659" s="10">
        <v>3.6648945999999998</v>
      </c>
      <c r="AR659" s="10">
        <v>3.6455522999999999</v>
      </c>
      <c r="AS659" s="10">
        <v>3.6277951000000002</v>
      </c>
      <c r="AT659" s="10">
        <v>3.6116069</v>
      </c>
      <c r="AU659" s="10">
        <v>3.5969334000000002</v>
      </c>
      <c r="AV659" s="10">
        <v>3.5837112000000002</v>
      </c>
      <c r="AW659" s="10">
        <v>3.5718763</v>
      </c>
      <c r="AX659" s="10">
        <v>3.5613649000000001</v>
      </c>
      <c r="AY659" s="10">
        <v>3.5521136000000002</v>
      </c>
      <c r="AZ659" s="10">
        <v>3.5440584999999998</v>
      </c>
      <c r="BA659" s="10">
        <v>3.5371356999999999</v>
      </c>
      <c r="BB659" s="10">
        <v>3.5312817999999999</v>
      </c>
      <c r="BC659" s="10">
        <v>3.5264327999999998</v>
      </c>
      <c r="BD659" s="10">
        <v>3.5225249999999999</v>
      </c>
      <c r="BE659" s="10">
        <v>3.5194949000000002</v>
      </c>
      <c r="BF659" s="10">
        <v>3.5172827</v>
      </c>
      <c r="BG659" s="10">
        <v>3.5158493000000002</v>
      </c>
      <c r="BH659" s="10">
        <v>3.5151617000000002</v>
      </c>
      <c r="BI659" s="10">
        <v>3.5151867000000001</v>
      </c>
      <c r="BJ659" s="10">
        <v>3.5158914999999999</v>
      </c>
      <c r="BK659" s="10">
        <v>3.5172428999999998</v>
      </c>
      <c r="BL659" s="10">
        <v>3.5192079999999999</v>
      </c>
      <c r="BM659" s="10">
        <v>3.5217537999999999</v>
      </c>
      <c r="BN659" s="10">
        <v>3.5248471000000001</v>
      </c>
      <c r="BO659" s="10">
        <v>3.5284550000000001</v>
      </c>
      <c r="BP659" s="10">
        <v>3.5325445000000002</v>
      </c>
      <c r="BQ659" s="10">
        <v>3.5370824999999999</v>
      </c>
      <c r="BR659" s="10">
        <v>3.5723593999999999</v>
      </c>
      <c r="BS659" s="10">
        <v>3.6183673000000001</v>
      </c>
      <c r="BU659" s="7">
        <v>4.17</v>
      </c>
      <c r="BV659" s="7">
        <v>4.24</v>
      </c>
      <c r="BW659" s="9">
        <v>83.480699999999999</v>
      </c>
    </row>
    <row r="660" spans="1:75" x14ac:dyDescent="0.25">
      <c r="A660" s="6">
        <f t="shared" si="79"/>
        <v>45476</v>
      </c>
      <c r="B660" s="13">
        <f t="shared" si="74"/>
        <v>7</v>
      </c>
      <c r="C660" s="13">
        <f t="shared" si="75"/>
        <v>2024</v>
      </c>
      <c r="D660">
        <f t="shared" si="76"/>
        <v>202407</v>
      </c>
      <c r="E660">
        <f t="shared" si="77"/>
        <v>3</v>
      </c>
      <c r="F660">
        <f t="shared" si="78"/>
        <v>202403</v>
      </c>
      <c r="G660" t="s">
        <v>1421</v>
      </c>
      <c r="H660" s="9">
        <v>5.25</v>
      </c>
      <c r="I660" s="9">
        <v>5.2</v>
      </c>
      <c r="J660" s="10">
        <v>5.1234717999999999</v>
      </c>
      <c r="K660" s="10">
        <v>5.0360844</v>
      </c>
      <c r="L660" s="10">
        <v>4.9704607000000003</v>
      </c>
      <c r="M660" s="10">
        <v>4.9070403999999996</v>
      </c>
      <c r="N660" s="10">
        <v>4.8371358000000004</v>
      </c>
      <c r="O660" s="10">
        <v>4.7628149000000004</v>
      </c>
      <c r="P660" s="10">
        <v>4.6879809999999997</v>
      </c>
      <c r="Q660" s="10">
        <v>4.6166141999999999</v>
      </c>
      <c r="R660" s="10">
        <v>4.5513662999999998</v>
      </c>
      <c r="S660" s="10">
        <v>4.4928898999999998</v>
      </c>
      <c r="T660" s="10">
        <v>4.4405402</v>
      </c>
      <c r="U660" s="10">
        <v>4.3930923000000002</v>
      </c>
      <c r="V660" s="10">
        <v>4.3478070999999998</v>
      </c>
      <c r="W660" s="10">
        <v>4.3037305000000003</v>
      </c>
      <c r="X660" s="10">
        <v>4.2604981000000004</v>
      </c>
      <c r="Y660" s="10">
        <v>4.2177436000000004</v>
      </c>
      <c r="Z660" s="10">
        <v>4.1751009000000003</v>
      </c>
      <c r="AA660" s="10">
        <v>4.1322052999999999</v>
      </c>
      <c r="AB660" s="10">
        <v>4.0887871999999996</v>
      </c>
      <c r="AC660" s="10">
        <v>4.0451226</v>
      </c>
      <c r="AD660" s="10">
        <v>4.0016813000000004</v>
      </c>
      <c r="AE660" s="10">
        <v>3.9589316999999999</v>
      </c>
      <c r="AF660" s="10">
        <v>3.9173420000000001</v>
      </c>
      <c r="AG660" s="10">
        <v>3.8773821000000002</v>
      </c>
      <c r="AH660" s="10">
        <v>3.8394363</v>
      </c>
      <c r="AI660" s="10">
        <v>3.8035519999999998</v>
      </c>
      <c r="AJ660" s="10">
        <v>3.7696939</v>
      </c>
      <c r="AK660" s="10">
        <v>3.7378252000000001</v>
      </c>
      <c r="AL660" s="10">
        <v>3.7079092</v>
      </c>
      <c r="AM660" s="10">
        <v>3.6799105000000001</v>
      </c>
      <c r="AN660" s="10">
        <v>3.6537925000000002</v>
      </c>
      <c r="AO660" s="10">
        <v>3.6295185000000001</v>
      </c>
      <c r="AP660" s="10">
        <v>3.6070527999999999</v>
      </c>
      <c r="AQ660" s="10">
        <v>3.5863589999999999</v>
      </c>
      <c r="AR660" s="10">
        <v>3.5674005000000002</v>
      </c>
      <c r="AS660" s="10">
        <v>3.5501415000000001</v>
      </c>
      <c r="AT660" s="10">
        <v>3.5345396</v>
      </c>
      <c r="AU660" s="10">
        <v>3.5205237</v>
      </c>
      <c r="AV660" s="10">
        <v>3.5080141</v>
      </c>
      <c r="AW660" s="10">
        <v>3.4969310999999998</v>
      </c>
      <c r="AX660" s="10">
        <v>3.4871946</v>
      </c>
      <c r="AY660" s="10">
        <v>3.4787251000000001</v>
      </c>
      <c r="AZ660" s="10">
        <v>3.4714426</v>
      </c>
      <c r="BA660" s="10">
        <v>3.4652674000000001</v>
      </c>
      <c r="BB660" s="10">
        <v>3.4601196999999999</v>
      </c>
      <c r="BC660" s="10">
        <v>3.4559196999999999</v>
      </c>
      <c r="BD660" s="10">
        <v>3.4525876000000002</v>
      </c>
      <c r="BE660" s="10">
        <v>3.4500435</v>
      </c>
      <c r="BF660" s="10">
        <v>3.4482154</v>
      </c>
      <c r="BG660" s="10">
        <v>3.4470649</v>
      </c>
      <c r="BH660" s="10">
        <v>3.4465629</v>
      </c>
      <c r="BI660" s="10">
        <v>3.4466804</v>
      </c>
      <c r="BJ660" s="10">
        <v>3.4473883000000001</v>
      </c>
      <c r="BK660" s="10">
        <v>3.4486577</v>
      </c>
      <c r="BL660" s="10">
        <v>3.4504595</v>
      </c>
      <c r="BM660" s="10">
        <v>3.4527646000000001</v>
      </c>
      <c r="BN660" s="10">
        <v>3.4555440000000002</v>
      </c>
      <c r="BO660" s="10">
        <v>3.4587686999999998</v>
      </c>
      <c r="BP660" s="10">
        <v>3.4624096</v>
      </c>
      <c r="BQ660" s="10">
        <v>3.4664377000000002</v>
      </c>
      <c r="BR660" s="10">
        <v>3.4976210999999999</v>
      </c>
      <c r="BS660" s="10">
        <v>3.5385189000000001</v>
      </c>
      <c r="BU660" s="7">
        <v>4.1500000000000004</v>
      </c>
      <c r="BV660" s="7">
        <v>4.16</v>
      </c>
      <c r="BW660" s="9">
        <v>83.749200000000002</v>
      </c>
    </row>
    <row r="661" spans="1:75" x14ac:dyDescent="0.25">
      <c r="A661" s="6">
        <f t="shared" si="79"/>
        <v>45477</v>
      </c>
      <c r="B661" s="13">
        <f t="shared" si="74"/>
        <v>7</v>
      </c>
      <c r="C661" s="13">
        <f t="shared" si="75"/>
        <v>2024</v>
      </c>
      <c r="D661">
        <f t="shared" si="76"/>
        <v>202407</v>
      </c>
      <c r="E661">
        <f t="shared" si="77"/>
        <v>3</v>
      </c>
      <c r="F661">
        <f t="shared" si="78"/>
        <v>202403</v>
      </c>
      <c r="G661" t="s">
        <v>1422</v>
      </c>
      <c r="H661" s="9">
        <v>5.25</v>
      </c>
      <c r="I661" s="9">
        <v>5.2</v>
      </c>
      <c r="J661" s="10">
        <v>5.1204583000000001</v>
      </c>
      <c r="K661" s="10">
        <v>5.0323288000000002</v>
      </c>
      <c r="L661" s="10">
        <v>4.9651069000000003</v>
      </c>
      <c r="M661" s="10">
        <v>4.8999987999999997</v>
      </c>
      <c r="N661" s="10">
        <v>4.8292263999999996</v>
      </c>
      <c r="O661" s="10">
        <v>4.7546948000000002</v>
      </c>
      <c r="P661" s="10">
        <v>4.6797389000000003</v>
      </c>
      <c r="Q661" s="10">
        <v>4.6075955000000004</v>
      </c>
      <c r="R661" s="10">
        <v>4.5404013000000001</v>
      </c>
      <c r="S661" s="10">
        <v>4.4787379999999999</v>
      </c>
      <c r="T661" s="10">
        <v>4.4224515000000002</v>
      </c>
      <c r="U661" s="10">
        <v>4.3710110000000002</v>
      </c>
      <c r="V661" s="10">
        <v>4.3232198999999998</v>
      </c>
      <c r="W661" s="10">
        <v>4.2782954000000002</v>
      </c>
      <c r="X661" s="10">
        <v>4.2356125000000002</v>
      </c>
      <c r="Y661" s="10">
        <v>4.1945443999999998</v>
      </c>
      <c r="Z661" s="10">
        <v>4.1544644000000002</v>
      </c>
      <c r="AA661" s="10">
        <v>4.1147472</v>
      </c>
      <c r="AB661" s="10">
        <v>4.0748949000000003</v>
      </c>
      <c r="AC661" s="10">
        <v>4.035069</v>
      </c>
      <c r="AD661" s="10">
        <v>3.9956429999999998</v>
      </c>
      <c r="AE661" s="10">
        <v>3.9569890000000001</v>
      </c>
      <c r="AF661" s="10">
        <v>3.9194794000000002</v>
      </c>
      <c r="AG661" s="10">
        <v>3.8834876999999999</v>
      </c>
      <c r="AH661" s="10">
        <v>3.8493306999999999</v>
      </c>
      <c r="AI661" s="10">
        <v>3.8170544999999998</v>
      </c>
      <c r="AJ661" s="10">
        <v>3.7866243000000002</v>
      </c>
      <c r="AK661" s="10">
        <v>3.7580038</v>
      </c>
      <c r="AL661" s="10">
        <v>3.7311572000000002</v>
      </c>
      <c r="AM661" s="10">
        <v>3.7060491999999998</v>
      </c>
      <c r="AN661" s="10">
        <v>3.6826439</v>
      </c>
      <c r="AO661" s="10">
        <v>3.6609052000000002</v>
      </c>
      <c r="AP661" s="10">
        <v>3.6407980000000002</v>
      </c>
      <c r="AQ661" s="10">
        <v>3.6222862</v>
      </c>
      <c r="AR661" s="10">
        <v>3.605334</v>
      </c>
      <c r="AS661" s="10">
        <v>3.589906</v>
      </c>
      <c r="AT661" s="10">
        <v>3.5759604</v>
      </c>
      <c r="AU661" s="10">
        <v>3.5634302999999998</v>
      </c>
      <c r="AV661" s="10">
        <v>3.5522418</v>
      </c>
      <c r="AW661" s="10">
        <v>3.5423206999999999</v>
      </c>
      <c r="AX661" s="10">
        <v>3.5335930000000002</v>
      </c>
      <c r="AY661" s="10">
        <v>3.5259847999999998</v>
      </c>
      <c r="AZ661" s="10">
        <v>3.5194219000000002</v>
      </c>
      <c r="BA661" s="10">
        <v>3.5138303</v>
      </c>
      <c r="BB661" s="10">
        <v>3.5091361000000001</v>
      </c>
      <c r="BC661" s="10">
        <v>3.5052652000000002</v>
      </c>
      <c r="BD661" s="10">
        <v>3.5021434</v>
      </c>
      <c r="BE661" s="10">
        <v>3.4996969999999998</v>
      </c>
      <c r="BF661" s="10">
        <v>3.4978600000000002</v>
      </c>
      <c r="BG661" s="10">
        <v>3.4966032</v>
      </c>
      <c r="BH661" s="10">
        <v>3.4959075999999998</v>
      </c>
      <c r="BI661" s="10">
        <v>3.4957538000000001</v>
      </c>
      <c r="BJ661" s="10">
        <v>3.4961228000000002</v>
      </c>
      <c r="BK661" s="10">
        <v>3.4969953999999999</v>
      </c>
      <c r="BL661" s="10">
        <v>3.4983525000000002</v>
      </c>
      <c r="BM661" s="10">
        <v>3.5001749000000002</v>
      </c>
      <c r="BN661" s="10">
        <v>3.5024434000000002</v>
      </c>
      <c r="BO661" s="10">
        <v>3.5051388000000001</v>
      </c>
      <c r="BP661" s="10">
        <v>3.5082420999999999</v>
      </c>
      <c r="BQ661" s="10">
        <v>3.5117341</v>
      </c>
      <c r="BR661" s="10">
        <v>3.5399867999999999</v>
      </c>
      <c r="BS661" s="10">
        <v>3.5786886999999998</v>
      </c>
      <c r="BU661" s="7">
        <v>4.17</v>
      </c>
      <c r="BV661" s="7">
        <v>4.2</v>
      </c>
      <c r="BW661" s="9">
        <v>83.7256</v>
      </c>
    </row>
    <row r="662" spans="1:75" x14ac:dyDescent="0.25">
      <c r="A662" s="6">
        <f t="shared" si="79"/>
        <v>45478</v>
      </c>
      <c r="B662" s="13">
        <f t="shared" si="74"/>
        <v>7</v>
      </c>
      <c r="C662" s="13">
        <f t="shared" si="75"/>
        <v>2024</v>
      </c>
      <c r="D662">
        <f t="shared" si="76"/>
        <v>202407</v>
      </c>
      <c r="E662">
        <f t="shared" si="77"/>
        <v>3</v>
      </c>
      <c r="F662">
        <f t="shared" si="78"/>
        <v>202403</v>
      </c>
      <c r="G662" t="s">
        <v>1423</v>
      </c>
      <c r="H662" s="9">
        <v>5.25</v>
      </c>
      <c r="I662" s="9">
        <v>5.2</v>
      </c>
      <c r="J662" s="10">
        <v>5.1110264000000001</v>
      </c>
      <c r="K662" s="10">
        <v>5.0182523999999997</v>
      </c>
      <c r="L662" s="10">
        <v>4.9469981000000001</v>
      </c>
      <c r="M662" s="10">
        <v>4.8774440999999999</v>
      </c>
      <c r="N662" s="10">
        <v>4.8016677000000003</v>
      </c>
      <c r="O662" s="10">
        <v>4.7220228000000004</v>
      </c>
      <c r="P662" s="10">
        <v>4.6420148000000001</v>
      </c>
      <c r="Q662" s="10">
        <v>4.5651377000000002</v>
      </c>
      <c r="R662" s="10">
        <v>4.4937050000000003</v>
      </c>
      <c r="S662" s="10">
        <v>4.4284971999999998</v>
      </c>
      <c r="T662" s="10">
        <v>4.3691091000000002</v>
      </c>
      <c r="U662" s="10">
        <v>4.3147000999999996</v>
      </c>
      <c r="V662" s="10">
        <v>4.2633673999999999</v>
      </c>
      <c r="W662" s="10">
        <v>4.2143600000000001</v>
      </c>
      <c r="X662" s="10">
        <v>4.1673932000000002</v>
      </c>
      <c r="Y662" s="10">
        <v>4.1221806000000001</v>
      </c>
      <c r="Z662" s="10">
        <v>4.0784358000000003</v>
      </c>
      <c r="AA662" s="10">
        <v>4.0358741</v>
      </c>
      <c r="AB662" s="10">
        <v>3.9942796999999999</v>
      </c>
      <c r="AC662" s="10">
        <v>3.9537640000000001</v>
      </c>
      <c r="AD662" s="10">
        <v>3.9145348000000002</v>
      </c>
      <c r="AE662" s="10">
        <v>3.8767985</v>
      </c>
      <c r="AF662" s="10">
        <v>3.8407613999999999</v>
      </c>
      <c r="AG662" s="10">
        <v>3.8066312</v>
      </c>
      <c r="AH662" s="10">
        <v>3.7745712999999999</v>
      </c>
      <c r="AI662" s="10">
        <v>3.7445564</v>
      </c>
      <c r="AJ662" s="10">
        <v>3.7165097999999999</v>
      </c>
      <c r="AK662" s="10">
        <v>3.6903537000000002</v>
      </c>
      <c r="AL662" s="10">
        <v>3.6660105000000001</v>
      </c>
      <c r="AM662" s="10">
        <v>3.6434036000000001</v>
      </c>
      <c r="AN662" s="10">
        <v>3.6224552000000001</v>
      </c>
      <c r="AO662" s="10">
        <v>3.6030878</v>
      </c>
      <c r="AP662" s="10">
        <v>3.5852244999999998</v>
      </c>
      <c r="AQ662" s="10">
        <v>3.5687877000000001</v>
      </c>
      <c r="AR662" s="10">
        <v>3.5536998999999998</v>
      </c>
      <c r="AS662" s="10">
        <v>3.5398841000000001</v>
      </c>
      <c r="AT662" s="10">
        <v>3.5272671999999998</v>
      </c>
      <c r="AU662" s="10">
        <v>3.5157929999999999</v>
      </c>
      <c r="AV662" s="10">
        <v>3.5054101000000002</v>
      </c>
      <c r="AW662" s="10">
        <v>3.4960667999999999</v>
      </c>
      <c r="AX662" s="10">
        <v>3.4877113999999998</v>
      </c>
      <c r="AY662" s="10">
        <v>3.4802924000000002</v>
      </c>
      <c r="AZ662" s="10">
        <v>3.4737580000000001</v>
      </c>
      <c r="BA662" s="10">
        <v>3.4680566000000002</v>
      </c>
      <c r="BB662" s="10">
        <v>3.4631365999999999</v>
      </c>
      <c r="BC662" s="10">
        <v>3.4589463999999999</v>
      </c>
      <c r="BD662" s="10">
        <v>3.4554342</v>
      </c>
      <c r="BE662" s="10">
        <v>3.4525486000000001</v>
      </c>
      <c r="BF662" s="10">
        <v>3.4502432000000001</v>
      </c>
      <c r="BG662" s="10">
        <v>3.4484967000000002</v>
      </c>
      <c r="BH662" s="10">
        <v>3.4472941000000001</v>
      </c>
      <c r="BI662" s="10">
        <v>3.4466206000000001</v>
      </c>
      <c r="BJ662" s="10">
        <v>3.4464614999999998</v>
      </c>
      <c r="BK662" s="10">
        <v>3.4468017999999998</v>
      </c>
      <c r="BL662" s="10">
        <v>3.4476268000000001</v>
      </c>
      <c r="BM662" s="10">
        <v>3.4489215999999998</v>
      </c>
      <c r="BN662" s="10">
        <v>3.4506714000000001</v>
      </c>
      <c r="BO662" s="10">
        <v>3.4528612999999999</v>
      </c>
      <c r="BP662" s="10">
        <v>3.4554767000000002</v>
      </c>
      <c r="BQ662" s="10">
        <v>3.4585024999999998</v>
      </c>
      <c r="BR662" s="10">
        <v>3.4845396000000002</v>
      </c>
      <c r="BS662" s="10">
        <v>3.5221730999999998</v>
      </c>
      <c r="BU662" s="7">
        <v>4.1399999999999997</v>
      </c>
      <c r="BV662" s="7">
        <v>4.1399999999999997</v>
      </c>
      <c r="BW662" s="9">
        <v>83.899199999999993</v>
      </c>
    </row>
    <row r="663" spans="1:75" x14ac:dyDescent="0.25">
      <c r="A663" s="6">
        <f t="shared" si="79"/>
        <v>45481</v>
      </c>
      <c r="B663" s="13">
        <f t="shared" si="74"/>
        <v>7</v>
      </c>
      <c r="C663" s="13">
        <f t="shared" si="75"/>
        <v>2024</v>
      </c>
      <c r="D663">
        <f t="shared" si="76"/>
        <v>202407</v>
      </c>
      <c r="E663">
        <f t="shared" si="77"/>
        <v>3</v>
      </c>
      <c r="F663">
        <f t="shared" si="78"/>
        <v>202403</v>
      </c>
      <c r="G663" t="s">
        <v>1424</v>
      </c>
      <c r="H663" s="9">
        <v>5.25</v>
      </c>
      <c r="I663" s="9">
        <v>5.2</v>
      </c>
      <c r="J663" s="10">
        <v>5.1003777000000001</v>
      </c>
      <c r="K663" s="10">
        <v>5.0193512</v>
      </c>
      <c r="L663" s="10">
        <v>4.9524208999999999</v>
      </c>
      <c r="M663" s="10">
        <v>4.8817792000000004</v>
      </c>
      <c r="N663" s="10">
        <v>4.8028355999999999</v>
      </c>
      <c r="O663" s="10">
        <v>4.7200436000000003</v>
      </c>
      <c r="P663" s="10">
        <v>4.6378883000000002</v>
      </c>
      <c r="Q663" s="10">
        <v>4.5598948000000004</v>
      </c>
      <c r="R663" s="10">
        <v>4.4887874999999999</v>
      </c>
      <c r="S663" s="10">
        <v>4.4249687</v>
      </c>
      <c r="T663" s="10">
        <v>4.3681660999999998</v>
      </c>
      <c r="U663" s="10">
        <v>4.3170773000000002</v>
      </c>
      <c r="V663" s="10">
        <v>4.2692208999999997</v>
      </c>
      <c r="W663" s="10">
        <v>4.2236444999999998</v>
      </c>
      <c r="X663" s="10">
        <v>4.1798868000000002</v>
      </c>
      <c r="Y663" s="10">
        <v>4.1374845999999996</v>
      </c>
      <c r="Z663" s="10">
        <v>4.0959748999999999</v>
      </c>
      <c r="AA663" s="10">
        <v>4.0548960000000003</v>
      </c>
      <c r="AB663" s="10">
        <v>4.013897</v>
      </c>
      <c r="AC663" s="10">
        <v>3.9731466000000002</v>
      </c>
      <c r="AD663" s="10">
        <v>3.9329654999999999</v>
      </c>
      <c r="AE663" s="10">
        <v>3.8936731999999998</v>
      </c>
      <c r="AF663" s="10">
        <v>3.8555890000000002</v>
      </c>
      <c r="AG663" s="10">
        <v>3.8190336</v>
      </c>
      <c r="AH663" s="10">
        <v>3.7842665000000002</v>
      </c>
      <c r="AI663" s="10">
        <v>3.7513073000000001</v>
      </c>
      <c r="AJ663" s="10">
        <v>3.7201167000000002</v>
      </c>
      <c r="AK663" s="10">
        <v>3.6906544000000001</v>
      </c>
      <c r="AL663" s="10">
        <v>3.6628799999999999</v>
      </c>
      <c r="AM663" s="10">
        <v>3.6367543000000002</v>
      </c>
      <c r="AN663" s="10">
        <v>3.6122369999999999</v>
      </c>
      <c r="AO663" s="10">
        <v>3.5892876999999999</v>
      </c>
      <c r="AP663" s="10">
        <v>3.5678671</v>
      </c>
      <c r="AQ663" s="10">
        <v>3.5479349</v>
      </c>
      <c r="AR663" s="10">
        <v>3.5294508000000002</v>
      </c>
      <c r="AS663" s="10">
        <v>3.5123753999999998</v>
      </c>
      <c r="AT663" s="10">
        <v>3.496667</v>
      </c>
      <c r="AU663" s="10">
        <v>3.4822779000000001</v>
      </c>
      <c r="AV663" s="10">
        <v>3.4691595999999998</v>
      </c>
      <c r="AW663" s="10">
        <v>3.4572630000000002</v>
      </c>
      <c r="AX663" s="10">
        <v>3.4465389000000002</v>
      </c>
      <c r="AY663" s="10">
        <v>3.4369388000000001</v>
      </c>
      <c r="AZ663" s="10">
        <v>3.4284135</v>
      </c>
      <c r="BA663" s="10">
        <v>3.4209141000000001</v>
      </c>
      <c r="BB663" s="10">
        <v>3.4143918000000002</v>
      </c>
      <c r="BC663" s="10">
        <v>3.4087976000000002</v>
      </c>
      <c r="BD663" s="10">
        <v>3.4040824000000001</v>
      </c>
      <c r="BE663" s="10">
        <v>3.4001975999999998</v>
      </c>
      <c r="BF663" s="10">
        <v>3.3970969000000002</v>
      </c>
      <c r="BG663" s="10">
        <v>3.3947498999999999</v>
      </c>
      <c r="BH663" s="10">
        <v>3.3931315999999998</v>
      </c>
      <c r="BI663" s="10">
        <v>3.3922165</v>
      </c>
      <c r="BJ663" s="10">
        <v>3.3919796</v>
      </c>
      <c r="BK663" s="10">
        <v>3.3923956999999998</v>
      </c>
      <c r="BL663" s="10">
        <v>3.3934394999999999</v>
      </c>
      <c r="BM663" s="10">
        <v>3.3950859000000002</v>
      </c>
      <c r="BN663" s="10">
        <v>3.3973095999999998</v>
      </c>
      <c r="BO663" s="10">
        <v>3.4000854999999999</v>
      </c>
      <c r="BP663" s="10">
        <v>3.4033883999999999</v>
      </c>
      <c r="BQ663" s="10">
        <v>3.4071929999999999</v>
      </c>
      <c r="BR663" s="10">
        <v>3.439244</v>
      </c>
      <c r="BS663" s="10">
        <v>3.4836076</v>
      </c>
      <c r="BU663" s="7">
        <v>4.12</v>
      </c>
      <c r="BV663" s="7">
        <v>4.1100000000000003</v>
      </c>
      <c r="BW663" s="9">
        <v>84.071700000000007</v>
      </c>
    </row>
    <row r="664" spans="1:75" x14ac:dyDescent="0.25">
      <c r="A664" s="6">
        <f t="shared" si="79"/>
        <v>45482</v>
      </c>
      <c r="B664" s="13">
        <f t="shared" si="74"/>
        <v>7</v>
      </c>
      <c r="C664" s="13">
        <f t="shared" si="75"/>
        <v>2024</v>
      </c>
      <c r="D664">
        <f t="shared" si="76"/>
        <v>202407</v>
      </c>
      <c r="E664">
        <f t="shared" si="77"/>
        <v>3</v>
      </c>
      <c r="F664">
        <f t="shared" si="78"/>
        <v>202403</v>
      </c>
      <c r="G664" t="s">
        <v>1425</v>
      </c>
      <c r="H664" s="9">
        <v>5.25</v>
      </c>
      <c r="I664" s="9">
        <v>5.2</v>
      </c>
      <c r="J664" s="10">
        <v>5.0965470000000002</v>
      </c>
      <c r="K664" s="10">
        <v>5.0182862000000004</v>
      </c>
      <c r="L664" s="10">
        <v>4.9517053000000004</v>
      </c>
      <c r="M664" s="10">
        <v>4.8809924000000002</v>
      </c>
      <c r="N664" s="10">
        <v>4.8026843000000001</v>
      </c>
      <c r="O664" s="10">
        <v>4.7214162000000002</v>
      </c>
      <c r="P664" s="10">
        <v>4.6414730000000004</v>
      </c>
      <c r="Q664" s="10">
        <v>4.5661022999999998</v>
      </c>
      <c r="R664" s="10">
        <v>4.4975401000000002</v>
      </c>
      <c r="S664" s="10">
        <v>4.4360973000000001</v>
      </c>
      <c r="T664" s="10">
        <v>4.3814859000000004</v>
      </c>
      <c r="U664" s="10">
        <v>4.3324952000000003</v>
      </c>
      <c r="V664" s="10">
        <v>4.2867740000000003</v>
      </c>
      <c r="W664" s="10">
        <v>4.2433668999999998</v>
      </c>
      <c r="X664" s="10">
        <v>4.2017626000000003</v>
      </c>
      <c r="Y664" s="10">
        <v>4.1614483</v>
      </c>
      <c r="Z664" s="10">
        <v>4.1219115000000004</v>
      </c>
      <c r="AA664" s="10">
        <v>4.0826408000000001</v>
      </c>
      <c r="AB664" s="10">
        <v>4.0432432</v>
      </c>
      <c r="AC664" s="10">
        <v>4.0038812999999998</v>
      </c>
      <c r="AD664" s="10">
        <v>3.9648797999999998</v>
      </c>
      <c r="AE664" s="10">
        <v>3.9265620999999999</v>
      </c>
      <c r="AF664" s="10">
        <v>3.8892516000000001</v>
      </c>
      <c r="AG664" s="10">
        <v>3.8532730000000002</v>
      </c>
      <c r="AH664" s="10">
        <v>3.8188936</v>
      </c>
      <c r="AI664" s="10">
        <v>3.7861558999999998</v>
      </c>
      <c r="AJ664" s="10">
        <v>3.7550474999999999</v>
      </c>
      <c r="AK664" s="10">
        <v>3.7255546000000002</v>
      </c>
      <c r="AL664" s="10">
        <v>3.6976637999999999</v>
      </c>
      <c r="AM664" s="10">
        <v>3.6713624</v>
      </c>
      <c r="AN664" s="10">
        <v>3.6466368999999998</v>
      </c>
      <c r="AO664" s="10">
        <v>3.6234738000000002</v>
      </c>
      <c r="AP664" s="10">
        <v>3.6018602999999998</v>
      </c>
      <c r="AQ664" s="10">
        <v>3.5817828999999999</v>
      </c>
      <c r="AR664" s="10">
        <v>3.5632282000000002</v>
      </c>
      <c r="AS664" s="10">
        <v>3.5461833999999999</v>
      </c>
      <c r="AT664" s="10">
        <v>3.5306272000000001</v>
      </c>
      <c r="AU664" s="10">
        <v>3.5165068000000002</v>
      </c>
      <c r="AV664" s="10">
        <v>3.5037623999999998</v>
      </c>
      <c r="AW664" s="10">
        <v>3.4923332999999999</v>
      </c>
      <c r="AX664" s="10">
        <v>3.4821589999999998</v>
      </c>
      <c r="AY664" s="10">
        <v>3.4731795999999999</v>
      </c>
      <c r="AZ664" s="10">
        <v>3.4653345</v>
      </c>
      <c r="BA664" s="10">
        <v>3.4585632999999998</v>
      </c>
      <c r="BB664" s="10">
        <v>3.4528059</v>
      </c>
      <c r="BC664" s="10">
        <v>3.4480016999999998</v>
      </c>
      <c r="BD664" s="10">
        <v>3.4440903999999999</v>
      </c>
      <c r="BE664" s="10">
        <v>3.4410116999999998</v>
      </c>
      <c r="BF664" s="10">
        <v>3.4387094999999999</v>
      </c>
      <c r="BG664" s="10">
        <v>3.4371480999999999</v>
      </c>
      <c r="BH664" s="10">
        <v>3.4362979999999999</v>
      </c>
      <c r="BI664" s="10">
        <v>3.4361299999999999</v>
      </c>
      <c r="BJ664" s="10">
        <v>3.4366143999999998</v>
      </c>
      <c r="BK664" s="10">
        <v>3.4377219999999999</v>
      </c>
      <c r="BL664" s="10">
        <v>3.4394233000000001</v>
      </c>
      <c r="BM664" s="10">
        <v>3.4416890000000002</v>
      </c>
      <c r="BN664" s="10">
        <v>3.4444894000000001</v>
      </c>
      <c r="BO664" s="10">
        <v>3.4477954</v>
      </c>
      <c r="BP664" s="10">
        <v>3.4515774000000001</v>
      </c>
      <c r="BQ664" s="10">
        <v>3.4558059999999999</v>
      </c>
      <c r="BR664" s="10">
        <v>3.4892894000000001</v>
      </c>
      <c r="BS664" s="10">
        <v>3.5337439000000002</v>
      </c>
      <c r="BU664" s="7">
        <v>4.13</v>
      </c>
      <c r="BV664" s="7">
        <v>4.16</v>
      </c>
      <c r="BW664" s="9">
        <v>83.946700000000007</v>
      </c>
    </row>
    <row r="665" spans="1:75" x14ac:dyDescent="0.25">
      <c r="A665" s="6">
        <f t="shared" si="79"/>
        <v>45483</v>
      </c>
      <c r="B665" s="13">
        <f t="shared" si="74"/>
        <v>7</v>
      </c>
      <c r="C665" s="13">
        <f t="shared" si="75"/>
        <v>2024</v>
      </c>
      <c r="D665">
        <f t="shared" si="76"/>
        <v>202407</v>
      </c>
      <c r="E665">
        <f t="shared" si="77"/>
        <v>3</v>
      </c>
      <c r="F665">
        <f t="shared" si="78"/>
        <v>202403</v>
      </c>
      <c r="G665" t="s">
        <v>1426</v>
      </c>
      <c r="H665" s="9">
        <v>5.25</v>
      </c>
      <c r="I665" s="9">
        <v>5.2</v>
      </c>
      <c r="J665" s="10">
        <v>5.1042224000000003</v>
      </c>
      <c r="K665" s="10">
        <v>5.0320985</v>
      </c>
      <c r="L665" s="10">
        <v>4.9630141999999999</v>
      </c>
      <c r="M665" s="10">
        <v>4.8865742000000001</v>
      </c>
      <c r="N665" s="10">
        <v>4.8036903000000004</v>
      </c>
      <c r="O665" s="10">
        <v>4.7199090999999997</v>
      </c>
      <c r="P665" s="10">
        <v>4.6387821000000002</v>
      </c>
      <c r="Q665" s="10">
        <v>4.5626669</v>
      </c>
      <c r="R665" s="10">
        <v>4.4930927000000001</v>
      </c>
      <c r="S665" s="10">
        <v>4.4304008000000001</v>
      </c>
      <c r="T665" s="10">
        <v>4.3741912999999997</v>
      </c>
      <c r="U665" s="10">
        <v>4.3235083999999997</v>
      </c>
      <c r="V665" s="10">
        <v>4.2760024000000003</v>
      </c>
      <c r="W665" s="10">
        <v>4.2306980000000003</v>
      </c>
      <c r="X665" s="10">
        <v>4.1870873</v>
      </c>
      <c r="Y665" s="10">
        <v>4.1446610000000002</v>
      </c>
      <c r="Z665" s="10">
        <v>4.1029093999999997</v>
      </c>
      <c r="AA665" s="10">
        <v>4.0613245999999998</v>
      </c>
      <c r="AB665" s="10">
        <v>4.0195029</v>
      </c>
      <c r="AC665" s="10">
        <v>3.9776387</v>
      </c>
      <c r="AD665" s="10">
        <v>3.9361388000000002</v>
      </c>
      <c r="AE665" s="10">
        <v>3.8954083000000002</v>
      </c>
      <c r="AF665" s="10">
        <v>3.8558526</v>
      </c>
      <c r="AG665" s="10">
        <v>3.8178785</v>
      </c>
      <c r="AH665" s="10">
        <v>3.7818185</v>
      </c>
      <c r="AI665" s="10">
        <v>3.7477147999999998</v>
      </c>
      <c r="AJ665" s="10">
        <v>3.7155377000000001</v>
      </c>
      <c r="AK665" s="10">
        <v>3.6852564999999999</v>
      </c>
      <c r="AL665" s="10">
        <v>3.6568407999999999</v>
      </c>
      <c r="AM665" s="10">
        <v>3.6302607999999998</v>
      </c>
      <c r="AN665" s="10">
        <v>3.605486</v>
      </c>
      <c r="AO665" s="10">
        <v>3.5824856999999999</v>
      </c>
      <c r="AP665" s="10">
        <v>3.5612303000000001</v>
      </c>
      <c r="AQ665" s="10">
        <v>3.5416891000000001</v>
      </c>
      <c r="AR665" s="10">
        <v>3.5238317000000001</v>
      </c>
      <c r="AS665" s="10">
        <v>3.5076282000000001</v>
      </c>
      <c r="AT665" s="10">
        <v>3.4930414000000001</v>
      </c>
      <c r="AU665" s="10">
        <v>3.4800011999999998</v>
      </c>
      <c r="AV665" s="10">
        <v>3.4684282999999998</v>
      </c>
      <c r="AW665" s="10">
        <v>3.4582424</v>
      </c>
      <c r="AX665" s="10">
        <v>3.4493638</v>
      </c>
      <c r="AY665" s="10">
        <v>3.4417127999999999</v>
      </c>
      <c r="AZ665" s="10">
        <v>3.4352095</v>
      </c>
      <c r="BA665" s="10">
        <v>3.4297738999999998</v>
      </c>
      <c r="BB665" s="10">
        <v>3.4253263999999999</v>
      </c>
      <c r="BC665" s="10">
        <v>3.4217870000000001</v>
      </c>
      <c r="BD665" s="10">
        <v>3.4190759000000002</v>
      </c>
      <c r="BE665" s="10">
        <v>3.4171133999999999</v>
      </c>
      <c r="BF665" s="10">
        <v>3.4158274</v>
      </c>
      <c r="BG665" s="10">
        <v>3.4151812000000001</v>
      </c>
      <c r="BH665" s="10">
        <v>3.4151474999999998</v>
      </c>
      <c r="BI665" s="10">
        <v>3.4156993</v>
      </c>
      <c r="BJ665" s="10">
        <v>3.4168093000000002</v>
      </c>
      <c r="BK665" s="10">
        <v>3.4184502999999999</v>
      </c>
      <c r="BL665" s="10">
        <v>3.4205950999999999</v>
      </c>
      <c r="BM665" s="10">
        <v>3.4232166999999998</v>
      </c>
      <c r="BN665" s="10">
        <v>3.4262877999999999</v>
      </c>
      <c r="BO665" s="10">
        <v>3.4297811</v>
      </c>
      <c r="BP665" s="10">
        <v>3.4336696999999998</v>
      </c>
      <c r="BQ665" s="10">
        <v>3.4379262000000002</v>
      </c>
      <c r="BR665" s="10">
        <v>3.4701661000000001</v>
      </c>
      <c r="BS665" s="10">
        <v>3.5118075000000002</v>
      </c>
      <c r="BU665" s="7">
        <v>4.1100000000000003</v>
      </c>
      <c r="BV665" s="7">
        <v>4.12</v>
      </c>
      <c r="BW665" s="9">
        <v>84.150800000000004</v>
      </c>
    </row>
    <row r="666" spans="1:75" x14ac:dyDescent="0.25">
      <c r="A666" s="6">
        <f t="shared" si="79"/>
        <v>45484</v>
      </c>
      <c r="B666" s="13">
        <f t="shared" si="74"/>
        <v>7</v>
      </c>
      <c r="C666" s="13">
        <f t="shared" si="75"/>
        <v>2024</v>
      </c>
      <c r="D666">
        <f t="shared" si="76"/>
        <v>202407</v>
      </c>
      <c r="E666">
        <f t="shared" si="77"/>
        <v>3</v>
      </c>
      <c r="F666">
        <f t="shared" si="78"/>
        <v>202403</v>
      </c>
      <c r="G666" t="s">
        <v>1427</v>
      </c>
      <c r="H666" s="9">
        <v>5.25</v>
      </c>
      <c r="I666" s="9">
        <v>5.2</v>
      </c>
      <c r="J666" s="10">
        <v>5.0945081999999999</v>
      </c>
      <c r="K666" s="10">
        <v>5.0217773000000001</v>
      </c>
      <c r="L666" s="10">
        <v>4.9511234999999996</v>
      </c>
      <c r="M666" s="10">
        <v>4.8706331</v>
      </c>
      <c r="N666" s="10">
        <v>4.7813489000000002</v>
      </c>
      <c r="O666" s="10">
        <v>4.6895094999999998</v>
      </c>
      <c r="P666" s="10">
        <v>4.5990317999999997</v>
      </c>
      <c r="Q666" s="10">
        <v>4.5123877999999999</v>
      </c>
      <c r="R666" s="10">
        <v>4.4311230000000004</v>
      </c>
      <c r="S666" s="10">
        <v>4.355817</v>
      </c>
      <c r="T666" s="10">
        <v>4.2867958000000002</v>
      </c>
      <c r="U666" s="10">
        <v>4.2239363000000001</v>
      </c>
      <c r="V666" s="10">
        <v>4.1665216999999997</v>
      </c>
      <c r="W666" s="10">
        <v>4.1137746000000002</v>
      </c>
      <c r="X666" s="10">
        <v>4.0649386999999999</v>
      </c>
      <c r="Y666" s="10">
        <v>4.0192559000000001</v>
      </c>
      <c r="Z666" s="10">
        <v>3.9759680999999998</v>
      </c>
      <c r="AA666" s="10">
        <v>3.9343186999999999</v>
      </c>
      <c r="AB666" s="10">
        <v>3.8936736999999999</v>
      </c>
      <c r="AC666" s="10">
        <v>3.8540337</v>
      </c>
      <c r="AD666" s="10">
        <v>3.8156034000000001</v>
      </c>
      <c r="AE666" s="10">
        <v>3.7785861999999999</v>
      </c>
      <c r="AF666" s="10">
        <v>3.7431855999999999</v>
      </c>
      <c r="AG666" s="10">
        <v>3.7096064000000002</v>
      </c>
      <c r="AH666" s="10">
        <v>3.6780164000000002</v>
      </c>
      <c r="AI666" s="10">
        <v>3.6484098999999999</v>
      </c>
      <c r="AJ666" s="10">
        <v>3.6207294000000001</v>
      </c>
      <c r="AK666" s="10">
        <v>3.5949160999999998</v>
      </c>
      <c r="AL666" s="10">
        <v>3.5709118000000002</v>
      </c>
      <c r="AM666" s="10">
        <v>3.5486585000000002</v>
      </c>
      <c r="AN666" s="10">
        <v>3.5280979000000001</v>
      </c>
      <c r="AO666" s="10">
        <v>3.5091714000000001</v>
      </c>
      <c r="AP666" s="10">
        <v>3.4918212</v>
      </c>
      <c r="AQ666" s="10">
        <v>3.4759888999999999</v>
      </c>
      <c r="AR666" s="10">
        <v>3.4616161000000001</v>
      </c>
      <c r="AS666" s="10">
        <v>3.4486447999999998</v>
      </c>
      <c r="AT666" s="10">
        <v>3.4370153999999999</v>
      </c>
      <c r="AU666" s="10">
        <v>3.426663</v>
      </c>
      <c r="AV666" s="10">
        <v>3.4175216000000002</v>
      </c>
      <c r="AW666" s="10">
        <v>3.4095246000000001</v>
      </c>
      <c r="AX666" s="10">
        <v>3.4026059000000002</v>
      </c>
      <c r="AY666" s="10">
        <v>3.3966991000000002</v>
      </c>
      <c r="AZ666" s="10">
        <v>3.3917381</v>
      </c>
      <c r="BA666" s="10">
        <v>3.3876563000000002</v>
      </c>
      <c r="BB666" s="10">
        <v>3.3843877999999998</v>
      </c>
      <c r="BC666" s="10">
        <v>3.381866</v>
      </c>
      <c r="BD666" s="10">
        <v>3.3800246999999999</v>
      </c>
      <c r="BE666" s="10">
        <v>3.3787976</v>
      </c>
      <c r="BF666" s="10">
        <v>3.378126</v>
      </c>
      <c r="BG666" s="10">
        <v>3.3779840000000001</v>
      </c>
      <c r="BH666" s="10">
        <v>3.3783550999999998</v>
      </c>
      <c r="BI666" s="10">
        <v>3.3792227000000001</v>
      </c>
      <c r="BJ666" s="10">
        <v>3.3805700999999999</v>
      </c>
      <c r="BK666" s="10">
        <v>3.3823805999999998</v>
      </c>
      <c r="BL666" s="10">
        <v>3.3846378000000001</v>
      </c>
      <c r="BM666" s="10">
        <v>3.3873248999999999</v>
      </c>
      <c r="BN666" s="10">
        <v>3.3904253</v>
      </c>
      <c r="BO666" s="10">
        <v>3.3939224000000001</v>
      </c>
      <c r="BP666" s="10">
        <v>3.3977997000000002</v>
      </c>
      <c r="BQ666" s="10">
        <v>3.4020404000000002</v>
      </c>
      <c r="BR666" s="10">
        <v>3.4343368000000001</v>
      </c>
      <c r="BS666" s="10">
        <v>3.4764409999999999</v>
      </c>
      <c r="BU666" s="7">
        <v>4.0599999999999996</v>
      </c>
      <c r="BV666" s="7">
        <v>4.08</v>
      </c>
      <c r="BW666" s="9">
        <v>84.431299999999993</v>
      </c>
    </row>
    <row r="667" spans="1:75" x14ac:dyDescent="0.25">
      <c r="A667" s="6">
        <f t="shared" si="79"/>
        <v>45485</v>
      </c>
      <c r="B667" s="13">
        <f t="shared" si="74"/>
        <v>7</v>
      </c>
      <c r="C667" s="13">
        <f t="shared" si="75"/>
        <v>2024</v>
      </c>
      <c r="D667">
        <f t="shared" si="76"/>
        <v>202407</v>
      </c>
      <c r="E667">
        <f t="shared" si="77"/>
        <v>3</v>
      </c>
      <c r="F667">
        <f t="shared" si="78"/>
        <v>202403</v>
      </c>
      <c r="G667" t="s">
        <v>1428</v>
      </c>
      <c r="H667" s="9">
        <v>5.25</v>
      </c>
      <c r="I667" s="9">
        <v>5.2</v>
      </c>
      <c r="J667" s="10">
        <v>5.1031082999999997</v>
      </c>
      <c r="K667" s="10">
        <v>5.0352072999999997</v>
      </c>
      <c r="L667" s="10">
        <v>4.9632402999999998</v>
      </c>
      <c r="M667" s="10">
        <v>4.8806377000000003</v>
      </c>
      <c r="N667" s="10">
        <v>4.7906447999999999</v>
      </c>
      <c r="O667" s="10">
        <v>4.6995386999999997</v>
      </c>
      <c r="P667" s="10">
        <v>4.6110253999999999</v>
      </c>
      <c r="Q667" s="10">
        <v>4.5272345999999999</v>
      </c>
      <c r="R667" s="10">
        <v>4.4491731000000003</v>
      </c>
      <c r="S667" s="10">
        <v>4.3771108999999999</v>
      </c>
      <c r="T667" s="10">
        <v>4.3107161999999999</v>
      </c>
      <c r="U667" s="10">
        <v>4.2493043999999998</v>
      </c>
      <c r="V667" s="10">
        <v>4.1910360999999998</v>
      </c>
      <c r="W667" s="10">
        <v>4.1354389999999999</v>
      </c>
      <c r="X667" s="10">
        <v>4.0825836000000004</v>
      </c>
      <c r="Y667" s="10">
        <v>4.0325385000000002</v>
      </c>
      <c r="Z667" s="10">
        <v>3.9853725</v>
      </c>
      <c r="AA667" s="10">
        <v>3.9411559999999999</v>
      </c>
      <c r="AB667" s="10">
        <v>3.8999229</v>
      </c>
      <c r="AC667" s="10">
        <v>3.8615460000000001</v>
      </c>
      <c r="AD667" s="10">
        <v>3.8258527</v>
      </c>
      <c r="AE667" s="10">
        <v>3.7926690999999999</v>
      </c>
      <c r="AF667" s="10">
        <v>3.7618212999999998</v>
      </c>
      <c r="AG667" s="10">
        <v>3.7331365000000001</v>
      </c>
      <c r="AH667" s="10">
        <v>3.7064520000000001</v>
      </c>
      <c r="AI667" s="10">
        <v>3.6816542000000001</v>
      </c>
      <c r="AJ667" s="10">
        <v>3.6586438999999999</v>
      </c>
      <c r="AK667" s="10">
        <v>3.637321</v>
      </c>
      <c r="AL667" s="10">
        <v>3.6175856</v>
      </c>
      <c r="AM667" s="10">
        <v>3.5993384000000002</v>
      </c>
      <c r="AN667" s="10">
        <v>3.5824793000000001</v>
      </c>
      <c r="AO667" s="10">
        <v>3.5669084999999998</v>
      </c>
      <c r="AP667" s="10">
        <v>3.5525264000000001</v>
      </c>
      <c r="AQ667" s="10">
        <v>3.5392332999999998</v>
      </c>
      <c r="AR667" s="10">
        <v>3.5269290999999998</v>
      </c>
      <c r="AS667" s="10">
        <v>3.5155143999999998</v>
      </c>
      <c r="AT667" s="10">
        <v>3.5049032000000002</v>
      </c>
      <c r="AU667" s="10">
        <v>3.4950646999999999</v>
      </c>
      <c r="AV667" s="10">
        <v>3.4859825</v>
      </c>
      <c r="AW667" s="10">
        <v>3.4776395999999998</v>
      </c>
      <c r="AX667" s="10">
        <v>3.4700194</v>
      </c>
      <c r="AY667" s="10">
        <v>3.4631050999999999</v>
      </c>
      <c r="AZ667" s="10">
        <v>3.4568800999999998</v>
      </c>
      <c r="BA667" s="10">
        <v>3.4513273999999998</v>
      </c>
      <c r="BB667" s="10">
        <v>3.4464305999999998</v>
      </c>
      <c r="BC667" s="10">
        <v>3.4421727999999998</v>
      </c>
      <c r="BD667" s="10">
        <v>3.4385371</v>
      </c>
      <c r="BE667" s="10">
        <v>3.4355071000000001</v>
      </c>
      <c r="BF667" s="10">
        <v>3.4330661999999998</v>
      </c>
      <c r="BG667" s="10">
        <v>3.4311995999999998</v>
      </c>
      <c r="BH667" s="10">
        <v>3.4298929999999999</v>
      </c>
      <c r="BI667" s="10">
        <v>3.4291318999999998</v>
      </c>
      <c r="BJ667" s="10">
        <v>3.4289019000000001</v>
      </c>
      <c r="BK667" s="10">
        <v>3.4291887000000001</v>
      </c>
      <c r="BL667" s="10">
        <v>3.4299778000000001</v>
      </c>
      <c r="BM667" s="10">
        <v>3.4312548</v>
      </c>
      <c r="BN667" s="10">
        <v>3.4330053999999999</v>
      </c>
      <c r="BO667" s="10">
        <v>3.4352151000000002</v>
      </c>
      <c r="BP667" s="10">
        <v>3.4378696</v>
      </c>
      <c r="BQ667" s="10">
        <v>3.4409543999999999</v>
      </c>
      <c r="BR667" s="10">
        <v>3.4677552</v>
      </c>
      <c r="BS667" s="10">
        <v>3.5067910000000002</v>
      </c>
      <c r="BU667" s="7">
        <v>4.09</v>
      </c>
      <c r="BV667" s="7">
        <v>4.12</v>
      </c>
      <c r="BW667" s="9">
        <v>84.766499999999994</v>
      </c>
    </row>
    <row r="668" spans="1:75" x14ac:dyDescent="0.25">
      <c r="A668" s="6">
        <f t="shared" si="79"/>
        <v>45488</v>
      </c>
      <c r="B668" s="13">
        <f t="shared" si="74"/>
        <v>7</v>
      </c>
      <c r="C668" s="13">
        <f t="shared" si="75"/>
        <v>2024</v>
      </c>
      <c r="D668">
        <f t="shared" si="76"/>
        <v>202407</v>
      </c>
      <c r="E668">
        <f t="shared" si="77"/>
        <v>3</v>
      </c>
      <c r="F668">
        <f t="shared" si="78"/>
        <v>202403</v>
      </c>
      <c r="G668" t="s">
        <v>1429</v>
      </c>
      <c r="H668" s="9">
        <v>5.25</v>
      </c>
      <c r="I668" s="9">
        <v>5.2</v>
      </c>
      <c r="J668" s="10">
        <v>5.0946078999999997</v>
      </c>
      <c r="K668" s="10">
        <v>5.0373513000000001</v>
      </c>
      <c r="L668" s="10">
        <v>4.9645256</v>
      </c>
      <c r="M668" s="10">
        <v>4.8771414999999996</v>
      </c>
      <c r="N668" s="10">
        <v>4.7822119000000001</v>
      </c>
      <c r="O668" s="10">
        <v>4.6868572000000004</v>
      </c>
      <c r="P668" s="10">
        <v>4.5953284999999999</v>
      </c>
      <c r="Q668" s="10">
        <v>4.5097901</v>
      </c>
      <c r="R668" s="10">
        <v>4.4319245</v>
      </c>
      <c r="S668" s="10">
        <v>4.3618367999999998</v>
      </c>
      <c r="T668" s="10">
        <v>4.2993782999999999</v>
      </c>
      <c r="U668" s="10">
        <v>4.2434911</v>
      </c>
      <c r="V668" s="10">
        <v>4.1920824999999997</v>
      </c>
      <c r="W668" s="10">
        <v>4.1442069999999998</v>
      </c>
      <c r="X668" s="10">
        <v>4.0992962000000004</v>
      </c>
      <c r="Y668" s="10">
        <v>4.0567798000000002</v>
      </c>
      <c r="Z668" s="10">
        <v>4.0160875999999996</v>
      </c>
      <c r="AA668" s="10">
        <v>3.9766511000000002</v>
      </c>
      <c r="AB668" s="10">
        <v>3.9380071999999999</v>
      </c>
      <c r="AC668" s="10">
        <v>3.9001904999999999</v>
      </c>
      <c r="AD668" s="10">
        <v>3.8633812999999999</v>
      </c>
      <c r="AE668" s="10">
        <v>3.8277583000000002</v>
      </c>
      <c r="AF668" s="10">
        <v>3.7935004000000001</v>
      </c>
      <c r="AG668" s="10">
        <v>3.7607876</v>
      </c>
      <c r="AH668" s="10">
        <v>3.7297620999999999</v>
      </c>
      <c r="AI668" s="10">
        <v>3.7004193999999999</v>
      </c>
      <c r="AJ668" s="10">
        <v>3.6727192</v>
      </c>
      <c r="AK668" s="10">
        <v>3.6466202999999999</v>
      </c>
      <c r="AL668" s="10">
        <v>3.6220816</v>
      </c>
      <c r="AM668" s="10">
        <v>3.5990627000000002</v>
      </c>
      <c r="AN668" s="10">
        <v>3.5775225000000002</v>
      </c>
      <c r="AO668" s="10">
        <v>3.5574199000000002</v>
      </c>
      <c r="AP668" s="10">
        <v>3.5387145000000002</v>
      </c>
      <c r="AQ668" s="10">
        <v>3.5213651000000001</v>
      </c>
      <c r="AR668" s="10">
        <v>3.5053306000000002</v>
      </c>
      <c r="AS668" s="10">
        <v>3.4905705999999999</v>
      </c>
      <c r="AT668" s="10">
        <v>3.4770441000000001</v>
      </c>
      <c r="AU668" s="10">
        <v>3.4647103000000001</v>
      </c>
      <c r="AV668" s="10">
        <v>3.4535290999999999</v>
      </c>
      <c r="AW668" s="10">
        <v>3.4434597</v>
      </c>
      <c r="AX668" s="10">
        <v>3.4344616000000001</v>
      </c>
      <c r="AY668" s="10">
        <v>3.4264944000000002</v>
      </c>
      <c r="AZ668" s="10">
        <v>3.4195175999999998</v>
      </c>
      <c r="BA668" s="10">
        <v>3.4134905999999998</v>
      </c>
      <c r="BB668" s="10">
        <v>3.4083730000000001</v>
      </c>
      <c r="BC668" s="10">
        <v>3.4041242</v>
      </c>
      <c r="BD668" s="10">
        <v>3.4007038000000001</v>
      </c>
      <c r="BE668" s="10">
        <v>3.3980712</v>
      </c>
      <c r="BF668" s="10">
        <v>3.3961879000000001</v>
      </c>
      <c r="BG668" s="10">
        <v>3.3950262000000002</v>
      </c>
      <c r="BH668" s="10">
        <v>3.3945620000000001</v>
      </c>
      <c r="BI668" s="10">
        <v>3.3947712000000001</v>
      </c>
      <c r="BJ668" s="10">
        <v>3.3956295999999999</v>
      </c>
      <c r="BK668" s="10">
        <v>3.3971133</v>
      </c>
      <c r="BL668" s="10">
        <v>3.3991980000000002</v>
      </c>
      <c r="BM668" s="10">
        <v>3.4018595999999999</v>
      </c>
      <c r="BN668" s="10">
        <v>3.4050741000000002</v>
      </c>
      <c r="BO668" s="10">
        <v>3.4088174000000002</v>
      </c>
      <c r="BP668" s="10">
        <v>3.4130653</v>
      </c>
      <c r="BQ668" s="10">
        <v>3.4177938000000001</v>
      </c>
      <c r="BR668" s="10">
        <v>3.4549829999999999</v>
      </c>
      <c r="BS668" s="10">
        <v>3.5038706999999998</v>
      </c>
      <c r="BU668" s="7">
        <v>4.08</v>
      </c>
      <c r="BV668" s="7">
        <v>4.1100000000000003</v>
      </c>
      <c r="BW668" s="9">
        <v>84.735399999999998</v>
      </c>
    </row>
    <row r="669" spans="1:75" x14ac:dyDescent="0.25">
      <c r="A669" s="6">
        <f t="shared" si="79"/>
        <v>45489</v>
      </c>
      <c r="B669" s="13">
        <f t="shared" ref="B669" si="80">MONTH(A669)</f>
        <v>7</v>
      </c>
      <c r="C669" s="13">
        <f t="shared" ref="C669" si="81">YEAR(A669)</f>
        <v>2024</v>
      </c>
      <c r="D669">
        <f t="shared" ref="D669" si="82">C669*100+B669</f>
        <v>202407</v>
      </c>
      <c r="E669">
        <f t="shared" ref="E669" si="83">IF(B669&lt;4,1,IF(B669&lt;7,2,IF(B669&lt;10,3,4)))</f>
        <v>3</v>
      </c>
      <c r="F669">
        <f t="shared" ref="F669" si="84">C669*100+E669</f>
        <v>202403</v>
      </c>
      <c r="G669" t="s">
        <v>1435</v>
      </c>
      <c r="H669" s="9">
        <v>5.25</v>
      </c>
      <c r="I669" s="9">
        <v>5.2</v>
      </c>
      <c r="J669" s="10">
        <v>5.0913668000000003</v>
      </c>
      <c r="K669" s="10">
        <v>5.0388586999999996</v>
      </c>
      <c r="L669" s="10">
        <v>4.9656485000000004</v>
      </c>
      <c r="M669" s="10">
        <v>4.8757257000000003</v>
      </c>
      <c r="N669" s="10">
        <v>4.7770688999999997</v>
      </c>
      <c r="O669" s="10">
        <v>4.6770052</v>
      </c>
      <c r="P669" s="10">
        <v>4.5801524999999996</v>
      </c>
      <c r="Q669" s="10">
        <v>4.4894210000000001</v>
      </c>
      <c r="R669" s="10">
        <v>4.4069545000000003</v>
      </c>
      <c r="S669" s="10">
        <v>4.3330972000000001</v>
      </c>
      <c r="T669" s="10">
        <v>4.2676249000000004</v>
      </c>
      <c r="U669" s="10">
        <v>4.2092828000000004</v>
      </c>
      <c r="V669" s="10">
        <v>4.1555252999999999</v>
      </c>
      <c r="W669" s="10">
        <v>4.1053157999999996</v>
      </c>
      <c r="X669" s="10">
        <v>4.0581022999999998</v>
      </c>
      <c r="Y669" s="10">
        <v>4.0133308000000003</v>
      </c>
      <c r="Z669" s="10">
        <v>3.9704475000000001</v>
      </c>
      <c r="AA669" s="10">
        <v>3.9289002000000002</v>
      </c>
      <c r="AB669" s="10">
        <v>3.8882405000000002</v>
      </c>
      <c r="AC669" s="10">
        <v>3.8485102000000002</v>
      </c>
      <c r="AD669" s="10">
        <v>3.8098944000000001</v>
      </c>
      <c r="AE669" s="10">
        <v>3.7725765999999998</v>
      </c>
      <c r="AF669" s="10">
        <v>3.7367406000000001</v>
      </c>
      <c r="AG669" s="10">
        <v>3.7025714000000001</v>
      </c>
      <c r="AH669" s="10">
        <v>3.6702148000000001</v>
      </c>
      <c r="AI669" s="10">
        <v>3.6396655</v>
      </c>
      <c r="AJ669" s="10">
        <v>3.6108815999999999</v>
      </c>
      <c r="AK669" s="10">
        <v>3.5838198000000001</v>
      </c>
      <c r="AL669" s="10">
        <v>3.5584370000000001</v>
      </c>
      <c r="AM669" s="10">
        <v>3.5346913</v>
      </c>
      <c r="AN669" s="10">
        <v>3.5125392999999998</v>
      </c>
      <c r="AO669" s="10">
        <v>3.4919383000000002</v>
      </c>
      <c r="AP669" s="10">
        <v>3.4728458</v>
      </c>
      <c r="AQ669" s="10">
        <v>3.4552187999999999</v>
      </c>
      <c r="AR669" s="10">
        <v>3.4390144999999999</v>
      </c>
      <c r="AS669" s="10">
        <v>3.4241904000000001</v>
      </c>
      <c r="AT669" s="10">
        <v>3.4107018999999998</v>
      </c>
      <c r="AU669" s="10">
        <v>3.3984983</v>
      </c>
      <c r="AV669" s="10">
        <v>3.3875272999999999</v>
      </c>
      <c r="AW669" s="10">
        <v>3.3777365000000001</v>
      </c>
      <c r="AX669" s="10">
        <v>3.3690734999999998</v>
      </c>
      <c r="AY669" s="10">
        <v>3.3614861</v>
      </c>
      <c r="AZ669" s="10">
        <v>3.3549218999999999</v>
      </c>
      <c r="BA669" s="10">
        <v>3.3493284000000001</v>
      </c>
      <c r="BB669" s="10">
        <v>3.3446533999999999</v>
      </c>
      <c r="BC669" s="10">
        <v>3.3408445000000002</v>
      </c>
      <c r="BD669" s="10">
        <v>3.3378492999999998</v>
      </c>
      <c r="BE669" s="10">
        <v>3.3356154999999998</v>
      </c>
      <c r="BF669" s="10">
        <v>3.3340944000000001</v>
      </c>
      <c r="BG669" s="10">
        <v>3.3332546999999999</v>
      </c>
      <c r="BH669" s="10">
        <v>3.3330704999999998</v>
      </c>
      <c r="BI669" s="10">
        <v>3.3335159999999999</v>
      </c>
      <c r="BJ669" s="10">
        <v>3.3345652000000001</v>
      </c>
      <c r="BK669" s="10">
        <v>3.3361922000000002</v>
      </c>
      <c r="BL669" s="10">
        <v>3.3383712000000001</v>
      </c>
      <c r="BM669" s="10">
        <v>3.3410763000000001</v>
      </c>
      <c r="BN669" s="10">
        <v>3.3442815000000001</v>
      </c>
      <c r="BO669" s="10">
        <v>3.3479610000000002</v>
      </c>
      <c r="BP669" s="10">
        <v>3.3520889</v>
      </c>
      <c r="BQ669" s="10">
        <v>3.3566392999999999</v>
      </c>
      <c r="BR669" s="10">
        <v>3.3916751000000001</v>
      </c>
      <c r="BS669" s="10">
        <v>3.4372823000000001</v>
      </c>
      <c r="BU669" s="7">
        <v>3.98</v>
      </c>
      <c r="BV669" s="7">
        <v>4.05</v>
      </c>
      <c r="BW669" s="9">
        <v>84.716499999999996</v>
      </c>
    </row>
    <row r="670" spans="1:75" x14ac:dyDescent="0.25">
      <c r="A670" s="6">
        <f t="shared" si="79"/>
        <v>45490</v>
      </c>
      <c r="B670" s="13">
        <f t="shared" ref="B670" si="85">MONTH(A670)</f>
        <v>7</v>
      </c>
      <c r="C670" s="13">
        <f t="shared" ref="C670" si="86">YEAR(A670)</f>
        <v>2024</v>
      </c>
      <c r="D670">
        <f t="shared" ref="D670" si="87">C670*100+B670</f>
        <v>202407</v>
      </c>
      <c r="E670">
        <f t="shared" ref="E670" si="88">IF(B670&lt;4,1,IF(B670&lt;7,2,IF(B670&lt;10,3,4)))</f>
        <v>3</v>
      </c>
      <c r="F670">
        <f t="shared" ref="F670" si="89">C670*100+E670</f>
        <v>202403</v>
      </c>
      <c r="G670" t="s">
        <v>1436</v>
      </c>
      <c r="H670" s="9">
        <v>5.25</v>
      </c>
      <c r="I670" s="9">
        <v>5.2</v>
      </c>
      <c r="J670" s="10">
        <v>5.1141709999999998</v>
      </c>
      <c r="K670" s="10">
        <v>5.0628365999999998</v>
      </c>
      <c r="L670" s="10">
        <v>4.9891877999999998</v>
      </c>
      <c r="M670" s="10">
        <v>4.9001318999999999</v>
      </c>
      <c r="N670" s="10">
        <v>4.8037042000000003</v>
      </c>
      <c r="O670" s="10">
        <v>4.7062092</v>
      </c>
      <c r="P670" s="10">
        <v>4.6115038999999998</v>
      </c>
      <c r="Q670" s="10">
        <v>4.5222566000000004</v>
      </c>
      <c r="R670" s="10">
        <v>4.4404222000000004</v>
      </c>
      <c r="S670" s="10">
        <v>4.3667104999999999</v>
      </c>
      <c r="T670" s="10">
        <v>4.3008895000000003</v>
      </c>
      <c r="U670" s="10">
        <v>4.2421351999999999</v>
      </c>
      <c r="V670" s="10">
        <v>4.1881934999999997</v>
      </c>
      <c r="W670" s="10">
        <v>4.1380029</v>
      </c>
      <c r="X670" s="10">
        <v>4.0909233</v>
      </c>
      <c r="Y670" s="10">
        <v>4.0463129999999996</v>
      </c>
      <c r="Z670" s="10">
        <v>4.0035303999999998</v>
      </c>
      <c r="AA670" s="10">
        <v>3.9619352000000001</v>
      </c>
      <c r="AB670" s="10">
        <v>3.9209896999999998</v>
      </c>
      <c r="AC670" s="10">
        <v>3.8807450999999999</v>
      </c>
      <c r="AD670" s="10">
        <v>3.8414609999999998</v>
      </c>
      <c r="AE670" s="10">
        <v>3.8033958999999999</v>
      </c>
      <c r="AF670" s="10">
        <v>3.7668081999999998</v>
      </c>
      <c r="AG670" s="10">
        <v>3.7319578999999998</v>
      </c>
      <c r="AH670" s="10">
        <v>3.6990519000000002</v>
      </c>
      <c r="AI670" s="10">
        <v>3.6680917000000002</v>
      </c>
      <c r="AJ670" s="10">
        <v>3.6390286000000001</v>
      </c>
      <c r="AK670" s="10">
        <v>3.6118127000000002</v>
      </c>
      <c r="AL670" s="10">
        <v>3.5863939999999999</v>
      </c>
      <c r="AM670" s="10">
        <v>3.5627236999999998</v>
      </c>
      <c r="AN670" s="10">
        <v>3.5407519000000001</v>
      </c>
      <c r="AO670" s="10">
        <v>3.5204289000000002</v>
      </c>
      <c r="AP670" s="10">
        <v>3.5017054999999999</v>
      </c>
      <c r="AQ670" s="10">
        <v>3.4845320000000002</v>
      </c>
      <c r="AR670" s="10">
        <v>3.4688587000000002</v>
      </c>
      <c r="AS670" s="10">
        <v>3.4546364000000001</v>
      </c>
      <c r="AT670" s="10">
        <v>3.4418128000000001</v>
      </c>
      <c r="AU670" s="10">
        <v>3.4303238</v>
      </c>
      <c r="AV670" s="10">
        <v>3.4201019000000001</v>
      </c>
      <c r="AW670" s="10">
        <v>3.4110790999999998</v>
      </c>
      <c r="AX670" s="10">
        <v>3.4031875</v>
      </c>
      <c r="AY670" s="10">
        <v>3.3963597000000001</v>
      </c>
      <c r="AZ670" s="10">
        <v>3.3905276</v>
      </c>
      <c r="BA670" s="10">
        <v>3.3856234999999999</v>
      </c>
      <c r="BB670" s="10">
        <v>3.3815797999999999</v>
      </c>
      <c r="BC670" s="10">
        <v>3.3783284999999998</v>
      </c>
      <c r="BD670" s="10">
        <v>3.3758020000000002</v>
      </c>
      <c r="BE670" s="10">
        <v>3.3739322999999999</v>
      </c>
      <c r="BF670" s="10">
        <v>3.3726590999999999</v>
      </c>
      <c r="BG670" s="10">
        <v>3.3719532999999999</v>
      </c>
      <c r="BH670" s="10">
        <v>3.3717948999999998</v>
      </c>
      <c r="BI670" s="10">
        <v>3.3721638999999999</v>
      </c>
      <c r="BJ670" s="10">
        <v>3.37304</v>
      </c>
      <c r="BK670" s="10">
        <v>3.3744033</v>
      </c>
      <c r="BL670" s="10">
        <v>3.3762335000000001</v>
      </c>
      <c r="BM670" s="10">
        <v>3.3785107000000001</v>
      </c>
      <c r="BN670" s="10">
        <v>3.3812147000000001</v>
      </c>
      <c r="BO670" s="10">
        <v>3.3843253999999998</v>
      </c>
      <c r="BP670" s="10">
        <v>3.3878227000000001</v>
      </c>
      <c r="BQ670" s="10">
        <v>3.3916865</v>
      </c>
      <c r="BR670" s="10">
        <v>3.4217426</v>
      </c>
      <c r="BS670" s="10">
        <v>3.4617593000000002</v>
      </c>
      <c r="BU670" s="7">
        <v>4</v>
      </c>
      <c r="BV670" s="7">
        <v>4.07</v>
      </c>
      <c r="BW670" s="9">
        <v>84.853399999999993</v>
      </c>
    </row>
    <row r="671" spans="1:75" x14ac:dyDescent="0.25">
      <c r="A671" s="6">
        <f t="shared" si="79"/>
        <v>45491</v>
      </c>
      <c r="B671" s="13">
        <f t="shared" ref="B671" si="90">MONTH(A671)</f>
        <v>7</v>
      </c>
      <c r="C671" s="13">
        <f t="shared" ref="C671" si="91">YEAR(A671)</f>
        <v>2024</v>
      </c>
      <c r="D671">
        <f t="shared" ref="D671" si="92">C671*100+B671</f>
        <v>202407</v>
      </c>
      <c r="E671">
        <f t="shared" ref="E671" si="93">IF(B671&lt;4,1,IF(B671&lt;7,2,IF(B671&lt;10,3,4)))</f>
        <v>3</v>
      </c>
      <c r="F671">
        <f t="shared" ref="F671" si="94">C671*100+E671</f>
        <v>202403</v>
      </c>
      <c r="G671" t="s">
        <v>1437</v>
      </c>
      <c r="H671" s="9">
        <v>5.25</v>
      </c>
      <c r="I671" s="9">
        <v>5.2</v>
      </c>
      <c r="J671" s="10">
        <v>5.0895374000000002</v>
      </c>
      <c r="K671" s="10">
        <v>5.0419502999999999</v>
      </c>
      <c r="L671" s="10">
        <v>4.9692084000000003</v>
      </c>
      <c r="M671" s="10">
        <v>4.8797702000000003</v>
      </c>
      <c r="N671" s="10">
        <v>4.7830181999999999</v>
      </c>
      <c r="O671" s="10">
        <v>4.6851561000000004</v>
      </c>
      <c r="P671" s="10">
        <v>4.5891197999999997</v>
      </c>
      <c r="Q671" s="10">
        <v>4.4966068000000003</v>
      </c>
      <c r="R671" s="10">
        <v>4.4089631000000002</v>
      </c>
      <c r="S671" s="10">
        <v>4.3275356</v>
      </c>
      <c r="T671" s="10">
        <v>4.2528477000000002</v>
      </c>
      <c r="U671" s="10">
        <v>4.1851558000000004</v>
      </c>
      <c r="V671" s="10">
        <v>4.1241314999999998</v>
      </c>
      <c r="W671" s="10">
        <v>4.0689691000000003</v>
      </c>
      <c r="X671" s="10">
        <v>4.0187822000000004</v>
      </c>
      <c r="Y671" s="10">
        <v>3.9726823000000002</v>
      </c>
      <c r="Z671" s="10">
        <v>3.9297814999999998</v>
      </c>
      <c r="AA671" s="10">
        <v>3.8891928999999998</v>
      </c>
      <c r="AB671" s="10">
        <v>3.8501561999999998</v>
      </c>
      <c r="AC671" s="10">
        <v>3.8125651999999999</v>
      </c>
      <c r="AD671" s="10">
        <v>3.7765240000000002</v>
      </c>
      <c r="AE671" s="10">
        <v>3.7421356000000001</v>
      </c>
      <c r="AF671" s="10">
        <v>3.7095028999999999</v>
      </c>
      <c r="AG671" s="10">
        <v>3.6787301000000001</v>
      </c>
      <c r="AH671" s="10">
        <v>3.6498973000000001</v>
      </c>
      <c r="AI671" s="10">
        <v>3.6229729000000002</v>
      </c>
      <c r="AJ671" s="10">
        <v>3.5978924999999999</v>
      </c>
      <c r="AK671" s="10">
        <v>3.5745906000000001</v>
      </c>
      <c r="AL671" s="10">
        <v>3.5530018999999999</v>
      </c>
      <c r="AM671" s="10">
        <v>3.5330615999999999</v>
      </c>
      <c r="AN671" s="10">
        <v>3.5147043</v>
      </c>
      <c r="AO671" s="10">
        <v>3.4978647999999999</v>
      </c>
      <c r="AP671" s="10">
        <v>3.4824784000000002</v>
      </c>
      <c r="AQ671" s="10">
        <v>3.4684794999999999</v>
      </c>
      <c r="AR671" s="10">
        <v>3.455803</v>
      </c>
      <c r="AS671" s="10">
        <v>3.4443841000000002</v>
      </c>
      <c r="AT671" s="10">
        <v>3.4341583</v>
      </c>
      <c r="AU671" s="10">
        <v>3.4250657000000002</v>
      </c>
      <c r="AV671" s="10">
        <v>3.4170479</v>
      </c>
      <c r="AW671" s="10">
        <v>3.4100459999999999</v>
      </c>
      <c r="AX671" s="10">
        <v>3.4040012000000002</v>
      </c>
      <c r="AY671" s="10">
        <v>3.3988551</v>
      </c>
      <c r="AZ671" s="10">
        <v>3.3945487999999999</v>
      </c>
      <c r="BA671" s="10">
        <v>3.3910236</v>
      </c>
      <c r="BB671" s="10">
        <v>3.3882208999999999</v>
      </c>
      <c r="BC671" s="10">
        <v>3.386082</v>
      </c>
      <c r="BD671" s="10">
        <v>3.3845480999999999</v>
      </c>
      <c r="BE671" s="10">
        <v>3.3835606</v>
      </c>
      <c r="BF671" s="10">
        <v>3.3830678000000001</v>
      </c>
      <c r="BG671" s="10">
        <v>3.3830491</v>
      </c>
      <c r="BH671" s="10">
        <v>3.3834922999999999</v>
      </c>
      <c r="BI671" s="10">
        <v>3.3843854000000002</v>
      </c>
      <c r="BJ671" s="10">
        <v>3.3857162999999999</v>
      </c>
      <c r="BK671" s="10">
        <v>3.3874727999999998</v>
      </c>
      <c r="BL671" s="10">
        <v>3.3896429000000001</v>
      </c>
      <c r="BM671" s="10">
        <v>3.3922146</v>
      </c>
      <c r="BN671" s="10">
        <v>3.3951756</v>
      </c>
      <c r="BO671" s="10">
        <v>3.3985139000000002</v>
      </c>
      <c r="BP671" s="10">
        <v>3.4022174999999999</v>
      </c>
      <c r="BQ671" s="10">
        <v>3.4062741000000001</v>
      </c>
      <c r="BR671" s="10">
        <v>3.4373874999999998</v>
      </c>
      <c r="BS671" s="10">
        <v>3.4783799000000002</v>
      </c>
      <c r="BU671" s="7">
        <v>3.99</v>
      </c>
      <c r="BV671" s="7">
        <v>4.07</v>
      </c>
      <c r="BW671" s="9">
        <v>84.674899999999994</v>
      </c>
    </row>
    <row r="672" spans="1:75" x14ac:dyDescent="0.25">
      <c r="A672" s="6">
        <f t="shared" si="79"/>
        <v>45492</v>
      </c>
      <c r="B672" s="13">
        <f t="shared" ref="B672:B681" si="95">MONTH(A672)</f>
        <v>7</v>
      </c>
      <c r="C672" s="13">
        <f t="shared" ref="C672:C681" si="96">YEAR(A672)</f>
        <v>2024</v>
      </c>
      <c r="D672">
        <f t="shared" ref="D672:D681" si="97">C672*100+B672</f>
        <v>202407</v>
      </c>
      <c r="E672">
        <f t="shared" ref="E672:E681" si="98">IF(B672&lt;4,1,IF(B672&lt;7,2,IF(B672&lt;10,3,4)))</f>
        <v>3</v>
      </c>
      <c r="F672">
        <f t="shared" ref="F672:F681" si="99">C672*100+E672</f>
        <v>202403</v>
      </c>
      <c r="G672" t="s">
        <v>1439</v>
      </c>
      <c r="H672" s="9">
        <v>5.25</v>
      </c>
      <c r="I672" s="9">
        <v>5.2</v>
      </c>
      <c r="J672" s="10">
        <v>5.0840553999999996</v>
      </c>
      <c r="K672" s="10">
        <v>5.0399791</v>
      </c>
      <c r="L672" s="10">
        <v>4.9709833000000003</v>
      </c>
      <c r="M672" s="10">
        <v>4.8852289999999998</v>
      </c>
      <c r="N672" s="10">
        <v>4.7926137999999998</v>
      </c>
      <c r="O672" s="10">
        <v>4.6995082999999997</v>
      </c>
      <c r="P672" s="10">
        <v>4.6090556999999999</v>
      </c>
      <c r="Q672" s="10">
        <v>4.5228412999999996</v>
      </c>
      <c r="R672" s="10">
        <v>4.4417489000000003</v>
      </c>
      <c r="S672" s="10">
        <v>4.3664962999999997</v>
      </c>
      <c r="T672" s="10">
        <v>4.2971643999999998</v>
      </c>
      <c r="U672" s="10">
        <v>4.2334139999999998</v>
      </c>
      <c r="V672" s="10">
        <v>4.1741448999999999</v>
      </c>
      <c r="W672" s="10">
        <v>4.1187528999999996</v>
      </c>
      <c r="X672" s="10">
        <v>4.0668604999999998</v>
      </c>
      <c r="Y672" s="10">
        <v>4.0180885000000002</v>
      </c>
      <c r="Z672" s="10">
        <v>3.9720574000000002</v>
      </c>
      <c r="AA672" s="10">
        <v>3.9283896</v>
      </c>
      <c r="AB672" s="10">
        <v>3.8867752000000002</v>
      </c>
      <c r="AC672" s="10">
        <v>3.8472265999999999</v>
      </c>
      <c r="AD672" s="10">
        <v>3.8098508999999998</v>
      </c>
      <c r="AE672" s="10">
        <v>3.7747538</v>
      </c>
      <c r="AF672" s="10">
        <v>3.742041</v>
      </c>
      <c r="AG672" s="10">
        <v>3.7118194</v>
      </c>
      <c r="AH672" s="10">
        <v>3.6841567</v>
      </c>
      <c r="AI672" s="10">
        <v>3.6589515000000001</v>
      </c>
      <c r="AJ672" s="10">
        <v>3.6360570000000001</v>
      </c>
      <c r="AK672" s="10">
        <v>3.6153254000000001</v>
      </c>
      <c r="AL672" s="10">
        <v>3.5966090999999998</v>
      </c>
      <c r="AM672" s="10">
        <v>3.5797609000000001</v>
      </c>
      <c r="AN672" s="10">
        <v>3.5646331</v>
      </c>
      <c r="AO672" s="10">
        <v>3.5510780999999998</v>
      </c>
      <c r="AP672" s="10">
        <v>3.5389487000000002</v>
      </c>
      <c r="AQ672" s="10">
        <v>3.5280973000000002</v>
      </c>
      <c r="AR672" s="10">
        <v>3.5183762999999999</v>
      </c>
      <c r="AS672" s="10">
        <v>3.5096384</v>
      </c>
      <c r="AT672" s="10">
        <v>3.5017537999999999</v>
      </c>
      <c r="AU672" s="10">
        <v>3.4946641000000001</v>
      </c>
      <c r="AV672" s="10">
        <v>3.4883289</v>
      </c>
      <c r="AW672" s="10">
        <v>3.4827075000000001</v>
      </c>
      <c r="AX672" s="10">
        <v>3.4777594000000001</v>
      </c>
      <c r="AY672" s="10">
        <v>3.4734440000000002</v>
      </c>
      <c r="AZ672" s="10">
        <v>3.4697208000000002</v>
      </c>
      <c r="BA672" s="10">
        <v>3.4665492000000002</v>
      </c>
      <c r="BB672" s="10">
        <v>3.4638887</v>
      </c>
      <c r="BC672" s="10">
        <v>3.4616986000000001</v>
      </c>
      <c r="BD672" s="10">
        <v>3.4599386000000001</v>
      </c>
      <c r="BE672" s="10">
        <v>3.4585678999999998</v>
      </c>
      <c r="BF672" s="10">
        <v>3.4575526000000001</v>
      </c>
      <c r="BG672" s="10">
        <v>3.4568875999999999</v>
      </c>
      <c r="BH672" s="10">
        <v>3.4565760000000001</v>
      </c>
      <c r="BI672" s="10">
        <v>3.4566205000000001</v>
      </c>
      <c r="BJ672" s="10">
        <v>3.4570242000000002</v>
      </c>
      <c r="BK672" s="10">
        <v>3.4577898999999999</v>
      </c>
      <c r="BL672" s="10">
        <v>3.4589207000000002</v>
      </c>
      <c r="BM672" s="10">
        <v>3.4604194000000001</v>
      </c>
      <c r="BN672" s="10">
        <v>3.4622890000000002</v>
      </c>
      <c r="BO672" s="10">
        <v>3.4645324</v>
      </c>
      <c r="BP672" s="10">
        <v>3.4671525999999999</v>
      </c>
      <c r="BQ672" s="10">
        <v>3.4701523999999999</v>
      </c>
      <c r="BR672" s="10">
        <v>3.4958406000000002</v>
      </c>
      <c r="BS672" s="10">
        <v>3.5332165</v>
      </c>
      <c r="BU672" s="7">
        <v>4</v>
      </c>
      <c r="BV672" s="7">
        <v>4.13</v>
      </c>
      <c r="BW672" s="9">
        <v>84.447900000000004</v>
      </c>
    </row>
    <row r="673" spans="1:75" x14ac:dyDescent="0.25">
      <c r="A673" s="6">
        <f t="shared" si="79"/>
        <v>45495</v>
      </c>
      <c r="B673" s="13">
        <f t="shared" si="95"/>
        <v>7</v>
      </c>
      <c r="C673" s="13">
        <f t="shared" si="96"/>
        <v>2024</v>
      </c>
      <c r="D673">
        <f t="shared" si="97"/>
        <v>202407</v>
      </c>
      <c r="E673">
        <f t="shared" si="98"/>
        <v>3</v>
      </c>
      <c r="F673">
        <f t="shared" si="99"/>
        <v>202403</v>
      </c>
      <c r="G673" t="s">
        <v>1442</v>
      </c>
      <c r="H673" s="9">
        <v>5.25</v>
      </c>
      <c r="I673" s="9">
        <v>5.2</v>
      </c>
      <c r="J673" s="10">
        <v>5.0981736</v>
      </c>
      <c r="K673" s="10">
        <v>5.0525574000000004</v>
      </c>
      <c r="L673" s="10">
        <v>4.9866557</v>
      </c>
      <c r="M673" s="10">
        <v>4.9069105999999998</v>
      </c>
      <c r="N673" s="10">
        <v>4.8212351</v>
      </c>
      <c r="O673" s="10">
        <v>4.7344873999999999</v>
      </c>
      <c r="P673" s="10">
        <v>4.6498897000000001</v>
      </c>
      <c r="Q673" s="10">
        <v>4.5696813000000001</v>
      </c>
      <c r="R673" s="10">
        <v>4.4956427999999997</v>
      </c>
      <c r="S673" s="10">
        <v>4.4282447999999999</v>
      </c>
      <c r="T673" s="10">
        <v>4.3676342000000004</v>
      </c>
      <c r="U673" s="10">
        <v>4.3129939000000004</v>
      </c>
      <c r="V673" s="10">
        <v>4.2625419000000004</v>
      </c>
      <c r="W673" s="10">
        <v>4.2154197</v>
      </c>
      <c r="X673" s="10">
        <v>4.1710788000000001</v>
      </c>
      <c r="Y673" s="10">
        <v>4.1289690999999999</v>
      </c>
      <c r="Z673" s="10">
        <v>4.0885404000000003</v>
      </c>
      <c r="AA673" s="10">
        <v>4.0492441000000001</v>
      </c>
      <c r="AB673" s="10">
        <v>4.0106386000000001</v>
      </c>
      <c r="AC673" s="10">
        <v>3.9727855999999999</v>
      </c>
      <c r="AD673" s="10">
        <v>3.9358938999999999</v>
      </c>
      <c r="AE673" s="10">
        <v>3.9001709999999998</v>
      </c>
      <c r="AF673" s="10">
        <v>3.8658242</v>
      </c>
      <c r="AG673" s="10">
        <v>3.8330625</v>
      </c>
      <c r="AH673" s="10">
        <v>3.8020501000000002</v>
      </c>
      <c r="AI673" s="10">
        <v>3.7727794000000001</v>
      </c>
      <c r="AJ673" s="10">
        <v>3.7452005000000002</v>
      </c>
      <c r="AK673" s="10">
        <v>3.7192625000000001</v>
      </c>
      <c r="AL673" s="10">
        <v>3.6949147</v>
      </c>
      <c r="AM673" s="10">
        <v>3.6721070999999998</v>
      </c>
      <c r="AN673" s="10">
        <v>3.6507887999999999</v>
      </c>
      <c r="AO673" s="10">
        <v>3.6309092000000001</v>
      </c>
      <c r="AP673" s="10">
        <v>3.6124182</v>
      </c>
      <c r="AQ673" s="10">
        <v>3.5952651000000002</v>
      </c>
      <c r="AR673" s="10">
        <v>3.5793990999999998</v>
      </c>
      <c r="AS673" s="10">
        <v>3.5647701000000001</v>
      </c>
      <c r="AT673" s="10">
        <v>3.5513294000000002</v>
      </c>
      <c r="AU673" s="10">
        <v>3.5390364000000001</v>
      </c>
      <c r="AV673" s="10">
        <v>3.5278526000000001</v>
      </c>
      <c r="AW673" s="10">
        <v>3.5177394999999998</v>
      </c>
      <c r="AX673" s="10">
        <v>3.5086583</v>
      </c>
      <c r="AY673" s="10">
        <v>3.5005706000000001</v>
      </c>
      <c r="AZ673" s="10">
        <v>3.4934379</v>
      </c>
      <c r="BA673" s="10">
        <v>3.4872215</v>
      </c>
      <c r="BB673" s="10">
        <v>3.4818829</v>
      </c>
      <c r="BC673" s="10">
        <v>3.4773836</v>
      </c>
      <c r="BD673" s="10">
        <v>3.4736848</v>
      </c>
      <c r="BE673" s="10">
        <v>3.4707482000000001</v>
      </c>
      <c r="BF673" s="10">
        <v>3.4685370999999998</v>
      </c>
      <c r="BG673" s="10">
        <v>3.4670264</v>
      </c>
      <c r="BH673" s="10">
        <v>3.4661944</v>
      </c>
      <c r="BI673" s="10">
        <v>3.4660194999999998</v>
      </c>
      <c r="BJ673" s="10">
        <v>3.4664803000000002</v>
      </c>
      <c r="BK673" s="10">
        <v>3.4675552000000001</v>
      </c>
      <c r="BL673" s="10">
        <v>3.4692227</v>
      </c>
      <c r="BM673" s="10">
        <v>3.4714611</v>
      </c>
      <c r="BN673" s="10">
        <v>3.4742489000000001</v>
      </c>
      <c r="BO673" s="10">
        <v>3.4775646999999998</v>
      </c>
      <c r="BP673" s="10">
        <v>3.4813868000000001</v>
      </c>
      <c r="BQ673" s="10">
        <v>3.4856935999999998</v>
      </c>
      <c r="BR673" s="10">
        <v>3.5204806999999998</v>
      </c>
      <c r="BS673" s="10">
        <v>3.5671187</v>
      </c>
      <c r="BU673" s="7">
        <v>4.08</v>
      </c>
      <c r="BV673" s="7">
        <v>4.17</v>
      </c>
      <c r="BW673" s="9">
        <v>84.466099999999997</v>
      </c>
    </row>
    <row r="674" spans="1:75" x14ac:dyDescent="0.25">
      <c r="A674" s="6">
        <f t="shared" si="79"/>
        <v>45496</v>
      </c>
      <c r="B674" s="13">
        <f t="shared" si="95"/>
        <v>7</v>
      </c>
      <c r="C674" s="13">
        <f t="shared" si="96"/>
        <v>2024</v>
      </c>
      <c r="D674">
        <f t="shared" si="97"/>
        <v>202407</v>
      </c>
      <c r="E674">
        <f t="shared" si="98"/>
        <v>3</v>
      </c>
      <c r="F674">
        <f t="shared" si="99"/>
        <v>202403</v>
      </c>
      <c r="G674" t="s">
        <v>1443</v>
      </c>
      <c r="H674" s="9">
        <v>5.25</v>
      </c>
      <c r="I674" s="9">
        <v>5.2</v>
      </c>
      <c r="J674" s="10">
        <v>5.0951360000000001</v>
      </c>
      <c r="K674" s="10">
        <v>5.0391402999999997</v>
      </c>
      <c r="L674" s="10">
        <v>4.9642628999999996</v>
      </c>
      <c r="M674" s="10">
        <v>4.8786554000000004</v>
      </c>
      <c r="N674" s="10">
        <v>4.7895171000000003</v>
      </c>
      <c r="O674" s="10">
        <v>4.7007759</v>
      </c>
      <c r="P674" s="10">
        <v>4.6147514000000003</v>
      </c>
      <c r="Q674" s="10">
        <v>4.5331793999999999</v>
      </c>
      <c r="R674" s="10">
        <v>4.4576399000000002</v>
      </c>
      <c r="S674" s="10">
        <v>4.3887172000000003</v>
      </c>
      <c r="T674" s="10">
        <v>4.3266147000000004</v>
      </c>
      <c r="U674" s="10">
        <v>4.2706227999999999</v>
      </c>
      <c r="V674" s="10">
        <v>4.2191159999999996</v>
      </c>
      <c r="W674" s="10">
        <v>4.1712553000000003</v>
      </c>
      <c r="X674" s="10">
        <v>4.1264656000000004</v>
      </c>
      <c r="Y674" s="10">
        <v>4.0841703999999996</v>
      </c>
      <c r="Z674" s="10">
        <v>4.0437931000000003</v>
      </c>
      <c r="AA674" s="10">
        <v>4.0047585999999997</v>
      </c>
      <c r="AB674" s="10">
        <v>3.9665941999999998</v>
      </c>
      <c r="AC674" s="10">
        <v>3.9293084999999999</v>
      </c>
      <c r="AD674" s="10">
        <v>3.8930506999999999</v>
      </c>
      <c r="AE674" s="10">
        <v>3.8579688999999999</v>
      </c>
      <c r="AF674" s="10">
        <v>3.8242112000000001</v>
      </c>
      <c r="AG674" s="10">
        <v>3.7919269999999998</v>
      </c>
      <c r="AH674" s="10">
        <v>3.7612345999999999</v>
      </c>
      <c r="AI674" s="10">
        <v>3.7321344999999999</v>
      </c>
      <c r="AJ674" s="10">
        <v>3.7045984999999999</v>
      </c>
      <c r="AK674" s="10">
        <v>3.6785975</v>
      </c>
      <c r="AL674" s="10">
        <v>3.6541022000000001</v>
      </c>
      <c r="AM674" s="10">
        <v>3.6310845</v>
      </c>
      <c r="AN674" s="10">
        <v>3.6095153</v>
      </c>
      <c r="AO674" s="10">
        <v>3.5893652999999999</v>
      </c>
      <c r="AP674" s="10">
        <v>3.5706064</v>
      </c>
      <c r="AQ674" s="10">
        <v>3.5532092999999998</v>
      </c>
      <c r="AR674" s="10">
        <v>3.5371450000000002</v>
      </c>
      <c r="AS674" s="10">
        <v>3.5223852</v>
      </c>
      <c r="AT674" s="10">
        <v>3.5088974999999998</v>
      </c>
      <c r="AU674" s="10">
        <v>3.4966363999999999</v>
      </c>
      <c r="AV674" s="10">
        <v>3.4855537000000001</v>
      </c>
      <c r="AW674" s="10">
        <v>3.4756007000000002</v>
      </c>
      <c r="AX674" s="10">
        <v>3.4667287</v>
      </c>
      <c r="AY674" s="10">
        <v>3.4588895000000002</v>
      </c>
      <c r="AZ674" s="10">
        <v>3.4520343000000002</v>
      </c>
      <c r="BA674" s="10">
        <v>3.4461145000000002</v>
      </c>
      <c r="BB674" s="10">
        <v>3.4410816999999998</v>
      </c>
      <c r="BC674" s="10">
        <v>3.4368872000000001</v>
      </c>
      <c r="BD674" s="10">
        <v>3.4334826000000001</v>
      </c>
      <c r="BE674" s="10">
        <v>3.4308193</v>
      </c>
      <c r="BF674" s="10">
        <v>3.428852</v>
      </c>
      <c r="BG674" s="10">
        <v>3.4275517</v>
      </c>
      <c r="BH674" s="10">
        <v>3.4268942999999998</v>
      </c>
      <c r="BI674" s="10">
        <v>3.4268556999999999</v>
      </c>
      <c r="BJ674" s="10">
        <v>3.4274117999999998</v>
      </c>
      <c r="BK674" s="10">
        <v>3.4285383999999999</v>
      </c>
      <c r="BL674" s="10">
        <v>3.4302114000000001</v>
      </c>
      <c r="BM674" s="10">
        <v>3.4324067999999999</v>
      </c>
      <c r="BN674" s="10">
        <v>3.4351003000000002</v>
      </c>
      <c r="BO674" s="10">
        <v>3.4382679999999999</v>
      </c>
      <c r="BP674" s="10">
        <v>3.4418856999999998</v>
      </c>
      <c r="BQ674" s="10">
        <v>3.4459292000000001</v>
      </c>
      <c r="BR674" s="10">
        <v>3.4780464000000002</v>
      </c>
      <c r="BS674" s="10">
        <v>3.5210135</v>
      </c>
      <c r="BU674" s="7">
        <v>4.01</v>
      </c>
      <c r="BV674" s="7">
        <v>4.13</v>
      </c>
      <c r="BW674" s="9">
        <v>84.578599999999994</v>
      </c>
    </row>
    <row r="675" spans="1:75" x14ac:dyDescent="0.25">
      <c r="A675" s="6">
        <f t="shared" si="79"/>
        <v>45497</v>
      </c>
      <c r="B675" s="13">
        <f t="shared" si="95"/>
        <v>7</v>
      </c>
      <c r="C675" s="13">
        <f t="shared" si="96"/>
        <v>2024</v>
      </c>
      <c r="D675">
        <f t="shared" si="97"/>
        <v>202407</v>
      </c>
      <c r="E675">
        <f t="shared" si="98"/>
        <v>3</v>
      </c>
      <c r="F675">
        <f t="shared" si="99"/>
        <v>202403</v>
      </c>
      <c r="G675" t="s">
        <v>1444</v>
      </c>
      <c r="H675" s="9">
        <v>5.25</v>
      </c>
      <c r="I675" s="9">
        <v>5.2</v>
      </c>
      <c r="J675" s="10">
        <v>5.0852900999999999</v>
      </c>
      <c r="K675" s="10">
        <v>5.0257715000000003</v>
      </c>
      <c r="L675" s="10">
        <v>4.9482910999999996</v>
      </c>
      <c r="M675" s="10">
        <v>4.8596380999999997</v>
      </c>
      <c r="N675" s="10">
        <v>4.7671878000000003</v>
      </c>
      <c r="O675" s="10">
        <v>4.6751506999999997</v>
      </c>
      <c r="P675" s="10">
        <v>4.5860564999999998</v>
      </c>
      <c r="Q675" s="10">
        <v>4.5019309999999999</v>
      </c>
      <c r="R675" s="10">
        <v>4.4243610000000002</v>
      </c>
      <c r="S675" s="10">
        <v>4.3541562000000003</v>
      </c>
      <c r="T675" s="10">
        <v>4.2912432999999996</v>
      </c>
      <c r="U675" s="10">
        <v>4.2350801000000002</v>
      </c>
      <c r="V675" s="10">
        <v>4.1838109000000001</v>
      </c>
      <c r="W675" s="10">
        <v>4.1364627</v>
      </c>
      <c r="X675" s="10">
        <v>4.0923948000000001</v>
      </c>
      <c r="Y675" s="10">
        <v>4.0509649000000003</v>
      </c>
      <c r="Z675" s="10">
        <v>4.0115308000000001</v>
      </c>
      <c r="AA675" s="10">
        <v>3.9734517999999999</v>
      </c>
      <c r="AB675" s="10">
        <v>3.9361845999999998</v>
      </c>
      <c r="AC675" s="10">
        <v>3.8997465999999998</v>
      </c>
      <c r="AD675" s="10">
        <v>3.8643537000000001</v>
      </c>
      <c r="AE675" s="10">
        <v>3.8302204999999998</v>
      </c>
      <c r="AF675" s="10">
        <v>3.7975618</v>
      </c>
      <c r="AG675" s="10">
        <v>3.7665937</v>
      </c>
      <c r="AH675" s="10">
        <v>3.7374866</v>
      </c>
      <c r="AI675" s="10">
        <v>3.7102344999999999</v>
      </c>
      <c r="AJ675" s="10">
        <v>3.6847880000000002</v>
      </c>
      <c r="AK675" s="10">
        <v>3.6610968000000002</v>
      </c>
      <c r="AL675" s="10">
        <v>3.6391108000000001</v>
      </c>
      <c r="AM675" s="10">
        <v>3.6187805000000002</v>
      </c>
      <c r="AN675" s="10">
        <v>3.6000554999999999</v>
      </c>
      <c r="AO675" s="10">
        <v>3.5828858000000001</v>
      </c>
      <c r="AP675" s="10">
        <v>3.5672218999999998</v>
      </c>
      <c r="AQ675" s="10">
        <v>3.5530134000000002</v>
      </c>
      <c r="AR675" s="10">
        <v>3.5402103</v>
      </c>
      <c r="AS675" s="10">
        <v>3.5287628999999998</v>
      </c>
      <c r="AT675" s="10">
        <v>3.5186191</v>
      </c>
      <c r="AU675" s="10">
        <v>3.5097168000000001</v>
      </c>
      <c r="AV675" s="10">
        <v>3.5019914000000001</v>
      </c>
      <c r="AW675" s="10">
        <v>3.4953777000000001</v>
      </c>
      <c r="AX675" s="10">
        <v>3.4898109000000002</v>
      </c>
      <c r="AY675" s="10">
        <v>3.4852259999999999</v>
      </c>
      <c r="AZ675" s="10">
        <v>3.4815581999999998</v>
      </c>
      <c r="BA675" s="10">
        <v>3.4787423999999998</v>
      </c>
      <c r="BB675" s="10">
        <v>3.4767138000000002</v>
      </c>
      <c r="BC675" s="10">
        <v>3.4754075000000002</v>
      </c>
      <c r="BD675" s="10">
        <v>3.4747585000000001</v>
      </c>
      <c r="BE675" s="10">
        <v>3.4747018000000001</v>
      </c>
      <c r="BF675" s="10">
        <v>3.4751794999999999</v>
      </c>
      <c r="BG675" s="10">
        <v>3.4761639</v>
      </c>
      <c r="BH675" s="10">
        <v>3.4776354999999999</v>
      </c>
      <c r="BI675" s="10">
        <v>3.4795753</v>
      </c>
      <c r="BJ675" s="10">
        <v>3.4819637999999999</v>
      </c>
      <c r="BK675" s="10">
        <v>3.4847817000000001</v>
      </c>
      <c r="BL675" s="10">
        <v>3.4880097000000001</v>
      </c>
      <c r="BM675" s="10">
        <v>3.4916285999999999</v>
      </c>
      <c r="BN675" s="10">
        <v>3.495619</v>
      </c>
      <c r="BO675" s="10">
        <v>3.4999615999999998</v>
      </c>
      <c r="BP675" s="10">
        <v>3.5046371999999999</v>
      </c>
      <c r="BQ675" s="10">
        <v>3.5096264000000001</v>
      </c>
      <c r="BR675" s="10">
        <v>3.5453804</v>
      </c>
      <c r="BS675" s="10">
        <v>3.5894658000000002</v>
      </c>
      <c r="BU675" s="7">
        <v>4</v>
      </c>
      <c r="BV675" s="7">
        <v>4.16</v>
      </c>
      <c r="BW675" s="9">
        <v>84.511899999999997</v>
      </c>
    </row>
    <row r="676" spans="1:75" x14ac:dyDescent="0.25">
      <c r="A676" s="6">
        <f t="shared" si="79"/>
        <v>45498</v>
      </c>
      <c r="B676" s="13">
        <f t="shared" si="95"/>
        <v>7</v>
      </c>
      <c r="C676" s="13">
        <f t="shared" si="96"/>
        <v>2024</v>
      </c>
      <c r="D676">
        <f t="shared" si="97"/>
        <v>202407</v>
      </c>
      <c r="E676">
        <f t="shared" si="98"/>
        <v>3</v>
      </c>
      <c r="F676">
        <f t="shared" si="99"/>
        <v>202403</v>
      </c>
      <c r="G676" t="s">
        <v>1445</v>
      </c>
      <c r="H676" s="9">
        <v>5.25</v>
      </c>
      <c r="I676" s="9">
        <v>5.2</v>
      </c>
      <c r="J676" s="10">
        <v>5.0689660999999999</v>
      </c>
      <c r="K676" s="10">
        <v>5.0079580999999997</v>
      </c>
      <c r="L676" s="10">
        <v>4.9291099000000003</v>
      </c>
      <c r="M676" s="10">
        <v>4.8394120000000003</v>
      </c>
      <c r="N676" s="10">
        <v>4.7458805000000002</v>
      </c>
      <c r="O676" s="10">
        <v>4.6521197000000001</v>
      </c>
      <c r="P676" s="10">
        <v>4.5602238000000002</v>
      </c>
      <c r="Q676" s="10">
        <v>4.4721798000000001</v>
      </c>
      <c r="R676" s="10">
        <v>4.3896138000000002</v>
      </c>
      <c r="S676" s="10">
        <v>4.3135431999999998</v>
      </c>
      <c r="T676" s="10">
        <v>4.2444689000000002</v>
      </c>
      <c r="U676" s="10">
        <v>4.182455</v>
      </c>
      <c r="V676" s="10">
        <v>4.1269410000000004</v>
      </c>
      <c r="W676" s="10">
        <v>4.0770783000000002</v>
      </c>
      <c r="X676" s="10">
        <v>4.0319821999999998</v>
      </c>
      <c r="Y676" s="10">
        <v>3.9907663000000002</v>
      </c>
      <c r="Z676" s="10">
        <v>3.9525446</v>
      </c>
      <c r="AA676" s="10">
        <v>3.9164322</v>
      </c>
      <c r="AB676" s="10">
        <v>3.8816673000000002</v>
      </c>
      <c r="AC676" s="10">
        <v>3.8481257000000002</v>
      </c>
      <c r="AD676" s="10">
        <v>3.8158884</v>
      </c>
      <c r="AE676" s="10">
        <v>3.7850348</v>
      </c>
      <c r="AF676" s="10">
        <v>3.7556446999999999</v>
      </c>
      <c r="AG676" s="10">
        <v>3.7277988</v>
      </c>
      <c r="AH676" s="10">
        <v>3.7015606000000001</v>
      </c>
      <c r="AI676" s="10">
        <v>3.676914</v>
      </c>
      <c r="AJ676" s="10">
        <v>3.6538198999999998</v>
      </c>
      <c r="AK676" s="10">
        <v>3.6322380999999999</v>
      </c>
      <c r="AL676" s="10">
        <v>3.6121287</v>
      </c>
      <c r="AM676" s="10">
        <v>3.5934523</v>
      </c>
      <c r="AN676" s="10">
        <v>3.5761690000000002</v>
      </c>
      <c r="AO676" s="10">
        <v>3.5602385999999999</v>
      </c>
      <c r="AP676" s="10">
        <v>3.5456218000000002</v>
      </c>
      <c r="AQ676" s="10">
        <v>3.5322784999999999</v>
      </c>
      <c r="AR676" s="10">
        <v>3.5201690000000001</v>
      </c>
      <c r="AS676" s="10">
        <v>3.5092534999999998</v>
      </c>
      <c r="AT676" s="10">
        <v>3.4994903000000002</v>
      </c>
      <c r="AU676" s="10">
        <v>3.4908286999999998</v>
      </c>
      <c r="AV676" s="10">
        <v>3.4832158</v>
      </c>
      <c r="AW676" s="10">
        <v>3.4765986999999998</v>
      </c>
      <c r="AX676" s="10">
        <v>3.4709243000000001</v>
      </c>
      <c r="AY676" s="10">
        <v>3.4661396999999998</v>
      </c>
      <c r="AZ676" s="10">
        <v>3.4621919999999999</v>
      </c>
      <c r="BA676" s="10">
        <v>3.4590280999999998</v>
      </c>
      <c r="BB676" s="10">
        <v>3.4565950999999999</v>
      </c>
      <c r="BC676" s="10">
        <v>3.4548401000000002</v>
      </c>
      <c r="BD676" s="10">
        <v>3.4537100000000001</v>
      </c>
      <c r="BE676" s="10">
        <v>3.4531518999999999</v>
      </c>
      <c r="BF676" s="10">
        <v>3.4531187000000001</v>
      </c>
      <c r="BG676" s="10">
        <v>3.4535884000000001</v>
      </c>
      <c r="BH676" s="10">
        <v>3.4545463999999999</v>
      </c>
      <c r="BI676" s="10">
        <v>3.4559779000000002</v>
      </c>
      <c r="BJ676" s="10">
        <v>3.4578680999999998</v>
      </c>
      <c r="BK676" s="10">
        <v>3.4602024</v>
      </c>
      <c r="BL676" s="10">
        <v>3.4629658000000001</v>
      </c>
      <c r="BM676" s="10">
        <v>3.4661436999999999</v>
      </c>
      <c r="BN676" s="10">
        <v>3.4697212999999998</v>
      </c>
      <c r="BO676" s="10">
        <v>3.4736839000000002</v>
      </c>
      <c r="BP676" s="10">
        <v>3.4780167</v>
      </c>
      <c r="BQ676" s="10">
        <v>3.4827048</v>
      </c>
      <c r="BR676" s="10">
        <v>3.5175762000000002</v>
      </c>
      <c r="BS676" s="10">
        <v>3.5621589999999999</v>
      </c>
      <c r="BU676" s="7">
        <v>3.96</v>
      </c>
      <c r="BV676" s="7">
        <v>4.1399999999999997</v>
      </c>
      <c r="BW676" s="9">
        <v>84.203299999999999</v>
      </c>
    </row>
    <row r="677" spans="1:75" x14ac:dyDescent="0.25">
      <c r="A677" s="6">
        <f t="shared" si="79"/>
        <v>45499</v>
      </c>
      <c r="B677" s="13">
        <f t="shared" si="95"/>
        <v>7</v>
      </c>
      <c r="C677" s="13">
        <f t="shared" si="96"/>
        <v>2024</v>
      </c>
      <c r="D677">
        <f t="shared" si="97"/>
        <v>202407</v>
      </c>
      <c r="E677">
        <f t="shared" si="98"/>
        <v>3</v>
      </c>
      <c r="F677">
        <f t="shared" si="99"/>
        <v>202403</v>
      </c>
      <c r="G677" t="s">
        <v>1446</v>
      </c>
      <c r="H677" s="9">
        <v>5.25</v>
      </c>
      <c r="I677" s="9">
        <v>5.2</v>
      </c>
      <c r="J677" s="10">
        <v>5.0535648999999996</v>
      </c>
      <c r="K677" s="10">
        <v>4.9945594</v>
      </c>
      <c r="L677" s="10">
        <v>4.9153425000000004</v>
      </c>
      <c r="M677" s="10">
        <v>4.8232967999999996</v>
      </c>
      <c r="N677" s="10">
        <v>4.7269703999999999</v>
      </c>
      <c r="O677" s="10">
        <v>4.6308381000000001</v>
      </c>
      <c r="P677" s="10">
        <v>4.5374208999999999</v>
      </c>
      <c r="Q677" s="10">
        <v>4.4487731999999998</v>
      </c>
      <c r="R677" s="10">
        <v>4.3662561000000002</v>
      </c>
      <c r="S677" s="10">
        <v>4.2907276999999997</v>
      </c>
      <c r="T677" s="10">
        <v>4.2221865000000003</v>
      </c>
      <c r="U677" s="10">
        <v>4.1601989000000001</v>
      </c>
      <c r="V677" s="10">
        <v>4.1035007999999999</v>
      </c>
      <c r="W677" s="10">
        <v>4.0513526000000004</v>
      </c>
      <c r="X677" s="10">
        <v>4.0032566999999997</v>
      </c>
      <c r="Y677" s="10">
        <v>3.9587137999999999</v>
      </c>
      <c r="Z677" s="10">
        <v>3.9172243999999998</v>
      </c>
      <c r="AA677" s="10">
        <v>3.8782909000000001</v>
      </c>
      <c r="AB677" s="10">
        <v>3.8414807999999998</v>
      </c>
      <c r="AC677" s="10">
        <v>3.8066715000000002</v>
      </c>
      <c r="AD677" s="10">
        <v>3.7738317000000001</v>
      </c>
      <c r="AE677" s="10">
        <v>3.7429285999999999</v>
      </c>
      <c r="AF677" s="10">
        <v>3.7139297</v>
      </c>
      <c r="AG677" s="10">
        <v>3.6868034000000001</v>
      </c>
      <c r="AH677" s="10">
        <v>3.6615106000000002</v>
      </c>
      <c r="AI677" s="10">
        <v>3.6379845999999998</v>
      </c>
      <c r="AJ677" s="10">
        <v>3.6161515</v>
      </c>
      <c r="AK677" s="10">
        <v>3.5959368</v>
      </c>
      <c r="AL677" s="10">
        <v>3.5772659</v>
      </c>
      <c r="AM677" s="10">
        <v>3.5600649999999998</v>
      </c>
      <c r="AN677" s="10">
        <v>3.5442594000000001</v>
      </c>
      <c r="AO677" s="10">
        <v>3.5297746999999999</v>
      </c>
      <c r="AP677" s="10">
        <v>3.5165369000000002</v>
      </c>
      <c r="AQ677" s="10">
        <v>3.5044715000000002</v>
      </c>
      <c r="AR677" s="10">
        <v>3.4935040000000002</v>
      </c>
      <c r="AS677" s="10">
        <v>3.4835604</v>
      </c>
      <c r="AT677" s="10">
        <v>3.4745724</v>
      </c>
      <c r="AU677" s="10">
        <v>3.4664963000000002</v>
      </c>
      <c r="AV677" s="10">
        <v>3.4592949000000002</v>
      </c>
      <c r="AW677" s="10">
        <v>3.4529306000000002</v>
      </c>
      <c r="AX677" s="10">
        <v>3.4473660000000002</v>
      </c>
      <c r="AY677" s="10">
        <v>3.4425637999999998</v>
      </c>
      <c r="AZ677" s="10">
        <v>3.4384863999999999</v>
      </c>
      <c r="BA677" s="10">
        <v>3.4350965000000002</v>
      </c>
      <c r="BB677" s="10">
        <v>3.4323565999999999</v>
      </c>
      <c r="BC677" s="10">
        <v>3.4302294</v>
      </c>
      <c r="BD677" s="10">
        <v>3.4286772999999999</v>
      </c>
      <c r="BE677" s="10">
        <v>3.4276629999999999</v>
      </c>
      <c r="BF677" s="10">
        <v>3.4271528999999998</v>
      </c>
      <c r="BG677" s="10">
        <v>3.4271307000000002</v>
      </c>
      <c r="BH677" s="10">
        <v>3.4275847000000002</v>
      </c>
      <c r="BI677" s="10">
        <v>3.4285033</v>
      </c>
      <c r="BJ677" s="10">
        <v>3.4298747999999999</v>
      </c>
      <c r="BK677" s="10">
        <v>3.4316876999999999</v>
      </c>
      <c r="BL677" s="10">
        <v>3.4339303000000001</v>
      </c>
      <c r="BM677" s="10">
        <v>3.436591</v>
      </c>
      <c r="BN677" s="10">
        <v>3.4396580999999999</v>
      </c>
      <c r="BO677" s="10">
        <v>3.4431199000000001</v>
      </c>
      <c r="BP677" s="10">
        <v>3.4469650000000001</v>
      </c>
      <c r="BQ677" s="10">
        <v>3.4511816</v>
      </c>
      <c r="BR677" s="10">
        <v>3.4836754000000001</v>
      </c>
      <c r="BS677" s="10">
        <v>3.5268777</v>
      </c>
      <c r="BU677" s="7">
        <v>3.92</v>
      </c>
      <c r="BV677" s="7">
        <v>4.0999999999999996</v>
      </c>
      <c r="BW677" s="9">
        <v>84.087900000000005</v>
      </c>
    </row>
    <row r="678" spans="1:75" x14ac:dyDescent="0.25">
      <c r="A678" s="6">
        <f t="shared" si="79"/>
        <v>45502</v>
      </c>
      <c r="B678" s="13">
        <f t="shared" si="95"/>
        <v>7</v>
      </c>
      <c r="C678" s="13">
        <f t="shared" si="96"/>
        <v>2024</v>
      </c>
      <c r="D678">
        <f t="shared" si="97"/>
        <v>202407</v>
      </c>
      <c r="E678">
        <f t="shared" si="98"/>
        <v>3</v>
      </c>
      <c r="F678">
        <f t="shared" si="99"/>
        <v>202403</v>
      </c>
      <c r="G678" t="s">
        <v>1447</v>
      </c>
      <c r="H678" s="9">
        <v>5.25</v>
      </c>
      <c r="I678" s="9">
        <v>5.2</v>
      </c>
      <c r="J678" s="10">
        <v>5.0569388999999996</v>
      </c>
      <c r="K678" s="10">
        <v>4.9876402000000004</v>
      </c>
      <c r="L678" s="10">
        <v>4.9042190000000003</v>
      </c>
      <c r="M678" s="10">
        <v>4.8111968000000003</v>
      </c>
      <c r="N678" s="10">
        <v>4.7151489</v>
      </c>
      <c r="O678" s="10">
        <v>4.6192462000000001</v>
      </c>
      <c r="P678" s="10">
        <v>4.5258589000000002</v>
      </c>
      <c r="Q678" s="10">
        <v>4.4376597000000002</v>
      </c>
      <c r="R678" s="10">
        <v>4.3571058999999996</v>
      </c>
      <c r="S678" s="10">
        <v>4.2846741000000002</v>
      </c>
      <c r="T678" s="10">
        <v>4.2203496999999999</v>
      </c>
      <c r="U678" s="10">
        <v>4.1630387999999998</v>
      </c>
      <c r="V678" s="10">
        <v>4.1107351000000003</v>
      </c>
      <c r="W678" s="10">
        <v>4.0624970999999999</v>
      </c>
      <c r="X678" s="10">
        <v>4.0177246000000002</v>
      </c>
      <c r="Y678" s="10">
        <v>3.9758155999999998</v>
      </c>
      <c r="Z678" s="10">
        <v>3.9361684000000001</v>
      </c>
      <c r="AA678" s="10">
        <v>3.8981824999999999</v>
      </c>
      <c r="AB678" s="10">
        <v>3.8613564999999999</v>
      </c>
      <c r="AC678" s="10">
        <v>3.8256541999999998</v>
      </c>
      <c r="AD678" s="10">
        <v>3.7911757000000001</v>
      </c>
      <c r="AE678" s="10">
        <v>3.7580198</v>
      </c>
      <c r="AF678" s="10">
        <v>3.7262852999999998</v>
      </c>
      <c r="AG678" s="10">
        <v>3.6960722000000001</v>
      </c>
      <c r="AH678" s="10">
        <v>3.6674555999999998</v>
      </c>
      <c r="AI678" s="10">
        <v>3.6404160999999999</v>
      </c>
      <c r="AJ678" s="10">
        <v>3.6149116999999999</v>
      </c>
      <c r="AK678" s="10">
        <v>3.5908991000000001</v>
      </c>
      <c r="AL678" s="10">
        <v>3.5683354</v>
      </c>
      <c r="AM678" s="10">
        <v>3.5471783000000001</v>
      </c>
      <c r="AN678" s="10">
        <v>3.5273848999999999</v>
      </c>
      <c r="AO678" s="10">
        <v>3.508912</v>
      </c>
      <c r="AP678" s="10">
        <v>3.4917174000000002</v>
      </c>
      <c r="AQ678" s="10">
        <v>3.4757581000000002</v>
      </c>
      <c r="AR678" s="10">
        <v>3.4609912</v>
      </c>
      <c r="AS678" s="10">
        <v>3.4473742000000001</v>
      </c>
      <c r="AT678" s="10">
        <v>3.4348659000000001</v>
      </c>
      <c r="AU678" s="10">
        <v>3.4234322000000001</v>
      </c>
      <c r="AV678" s="10">
        <v>3.4130410000000002</v>
      </c>
      <c r="AW678" s="10">
        <v>3.4036599999999999</v>
      </c>
      <c r="AX678" s="10">
        <v>3.3952567</v>
      </c>
      <c r="AY678" s="10">
        <v>3.3877989999999998</v>
      </c>
      <c r="AZ678" s="10">
        <v>3.3812546000000001</v>
      </c>
      <c r="BA678" s="10">
        <v>3.3755910999999998</v>
      </c>
      <c r="BB678" s="10">
        <v>3.3707764</v>
      </c>
      <c r="BC678" s="10">
        <v>3.3667780999999999</v>
      </c>
      <c r="BD678" s="10">
        <v>3.3635638000000001</v>
      </c>
      <c r="BE678" s="10">
        <v>3.3611013999999999</v>
      </c>
      <c r="BF678" s="10">
        <v>3.3593598</v>
      </c>
      <c r="BG678" s="10">
        <v>3.3583147000000002</v>
      </c>
      <c r="BH678" s="10">
        <v>3.3579444000000001</v>
      </c>
      <c r="BI678" s="10">
        <v>3.3582269</v>
      </c>
      <c r="BJ678" s="10">
        <v>3.3591403</v>
      </c>
      <c r="BK678" s="10">
        <v>3.3606626999999998</v>
      </c>
      <c r="BL678" s="10">
        <v>3.3627722000000002</v>
      </c>
      <c r="BM678" s="10">
        <v>3.3654468999999998</v>
      </c>
      <c r="BN678" s="10">
        <v>3.3686649000000002</v>
      </c>
      <c r="BO678" s="10">
        <v>3.3724042000000001</v>
      </c>
      <c r="BP678" s="10">
        <v>3.3766430999999999</v>
      </c>
      <c r="BQ678" s="10">
        <v>3.3813594999999999</v>
      </c>
      <c r="BR678" s="10">
        <v>3.4184784000000001</v>
      </c>
      <c r="BS678" s="10">
        <v>3.4673790000000002</v>
      </c>
      <c r="BU678" s="7">
        <v>3.88</v>
      </c>
      <c r="BV678" s="7">
        <v>4.05</v>
      </c>
      <c r="BW678" s="9">
        <v>84.238299999999995</v>
      </c>
    </row>
    <row r="679" spans="1:75" x14ac:dyDescent="0.25">
      <c r="A679" s="6">
        <f t="shared" si="79"/>
        <v>45503</v>
      </c>
      <c r="B679" s="13">
        <f t="shared" si="95"/>
        <v>7</v>
      </c>
      <c r="C679" s="13">
        <f t="shared" si="96"/>
        <v>2024</v>
      </c>
      <c r="D679">
        <f t="shared" si="97"/>
        <v>202407</v>
      </c>
      <c r="E679">
        <f t="shared" si="98"/>
        <v>3</v>
      </c>
      <c r="F679">
        <f t="shared" si="99"/>
        <v>202403</v>
      </c>
      <c r="G679" t="s">
        <v>1448</v>
      </c>
      <c r="H679" s="9">
        <v>5.25</v>
      </c>
      <c r="I679" s="9">
        <v>5.2</v>
      </c>
      <c r="J679" s="10">
        <v>5.0504036000000001</v>
      </c>
      <c r="K679" s="10">
        <v>4.9843019000000002</v>
      </c>
      <c r="L679" s="10">
        <v>4.9021061000000001</v>
      </c>
      <c r="M679" s="10">
        <v>4.8077537000000001</v>
      </c>
      <c r="N679" s="10">
        <v>4.7082136999999999</v>
      </c>
      <c r="O679" s="10">
        <v>4.6075334000000003</v>
      </c>
      <c r="P679" s="10">
        <v>4.5083491999999996</v>
      </c>
      <c r="Q679" s="10">
        <v>4.4136572999999997</v>
      </c>
      <c r="R679" s="10">
        <v>4.3260604999999996</v>
      </c>
      <c r="S679" s="10">
        <v>4.2466629999999999</v>
      </c>
      <c r="T679" s="10">
        <v>4.1761455999999999</v>
      </c>
      <c r="U679" s="10">
        <v>4.1140293999999997</v>
      </c>
      <c r="V679" s="10">
        <v>4.0582997000000001</v>
      </c>
      <c r="W679" s="10">
        <v>4.0078171999999999</v>
      </c>
      <c r="X679" s="10">
        <v>3.9617722</v>
      </c>
      <c r="Y679" s="10">
        <v>3.9193533</v>
      </c>
      <c r="Z679" s="10">
        <v>3.8797492</v>
      </c>
      <c r="AA679" s="10">
        <v>3.8421501999999998</v>
      </c>
      <c r="AB679" s="10">
        <v>3.8058727000000001</v>
      </c>
      <c r="AC679" s="10">
        <v>3.7708265999999999</v>
      </c>
      <c r="AD679" s="10">
        <v>3.7370950000000001</v>
      </c>
      <c r="AE679" s="10">
        <v>3.7047595000000002</v>
      </c>
      <c r="AF679" s="10">
        <v>3.6739020999999998</v>
      </c>
      <c r="AG679" s="10">
        <v>3.6446055999999998</v>
      </c>
      <c r="AH679" s="10">
        <v>3.6169313999999999</v>
      </c>
      <c r="AI679" s="10">
        <v>3.5908584000000001</v>
      </c>
      <c r="AJ679" s="10">
        <v>3.5663461999999999</v>
      </c>
      <c r="AK679" s="10">
        <v>3.5433533000000002</v>
      </c>
      <c r="AL679" s="10">
        <v>3.5218383000000002</v>
      </c>
      <c r="AM679" s="10">
        <v>3.5017605999999999</v>
      </c>
      <c r="AN679" s="10">
        <v>3.4830787000000001</v>
      </c>
      <c r="AO679" s="10">
        <v>3.4657513999999998</v>
      </c>
      <c r="AP679" s="10">
        <v>3.4497377999999999</v>
      </c>
      <c r="AQ679" s="10">
        <v>3.4349965999999998</v>
      </c>
      <c r="AR679" s="10">
        <v>3.4214864999999999</v>
      </c>
      <c r="AS679" s="10">
        <v>3.4091667000000001</v>
      </c>
      <c r="AT679" s="10">
        <v>3.3979957000000001</v>
      </c>
      <c r="AU679" s="10">
        <v>3.387931</v>
      </c>
      <c r="AV679" s="10">
        <v>3.3789303999999998</v>
      </c>
      <c r="AW679" s="10">
        <v>3.3709513000000002</v>
      </c>
      <c r="AX679" s="10">
        <v>3.3639511999999998</v>
      </c>
      <c r="AY679" s="10">
        <v>3.3578876000000002</v>
      </c>
      <c r="AZ679" s="10">
        <v>3.3527182</v>
      </c>
      <c r="BA679" s="10">
        <v>3.3484001999999999</v>
      </c>
      <c r="BB679" s="10">
        <v>3.3448913999999998</v>
      </c>
      <c r="BC679" s="10">
        <v>3.3421490999999999</v>
      </c>
      <c r="BD679" s="10">
        <v>3.340131</v>
      </c>
      <c r="BE679" s="10">
        <v>3.3387945000000001</v>
      </c>
      <c r="BF679" s="10">
        <v>3.3381001000000001</v>
      </c>
      <c r="BG679" s="10">
        <v>3.3380234</v>
      </c>
      <c r="BH679" s="10">
        <v>3.3385441999999999</v>
      </c>
      <c r="BI679" s="10">
        <v>3.3396423999999998</v>
      </c>
      <c r="BJ679" s="10">
        <v>3.3412978999999998</v>
      </c>
      <c r="BK679" s="10">
        <v>3.3434908000000001</v>
      </c>
      <c r="BL679" s="10">
        <v>3.3462008999999999</v>
      </c>
      <c r="BM679" s="10">
        <v>3.3494081000000002</v>
      </c>
      <c r="BN679" s="10">
        <v>3.3530924</v>
      </c>
      <c r="BO679" s="10">
        <v>3.3572335999999998</v>
      </c>
      <c r="BP679" s="10">
        <v>3.3618119000000002</v>
      </c>
      <c r="BQ679" s="10">
        <v>3.3668068999999998</v>
      </c>
      <c r="BR679" s="10">
        <v>3.4045049999999999</v>
      </c>
      <c r="BS679" s="10">
        <v>3.4527481</v>
      </c>
      <c r="BU679" s="7">
        <v>3.86</v>
      </c>
      <c r="BV679" s="7">
        <v>4.03</v>
      </c>
      <c r="BW679" s="9">
        <v>84.149000000000001</v>
      </c>
    </row>
    <row r="680" spans="1:75" x14ac:dyDescent="0.25">
      <c r="A680" s="6">
        <f t="shared" si="79"/>
        <v>45504</v>
      </c>
      <c r="B680" s="13">
        <f t="shared" si="95"/>
        <v>7</v>
      </c>
      <c r="C680" s="13">
        <f t="shared" si="96"/>
        <v>2024</v>
      </c>
      <c r="D680">
        <f t="shared" si="97"/>
        <v>202407</v>
      </c>
      <c r="E680">
        <f t="shared" si="98"/>
        <v>3</v>
      </c>
      <c r="F680">
        <f t="shared" si="99"/>
        <v>202403</v>
      </c>
      <c r="G680" t="s">
        <v>1449</v>
      </c>
      <c r="H680" s="9">
        <v>5.25</v>
      </c>
      <c r="I680" s="9">
        <v>5.2</v>
      </c>
      <c r="J680" s="10">
        <v>5.0434858</v>
      </c>
      <c r="K680" s="10">
        <v>4.9766567000000004</v>
      </c>
      <c r="L680" s="10">
        <v>4.8906362000000003</v>
      </c>
      <c r="M680" s="10">
        <v>4.7899273000000004</v>
      </c>
      <c r="N680" s="10">
        <v>4.6838264000000001</v>
      </c>
      <c r="O680" s="10">
        <v>4.5783893999999998</v>
      </c>
      <c r="P680" s="10">
        <v>4.4773398000000002</v>
      </c>
      <c r="Q680" s="10">
        <v>4.3834489999999997</v>
      </c>
      <c r="R680" s="10">
        <v>4.2980689999999999</v>
      </c>
      <c r="S680" s="10">
        <v>4.2216317999999999</v>
      </c>
      <c r="T680" s="10">
        <v>4.1537395999999998</v>
      </c>
      <c r="U680" s="10">
        <v>4.0935486000000001</v>
      </c>
      <c r="V680" s="10">
        <v>4.0386759000000003</v>
      </c>
      <c r="W680" s="10">
        <v>3.9880026000000002</v>
      </c>
      <c r="X680" s="10">
        <v>3.9408492000000002</v>
      </c>
      <c r="Y680" s="10">
        <v>3.8965344000000002</v>
      </c>
      <c r="Z680" s="10">
        <v>3.8543774000000002</v>
      </c>
      <c r="AA680" s="10">
        <v>3.8136983999999998</v>
      </c>
      <c r="AB680" s="10">
        <v>3.7739186</v>
      </c>
      <c r="AC680" s="10">
        <v>3.7350370000000002</v>
      </c>
      <c r="AD680" s="10">
        <v>3.6972575999999999</v>
      </c>
      <c r="AE680" s="10">
        <v>3.6607829999999999</v>
      </c>
      <c r="AF680" s="10">
        <v>3.6258159999999999</v>
      </c>
      <c r="AG680" s="10">
        <v>3.5925606999999999</v>
      </c>
      <c r="AH680" s="10">
        <v>3.5611790000000001</v>
      </c>
      <c r="AI680" s="10">
        <v>3.5316697000000001</v>
      </c>
      <c r="AJ680" s="10">
        <v>3.5039918000000001</v>
      </c>
      <c r="AK680" s="10">
        <v>3.4781032999999999</v>
      </c>
      <c r="AL680" s="10">
        <v>3.4539623000000002</v>
      </c>
      <c r="AM680" s="10">
        <v>3.4315277000000002</v>
      </c>
      <c r="AN680" s="10">
        <v>3.4107574999999999</v>
      </c>
      <c r="AO680" s="10">
        <v>3.39161</v>
      </c>
      <c r="AP680" s="10">
        <v>3.3740437999999999</v>
      </c>
      <c r="AQ680" s="10">
        <v>3.3580171000000001</v>
      </c>
      <c r="AR680" s="10">
        <v>3.3434881000000001</v>
      </c>
      <c r="AS680" s="10">
        <v>3.3304155</v>
      </c>
      <c r="AT680" s="10">
        <v>3.3187541</v>
      </c>
      <c r="AU680" s="10">
        <v>3.3084432000000001</v>
      </c>
      <c r="AV680" s="10">
        <v>3.2994173999999998</v>
      </c>
      <c r="AW680" s="10">
        <v>3.2916112000000002</v>
      </c>
      <c r="AX680" s="10">
        <v>3.2849588000000001</v>
      </c>
      <c r="AY680" s="10">
        <v>3.2793950000000001</v>
      </c>
      <c r="AZ680" s="10">
        <v>3.2748539999999999</v>
      </c>
      <c r="BA680" s="10">
        <v>3.2712704000000001</v>
      </c>
      <c r="BB680" s="10">
        <v>3.2685786999999999</v>
      </c>
      <c r="BC680" s="10">
        <v>3.2667133000000002</v>
      </c>
      <c r="BD680" s="10">
        <v>3.2656087</v>
      </c>
      <c r="BE680" s="10">
        <v>3.2651994000000002</v>
      </c>
      <c r="BF680" s="10">
        <v>3.2654257000000002</v>
      </c>
      <c r="BG680" s="10">
        <v>3.2662547000000002</v>
      </c>
      <c r="BH680" s="10">
        <v>3.2676606000000001</v>
      </c>
      <c r="BI680" s="10">
        <v>3.2696176000000001</v>
      </c>
      <c r="BJ680" s="10">
        <v>3.2721</v>
      </c>
      <c r="BK680" s="10">
        <v>3.2750819</v>
      </c>
      <c r="BL680" s="10">
        <v>3.2785377000000002</v>
      </c>
      <c r="BM680" s="10">
        <v>3.2824415</v>
      </c>
      <c r="BN680" s="10">
        <v>3.2867674999999998</v>
      </c>
      <c r="BO680" s="10">
        <v>3.2914900999999999</v>
      </c>
      <c r="BP680" s="10">
        <v>3.2965833999999998</v>
      </c>
      <c r="BQ680" s="10">
        <v>3.3020217000000001</v>
      </c>
      <c r="BR680" s="10">
        <v>3.3409049999999998</v>
      </c>
      <c r="BS680" s="10">
        <v>3.3884560000000001</v>
      </c>
      <c r="BU680" s="7">
        <v>3.81</v>
      </c>
      <c r="BV680" s="7">
        <v>3.96</v>
      </c>
      <c r="BW680" s="9">
        <v>84.037199999999999</v>
      </c>
    </row>
    <row r="681" spans="1:75" x14ac:dyDescent="0.25">
      <c r="A681" s="6">
        <f t="shared" si="79"/>
        <v>45505</v>
      </c>
      <c r="B681" s="13">
        <f t="shared" si="95"/>
        <v>8</v>
      </c>
      <c r="C681" s="13">
        <f t="shared" si="96"/>
        <v>2024</v>
      </c>
      <c r="D681">
        <f t="shared" si="97"/>
        <v>202408</v>
      </c>
      <c r="E681">
        <f t="shared" si="98"/>
        <v>3</v>
      </c>
      <c r="F681">
        <f t="shared" si="99"/>
        <v>202403</v>
      </c>
      <c r="G681" t="s">
        <v>1450</v>
      </c>
      <c r="H681" s="9">
        <v>5</v>
      </c>
      <c r="I681" s="9">
        <v>4.95</v>
      </c>
      <c r="J681" s="10">
        <v>4.9511631999999999</v>
      </c>
      <c r="K681" s="10">
        <v>4.8965018000000002</v>
      </c>
      <c r="L681" s="10">
        <v>4.8151390000000003</v>
      </c>
      <c r="M681" s="10">
        <v>4.7114029000000004</v>
      </c>
      <c r="N681" s="10">
        <v>4.5973253999999999</v>
      </c>
      <c r="O681" s="10">
        <v>4.4802740999999999</v>
      </c>
      <c r="P681" s="10">
        <v>4.3650883</v>
      </c>
      <c r="Q681" s="10">
        <v>4.2558891000000001</v>
      </c>
      <c r="R681" s="10">
        <v>4.1550718</v>
      </c>
      <c r="S681" s="10">
        <v>4.0639060999999996</v>
      </c>
      <c r="T681" s="10">
        <v>3.9827625000000002</v>
      </c>
      <c r="U681" s="10">
        <v>3.9112572000000001</v>
      </c>
      <c r="V681" s="10">
        <v>3.8481869999999998</v>
      </c>
      <c r="W681" s="10">
        <v>3.7924216999999998</v>
      </c>
      <c r="X681" s="10">
        <v>3.7428951000000001</v>
      </c>
      <c r="Y681" s="10">
        <v>3.6985413</v>
      </c>
      <c r="Z681" s="10">
        <v>3.6582941999999998</v>
      </c>
      <c r="AA681" s="10">
        <v>3.6210878000000002</v>
      </c>
      <c r="AB681" s="10">
        <v>3.5859936000000001</v>
      </c>
      <c r="AC681" s="10">
        <v>3.5527886</v>
      </c>
      <c r="AD681" s="10">
        <v>3.5214748999999999</v>
      </c>
      <c r="AE681" s="10">
        <v>3.4920547000000002</v>
      </c>
      <c r="AF681" s="10">
        <v>3.4645302999999998</v>
      </c>
      <c r="AG681" s="10">
        <v>3.4389037999999998</v>
      </c>
      <c r="AH681" s="10">
        <v>3.4151669</v>
      </c>
      <c r="AI681" s="10">
        <v>3.3932600000000002</v>
      </c>
      <c r="AJ681" s="10">
        <v>3.3731076</v>
      </c>
      <c r="AK681" s="10">
        <v>3.3546342999999998</v>
      </c>
      <c r="AL681" s="10">
        <v>3.3377648999999998</v>
      </c>
      <c r="AM681" s="10">
        <v>3.3224238000000001</v>
      </c>
      <c r="AN681" s="10">
        <v>3.3085358</v>
      </c>
      <c r="AO681" s="10">
        <v>3.2960254</v>
      </c>
      <c r="AP681" s="10">
        <v>3.2848172999999998</v>
      </c>
      <c r="AQ681" s="10">
        <v>3.2748360999999999</v>
      </c>
      <c r="AR681" s="10">
        <v>3.2660064000000002</v>
      </c>
      <c r="AS681" s="10">
        <v>3.2582529</v>
      </c>
      <c r="AT681" s="10">
        <v>3.2515041</v>
      </c>
      <c r="AU681" s="10">
        <v>3.2457061</v>
      </c>
      <c r="AV681" s="10">
        <v>3.2408098000000001</v>
      </c>
      <c r="AW681" s="10">
        <v>3.2367659999999998</v>
      </c>
      <c r="AX681" s="10">
        <v>3.2335257999999998</v>
      </c>
      <c r="AY681" s="10">
        <v>3.2310398999999999</v>
      </c>
      <c r="AZ681" s="10">
        <v>3.2292592</v>
      </c>
      <c r="BA681" s="10">
        <v>3.2281347</v>
      </c>
      <c r="BB681" s="10">
        <v>3.2276172999999999</v>
      </c>
      <c r="BC681" s="10">
        <v>3.2276577</v>
      </c>
      <c r="BD681" s="10">
        <v>3.2282069999999998</v>
      </c>
      <c r="BE681" s="10">
        <v>3.2292160000000001</v>
      </c>
      <c r="BF681" s="10">
        <v>3.2306417000000001</v>
      </c>
      <c r="BG681" s="10">
        <v>3.2324684000000001</v>
      </c>
      <c r="BH681" s="10">
        <v>3.2346878999999999</v>
      </c>
      <c r="BI681" s="10">
        <v>3.2372917999999999</v>
      </c>
      <c r="BJ681" s="10">
        <v>3.2402719000000002</v>
      </c>
      <c r="BK681" s="10">
        <v>3.2436199000000001</v>
      </c>
      <c r="BL681" s="10">
        <v>3.2473277</v>
      </c>
      <c r="BM681" s="10">
        <v>3.2513868000000001</v>
      </c>
      <c r="BN681" s="10">
        <v>3.255789</v>
      </c>
      <c r="BO681" s="10">
        <v>3.2605262000000002</v>
      </c>
      <c r="BP681" s="10">
        <v>3.2655899000000002</v>
      </c>
      <c r="BQ681" s="10">
        <v>3.270972</v>
      </c>
      <c r="BR681" s="10">
        <v>3.3094323000000001</v>
      </c>
      <c r="BS681" s="10">
        <v>3.3569376000000002</v>
      </c>
      <c r="BU681" s="7">
        <v>3.71</v>
      </c>
      <c r="BV681" s="7">
        <v>3.89</v>
      </c>
      <c r="BW681" s="9">
        <v>83.804100000000005</v>
      </c>
    </row>
    <row r="682" spans="1:75" x14ac:dyDescent="0.25">
      <c r="A682" s="6">
        <f t="shared" si="79"/>
        <v>45506</v>
      </c>
      <c r="B682" s="13">
        <f t="shared" ref="B682:B707" si="100">MONTH(A682)</f>
        <v>8</v>
      </c>
      <c r="C682" s="13">
        <f t="shared" ref="C682:C707" si="101">YEAR(A682)</f>
        <v>2024</v>
      </c>
      <c r="D682">
        <f t="shared" ref="D682:D707" si="102">C682*100+B682</f>
        <v>202408</v>
      </c>
      <c r="E682">
        <f t="shared" ref="E682:E707" si="103">IF(B682&lt;4,1,IF(B682&lt;7,2,IF(B682&lt;10,3,4)))</f>
        <v>3</v>
      </c>
      <c r="F682">
        <f t="shared" ref="F682:F707" si="104">C682*100+E682</f>
        <v>202403</v>
      </c>
      <c r="G682" t="s">
        <v>1489</v>
      </c>
      <c r="H682" s="9">
        <v>5</v>
      </c>
      <c r="I682" s="9">
        <v>4.95</v>
      </c>
      <c r="J682" s="10">
        <v>4.9336992000000004</v>
      </c>
      <c r="K682" s="10">
        <v>4.8468581999999998</v>
      </c>
      <c r="L682" s="10">
        <v>4.7400352999999997</v>
      </c>
      <c r="M682" s="10">
        <v>4.6171226000000001</v>
      </c>
      <c r="N682" s="10">
        <v>4.4897308999999996</v>
      </c>
      <c r="O682" s="10">
        <v>4.3641188</v>
      </c>
      <c r="P682" s="10">
        <v>4.2443542000000001</v>
      </c>
      <c r="Q682" s="10">
        <v>4.133966</v>
      </c>
      <c r="R682" s="10">
        <v>4.0345336999999999</v>
      </c>
      <c r="S682" s="10">
        <v>3.9465094999999999</v>
      </c>
      <c r="T682" s="10">
        <v>3.8697015000000001</v>
      </c>
      <c r="U682" s="10">
        <v>3.8030278000000002</v>
      </c>
      <c r="V682" s="10">
        <v>3.7448104999999998</v>
      </c>
      <c r="W682" s="10">
        <v>3.6938627999999998</v>
      </c>
      <c r="X682" s="10">
        <v>3.6491874000000002</v>
      </c>
      <c r="Y682" s="10">
        <v>3.6097874000000001</v>
      </c>
      <c r="Z682" s="10">
        <v>3.5746657000000002</v>
      </c>
      <c r="AA682" s="10">
        <v>3.5428250999999999</v>
      </c>
      <c r="AB682" s="10">
        <v>3.5133842</v>
      </c>
      <c r="AC682" s="10">
        <v>3.4859973000000002</v>
      </c>
      <c r="AD682" s="10">
        <v>3.4604742000000002</v>
      </c>
      <c r="AE682" s="10">
        <v>3.4366246999999999</v>
      </c>
      <c r="AF682" s="10">
        <v>3.4142584999999999</v>
      </c>
      <c r="AG682" s="10">
        <v>3.3931852999999998</v>
      </c>
      <c r="AH682" s="10">
        <v>3.37324</v>
      </c>
      <c r="AI682" s="10">
        <v>3.3543680999999999</v>
      </c>
      <c r="AJ682" s="10">
        <v>3.3365455000000002</v>
      </c>
      <c r="AK682" s="10">
        <v>3.3197483000000001</v>
      </c>
      <c r="AL682" s="10">
        <v>3.3039524999999998</v>
      </c>
      <c r="AM682" s="10">
        <v>3.2891341999999999</v>
      </c>
      <c r="AN682" s="10">
        <v>3.2752691999999999</v>
      </c>
      <c r="AO682" s="10">
        <v>3.2623335999999998</v>
      </c>
      <c r="AP682" s="10">
        <v>3.2503034999999998</v>
      </c>
      <c r="AQ682" s="10">
        <v>3.2391548000000001</v>
      </c>
      <c r="AR682" s="10">
        <v>3.2288635999999999</v>
      </c>
      <c r="AS682" s="10">
        <v>3.2194058999999999</v>
      </c>
      <c r="AT682" s="10">
        <v>3.2107583000000002</v>
      </c>
      <c r="AU682" s="10">
        <v>3.2029006</v>
      </c>
      <c r="AV682" s="10">
        <v>3.1958131000000001</v>
      </c>
      <c r="AW682" s="10">
        <v>3.1894760999999998</v>
      </c>
      <c r="AX682" s="10">
        <v>3.1838700000000002</v>
      </c>
      <c r="AY682" s="10">
        <v>3.1789751000000002</v>
      </c>
      <c r="AZ682" s="10">
        <v>3.1747717999999998</v>
      </c>
      <c r="BA682" s="10">
        <v>3.1712405000000001</v>
      </c>
      <c r="BB682" s="10">
        <v>3.1683614000000002</v>
      </c>
      <c r="BC682" s="10">
        <v>3.166115</v>
      </c>
      <c r="BD682" s="10">
        <v>3.1644815999999998</v>
      </c>
      <c r="BE682" s="10">
        <v>3.1634414999999998</v>
      </c>
      <c r="BF682" s="10">
        <v>3.162976</v>
      </c>
      <c r="BG682" s="10">
        <v>3.1630699</v>
      </c>
      <c r="BH682" s="10">
        <v>3.1637092999999998</v>
      </c>
      <c r="BI682" s="10">
        <v>3.1648801</v>
      </c>
      <c r="BJ682" s="10">
        <v>3.1665681999999999</v>
      </c>
      <c r="BK682" s="10">
        <v>3.1687596</v>
      </c>
      <c r="BL682" s="10">
        <v>3.1714403</v>
      </c>
      <c r="BM682" s="10">
        <v>3.1745961999999999</v>
      </c>
      <c r="BN682" s="10">
        <v>3.1782132999999999</v>
      </c>
      <c r="BO682" s="10">
        <v>3.1822775999999999</v>
      </c>
      <c r="BP682" s="10">
        <v>3.1867749000000001</v>
      </c>
      <c r="BQ682" s="10">
        <v>3.1916913</v>
      </c>
      <c r="BR682" s="10">
        <v>3.2292334</v>
      </c>
      <c r="BS682" s="10">
        <v>3.2785025000000001</v>
      </c>
      <c r="BU682" s="7">
        <v>3.61</v>
      </c>
      <c r="BV682" s="7">
        <v>3.83</v>
      </c>
      <c r="BW682" s="9">
        <v>83.180700000000002</v>
      </c>
    </row>
    <row r="683" spans="1:75" x14ac:dyDescent="0.25">
      <c r="A683" s="6">
        <f t="shared" si="79"/>
        <v>45509</v>
      </c>
      <c r="B683" s="13">
        <f t="shared" si="100"/>
        <v>8</v>
      </c>
      <c r="C683" s="13">
        <f t="shared" si="101"/>
        <v>2024</v>
      </c>
      <c r="D683">
        <f t="shared" si="102"/>
        <v>202408</v>
      </c>
      <c r="E683">
        <f t="shared" si="103"/>
        <v>3</v>
      </c>
      <c r="F683">
        <f t="shared" si="104"/>
        <v>202403</v>
      </c>
      <c r="G683" t="s">
        <v>1490</v>
      </c>
      <c r="H683" s="9">
        <v>5</v>
      </c>
      <c r="I683" s="9">
        <v>4.95</v>
      </c>
      <c r="J683" s="10">
        <v>4.9285021000000002</v>
      </c>
      <c r="K683" s="10">
        <v>4.8506875000000003</v>
      </c>
      <c r="L683" s="10">
        <v>4.7511882999999999</v>
      </c>
      <c r="M683" s="10">
        <v>4.6309768</v>
      </c>
      <c r="N683" s="10">
        <v>4.5047242000000001</v>
      </c>
      <c r="O683" s="10">
        <v>4.3819469</v>
      </c>
      <c r="P683" s="10">
        <v>4.2684734999999998</v>
      </c>
      <c r="Q683" s="10">
        <v>4.1675592000000004</v>
      </c>
      <c r="R683" s="10">
        <v>4.0803682999999999</v>
      </c>
      <c r="S683" s="10">
        <v>4.0059836000000004</v>
      </c>
      <c r="T683" s="10">
        <v>3.9433682999999999</v>
      </c>
      <c r="U683" s="10">
        <v>3.8901843</v>
      </c>
      <c r="V683" s="10">
        <v>3.8432602</v>
      </c>
      <c r="W683" s="10">
        <v>3.8012144999999999</v>
      </c>
      <c r="X683" s="10">
        <v>3.7631877</v>
      </c>
      <c r="Y683" s="10">
        <v>3.7283206999999998</v>
      </c>
      <c r="Z683" s="10">
        <v>3.6957542999999999</v>
      </c>
      <c r="AA683" s="10">
        <v>3.6646291</v>
      </c>
      <c r="AB683" s="10">
        <v>3.6342256000000002</v>
      </c>
      <c r="AC683" s="10">
        <v>3.6044721000000002</v>
      </c>
      <c r="AD683" s="10">
        <v>3.5754847000000001</v>
      </c>
      <c r="AE683" s="10">
        <v>3.5473796000000002</v>
      </c>
      <c r="AF683" s="10">
        <v>3.5202727999999999</v>
      </c>
      <c r="AG683" s="10">
        <v>3.4942804999999999</v>
      </c>
      <c r="AH683" s="10">
        <v>3.4694970000000001</v>
      </c>
      <c r="AI683" s="10">
        <v>3.4459292000000001</v>
      </c>
      <c r="AJ683" s="10">
        <v>3.4235625000000001</v>
      </c>
      <c r="AK683" s="10">
        <v>3.4023819</v>
      </c>
      <c r="AL683" s="10">
        <v>3.3823728000000002</v>
      </c>
      <c r="AM683" s="10">
        <v>3.3635202</v>
      </c>
      <c r="AN683" s="10">
        <v>3.3458095000000001</v>
      </c>
      <c r="AO683" s="10">
        <v>3.3292258000000001</v>
      </c>
      <c r="AP683" s="10">
        <v>3.3137542</v>
      </c>
      <c r="AQ683" s="10">
        <v>3.2993801</v>
      </c>
      <c r="AR683" s="10">
        <v>3.2860885999999998</v>
      </c>
      <c r="AS683" s="10">
        <v>3.2738649999999998</v>
      </c>
      <c r="AT683" s="10">
        <v>3.2626916000000001</v>
      </c>
      <c r="AU683" s="10">
        <v>3.2525400000000002</v>
      </c>
      <c r="AV683" s="10">
        <v>3.2433789000000002</v>
      </c>
      <c r="AW683" s="10">
        <v>3.2351771999999999</v>
      </c>
      <c r="AX683" s="10">
        <v>3.2279035</v>
      </c>
      <c r="AY683" s="10">
        <v>3.2215265999999998</v>
      </c>
      <c r="AZ683" s="10">
        <v>3.2160153</v>
      </c>
      <c r="BA683" s="10">
        <v>3.2113383</v>
      </c>
      <c r="BB683" s="10">
        <v>3.2074644999999999</v>
      </c>
      <c r="BC683" s="10">
        <v>3.2043624999999998</v>
      </c>
      <c r="BD683" s="10">
        <v>3.2020010999999999</v>
      </c>
      <c r="BE683" s="10">
        <v>3.2003490999999999</v>
      </c>
      <c r="BF683" s="10">
        <v>3.1993763</v>
      </c>
      <c r="BG683" s="10">
        <v>3.1990582999999999</v>
      </c>
      <c r="BH683" s="10">
        <v>3.1993727000000001</v>
      </c>
      <c r="BI683" s="10">
        <v>3.2002969999999999</v>
      </c>
      <c r="BJ683" s="10">
        <v>3.2018087999999998</v>
      </c>
      <c r="BK683" s="10">
        <v>3.2038856999999998</v>
      </c>
      <c r="BL683" s="10">
        <v>3.2065051000000002</v>
      </c>
      <c r="BM683" s="10">
        <v>3.2096445999999998</v>
      </c>
      <c r="BN683" s="10">
        <v>3.2132819000000001</v>
      </c>
      <c r="BO683" s="10">
        <v>3.2173943</v>
      </c>
      <c r="BP683" s="10">
        <v>3.2219595999999999</v>
      </c>
      <c r="BQ683" s="10">
        <v>3.2269551999999999</v>
      </c>
      <c r="BR683" s="10">
        <v>3.2648616000000001</v>
      </c>
      <c r="BS683" s="10">
        <v>3.3135390999999998</v>
      </c>
      <c r="BU683" s="7">
        <v>3.61</v>
      </c>
      <c r="BV683" s="7">
        <v>3.88</v>
      </c>
      <c r="BW683" s="9">
        <v>82.551299999999998</v>
      </c>
    </row>
    <row r="684" spans="1:75" x14ac:dyDescent="0.25">
      <c r="A684" s="6">
        <f t="shared" si="79"/>
        <v>45510</v>
      </c>
      <c r="B684" s="13">
        <f t="shared" si="100"/>
        <v>8</v>
      </c>
      <c r="C684" s="13">
        <f t="shared" si="101"/>
        <v>2024</v>
      </c>
      <c r="D684">
        <f t="shared" si="102"/>
        <v>202408</v>
      </c>
      <c r="E684">
        <f t="shared" si="103"/>
        <v>3</v>
      </c>
      <c r="F684">
        <f t="shared" si="104"/>
        <v>202403</v>
      </c>
      <c r="G684" t="s">
        <v>1491</v>
      </c>
      <c r="H684" s="9">
        <v>5</v>
      </c>
      <c r="I684" s="9">
        <v>4.95</v>
      </c>
      <c r="J684" s="10">
        <v>4.9313586999999997</v>
      </c>
      <c r="K684" s="10">
        <v>4.8475462</v>
      </c>
      <c r="L684" s="10">
        <v>4.7457016999999997</v>
      </c>
      <c r="M684" s="10">
        <v>4.6306592999999996</v>
      </c>
      <c r="N684" s="10">
        <v>4.5126644999999996</v>
      </c>
      <c r="O684" s="10">
        <v>4.3962797</v>
      </c>
      <c r="P684" s="10">
        <v>4.2848573999999999</v>
      </c>
      <c r="Q684" s="10">
        <v>4.1821386</v>
      </c>
      <c r="R684" s="10">
        <v>4.0908045</v>
      </c>
      <c r="S684" s="10">
        <v>4.0118768999999999</v>
      </c>
      <c r="T684" s="10">
        <v>3.9453585000000002</v>
      </c>
      <c r="U684" s="10">
        <v>3.8896861999999999</v>
      </c>
      <c r="V684" s="10">
        <v>3.8416261999999999</v>
      </c>
      <c r="W684" s="10">
        <v>3.7995697000000002</v>
      </c>
      <c r="X684" s="10">
        <v>3.7624418999999998</v>
      </c>
      <c r="Y684" s="10">
        <v>3.7291679000000002</v>
      </c>
      <c r="Z684" s="10">
        <v>3.6986726999999999</v>
      </c>
      <c r="AA684" s="10">
        <v>3.6698814999999998</v>
      </c>
      <c r="AB684" s="10">
        <v>3.6418879999999998</v>
      </c>
      <c r="AC684" s="10">
        <v>3.6145673</v>
      </c>
      <c r="AD684" s="10">
        <v>3.5880215</v>
      </c>
      <c r="AE684" s="10">
        <v>3.5623524</v>
      </c>
      <c r="AF684" s="10">
        <v>3.5376617000000001</v>
      </c>
      <c r="AG684" s="10">
        <v>3.5140514</v>
      </c>
      <c r="AH684" s="10">
        <v>3.4916038999999999</v>
      </c>
      <c r="AI684" s="10">
        <v>3.4703236</v>
      </c>
      <c r="AJ684" s="10">
        <v>3.4501957000000001</v>
      </c>
      <c r="AK684" s="10">
        <v>3.4312049999999998</v>
      </c>
      <c r="AL684" s="10">
        <v>3.4133366999999999</v>
      </c>
      <c r="AM684" s="10">
        <v>3.3965757000000001</v>
      </c>
      <c r="AN684" s="10">
        <v>3.3809070999999999</v>
      </c>
      <c r="AO684" s="10">
        <v>3.3663159</v>
      </c>
      <c r="AP684" s="10">
        <v>3.3527871999999999</v>
      </c>
      <c r="AQ684" s="10">
        <v>3.3403059000000002</v>
      </c>
      <c r="AR684" s="10">
        <v>3.3288571</v>
      </c>
      <c r="AS684" s="10">
        <v>3.3184257000000001</v>
      </c>
      <c r="AT684" s="10">
        <v>3.3089933</v>
      </c>
      <c r="AU684" s="10">
        <v>3.3005263</v>
      </c>
      <c r="AV684" s="10">
        <v>3.2929878000000001</v>
      </c>
      <c r="AW684" s="10">
        <v>3.2863408000000001</v>
      </c>
      <c r="AX684" s="10">
        <v>3.2805482000000001</v>
      </c>
      <c r="AY684" s="10">
        <v>3.2755730999999999</v>
      </c>
      <c r="AZ684" s="10">
        <v>3.2713782999999999</v>
      </c>
      <c r="BA684" s="10">
        <v>3.2679269</v>
      </c>
      <c r="BB684" s="10">
        <v>3.2651819</v>
      </c>
      <c r="BC684" s="10">
        <v>3.2631062000000002</v>
      </c>
      <c r="BD684" s="10">
        <v>3.2616629000000001</v>
      </c>
      <c r="BE684" s="10">
        <v>3.2608147999999999</v>
      </c>
      <c r="BF684" s="10">
        <v>3.2605278000000002</v>
      </c>
      <c r="BG684" s="10">
        <v>3.2607811</v>
      </c>
      <c r="BH684" s="10">
        <v>3.2615580999999998</v>
      </c>
      <c r="BI684" s="10">
        <v>3.2628423</v>
      </c>
      <c r="BJ684" s="10">
        <v>3.2646169</v>
      </c>
      <c r="BK684" s="10">
        <v>3.2668655000000002</v>
      </c>
      <c r="BL684" s="10">
        <v>3.2695713</v>
      </c>
      <c r="BM684" s="10">
        <v>3.2727176999999998</v>
      </c>
      <c r="BN684" s="10">
        <v>3.2762883</v>
      </c>
      <c r="BO684" s="10">
        <v>3.2802663000000001</v>
      </c>
      <c r="BP684" s="10">
        <v>3.2846351</v>
      </c>
      <c r="BQ684" s="10">
        <v>3.2893781999999998</v>
      </c>
      <c r="BR684" s="10">
        <v>3.324865</v>
      </c>
      <c r="BS684" s="10">
        <v>3.3702426999999999</v>
      </c>
      <c r="BU684" s="7">
        <v>3.67</v>
      </c>
      <c r="BV684" s="7">
        <v>3.93</v>
      </c>
      <c r="BW684" s="9">
        <v>82.470399999999998</v>
      </c>
    </row>
    <row r="685" spans="1:75" x14ac:dyDescent="0.25">
      <c r="A685" s="6">
        <f t="shared" si="79"/>
        <v>45511</v>
      </c>
      <c r="B685" s="13">
        <f t="shared" si="100"/>
        <v>8</v>
      </c>
      <c r="C685" s="13">
        <f t="shared" si="101"/>
        <v>2024</v>
      </c>
      <c r="D685">
        <f t="shared" si="102"/>
        <v>202408</v>
      </c>
      <c r="E685">
        <f t="shared" si="103"/>
        <v>3</v>
      </c>
      <c r="F685">
        <f t="shared" si="104"/>
        <v>202403</v>
      </c>
      <c r="G685" t="s">
        <v>1492</v>
      </c>
      <c r="H685" s="9">
        <v>5</v>
      </c>
      <c r="I685" s="9">
        <v>4.95</v>
      </c>
      <c r="J685" s="10">
        <v>4.9300408999999998</v>
      </c>
      <c r="K685" s="10">
        <v>4.8445467999999998</v>
      </c>
      <c r="L685" s="10">
        <v>4.7397866999999998</v>
      </c>
      <c r="M685" s="10">
        <v>4.6198123999999998</v>
      </c>
      <c r="N685" s="10">
        <v>4.4968940000000002</v>
      </c>
      <c r="O685" s="10">
        <v>4.3768443000000001</v>
      </c>
      <c r="P685" s="10">
        <v>4.2637269</v>
      </c>
      <c r="Q685" s="10">
        <v>4.1613049999999996</v>
      </c>
      <c r="R685" s="10">
        <v>4.0713486000000003</v>
      </c>
      <c r="S685" s="10">
        <v>3.9943317</v>
      </c>
      <c r="T685" s="10">
        <v>3.9293577000000002</v>
      </c>
      <c r="U685" s="10">
        <v>3.8748664000000002</v>
      </c>
      <c r="V685" s="10">
        <v>3.8276108</v>
      </c>
      <c r="W685" s="10">
        <v>3.7860176000000001</v>
      </c>
      <c r="X685" s="10">
        <v>3.7490690999999998</v>
      </c>
      <c r="Y685" s="10">
        <v>3.7157472999999999</v>
      </c>
      <c r="Z685" s="10">
        <v>3.6850342</v>
      </c>
      <c r="AA685" s="10">
        <v>3.6559119999999998</v>
      </c>
      <c r="AB685" s="10">
        <v>3.6274999000000001</v>
      </c>
      <c r="AC685" s="10">
        <v>3.5996933000000002</v>
      </c>
      <c r="AD685" s="10">
        <v>3.5726607000000001</v>
      </c>
      <c r="AE685" s="10">
        <v>3.5465710000000001</v>
      </c>
      <c r="AF685" s="10">
        <v>3.5215928000000001</v>
      </c>
      <c r="AG685" s="10">
        <v>3.4978951</v>
      </c>
      <c r="AH685" s="10">
        <v>3.4756127999999999</v>
      </c>
      <c r="AI685" s="10">
        <v>3.4547457000000001</v>
      </c>
      <c r="AJ685" s="10">
        <v>3.4352597999999999</v>
      </c>
      <c r="AK685" s="10">
        <v>3.4171211000000001</v>
      </c>
      <c r="AL685" s="10">
        <v>3.4002957</v>
      </c>
      <c r="AM685" s="10">
        <v>3.3847494999999999</v>
      </c>
      <c r="AN685" s="10">
        <v>3.3704486</v>
      </c>
      <c r="AO685" s="10">
        <v>3.3573588999999999</v>
      </c>
      <c r="AP685" s="10">
        <v>3.3454465</v>
      </c>
      <c r="AQ685" s="10">
        <v>3.3346773000000001</v>
      </c>
      <c r="AR685" s="10">
        <v>3.3250174000000001</v>
      </c>
      <c r="AS685" s="10">
        <v>3.3164327</v>
      </c>
      <c r="AT685" s="10">
        <v>3.3088869999999999</v>
      </c>
      <c r="AU685" s="10">
        <v>3.3023326000000002</v>
      </c>
      <c r="AV685" s="10">
        <v>3.2967184999999999</v>
      </c>
      <c r="AW685" s="10">
        <v>3.2919934</v>
      </c>
      <c r="AX685" s="10">
        <v>3.2881062999999999</v>
      </c>
      <c r="AY685" s="10">
        <v>3.2850060999999999</v>
      </c>
      <c r="AZ685" s="10">
        <v>3.2826417000000001</v>
      </c>
      <c r="BA685" s="10">
        <v>3.2809621</v>
      </c>
      <c r="BB685" s="10">
        <v>3.2799160000000001</v>
      </c>
      <c r="BC685" s="10">
        <v>3.2794523999999998</v>
      </c>
      <c r="BD685" s="10">
        <v>3.2795203000000002</v>
      </c>
      <c r="BE685" s="10">
        <v>3.2800685000000001</v>
      </c>
      <c r="BF685" s="10">
        <v>3.2810516999999999</v>
      </c>
      <c r="BG685" s="10">
        <v>3.2824506000000002</v>
      </c>
      <c r="BH685" s="10">
        <v>3.2842530999999999</v>
      </c>
      <c r="BI685" s="10">
        <v>3.2864467999999998</v>
      </c>
      <c r="BJ685" s="10">
        <v>3.2890195000000002</v>
      </c>
      <c r="BK685" s="10">
        <v>3.2919591000000001</v>
      </c>
      <c r="BL685" s="10">
        <v>3.2952531999999999</v>
      </c>
      <c r="BM685" s="10">
        <v>3.2988898</v>
      </c>
      <c r="BN685" s="10">
        <v>3.3028564999999999</v>
      </c>
      <c r="BO685" s="10">
        <v>3.3071410999999999</v>
      </c>
      <c r="BP685" s="10">
        <v>3.3117314000000002</v>
      </c>
      <c r="BQ685" s="10">
        <v>3.3166152000000002</v>
      </c>
      <c r="BR685" s="10">
        <v>3.3515264999999999</v>
      </c>
      <c r="BS685" s="10">
        <v>3.3947091</v>
      </c>
      <c r="BU685" s="7">
        <v>3.65</v>
      </c>
      <c r="BV685" s="7">
        <v>3.95</v>
      </c>
      <c r="BW685" s="9">
        <v>82.656499999999994</v>
      </c>
    </row>
    <row r="686" spans="1:75" x14ac:dyDescent="0.25">
      <c r="A686" s="6">
        <f t="shared" si="79"/>
        <v>45512</v>
      </c>
      <c r="B686" s="13">
        <f t="shared" si="100"/>
        <v>8</v>
      </c>
      <c r="C686" s="13">
        <f t="shared" si="101"/>
        <v>2024</v>
      </c>
      <c r="D686">
        <f t="shared" si="102"/>
        <v>202408</v>
      </c>
      <c r="E686">
        <f t="shared" si="103"/>
        <v>3</v>
      </c>
      <c r="F686">
        <f t="shared" si="104"/>
        <v>202403</v>
      </c>
      <c r="G686" t="s">
        <v>1493</v>
      </c>
      <c r="H686" s="9">
        <v>5</v>
      </c>
      <c r="I686" s="9">
        <v>4.95</v>
      </c>
      <c r="J686" s="10">
        <v>4.9331107000000003</v>
      </c>
      <c r="K686" s="10">
        <v>4.851966</v>
      </c>
      <c r="L686" s="10">
        <v>4.7507054999999996</v>
      </c>
      <c r="M686" s="10">
        <v>4.6358224000000003</v>
      </c>
      <c r="N686" s="10">
        <v>4.5190900000000003</v>
      </c>
      <c r="O686" s="10">
        <v>4.4052822000000003</v>
      </c>
      <c r="P686" s="10">
        <v>4.2970065000000002</v>
      </c>
      <c r="Q686" s="10">
        <v>4.1971895999999997</v>
      </c>
      <c r="R686" s="10">
        <v>4.1072819999999997</v>
      </c>
      <c r="S686" s="10">
        <v>4.0280184999999999</v>
      </c>
      <c r="T686" s="10">
        <v>3.9593862999999998</v>
      </c>
      <c r="U686" s="10">
        <v>3.9006017000000002</v>
      </c>
      <c r="V686" s="10">
        <v>3.8501314999999998</v>
      </c>
      <c r="W686" s="10">
        <v>3.8066787999999998</v>
      </c>
      <c r="X686" s="10">
        <v>3.7690492</v>
      </c>
      <c r="Y686" s="10">
        <v>3.7360483000000002</v>
      </c>
      <c r="Z686" s="10">
        <v>3.7064816999999999</v>
      </c>
      <c r="AA686" s="10">
        <v>3.6791548999999999</v>
      </c>
      <c r="AB686" s="10">
        <v>3.6530319000000002</v>
      </c>
      <c r="AC686" s="10">
        <v>3.6278888999999999</v>
      </c>
      <c r="AD686" s="10">
        <v>3.6037612000000001</v>
      </c>
      <c r="AE686" s="10">
        <v>3.5806841</v>
      </c>
      <c r="AF686" s="10">
        <v>3.5586932</v>
      </c>
      <c r="AG686" s="10">
        <v>3.5378238999999998</v>
      </c>
      <c r="AH686" s="10">
        <v>3.5181041</v>
      </c>
      <c r="AI686" s="10">
        <v>3.4995246</v>
      </c>
      <c r="AJ686" s="10">
        <v>3.4820646000000002</v>
      </c>
      <c r="AK686" s="10">
        <v>3.4657037000000002</v>
      </c>
      <c r="AL686" s="10">
        <v>3.4504214000000002</v>
      </c>
      <c r="AM686" s="10">
        <v>3.4361969999999999</v>
      </c>
      <c r="AN686" s="10">
        <v>3.4230100000000001</v>
      </c>
      <c r="AO686" s="10">
        <v>3.4108398000000002</v>
      </c>
      <c r="AP686" s="10">
        <v>3.3996659</v>
      </c>
      <c r="AQ686" s="10">
        <v>3.3894677</v>
      </c>
      <c r="AR686" s="10">
        <v>3.3802246</v>
      </c>
      <c r="AS686" s="10">
        <v>3.3719161</v>
      </c>
      <c r="AT686" s="10">
        <v>3.3645185</v>
      </c>
      <c r="AU686" s="10">
        <v>3.3579946999999999</v>
      </c>
      <c r="AV686" s="10">
        <v>3.3523035000000001</v>
      </c>
      <c r="AW686" s="10">
        <v>3.347404</v>
      </c>
      <c r="AX686" s="10">
        <v>3.3432552000000002</v>
      </c>
      <c r="AY686" s="10">
        <v>3.3398161000000002</v>
      </c>
      <c r="AZ686" s="10">
        <v>3.3370457999999998</v>
      </c>
      <c r="BA686" s="10">
        <v>3.3349031</v>
      </c>
      <c r="BB686" s="10">
        <v>3.3333472</v>
      </c>
      <c r="BC686" s="10">
        <v>3.3323371000000002</v>
      </c>
      <c r="BD686" s="10">
        <v>3.3318317</v>
      </c>
      <c r="BE686" s="10">
        <v>3.3317899999999998</v>
      </c>
      <c r="BF686" s="10">
        <v>3.3321757999999999</v>
      </c>
      <c r="BG686" s="10">
        <v>3.3329735999999999</v>
      </c>
      <c r="BH686" s="10">
        <v>3.3341734000000001</v>
      </c>
      <c r="BI686" s="10">
        <v>3.3357656000000002</v>
      </c>
      <c r="BJ686" s="10">
        <v>3.3377403999999999</v>
      </c>
      <c r="BK686" s="10">
        <v>3.3400878999999999</v>
      </c>
      <c r="BL686" s="10">
        <v>3.3427983000000001</v>
      </c>
      <c r="BM686" s="10">
        <v>3.3458619000000001</v>
      </c>
      <c r="BN686" s="10">
        <v>3.3492687999999999</v>
      </c>
      <c r="BO686" s="10">
        <v>3.3530091999999998</v>
      </c>
      <c r="BP686" s="10">
        <v>3.3570734</v>
      </c>
      <c r="BQ686" s="10">
        <v>3.3614516000000001</v>
      </c>
      <c r="BR686" s="10">
        <v>3.3937987000000001</v>
      </c>
      <c r="BS686" s="10">
        <v>3.4351851999999998</v>
      </c>
      <c r="BU686" s="7">
        <v>3.68</v>
      </c>
      <c r="BV686" s="7">
        <v>3.99</v>
      </c>
      <c r="BW686" s="9">
        <v>82.725800000000007</v>
      </c>
    </row>
    <row r="687" spans="1:75" x14ac:dyDescent="0.25">
      <c r="A687" s="6">
        <f t="shared" si="79"/>
        <v>45513</v>
      </c>
      <c r="B687" s="13">
        <f t="shared" si="100"/>
        <v>8</v>
      </c>
      <c r="C687" s="13">
        <f t="shared" si="101"/>
        <v>2024</v>
      </c>
      <c r="D687">
        <f t="shared" si="102"/>
        <v>202408</v>
      </c>
      <c r="E687">
        <f t="shared" si="103"/>
        <v>3</v>
      </c>
      <c r="F687">
        <f t="shared" si="104"/>
        <v>202403</v>
      </c>
      <c r="G687" t="s">
        <v>1494</v>
      </c>
      <c r="H687" s="9">
        <v>5</v>
      </c>
      <c r="I687" s="9">
        <v>4.95</v>
      </c>
      <c r="J687" s="10">
        <v>4.9292503999999999</v>
      </c>
      <c r="K687" s="10">
        <v>4.8403372999999998</v>
      </c>
      <c r="L687" s="10">
        <v>4.7357569000000002</v>
      </c>
      <c r="M687" s="10">
        <v>4.6193809999999997</v>
      </c>
      <c r="N687" s="10">
        <v>4.5010455</v>
      </c>
      <c r="O687" s="10">
        <v>4.3857670999999998</v>
      </c>
      <c r="P687" s="10">
        <v>4.2767689000000004</v>
      </c>
      <c r="Q687" s="10">
        <v>4.1770204</v>
      </c>
      <c r="R687" s="10">
        <v>4.0878144000000001</v>
      </c>
      <c r="S687" s="10">
        <v>4.0094618999999998</v>
      </c>
      <c r="T687" s="10">
        <v>3.9415616</v>
      </c>
      <c r="U687" s="10">
        <v>3.8827202000000001</v>
      </c>
      <c r="V687" s="10">
        <v>3.8305433999999998</v>
      </c>
      <c r="W687" s="10">
        <v>3.7838761000000001</v>
      </c>
      <c r="X687" s="10">
        <v>3.7420247</v>
      </c>
      <c r="Y687" s="10">
        <v>3.7042955000000002</v>
      </c>
      <c r="Z687" s="10">
        <v>3.6699948999999998</v>
      </c>
      <c r="AA687" s="10">
        <v>3.6384292</v>
      </c>
      <c r="AB687" s="10">
        <v>3.6089924</v>
      </c>
      <c r="AC687" s="10">
        <v>3.5814845000000002</v>
      </c>
      <c r="AD687" s="10">
        <v>3.5558231999999999</v>
      </c>
      <c r="AE687" s="10">
        <v>3.5319261000000002</v>
      </c>
      <c r="AF687" s="10">
        <v>3.5097111000000001</v>
      </c>
      <c r="AG687" s="10">
        <v>3.4890957999999999</v>
      </c>
      <c r="AH687" s="10">
        <v>3.4699998000000001</v>
      </c>
      <c r="AI687" s="10">
        <v>3.4523513000000001</v>
      </c>
      <c r="AJ687" s="10">
        <v>3.4360808</v>
      </c>
      <c r="AK687" s="10">
        <v>3.4211185</v>
      </c>
      <c r="AL687" s="10">
        <v>3.4073951999999998</v>
      </c>
      <c r="AM687" s="10">
        <v>3.394841</v>
      </c>
      <c r="AN687" s="10">
        <v>3.3833867</v>
      </c>
      <c r="AO687" s="10">
        <v>3.3729624999999999</v>
      </c>
      <c r="AP687" s="10">
        <v>3.363499</v>
      </c>
      <c r="AQ687" s="10">
        <v>3.3549264999999999</v>
      </c>
      <c r="AR687" s="10">
        <v>3.3471757000000002</v>
      </c>
      <c r="AS687" s="10">
        <v>3.3401768000000001</v>
      </c>
      <c r="AT687" s="10">
        <v>3.3338676999999999</v>
      </c>
      <c r="AU687" s="10">
        <v>3.3282156000000001</v>
      </c>
      <c r="AV687" s="10">
        <v>3.3231950000000001</v>
      </c>
      <c r="AW687" s="10">
        <v>3.3187804000000001</v>
      </c>
      <c r="AX687" s="10">
        <v>3.3149462000000001</v>
      </c>
      <c r="AY687" s="10">
        <v>3.3116669999999999</v>
      </c>
      <c r="AZ687" s="10">
        <v>3.3089173000000001</v>
      </c>
      <c r="BA687" s="10">
        <v>3.3066715000000002</v>
      </c>
      <c r="BB687" s="10">
        <v>3.3049043</v>
      </c>
      <c r="BC687" s="10">
        <v>3.3035899999999998</v>
      </c>
      <c r="BD687" s="10">
        <v>3.3027031999999998</v>
      </c>
      <c r="BE687" s="10">
        <v>3.3022184000000001</v>
      </c>
      <c r="BF687" s="10">
        <v>3.3021132999999998</v>
      </c>
      <c r="BG687" s="10">
        <v>3.3023799</v>
      </c>
      <c r="BH687" s="10">
        <v>3.3030140000000001</v>
      </c>
      <c r="BI687" s="10">
        <v>3.3040115999999999</v>
      </c>
      <c r="BJ687" s="10">
        <v>3.3053685000000002</v>
      </c>
      <c r="BK687" s="10">
        <v>3.3070805000000001</v>
      </c>
      <c r="BL687" s="10">
        <v>3.3091436000000001</v>
      </c>
      <c r="BM687" s="10">
        <v>3.3115535999999999</v>
      </c>
      <c r="BN687" s="10">
        <v>3.3143064999999998</v>
      </c>
      <c r="BO687" s="10">
        <v>3.3173979999999998</v>
      </c>
      <c r="BP687" s="10">
        <v>3.3208242000000001</v>
      </c>
      <c r="BQ687" s="10">
        <v>3.3245806999999998</v>
      </c>
      <c r="BR687" s="10">
        <v>3.3537270000000001</v>
      </c>
      <c r="BS687" s="10">
        <v>3.3931125</v>
      </c>
      <c r="BU687" s="7">
        <v>3.65</v>
      </c>
      <c r="BV687" s="7">
        <v>3.95</v>
      </c>
      <c r="BW687" s="9">
        <v>82.9392</v>
      </c>
    </row>
    <row r="688" spans="1:75" x14ac:dyDescent="0.25">
      <c r="A688" s="6">
        <f t="shared" si="79"/>
        <v>45516</v>
      </c>
      <c r="B688" s="13">
        <f t="shared" si="100"/>
        <v>8</v>
      </c>
      <c r="C688" s="13">
        <f t="shared" si="101"/>
        <v>2024</v>
      </c>
      <c r="D688">
        <f t="shared" si="102"/>
        <v>202408</v>
      </c>
      <c r="E688">
        <f t="shared" si="103"/>
        <v>3</v>
      </c>
      <c r="F688">
        <f t="shared" si="104"/>
        <v>202403</v>
      </c>
      <c r="G688" t="s">
        <v>1495</v>
      </c>
      <c r="H688" s="9">
        <v>5</v>
      </c>
      <c r="I688" s="9">
        <v>4.95</v>
      </c>
      <c r="J688" s="10">
        <v>4.9288447</v>
      </c>
      <c r="K688" s="10">
        <v>4.8374725999999999</v>
      </c>
      <c r="L688" s="10">
        <v>4.7332916999999997</v>
      </c>
      <c r="M688" s="10">
        <v>4.6187874999999998</v>
      </c>
      <c r="N688" s="10">
        <v>4.5023388000000004</v>
      </c>
      <c r="O688" s="10">
        <v>4.3883074000000004</v>
      </c>
      <c r="P688" s="10">
        <v>4.2797907000000004</v>
      </c>
      <c r="Q688" s="10">
        <v>4.1797901</v>
      </c>
      <c r="R688" s="10">
        <v>4.0903976999999996</v>
      </c>
      <c r="S688" s="10">
        <v>4.0121831999999999</v>
      </c>
      <c r="T688" s="10">
        <v>3.9451049</v>
      </c>
      <c r="U688" s="10">
        <v>3.8878056999999999</v>
      </c>
      <c r="V688" s="10">
        <v>3.8377797</v>
      </c>
      <c r="W688" s="10">
        <v>3.7936939000000001</v>
      </c>
      <c r="X688" s="10">
        <v>3.7545994999999999</v>
      </c>
      <c r="Y688" s="10">
        <v>3.7195482000000002</v>
      </c>
      <c r="Z688" s="10">
        <v>3.6875912999999998</v>
      </c>
      <c r="AA688" s="10">
        <v>3.6577804</v>
      </c>
      <c r="AB688" s="10">
        <v>3.6293039</v>
      </c>
      <c r="AC688" s="10">
        <v>3.6019855000000001</v>
      </c>
      <c r="AD688" s="10">
        <v>3.5758329</v>
      </c>
      <c r="AE688" s="10">
        <v>3.5508540000000002</v>
      </c>
      <c r="AF688" s="10">
        <v>3.5270565999999999</v>
      </c>
      <c r="AG688" s="10">
        <v>3.5044483</v>
      </c>
      <c r="AH688" s="10">
        <v>3.4830304000000001</v>
      </c>
      <c r="AI688" s="10">
        <v>3.4627769000000002</v>
      </c>
      <c r="AJ688" s="10">
        <v>3.4436551</v>
      </c>
      <c r="AK688" s="10">
        <v>3.4256326000000001</v>
      </c>
      <c r="AL688" s="10">
        <v>3.4086767</v>
      </c>
      <c r="AM688" s="10">
        <v>3.3927546999999998</v>
      </c>
      <c r="AN688" s="10">
        <v>3.3778340999999998</v>
      </c>
      <c r="AO688" s="10">
        <v>3.3638823000000002</v>
      </c>
      <c r="AP688" s="10">
        <v>3.3508665999999998</v>
      </c>
      <c r="AQ688" s="10">
        <v>3.3387544999999998</v>
      </c>
      <c r="AR688" s="10">
        <v>3.3275133000000001</v>
      </c>
      <c r="AS688" s="10">
        <v>3.3171105000000001</v>
      </c>
      <c r="AT688" s="10">
        <v>3.3075155999999999</v>
      </c>
      <c r="AU688" s="10">
        <v>3.2987066</v>
      </c>
      <c r="AV688" s="10">
        <v>3.2906639000000002</v>
      </c>
      <c r="AW688" s="10">
        <v>3.2833678000000002</v>
      </c>
      <c r="AX688" s="10">
        <v>3.2767984999999999</v>
      </c>
      <c r="AY688" s="10">
        <v>3.2709362</v>
      </c>
      <c r="AZ688" s="10">
        <v>3.2657612999999999</v>
      </c>
      <c r="BA688" s="10">
        <v>3.2612540999999999</v>
      </c>
      <c r="BB688" s="10">
        <v>3.2573946999999999</v>
      </c>
      <c r="BC688" s="10">
        <v>3.2541635000000002</v>
      </c>
      <c r="BD688" s="10">
        <v>3.2515407000000001</v>
      </c>
      <c r="BE688" s="10">
        <v>3.2495067</v>
      </c>
      <c r="BF688" s="10">
        <v>3.2480424000000001</v>
      </c>
      <c r="BG688" s="10">
        <v>3.2471336000000002</v>
      </c>
      <c r="BH688" s="10">
        <v>3.2467671999999999</v>
      </c>
      <c r="BI688" s="10">
        <v>3.2469305999999998</v>
      </c>
      <c r="BJ688" s="10">
        <v>3.2476107000000001</v>
      </c>
      <c r="BK688" s="10">
        <v>3.2487946000000001</v>
      </c>
      <c r="BL688" s="10">
        <v>3.2504696000000002</v>
      </c>
      <c r="BM688" s="10">
        <v>3.2526226</v>
      </c>
      <c r="BN688" s="10">
        <v>3.2552408000000002</v>
      </c>
      <c r="BO688" s="10">
        <v>3.2583114000000002</v>
      </c>
      <c r="BP688" s="10">
        <v>3.2618214000000001</v>
      </c>
      <c r="BQ688" s="10">
        <v>3.2657579999999999</v>
      </c>
      <c r="BR688" s="10">
        <v>3.2974766</v>
      </c>
      <c r="BS688" s="10">
        <v>3.3404639999999999</v>
      </c>
      <c r="BU688" s="7">
        <v>3.63</v>
      </c>
      <c r="BV688" s="7">
        <v>3.92</v>
      </c>
      <c r="BW688" s="9">
        <v>83.085300000000004</v>
      </c>
    </row>
    <row r="689" spans="1:75" x14ac:dyDescent="0.25">
      <c r="A689" s="6">
        <f t="shared" si="79"/>
        <v>45517</v>
      </c>
      <c r="B689" s="13">
        <f t="shared" si="100"/>
        <v>8</v>
      </c>
      <c r="C689" s="13">
        <f t="shared" si="101"/>
        <v>2024</v>
      </c>
      <c r="D689">
        <f t="shared" si="102"/>
        <v>202408</v>
      </c>
      <c r="E689">
        <f t="shared" si="103"/>
        <v>3</v>
      </c>
      <c r="F689">
        <f t="shared" si="104"/>
        <v>202403</v>
      </c>
      <c r="G689" t="s">
        <v>1496</v>
      </c>
      <c r="H689" s="9">
        <v>5</v>
      </c>
      <c r="I689" s="9">
        <v>4.95</v>
      </c>
      <c r="J689" s="10">
        <v>4.9285202000000004</v>
      </c>
      <c r="K689" s="10">
        <v>4.8383652000000001</v>
      </c>
      <c r="L689" s="10">
        <v>4.7305998000000002</v>
      </c>
      <c r="M689" s="10">
        <v>4.6089982000000003</v>
      </c>
      <c r="N689" s="10">
        <v>4.4840545000000001</v>
      </c>
      <c r="O689" s="10">
        <v>4.3617436999999999</v>
      </c>
      <c r="P689" s="10">
        <v>4.2460293</v>
      </c>
      <c r="Q689" s="10">
        <v>4.1403927999999999</v>
      </c>
      <c r="R689" s="10">
        <v>4.0469179999999998</v>
      </c>
      <c r="S689" s="10">
        <v>3.9659995000000001</v>
      </c>
      <c r="T689" s="10">
        <v>3.8972711000000002</v>
      </c>
      <c r="U689" s="10">
        <v>3.8390996999999998</v>
      </c>
      <c r="V689" s="10">
        <v>3.7886441</v>
      </c>
      <c r="W689" s="10">
        <v>3.7444495999999998</v>
      </c>
      <c r="X689" s="10">
        <v>3.7055015</v>
      </c>
      <c r="Y689" s="10">
        <v>3.670785</v>
      </c>
      <c r="Z689" s="10">
        <v>3.6392850000000001</v>
      </c>
      <c r="AA689" s="10">
        <v>3.6099869</v>
      </c>
      <c r="AB689" s="10">
        <v>3.5820224000000001</v>
      </c>
      <c r="AC689" s="10">
        <v>3.5552031999999998</v>
      </c>
      <c r="AD689" s="10">
        <v>3.5295383</v>
      </c>
      <c r="AE689" s="10">
        <v>3.5050365999999999</v>
      </c>
      <c r="AF689" s="10">
        <v>3.4817070000000001</v>
      </c>
      <c r="AG689" s="10">
        <v>3.4595584000000001</v>
      </c>
      <c r="AH689" s="10">
        <v>3.4385943000000001</v>
      </c>
      <c r="AI689" s="10">
        <v>3.4187964000000002</v>
      </c>
      <c r="AJ689" s="10">
        <v>3.4001408999999998</v>
      </c>
      <c r="AK689" s="10">
        <v>3.3826043000000001</v>
      </c>
      <c r="AL689" s="10">
        <v>3.3661626999999998</v>
      </c>
      <c r="AM689" s="10">
        <v>3.3507924999999998</v>
      </c>
      <c r="AN689" s="10">
        <v>3.3364699</v>
      </c>
      <c r="AO689" s="10">
        <v>3.3231712999999998</v>
      </c>
      <c r="AP689" s="10">
        <v>3.3108729000000001</v>
      </c>
      <c r="AQ689" s="10">
        <v>3.2995510000000001</v>
      </c>
      <c r="AR689" s="10">
        <v>3.2891819</v>
      </c>
      <c r="AS689" s="10">
        <v>3.2797418999999999</v>
      </c>
      <c r="AT689" s="10">
        <v>3.2712059999999998</v>
      </c>
      <c r="AU689" s="10">
        <v>3.2635442000000001</v>
      </c>
      <c r="AV689" s="10">
        <v>3.2567252</v>
      </c>
      <c r="AW689" s="10">
        <v>3.2507179000000002</v>
      </c>
      <c r="AX689" s="10">
        <v>3.2454907999999998</v>
      </c>
      <c r="AY689" s="10">
        <v>3.2410128</v>
      </c>
      <c r="AZ689" s="10">
        <v>3.2372526000000001</v>
      </c>
      <c r="BA689" s="10">
        <v>3.2341788</v>
      </c>
      <c r="BB689" s="10">
        <v>3.2317602999999999</v>
      </c>
      <c r="BC689" s="10">
        <v>3.2299658</v>
      </c>
      <c r="BD689" s="10">
        <v>3.228764</v>
      </c>
      <c r="BE689" s="10">
        <v>3.2281236999999998</v>
      </c>
      <c r="BF689" s="10">
        <v>3.2280156</v>
      </c>
      <c r="BG689" s="10">
        <v>3.228421</v>
      </c>
      <c r="BH689" s="10">
        <v>3.2293240000000001</v>
      </c>
      <c r="BI689" s="10">
        <v>3.2307089000000002</v>
      </c>
      <c r="BJ689" s="10">
        <v>3.2325599999999999</v>
      </c>
      <c r="BK689" s="10">
        <v>3.2348615000000001</v>
      </c>
      <c r="BL689" s="10">
        <v>3.2375976</v>
      </c>
      <c r="BM689" s="10">
        <v>3.2407526999999998</v>
      </c>
      <c r="BN689" s="10">
        <v>3.2443110000000002</v>
      </c>
      <c r="BO689" s="10">
        <v>3.2482567000000002</v>
      </c>
      <c r="BP689" s="10">
        <v>3.2525740999999999</v>
      </c>
      <c r="BQ689" s="10">
        <v>3.2572473999999998</v>
      </c>
      <c r="BR689" s="10">
        <v>3.2919759000000002</v>
      </c>
      <c r="BS689" s="10">
        <v>3.3361318</v>
      </c>
      <c r="BU689" s="7">
        <v>3.61</v>
      </c>
      <c r="BV689" s="7">
        <v>3.89</v>
      </c>
      <c r="BW689" s="9">
        <v>83.189599999999999</v>
      </c>
    </row>
    <row r="690" spans="1:75" x14ac:dyDescent="0.25">
      <c r="A690" s="6">
        <f t="shared" si="79"/>
        <v>45518</v>
      </c>
      <c r="B690" s="13">
        <f t="shared" si="100"/>
        <v>8</v>
      </c>
      <c r="C690" s="13">
        <f t="shared" si="101"/>
        <v>2024</v>
      </c>
      <c r="D690">
        <f t="shared" si="102"/>
        <v>202408</v>
      </c>
      <c r="E690">
        <f t="shared" si="103"/>
        <v>3</v>
      </c>
      <c r="F690">
        <f t="shared" si="104"/>
        <v>202403</v>
      </c>
      <c r="G690" t="s">
        <v>1504</v>
      </c>
      <c r="H690" s="9">
        <v>5</v>
      </c>
      <c r="I690" s="9">
        <v>4.95</v>
      </c>
      <c r="J690" s="10">
        <v>4.9286209999999997</v>
      </c>
      <c r="K690" s="10">
        <v>4.8308815999999997</v>
      </c>
      <c r="L690" s="10">
        <v>4.7177268000000003</v>
      </c>
      <c r="M690" s="10">
        <v>4.5909402000000004</v>
      </c>
      <c r="N690" s="10">
        <v>4.4609893999999999</v>
      </c>
      <c r="O690" s="10">
        <v>4.3348700999999998</v>
      </c>
      <c r="P690" s="10">
        <v>4.2169774000000002</v>
      </c>
      <c r="Q690" s="10">
        <v>4.1107981999999996</v>
      </c>
      <c r="R690" s="10">
        <v>4.0179118000000003</v>
      </c>
      <c r="S690" s="10">
        <v>3.9384926999999998</v>
      </c>
      <c r="T690" s="10">
        <v>3.8714146999999999</v>
      </c>
      <c r="U690" s="10">
        <v>3.8150691999999999</v>
      </c>
      <c r="V690" s="10">
        <v>3.7662551999999998</v>
      </c>
      <c r="W690" s="10">
        <v>3.7233896999999998</v>
      </c>
      <c r="X690" s="10">
        <v>3.6854269</v>
      </c>
      <c r="Y690" s="10">
        <v>3.6513208000000001</v>
      </c>
      <c r="Z690" s="10">
        <v>3.6200258000000001</v>
      </c>
      <c r="AA690" s="10">
        <v>3.5904959999999999</v>
      </c>
      <c r="AB690" s="10">
        <v>3.5618192</v>
      </c>
      <c r="AC690" s="10">
        <v>3.5338406</v>
      </c>
      <c r="AD690" s="10">
        <v>3.5066714999999999</v>
      </c>
      <c r="AE690" s="10">
        <v>3.4804236</v>
      </c>
      <c r="AF690" s="10">
        <v>3.4552087</v>
      </c>
      <c r="AG690" s="10">
        <v>3.4311383000000002</v>
      </c>
      <c r="AH690" s="10">
        <v>3.4083032000000002</v>
      </c>
      <c r="AI690" s="10">
        <v>3.3867094999999998</v>
      </c>
      <c r="AJ690" s="10">
        <v>3.3663424000000002</v>
      </c>
      <c r="AK690" s="10">
        <v>3.3471872</v>
      </c>
      <c r="AL690" s="10">
        <v>3.3292288999999999</v>
      </c>
      <c r="AM690" s="10">
        <v>3.3124527000000001</v>
      </c>
      <c r="AN690" s="10">
        <v>3.2968438</v>
      </c>
      <c r="AO690" s="10">
        <v>3.2823874000000002</v>
      </c>
      <c r="AP690" s="10">
        <v>3.2690686000000002</v>
      </c>
      <c r="AQ690" s="10">
        <v>3.2568725999999999</v>
      </c>
      <c r="AR690" s="10">
        <v>3.2457845999999999</v>
      </c>
      <c r="AS690" s="10">
        <v>3.2357897000000002</v>
      </c>
      <c r="AT690" s="10">
        <v>3.2268685000000001</v>
      </c>
      <c r="AU690" s="10">
        <v>3.2189793</v>
      </c>
      <c r="AV690" s="10">
        <v>3.2120734999999998</v>
      </c>
      <c r="AW690" s="10">
        <v>3.2061025999999999</v>
      </c>
      <c r="AX690" s="10">
        <v>3.2010179999999999</v>
      </c>
      <c r="AY690" s="10">
        <v>3.1967712000000001</v>
      </c>
      <c r="AZ690" s="10">
        <v>3.1933136000000002</v>
      </c>
      <c r="BA690" s="10">
        <v>3.1905967</v>
      </c>
      <c r="BB690" s="10">
        <v>3.1885718000000001</v>
      </c>
      <c r="BC690" s="10">
        <v>3.1871906000000001</v>
      </c>
      <c r="BD690" s="10">
        <v>3.1864043999999998</v>
      </c>
      <c r="BE690" s="10">
        <v>3.1861647</v>
      </c>
      <c r="BF690" s="10">
        <v>3.1864275000000002</v>
      </c>
      <c r="BG690" s="10">
        <v>3.1871694000000002</v>
      </c>
      <c r="BH690" s="10">
        <v>3.1883726000000001</v>
      </c>
      <c r="BI690" s="10">
        <v>3.1900192000000001</v>
      </c>
      <c r="BJ690" s="10">
        <v>3.1920913999999998</v>
      </c>
      <c r="BK690" s="10">
        <v>3.1945714999999999</v>
      </c>
      <c r="BL690" s="10">
        <v>3.1974415</v>
      </c>
      <c r="BM690" s="10">
        <v>3.2006836000000001</v>
      </c>
      <c r="BN690" s="10">
        <v>3.2042801000000001</v>
      </c>
      <c r="BO690" s="10">
        <v>3.2082131</v>
      </c>
      <c r="BP690" s="10">
        <v>3.2124647999999998</v>
      </c>
      <c r="BQ690" s="10">
        <v>3.2170173000000002</v>
      </c>
      <c r="BR690" s="10">
        <v>3.249968</v>
      </c>
      <c r="BS690" s="10">
        <v>3.2911728</v>
      </c>
      <c r="BU690" s="7">
        <v>3.57</v>
      </c>
      <c r="BV690" s="7">
        <v>3.83</v>
      </c>
      <c r="BW690" s="9">
        <v>83.032399999999996</v>
      </c>
    </row>
    <row r="691" spans="1:75" x14ac:dyDescent="0.25">
      <c r="A691" s="6">
        <f t="shared" si="79"/>
        <v>45519</v>
      </c>
      <c r="B691" s="13">
        <f t="shared" si="100"/>
        <v>8</v>
      </c>
      <c r="C691" s="13">
        <f t="shared" si="101"/>
        <v>2024</v>
      </c>
      <c r="D691">
        <f t="shared" si="102"/>
        <v>202408</v>
      </c>
      <c r="E691">
        <f t="shared" si="103"/>
        <v>3</v>
      </c>
      <c r="F691">
        <f t="shared" si="104"/>
        <v>202403</v>
      </c>
      <c r="G691" t="s">
        <v>1505</v>
      </c>
      <c r="H691" s="9">
        <v>5</v>
      </c>
      <c r="I691" s="9">
        <v>4.95</v>
      </c>
      <c r="J691" s="10">
        <v>4.9309164000000001</v>
      </c>
      <c r="K691" s="10">
        <v>4.8441289999999997</v>
      </c>
      <c r="L691" s="10">
        <v>4.7432397000000002</v>
      </c>
      <c r="M691" s="10">
        <v>4.6306418000000003</v>
      </c>
      <c r="N691" s="10">
        <v>4.5151135</v>
      </c>
      <c r="O691" s="10">
        <v>4.4019263999999998</v>
      </c>
      <c r="P691" s="10">
        <v>4.2937782000000002</v>
      </c>
      <c r="Q691" s="10">
        <v>4.1933743999999997</v>
      </c>
      <c r="R691" s="10">
        <v>4.1023411000000003</v>
      </c>
      <c r="S691" s="10">
        <v>4.0215009999999998</v>
      </c>
      <c r="T691" s="10">
        <v>3.9508955000000001</v>
      </c>
      <c r="U691" s="10">
        <v>3.8898011000000001</v>
      </c>
      <c r="V691" s="10">
        <v>3.8366731999999999</v>
      </c>
      <c r="W691" s="10">
        <v>3.7903394000000001</v>
      </c>
      <c r="X691" s="10">
        <v>3.7497710999999998</v>
      </c>
      <c r="Y691" s="10">
        <v>3.7139399000000002</v>
      </c>
      <c r="Z691" s="10">
        <v>3.6818171</v>
      </c>
      <c r="AA691" s="10">
        <v>3.6523742000000001</v>
      </c>
      <c r="AB691" s="10">
        <v>3.6247066999999999</v>
      </c>
      <c r="AC691" s="10">
        <v>3.5985455000000002</v>
      </c>
      <c r="AD691" s="10">
        <v>3.5738245000000002</v>
      </c>
      <c r="AE691" s="10">
        <v>3.5504777000000001</v>
      </c>
      <c r="AF691" s="10">
        <v>3.5284390999999999</v>
      </c>
      <c r="AG691" s="10">
        <v>3.5076426000000001</v>
      </c>
      <c r="AH691" s="10">
        <v>3.4880270000000002</v>
      </c>
      <c r="AI691" s="10">
        <v>3.4695532</v>
      </c>
      <c r="AJ691" s="10">
        <v>3.4521893000000001</v>
      </c>
      <c r="AK691" s="10">
        <v>3.4359033000000001</v>
      </c>
      <c r="AL691" s="10">
        <v>3.4206631999999999</v>
      </c>
      <c r="AM691" s="10">
        <v>3.4064369000000001</v>
      </c>
      <c r="AN691" s="10">
        <v>3.3931925999999999</v>
      </c>
      <c r="AO691" s="10">
        <v>3.3808981999999999</v>
      </c>
      <c r="AP691" s="10">
        <v>3.3695217</v>
      </c>
      <c r="AQ691" s="10">
        <v>3.3590311000000002</v>
      </c>
      <c r="AR691" s="10">
        <v>3.3493943000000002</v>
      </c>
      <c r="AS691" s="10">
        <v>3.3405795</v>
      </c>
      <c r="AT691" s="10">
        <v>3.3325547000000002</v>
      </c>
      <c r="AU691" s="10">
        <v>3.3252891999999998</v>
      </c>
      <c r="AV691" s="10">
        <v>3.3187521000000002</v>
      </c>
      <c r="AW691" s="10">
        <v>3.3129129000000002</v>
      </c>
      <c r="AX691" s="10">
        <v>3.3077409000000002</v>
      </c>
      <c r="AY691" s="10">
        <v>3.3032053000000001</v>
      </c>
      <c r="AZ691" s="10">
        <v>3.2992756000000001</v>
      </c>
      <c r="BA691" s="10">
        <v>3.2959211000000002</v>
      </c>
      <c r="BB691" s="10">
        <v>3.2931111</v>
      </c>
      <c r="BC691" s="10">
        <v>3.2908149</v>
      </c>
      <c r="BD691" s="10">
        <v>3.2890017999999999</v>
      </c>
      <c r="BE691" s="10">
        <v>3.2876413000000002</v>
      </c>
      <c r="BF691" s="10">
        <v>3.2867058</v>
      </c>
      <c r="BG691" s="10">
        <v>3.2861823999999999</v>
      </c>
      <c r="BH691" s="10">
        <v>3.2860619</v>
      </c>
      <c r="BI691" s="10">
        <v>3.2863351999999999</v>
      </c>
      <c r="BJ691" s="10">
        <v>3.2869931999999999</v>
      </c>
      <c r="BK691" s="10">
        <v>3.2880269000000002</v>
      </c>
      <c r="BL691" s="10">
        <v>3.2894272</v>
      </c>
      <c r="BM691" s="10">
        <v>3.2911847999999999</v>
      </c>
      <c r="BN691" s="10">
        <v>3.2932909000000001</v>
      </c>
      <c r="BO691" s="10">
        <v>3.2957361999999999</v>
      </c>
      <c r="BP691" s="10">
        <v>3.2985117000000002</v>
      </c>
      <c r="BQ691" s="10">
        <v>3.3016082</v>
      </c>
      <c r="BR691" s="10">
        <v>3.3264764000000002</v>
      </c>
      <c r="BS691" s="10">
        <v>3.3609490000000002</v>
      </c>
      <c r="BU691" s="7">
        <v>3.64</v>
      </c>
      <c r="BV691" s="7">
        <v>3.92</v>
      </c>
      <c r="BW691" s="9">
        <v>83.345699999999994</v>
      </c>
    </row>
    <row r="692" spans="1:75" x14ac:dyDescent="0.25">
      <c r="A692" s="6">
        <f t="shared" si="79"/>
        <v>45520</v>
      </c>
      <c r="B692" s="13">
        <f t="shared" si="100"/>
        <v>8</v>
      </c>
      <c r="C692" s="13">
        <f t="shared" si="101"/>
        <v>2024</v>
      </c>
      <c r="D692">
        <f t="shared" si="102"/>
        <v>202408</v>
      </c>
      <c r="E692">
        <f t="shared" si="103"/>
        <v>3</v>
      </c>
      <c r="F692">
        <f t="shared" si="104"/>
        <v>202403</v>
      </c>
      <c r="G692" t="s">
        <v>1506</v>
      </c>
      <c r="H692" s="9">
        <v>5</v>
      </c>
      <c r="I692" s="9">
        <v>4.95</v>
      </c>
      <c r="J692" s="10">
        <v>4.9269641999999996</v>
      </c>
      <c r="K692" s="10">
        <v>4.8353770999999997</v>
      </c>
      <c r="L692" s="10">
        <v>4.7335212999999996</v>
      </c>
      <c r="M692" s="10">
        <v>4.6220369000000003</v>
      </c>
      <c r="N692" s="10">
        <v>4.5077207000000001</v>
      </c>
      <c r="O692" s="10">
        <v>4.3964562999999997</v>
      </c>
      <c r="P692" s="10">
        <v>4.2918098000000002</v>
      </c>
      <c r="Q692" s="10">
        <v>4.1964379999999997</v>
      </c>
      <c r="R692" s="10">
        <v>4.1116136000000001</v>
      </c>
      <c r="S692" s="10">
        <v>4.0375541000000004</v>
      </c>
      <c r="T692" s="10">
        <v>3.9737515000000001</v>
      </c>
      <c r="U692" s="10">
        <v>3.9188521999999999</v>
      </c>
      <c r="V692" s="10">
        <v>3.8704249000000002</v>
      </c>
      <c r="W692" s="10">
        <v>3.8272374</v>
      </c>
      <c r="X692" s="10">
        <v>3.7885144999999998</v>
      </c>
      <c r="Y692" s="10">
        <v>3.7534816000000002</v>
      </c>
      <c r="Z692" s="10">
        <v>3.7213636999999999</v>
      </c>
      <c r="AA692" s="10">
        <v>3.6913860000000001</v>
      </c>
      <c r="AB692" s="10">
        <v>3.6628832</v>
      </c>
      <c r="AC692" s="10">
        <v>3.6356983</v>
      </c>
      <c r="AD692" s="10">
        <v>3.6098216999999999</v>
      </c>
      <c r="AE692" s="10">
        <v>3.5852436000000001</v>
      </c>
      <c r="AF692" s="10">
        <v>3.5619543</v>
      </c>
      <c r="AG692" s="10">
        <v>3.5399441999999999</v>
      </c>
      <c r="AH692" s="10">
        <v>3.5191981000000001</v>
      </c>
      <c r="AI692" s="10">
        <v>3.4996771</v>
      </c>
      <c r="AJ692" s="10">
        <v>3.4813356999999998</v>
      </c>
      <c r="AK692" s="10">
        <v>3.4641282000000002</v>
      </c>
      <c r="AL692" s="10">
        <v>3.4480089999999999</v>
      </c>
      <c r="AM692" s="10">
        <v>3.4329326999999998</v>
      </c>
      <c r="AN692" s="10">
        <v>3.4188535999999998</v>
      </c>
      <c r="AO692" s="10">
        <v>3.4057262000000001</v>
      </c>
      <c r="AP692" s="10">
        <v>3.3935048999999999</v>
      </c>
      <c r="AQ692" s="10">
        <v>3.3821441000000001</v>
      </c>
      <c r="AR692" s="10">
        <v>3.3715983</v>
      </c>
      <c r="AS692" s="10">
        <v>3.3618218</v>
      </c>
      <c r="AT692" s="10">
        <v>3.3527727999999999</v>
      </c>
      <c r="AU692" s="10">
        <v>3.3444232</v>
      </c>
      <c r="AV692" s="10">
        <v>3.3367488000000001</v>
      </c>
      <c r="AW692" s="10">
        <v>3.3297253000000002</v>
      </c>
      <c r="AX692" s="10">
        <v>3.3233283999999998</v>
      </c>
      <c r="AY692" s="10">
        <v>3.3175338000000001</v>
      </c>
      <c r="AZ692" s="10">
        <v>3.3123170000000002</v>
      </c>
      <c r="BA692" s="10">
        <v>3.3076539</v>
      </c>
      <c r="BB692" s="10">
        <v>3.3035201999999999</v>
      </c>
      <c r="BC692" s="10">
        <v>3.2998913999999999</v>
      </c>
      <c r="BD692" s="10">
        <v>3.2967433000000002</v>
      </c>
      <c r="BE692" s="10">
        <v>3.2940515000000001</v>
      </c>
      <c r="BF692" s="10">
        <v>3.2917947000000001</v>
      </c>
      <c r="BG692" s="10">
        <v>3.2899638000000002</v>
      </c>
      <c r="BH692" s="10">
        <v>3.2885532</v>
      </c>
      <c r="BI692" s="10">
        <v>3.2875575000000001</v>
      </c>
      <c r="BJ692" s="10">
        <v>3.2869709999999999</v>
      </c>
      <c r="BK692" s="10">
        <v>3.2867883</v>
      </c>
      <c r="BL692" s="10">
        <v>3.2870037999999999</v>
      </c>
      <c r="BM692" s="10">
        <v>3.2876118999999999</v>
      </c>
      <c r="BN692" s="10">
        <v>3.2886072</v>
      </c>
      <c r="BO692" s="10">
        <v>3.289984</v>
      </c>
      <c r="BP692" s="10">
        <v>3.2917369000000001</v>
      </c>
      <c r="BQ692" s="10">
        <v>3.2938603</v>
      </c>
      <c r="BR692" s="10">
        <v>3.3140119000000001</v>
      </c>
      <c r="BS692" s="10">
        <v>3.3457469999999998</v>
      </c>
      <c r="BU692" s="7">
        <v>3.68</v>
      </c>
      <c r="BV692" s="7">
        <v>3.92</v>
      </c>
      <c r="BW692" s="9">
        <v>83.516300000000001</v>
      </c>
    </row>
    <row r="693" spans="1:75" x14ac:dyDescent="0.25">
      <c r="A693" s="6">
        <f t="shared" si="79"/>
        <v>45523</v>
      </c>
      <c r="B693" s="13">
        <f t="shared" si="100"/>
        <v>8</v>
      </c>
      <c r="C693" s="13">
        <f t="shared" si="101"/>
        <v>2024</v>
      </c>
      <c r="D693">
        <f t="shared" si="102"/>
        <v>202408</v>
      </c>
      <c r="E693">
        <f t="shared" si="103"/>
        <v>3</v>
      </c>
      <c r="F693">
        <f t="shared" si="104"/>
        <v>202403</v>
      </c>
      <c r="G693" t="s">
        <v>1507</v>
      </c>
      <c r="H693" s="9">
        <v>5</v>
      </c>
      <c r="I693" s="9">
        <v>4.95</v>
      </c>
      <c r="J693" s="10">
        <v>4.9256823000000001</v>
      </c>
      <c r="K693" s="10">
        <v>4.8323955999999999</v>
      </c>
      <c r="L693" s="10">
        <v>4.7308820000000003</v>
      </c>
      <c r="M693" s="10">
        <v>4.6222494000000003</v>
      </c>
      <c r="N693" s="10">
        <v>4.5113165999999998</v>
      </c>
      <c r="O693" s="10">
        <v>4.401745</v>
      </c>
      <c r="P693" s="10">
        <v>4.2967639999999996</v>
      </c>
      <c r="Q693" s="10">
        <v>4.1998771000000001</v>
      </c>
      <c r="R693" s="10">
        <v>4.1138126000000002</v>
      </c>
      <c r="S693" s="10">
        <v>4.0391781</v>
      </c>
      <c r="T693" s="10">
        <v>3.9758684</v>
      </c>
      <c r="U693" s="10">
        <v>3.9224860000000001</v>
      </c>
      <c r="V693" s="10">
        <v>3.8765475999999999</v>
      </c>
      <c r="W693" s="10">
        <v>3.8366242000000002</v>
      </c>
      <c r="X693" s="10">
        <v>3.8016345</v>
      </c>
      <c r="Y693" s="10">
        <v>3.7704971</v>
      </c>
      <c r="Z693" s="10">
        <v>3.7421305</v>
      </c>
      <c r="AA693" s="10">
        <v>3.7154533000000001</v>
      </c>
      <c r="AB693" s="10">
        <v>3.6895449999999999</v>
      </c>
      <c r="AC693" s="10">
        <v>3.6642320000000002</v>
      </c>
      <c r="AD693" s="10">
        <v>3.6395569000000001</v>
      </c>
      <c r="AE693" s="10">
        <v>3.6155624</v>
      </c>
      <c r="AF693" s="10">
        <v>3.5922912</v>
      </c>
      <c r="AG693" s="10">
        <v>3.5697858999999998</v>
      </c>
      <c r="AH693" s="10">
        <v>3.5480828</v>
      </c>
      <c r="AI693" s="10">
        <v>3.5271919999999999</v>
      </c>
      <c r="AJ693" s="10">
        <v>3.5071170999999999</v>
      </c>
      <c r="AK693" s="10">
        <v>3.4878618000000001</v>
      </c>
      <c r="AL693" s="10">
        <v>3.4694297000000001</v>
      </c>
      <c r="AM693" s="10">
        <v>3.4518244999999999</v>
      </c>
      <c r="AN693" s="10">
        <v>3.4350497999999998</v>
      </c>
      <c r="AO693" s="10">
        <v>3.4191091999999998</v>
      </c>
      <c r="AP693" s="10">
        <v>3.4040064999999999</v>
      </c>
      <c r="AQ693" s="10">
        <v>3.3897452000000001</v>
      </c>
      <c r="AR693" s="10">
        <v>3.3763291</v>
      </c>
      <c r="AS693" s="10">
        <v>3.3637616000000001</v>
      </c>
      <c r="AT693" s="10">
        <v>3.3520428</v>
      </c>
      <c r="AU693" s="10">
        <v>3.3411575</v>
      </c>
      <c r="AV693" s="10">
        <v>3.3310868</v>
      </c>
      <c r="AW693" s="10">
        <v>3.3218117999999999</v>
      </c>
      <c r="AX693" s="10">
        <v>3.3133135999999999</v>
      </c>
      <c r="AY693" s="10">
        <v>3.3055734000000001</v>
      </c>
      <c r="AZ693" s="10">
        <v>3.2985722000000002</v>
      </c>
      <c r="BA693" s="10">
        <v>3.2922910999999999</v>
      </c>
      <c r="BB693" s="10">
        <v>3.2867112999999999</v>
      </c>
      <c r="BC693" s="10">
        <v>3.2818138000000001</v>
      </c>
      <c r="BD693" s="10">
        <v>3.2775797999999998</v>
      </c>
      <c r="BE693" s="10">
        <v>3.2739904000000002</v>
      </c>
      <c r="BF693" s="10">
        <v>3.2710271</v>
      </c>
      <c r="BG693" s="10">
        <v>3.2686736000000001</v>
      </c>
      <c r="BH693" s="10">
        <v>3.2669144000000001</v>
      </c>
      <c r="BI693" s="10">
        <v>3.2657340000000001</v>
      </c>
      <c r="BJ693" s="10">
        <v>3.2651167999999999</v>
      </c>
      <c r="BK693" s="10">
        <v>3.2650473</v>
      </c>
      <c r="BL693" s="10">
        <v>3.2655101000000002</v>
      </c>
      <c r="BM693" s="10">
        <v>3.2664894000000002</v>
      </c>
      <c r="BN693" s="10">
        <v>3.26797</v>
      </c>
      <c r="BO693" s="10">
        <v>3.2699360999999998</v>
      </c>
      <c r="BP693" s="10">
        <v>3.2723722999999998</v>
      </c>
      <c r="BQ693" s="10">
        <v>3.2752631000000001</v>
      </c>
      <c r="BR693" s="10">
        <v>3.3012020999999998</v>
      </c>
      <c r="BS693" s="10">
        <v>3.3390901999999998</v>
      </c>
      <c r="BU693" s="7">
        <v>3.69</v>
      </c>
      <c r="BV693" s="7">
        <v>3.92</v>
      </c>
      <c r="BW693" s="9">
        <v>83.7089</v>
      </c>
    </row>
    <row r="694" spans="1:75" x14ac:dyDescent="0.25">
      <c r="A694" s="6">
        <f t="shared" si="79"/>
        <v>45524</v>
      </c>
      <c r="B694" s="13">
        <f t="shared" si="100"/>
        <v>8</v>
      </c>
      <c r="C694" s="13">
        <f t="shared" si="101"/>
        <v>2024</v>
      </c>
      <c r="D694">
        <f t="shared" si="102"/>
        <v>202408</v>
      </c>
      <c r="E694">
        <f t="shared" si="103"/>
        <v>3</v>
      </c>
      <c r="F694">
        <f t="shared" si="104"/>
        <v>202403</v>
      </c>
      <c r="G694" t="s">
        <v>1508</v>
      </c>
      <c r="H694" s="9">
        <v>5</v>
      </c>
      <c r="I694" s="9">
        <v>4.95</v>
      </c>
      <c r="J694" s="10">
        <v>4.9245504000000002</v>
      </c>
      <c r="K694" s="10">
        <v>4.8312689999999998</v>
      </c>
      <c r="L694" s="10">
        <v>4.7276313999999999</v>
      </c>
      <c r="M694" s="10">
        <v>4.615691</v>
      </c>
      <c r="N694" s="10">
        <v>4.5010234000000002</v>
      </c>
      <c r="O694" s="10">
        <v>4.3880235000000001</v>
      </c>
      <c r="P694" s="10">
        <v>4.2805030000000004</v>
      </c>
      <c r="Q694" s="10">
        <v>4.1822995000000001</v>
      </c>
      <c r="R694" s="10">
        <v>4.0961676000000002</v>
      </c>
      <c r="S694" s="10">
        <v>4.0225175000000002</v>
      </c>
      <c r="T694" s="10">
        <v>3.9608507999999998</v>
      </c>
      <c r="U694" s="10">
        <v>3.9093914999999999</v>
      </c>
      <c r="V694" s="10">
        <v>3.8648996000000002</v>
      </c>
      <c r="W694" s="10">
        <v>3.8258432</v>
      </c>
      <c r="X694" s="10">
        <v>3.7912349000000001</v>
      </c>
      <c r="Y694" s="10">
        <v>3.7600875</v>
      </c>
      <c r="Z694" s="10">
        <v>3.7314134999999999</v>
      </c>
      <c r="AA694" s="10">
        <v>3.7042258000000001</v>
      </c>
      <c r="AB694" s="10">
        <v>3.6776917999999998</v>
      </c>
      <c r="AC694" s="10">
        <v>3.6516972999999999</v>
      </c>
      <c r="AD694" s="10">
        <v>3.6263361999999999</v>
      </c>
      <c r="AE694" s="10">
        <v>3.6017025</v>
      </c>
      <c r="AF694" s="10">
        <v>3.5778900999999999</v>
      </c>
      <c r="AG694" s="10">
        <v>3.5549928999999998</v>
      </c>
      <c r="AH694" s="10">
        <v>3.5330876999999998</v>
      </c>
      <c r="AI694" s="10">
        <v>3.5121826999999999</v>
      </c>
      <c r="AJ694" s="10">
        <v>3.4922691000000001</v>
      </c>
      <c r="AK694" s="10">
        <v>3.4733379000000002</v>
      </c>
      <c r="AL694" s="10">
        <v>3.4553802</v>
      </c>
      <c r="AM694" s="10">
        <v>3.4383870999999999</v>
      </c>
      <c r="AN694" s="10">
        <v>3.4223498000000001</v>
      </c>
      <c r="AO694" s="10">
        <v>3.4072591000000001</v>
      </c>
      <c r="AP694" s="10">
        <v>3.3931064000000002</v>
      </c>
      <c r="AQ694" s="10">
        <v>3.3798826000000002</v>
      </c>
      <c r="AR694" s="10">
        <v>3.3675788999999998</v>
      </c>
      <c r="AS694" s="10">
        <v>3.3561863999999999</v>
      </c>
      <c r="AT694" s="10">
        <v>3.3456926999999999</v>
      </c>
      <c r="AU694" s="10">
        <v>3.3360720000000001</v>
      </c>
      <c r="AV694" s="10">
        <v>3.3272954000000001</v>
      </c>
      <c r="AW694" s="10">
        <v>3.3193334999999999</v>
      </c>
      <c r="AX694" s="10">
        <v>3.3121572000000001</v>
      </c>
      <c r="AY694" s="10">
        <v>3.3057375000000002</v>
      </c>
      <c r="AZ694" s="10">
        <v>3.3000451000000002</v>
      </c>
      <c r="BA694" s="10">
        <v>3.295051</v>
      </c>
      <c r="BB694" s="10">
        <v>3.2907259</v>
      </c>
      <c r="BC694" s="10">
        <v>3.2870406999999999</v>
      </c>
      <c r="BD694" s="10">
        <v>3.2839662999999999</v>
      </c>
      <c r="BE694" s="10">
        <v>3.2814735000000002</v>
      </c>
      <c r="BF694" s="10">
        <v>3.2795350999999999</v>
      </c>
      <c r="BG694" s="10">
        <v>3.2781327</v>
      </c>
      <c r="BH694" s="10">
        <v>3.2772510000000001</v>
      </c>
      <c r="BI694" s="10">
        <v>3.2768742999999998</v>
      </c>
      <c r="BJ694" s="10">
        <v>3.2769873</v>
      </c>
      <c r="BK694" s="10">
        <v>3.2775745000000001</v>
      </c>
      <c r="BL694" s="10">
        <v>3.2786203</v>
      </c>
      <c r="BM694" s="10">
        <v>3.2801092000000001</v>
      </c>
      <c r="BN694" s="10">
        <v>3.2820258999999998</v>
      </c>
      <c r="BO694" s="10">
        <v>3.2843547000000002</v>
      </c>
      <c r="BP694" s="10">
        <v>3.2870802000000001</v>
      </c>
      <c r="BQ694" s="10">
        <v>3.2901869000000001</v>
      </c>
      <c r="BR694" s="10">
        <v>3.3160569999999998</v>
      </c>
      <c r="BS694" s="10">
        <v>3.3523030999999999</v>
      </c>
      <c r="BU694" s="7">
        <v>3.68</v>
      </c>
      <c r="BV694" s="7">
        <v>3.91</v>
      </c>
      <c r="BW694" s="9">
        <v>83.769300000000001</v>
      </c>
    </row>
    <row r="695" spans="1:75" x14ac:dyDescent="0.25">
      <c r="A695" s="6">
        <f t="shared" si="79"/>
        <v>45525</v>
      </c>
      <c r="B695" s="13">
        <f t="shared" si="100"/>
        <v>8</v>
      </c>
      <c r="C695" s="13">
        <f t="shared" si="101"/>
        <v>2024</v>
      </c>
      <c r="D695">
        <f t="shared" si="102"/>
        <v>202408</v>
      </c>
      <c r="E695">
        <f t="shared" si="103"/>
        <v>3</v>
      </c>
      <c r="F695">
        <f t="shared" si="104"/>
        <v>202403</v>
      </c>
      <c r="G695" t="s">
        <v>1509</v>
      </c>
      <c r="H695" s="9">
        <v>5</v>
      </c>
      <c r="I695" s="9">
        <v>4.95</v>
      </c>
      <c r="J695" s="10">
        <v>4.9211038</v>
      </c>
      <c r="K695" s="10">
        <v>4.8259040999999998</v>
      </c>
      <c r="L695" s="10">
        <v>4.7162623999999997</v>
      </c>
      <c r="M695" s="10">
        <v>4.5963200999999998</v>
      </c>
      <c r="N695" s="10">
        <v>4.4734337999999996</v>
      </c>
      <c r="O695" s="10">
        <v>4.3530223000000001</v>
      </c>
      <c r="P695" s="10">
        <v>4.2396596000000004</v>
      </c>
      <c r="Q695" s="10">
        <v>4.1375985999999996</v>
      </c>
      <c r="R695" s="10">
        <v>4.0494237000000002</v>
      </c>
      <c r="S695" s="10">
        <v>3.9753828000000002</v>
      </c>
      <c r="T695" s="10">
        <v>3.9141887999999998</v>
      </c>
      <c r="U695" s="10">
        <v>3.8639720999999998</v>
      </c>
      <c r="V695" s="10">
        <v>3.8210706000000001</v>
      </c>
      <c r="W695" s="10">
        <v>3.7837569000000002</v>
      </c>
      <c r="X695" s="10">
        <v>3.7509369000000001</v>
      </c>
      <c r="Y695" s="10">
        <v>3.7215163000000002</v>
      </c>
      <c r="Z695" s="10">
        <v>3.694401</v>
      </c>
      <c r="AA695" s="10">
        <v>3.6684967999999998</v>
      </c>
      <c r="AB695" s="10">
        <v>3.6428568000000001</v>
      </c>
      <c r="AC695" s="10">
        <v>3.6173695000000001</v>
      </c>
      <c r="AD695" s="10">
        <v>3.5922168000000001</v>
      </c>
      <c r="AE695" s="10">
        <v>3.5675810999999999</v>
      </c>
      <c r="AF695" s="10">
        <v>3.5436448</v>
      </c>
      <c r="AG695" s="10">
        <v>3.5205901000000002</v>
      </c>
      <c r="AH695" s="10">
        <v>3.4985683999999999</v>
      </c>
      <c r="AI695" s="10">
        <v>3.4776069000000001</v>
      </c>
      <c r="AJ695" s="10">
        <v>3.4577018000000002</v>
      </c>
      <c r="AK695" s="10">
        <v>3.4388489999999998</v>
      </c>
      <c r="AL695" s="10">
        <v>3.4210449000000001</v>
      </c>
      <c r="AM695" s="10">
        <v>3.4042854999999999</v>
      </c>
      <c r="AN695" s="10">
        <v>3.3885670000000001</v>
      </c>
      <c r="AO695" s="10">
        <v>3.3738855000000001</v>
      </c>
      <c r="AP695" s="10">
        <v>3.3602371999999998</v>
      </c>
      <c r="AQ695" s="10">
        <v>3.3476181999999999</v>
      </c>
      <c r="AR695" s="10">
        <v>3.3360246</v>
      </c>
      <c r="AS695" s="10">
        <v>3.3254526000000002</v>
      </c>
      <c r="AT695" s="10">
        <v>3.3158926000000002</v>
      </c>
      <c r="AU695" s="10">
        <v>3.3073066</v>
      </c>
      <c r="AV695" s="10">
        <v>3.2996482</v>
      </c>
      <c r="AW695" s="10">
        <v>3.2928709</v>
      </c>
      <c r="AX695" s="10">
        <v>3.2869283</v>
      </c>
      <c r="AY695" s="10">
        <v>3.2817737999999999</v>
      </c>
      <c r="AZ695" s="10">
        <v>3.2773610999999998</v>
      </c>
      <c r="BA695" s="10">
        <v>3.2736434999999999</v>
      </c>
      <c r="BB695" s="10">
        <v>3.2705747999999999</v>
      </c>
      <c r="BC695" s="10">
        <v>3.2681083000000002</v>
      </c>
      <c r="BD695" s="10">
        <v>3.2661977000000002</v>
      </c>
      <c r="BE695" s="10">
        <v>3.2647963999999998</v>
      </c>
      <c r="BF695" s="10">
        <v>3.2638628999999999</v>
      </c>
      <c r="BG695" s="10">
        <v>3.2633776000000001</v>
      </c>
      <c r="BH695" s="10">
        <v>3.2633266999999999</v>
      </c>
      <c r="BI695" s="10">
        <v>3.2636967000000001</v>
      </c>
      <c r="BJ695" s="10">
        <v>3.2644739</v>
      </c>
      <c r="BK695" s="10">
        <v>3.2656445999999999</v>
      </c>
      <c r="BL695" s="10">
        <v>3.2671950999999999</v>
      </c>
      <c r="BM695" s="10">
        <v>3.2691119</v>
      </c>
      <c r="BN695" s="10">
        <v>3.2713812</v>
      </c>
      <c r="BO695" s="10">
        <v>3.2739894999999999</v>
      </c>
      <c r="BP695" s="10">
        <v>3.2769229000000002</v>
      </c>
      <c r="BQ695" s="10">
        <v>3.2801680000000002</v>
      </c>
      <c r="BR695" s="10">
        <v>3.305628</v>
      </c>
      <c r="BS695" s="10">
        <v>3.3401437999999999</v>
      </c>
      <c r="BU695" s="7">
        <v>3.67</v>
      </c>
      <c r="BV695" s="7">
        <v>3.89</v>
      </c>
      <c r="BW695" s="9">
        <v>83.922300000000007</v>
      </c>
    </row>
    <row r="696" spans="1:75" x14ac:dyDescent="0.25">
      <c r="A696" s="6">
        <f t="shared" si="79"/>
        <v>45526</v>
      </c>
      <c r="B696" s="13">
        <f t="shared" si="100"/>
        <v>8</v>
      </c>
      <c r="C696" s="13">
        <f t="shared" si="101"/>
        <v>2024</v>
      </c>
      <c r="D696">
        <f t="shared" si="102"/>
        <v>202408</v>
      </c>
      <c r="E696">
        <f t="shared" si="103"/>
        <v>3</v>
      </c>
      <c r="F696">
        <f t="shared" si="104"/>
        <v>202403</v>
      </c>
      <c r="G696" t="s">
        <v>1510</v>
      </c>
      <c r="H696" s="9">
        <v>5</v>
      </c>
      <c r="I696" s="9">
        <v>4.95</v>
      </c>
      <c r="J696" s="10">
        <v>4.9259807000000002</v>
      </c>
      <c r="K696" s="10">
        <v>4.8341196000000002</v>
      </c>
      <c r="L696" s="10">
        <v>4.7283436999999999</v>
      </c>
      <c r="M696" s="10">
        <v>4.6137988999999999</v>
      </c>
      <c r="N696" s="10">
        <v>4.4973910999999998</v>
      </c>
      <c r="O696" s="10">
        <v>4.3835075999999997</v>
      </c>
      <c r="P696" s="10">
        <v>4.2754791000000001</v>
      </c>
      <c r="Q696" s="10">
        <v>4.1768198999999999</v>
      </c>
      <c r="R696" s="10">
        <v>4.0894820999999997</v>
      </c>
      <c r="S696" s="10">
        <v>4.0142353000000002</v>
      </c>
      <c r="T696" s="10">
        <v>3.9507783000000001</v>
      </c>
      <c r="U696" s="10">
        <v>3.8979219999999999</v>
      </c>
      <c r="V696" s="10">
        <v>3.8533989000000002</v>
      </c>
      <c r="W696" s="10">
        <v>3.8156781999999998</v>
      </c>
      <c r="X696" s="10">
        <v>3.7834867999999999</v>
      </c>
      <c r="Y696" s="10">
        <v>3.7555512000000002</v>
      </c>
      <c r="Z696" s="10">
        <v>3.7305983</v>
      </c>
      <c r="AA696" s="10">
        <v>3.7073546999999998</v>
      </c>
      <c r="AB696" s="10">
        <v>3.6847237000000002</v>
      </c>
      <c r="AC696" s="10">
        <v>3.6625123999999998</v>
      </c>
      <c r="AD696" s="10">
        <v>3.6408168000000001</v>
      </c>
      <c r="AE696" s="10">
        <v>3.6197330000000001</v>
      </c>
      <c r="AF696" s="10">
        <v>3.5993571000000002</v>
      </c>
      <c r="AG696" s="10">
        <v>3.5797851999999999</v>
      </c>
      <c r="AH696" s="10">
        <v>3.561099</v>
      </c>
      <c r="AI696" s="10">
        <v>3.5433096000000002</v>
      </c>
      <c r="AJ696" s="10">
        <v>3.5264068000000002</v>
      </c>
      <c r="AK696" s="10">
        <v>3.5103805000000001</v>
      </c>
      <c r="AL696" s="10">
        <v>3.4952201999999999</v>
      </c>
      <c r="AM696" s="10">
        <v>3.4809160000000001</v>
      </c>
      <c r="AN696" s="10">
        <v>3.4674573999999998</v>
      </c>
      <c r="AO696" s="10">
        <v>3.4548342000000001</v>
      </c>
      <c r="AP696" s="10">
        <v>3.4430363000000002</v>
      </c>
      <c r="AQ696" s="10">
        <v>3.4320534</v>
      </c>
      <c r="AR696" s="10">
        <v>3.4218753</v>
      </c>
      <c r="AS696" s="10">
        <v>3.4124916999999999</v>
      </c>
      <c r="AT696" s="10">
        <v>3.4038889999999999</v>
      </c>
      <c r="AU696" s="10">
        <v>3.396039</v>
      </c>
      <c r="AV696" s="10">
        <v>3.3889089999999999</v>
      </c>
      <c r="AW696" s="10">
        <v>3.3824668</v>
      </c>
      <c r="AX696" s="10">
        <v>3.3766797</v>
      </c>
      <c r="AY696" s="10">
        <v>3.3715153999999998</v>
      </c>
      <c r="AZ696" s="10">
        <v>3.3669414</v>
      </c>
      <c r="BA696" s="10">
        <v>3.3629251999999998</v>
      </c>
      <c r="BB696" s="10">
        <v>3.3594344999999999</v>
      </c>
      <c r="BC696" s="10">
        <v>3.3564365999999999</v>
      </c>
      <c r="BD696" s="10">
        <v>3.3538993000000001</v>
      </c>
      <c r="BE696" s="10">
        <v>3.3517899999999998</v>
      </c>
      <c r="BF696" s="10">
        <v>3.3500804999999998</v>
      </c>
      <c r="BG696" s="10">
        <v>3.3487621000000001</v>
      </c>
      <c r="BH696" s="10">
        <v>3.3478308999999999</v>
      </c>
      <c r="BI696" s="10">
        <v>3.3472833</v>
      </c>
      <c r="BJ696" s="10">
        <v>3.3471156999999998</v>
      </c>
      <c r="BK696" s="10">
        <v>3.3473244000000002</v>
      </c>
      <c r="BL696" s="10">
        <v>3.3479055999999998</v>
      </c>
      <c r="BM696" s="10">
        <v>3.3488557999999999</v>
      </c>
      <c r="BN696" s="10">
        <v>3.3501712000000001</v>
      </c>
      <c r="BO696" s="10">
        <v>3.3518482000000001</v>
      </c>
      <c r="BP696" s="10">
        <v>3.3538831</v>
      </c>
      <c r="BQ696" s="10">
        <v>3.3562723000000001</v>
      </c>
      <c r="BR696" s="10">
        <v>3.3776587999999999</v>
      </c>
      <c r="BS696" s="10">
        <v>3.4097675999999999</v>
      </c>
      <c r="BU696" s="7">
        <v>3.73</v>
      </c>
      <c r="BV696" s="7">
        <v>3.96</v>
      </c>
      <c r="BW696" s="9">
        <v>84.268000000000001</v>
      </c>
    </row>
    <row r="697" spans="1:75" x14ac:dyDescent="0.25">
      <c r="A697" s="6">
        <f t="shared" si="79"/>
        <v>45527</v>
      </c>
      <c r="B697" s="13">
        <f t="shared" si="100"/>
        <v>8</v>
      </c>
      <c r="C697" s="13">
        <f t="shared" si="101"/>
        <v>2024</v>
      </c>
      <c r="D697">
        <f t="shared" si="102"/>
        <v>202408</v>
      </c>
      <c r="E697">
        <f t="shared" si="103"/>
        <v>3</v>
      </c>
      <c r="F697">
        <f t="shared" si="104"/>
        <v>202403</v>
      </c>
      <c r="G697" t="s">
        <v>1511</v>
      </c>
      <c r="H697" s="9">
        <v>5</v>
      </c>
      <c r="I697" s="9">
        <v>4.95</v>
      </c>
      <c r="J697" s="10">
        <v>4.9202450999999998</v>
      </c>
      <c r="K697" s="10">
        <v>4.8231983999999999</v>
      </c>
      <c r="L697" s="10">
        <v>4.7112609000000001</v>
      </c>
      <c r="M697" s="10">
        <v>4.5902003000000002</v>
      </c>
      <c r="N697" s="10">
        <v>4.4674262999999996</v>
      </c>
      <c r="O697" s="10">
        <v>4.3482196999999996</v>
      </c>
      <c r="P697" s="10">
        <v>4.2364686000000003</v>
      </c>
      <c r="Q697" s="10">
        <v>4.1355253000000003</v>
      </c>
      <c r="R697" s="10">
        <v>4.0470246000000003</v>
      </c>
      <c r="S697" s="10">
        <v>3.9711465000000001</v>
      </c>
      <c r="T697" s="10">
        <v>3.9071501</v>
      </c>
      <c r="U697" s="10">
        <v>3.8533241</v>
      </c>
      <c r="V697" s="10">
        <v>3.806629</v>
      </c>
      <c r="W697" s="10">
        <v>3.7656689000000001</v>
      </c>
      <c r="X697" s="10">
        <v>3.7297256999999999</v>
      </c>
      <c r="Y697" s="10">
        <v>3.6980816999999999</v>
      </c>
      <c r="Z697" s="10">
        <v>3.6700194000000002</v>
      </c>
      <c r="AA697" s="10">
        <v>3.6448211000000001</v>
      </c>
      <c r="AB697" s="10">
        <v>3.6218330999999999</v>
      </c>
      <c r="AC697" s="10">
        <v>3.6006980999999998</v>
      </c>
      <c r="AD697" s="10">
        <v>3.5811445000000002</v>
      </c>
      <c r="AE697" s="10">
        <v>3.5629010000000001</v>
      </c>
      <c r="AF697" s="10">
        <v>3.5456960999999998</v>
      </c>
      <c r="AG697" s="10">
        <v>3.5292582000000001</v>
      </c>
      <c r="AH697" s="10">
        <v>3.5133591000000002</v>
      </c>
      <c r="AI697" s="10">
        <v>3.4979608</v>
      </c>
      <c r="AJ697" s="10">
        <v>3.4830779000000001</v>
      </c>
      <c r="AK697" s="10">
        <v>3.4687250000000001</v>
      </c>
      <c r="AL697" s="10">
        <v>3.4549164999999999</v>
      </c>
      <c r="AM697" s="10">
        <v>3.4416671999999999</v>
      </c>
      <c r="AN697" s="10">
        <v>3.4289915999999998</v>
      </c>
      <c r="AO697" s="10">
        <v>3.4169041999999998</v>
      </c>
      <c r="AP697" s="10">
        <v>3.4054196000000001</v>
      </c>
      <c r="AQ697" s="10">
        <v>3.3945523999999998</v>
      </c>
      <c r="AR697" s="10">
        <v>3.3843173000000002</v>
      </c>
      <c r="AS697" s="10">
        <v>3.3747286000000001</v>
      </c>
      <c r="AT697" s="10">
        <v>3.3657976000000001</v>
      </c>
      <c r="AU697" s="10">
        <v>3.3575208999999999</v>
      </c>
      <c r="AV697" s="10">
        <v>3.3498920000000001</v>
      </c>
      <c r="AW697" s="10">
        <v>3.3429042</v>
      </c>
      <c r="AX697" s="10">
        <v>3.3365505999999998</v>
      </c>
      <c r="AY697" s="10">
        <v>3.3308246000000001</v>
      </c>
      <c r="AZ697" s="10">
        <v>3.3257194999999999</v>
      </c>
      <c r="BA697" s="10">
        <v>3.3212286</v>
      </c>
      <c r="BB697" s="10">
        <v>3.3173452000000001</v>
      </c>
      <c r="BC697" s="10">
        <v>3.3140626000000002</v>
      </c>
      <c r="BD697" s="10">
        <v>3.3113741000000001</v>
      </c>
      <c r="BE697" s="10">
        <v>3.3092730000000001</v>
      </c>
      <c r="BF697" s="10">
        <v>3.3077502000000001</v>
      </c>
      <c r="BG697" s="10">
        <v>3.3067864999999999</v>
      </c>
      <c r="BH697" s="10">
        <v>3.3063600000000002</v>
      </c>
      <c r="BI697" s="10">
        <v>3.3064486</v>
      </c>
      <c r="BJ697" s="10">
        <v>3.3070301999999998</v>
      </c>
      <c r="BK697" s="10">
        <v>3.3080829</v>
      </c>
      <c r="BL697" s="10">
        <v>3.3095846</v>
      </c>
      <c r="BM697" s="10">
        <v>3.3115133000000001</v>
      </c>
      <c r="BN697" s="10">
        <v>3.313847</v>
      </c>
      <c r="BO697" s="10">
        <v>3.3165637000000001</v>
      </c>
      <c r="BP697" s="10">
        <v>3.3196412</v>
      </c>
      <c r="BQ697" s="10">
        <v>3.3230577000000001</v>
      </c>
      <c r="BR697" s="10">
        <v>3.3497908999999999</v>
      </c>
      <c r="BS697" s="10">
        <v>3.3853037000000001</v>
      </c>
      <c r="BU697" s="7">
        <v>3.7</v>
      </c>
      <c r="BV697" s="7">
        <v>3.92</v>
      </c>
      <c r="BW697" s="9">
        <v>84.505899999999997</v>
      </c>
    </row>
    <row r="698" spans="1:75" x14ac:dyDescent="0.25">
      <c r="A698" s="6">
        <f t="shared" si="79"/>
        <v>45530</v>
      </c>
      <c r="B698" s="13">
        <f t="shared" si="100"/>
        <v>8</v>
      </c>
      <c r="C698" s="13">
        <f t="shared" si="101"/>
        <v>2024</v>
      </c>
      <c r="D698">
        <f t="shared" si="102"/>
        <v>202408</v>
      </c>
      <c r="E698">
        <f t="shared" si="103"/>
        <v>3</v>
      </c>
      <c r="F698">
        <f t="shared" si="104"/>
        <v>202403</v>
      </c>
      <c r="G698" t="s">
        <v>1512</v>
      </c>
      <c r="H698" s="9">
        <v>5</v>
      </c>
      <c r="I698" s="9" t="e">
        <v>#N/A</v>
      </c>
      <c r="J698" s="10" t="e">
        <v>#N/A</v>
      </c>
      <c r="K698" s="10" t="e">
        <v>#N/A</v>
      </c>
      <c r="L698" s="10" t="e">
        <v>#N/A</v>
      </c>
      <c r="M698" s="10" t="e">
        <v>#N/A</v>
      </c>
      <c r="N698" s="10" t="e">
        <v>#N/A</v>
      </c>
      <c r="O698" s="10" t="e">
        <v>#N/A</v>
      </c>
      <c r="P698" s="10" t="e">
        <v>#N/A</v>
      </c>
      <c r="Q698" s="10" t="e">
        <v>#N/A</v>
      </c>
      <c r="R698" s="10" t="e">
        <v>#N/A</v>
      </c>
      <c r="S698" s="10" t="e">
        <v>#N/A</v>
      </c>
      <c r="T698" s="10" t="e">
        <v>#N/A</v>
      </c>
      <c r="U698" s="10" t="e">
        <v>#N/A</v>
      </c>
      <c r="V698" s="10" t="e">
        <v>#N/A</v>
      </c>
      <c r="W698" s="10" t="e">
        <v>#N/A</v>
      </c>
      <c r="X698" s="10" t="e">
        <v>#N/A</v>
      </c>
      <c r="Y698" s="10" t="e">
        <v>#N/A</v>
      </c>
      <c r="Z698" s="10" t="e">
        <v>#N/A</v>
      </c>
      <c r="AA698" s="10" t="e">
        <v>#N/A</v>
      </c>
      <c r="AB698" s="10" t="e">
        <v>#N/A</v>
      </c>
      <c r="AC698" s="10" t="e">
        <v>#N/A</v>
      </c>
      <c r="AD698" s="10" t="e">
        <v>#N/A</v>
      </c>
      <c r="AE698" s="10" t="e">
        <v>#N/A</v>
      </c>
      <c r="AF698" s="10" t="e">
        <v>#N/A</v>
      </c>
      <c r="AG698" s="10" t="e">
        <v>#N/A</v>
      </c>
      <c r="AH698" s="10" t="e">
        <v>#N/A</v>
      </c>
      <c r="AI698" s="10" t="e">
        <v>#N/A</v>
      </c>
      <c r="AJ698" s="10" t="e">
        <v>#N/A</v>
      </c>
      <c r="AK698" s="10" t="e">
        <v>#N/A</v>
      </c>
      <c r="AL698" s="10" t="e">
        <v>#N/A</v>
      </c>
      <c r="AM698" s="10" t="e">
        <v>#N/A</v>
      </c>
      <c r="AN698" s="10" t="e">
        <v>#N/A</v>
      </c>
      <c r="AO698" s="10" t="e">
        <v>#N/A</v>
      </c>
      <c r="AP698" s="10" t="e">
        <v>#N/A</v>
      </c>
      <c r="AQ698" s="10" t="e">
        <v>#N/A</v>
      </c>
      <c r="AR698" s="10" t="e">
        <v>#N/A</v>
      </c>
      <c r="AS698" s="10" t="e">
        <v>#N/A</v>
      </c>
      <c r="AT698" s="10" t="e">
        <v>#N/A</v>
      </c>
      <c r="AU698" s="10" t="e">
        <v>#N/A</v>
      </c>
      <c r="AV698" s="10" t="e">
        <v>#N/A</v>
      </c>
      <c r="AW698" s="10" t="e">
        <v>#N/A</v>
      </c>
      <c r="AX698" s="10" t="e">
        <v>#N/A</v>
      </c>
      <c r="AY698" s="10" t="e">
        <v>#N/A</v>
      </c>
      <c r="AZ698" s="10" t="e">
        <v>#N/A</v>
      </c>
      <c r="BA698" s="10" t="e">
        <v>#N/A</v>
      </c>
      <c r="BB698" s="10" t="e">
        <v>#N/A</v>
      </c>
      <c r="BC698" s="10" t="e">
        <v>#N/A</v>
      </c>
      <c r="BD698" s="10" t="e">
        <v>#N/A</v>
      </c>
      <c r="BE698" s="10" t="e">
        <v>#N/A</v>
      </c>
      <c r="BF698" s="10" t="e">
        <v>#N/A</v>
      </c>
      <c r="BG698" s="10" t="e">
        <v>#N/A</v>
      </c>
      <c r="BH698" s="10" t="e">
        <v>#N/A</v>
      </c>
      <c r="BI698" s="10" t="e">
        <v>#N/A</v>
      </c>
      <c r="BJ698" s="10" t="e">
        <v>#N/A</v>
      </c>
      <c r="BK698" s="10" t="e">
        <v>#N/A</v>
      </c>
      <c r="BL698" s="10" t="e">
        <v>#N/A</v>
      </c>
      <c r="BM698" s="10" t="e">
        <v>#N/A</v>
      </c>
      <c r="BN698" s="10" t="e">
        <v>#N/A</v>
      </c>
      <c r="BO698" s="10" t="e">
        <v>#N/A</v>
      </c>
      <c r="BP698" s="10" t="e">
        <v>#N/A</v>
      </c>
      <c r="BQ698" s="10" t="e">
        <v>#N/A</v>
      </c>
      <c r="BR698" s="10" t="e">
        <v>#N/A</v>
      </c>
      <c r="BS698" s="10" t="e">
        <v>#N/A</v>
      </c>
      <c r="BU698" s="7">
        <v>4.08</v>
      </c>
      <c r="BV698" s="7">
        <v>3.94</v>
      </c>
      <c r="BW698" s="9" t="e">
        <v>#N/A</v>
      </c>
    </row>
    <row r="699" spans="1:75" x14ac:dyDescent="0.25">
      <c r="A699" s="6">
        <f t="shared" si="79"/>
        <v>45531</v>
      </c>
      <c r="B699" s="13">
        <f t="shared" si="100"/>
        <v>8</v>
      </c>
      <c r="C699" s="13">
        <f t="shared" si="101"/>
        <v>2024</v>
      </c>
      <c r="D699">
        <f t="shared" si="102"/>
        <v>202408</v>
      </c>
      <c r="E699">
        <f t="shared" si="103"/>
        <v>3</v>
      </c>
      <c r="F699">
        <f t="shared" si="104"/>
        <v>202403</v>
      </c>
      <c r="G699" t="s">
        <v>1513</v>
      </c>
      <c r="H699" s="9">
        <v>5</v>
      </c>
      <c r="I699" s="9">
        <v>4.95</v>
      </c>
      <c r="J699" s="10">
        <v>4.9155233999999997</v>
      </c>
      <c r="K699" s="10">
        <v>4.8196772000000001</v>
      </c>
      <c r="L699" s="10">
        <v>4.7080793999999999</v>
      </c>
      <c r="M699" s="10">
        <v>4.5892358</v>
      </c>
      <c r="N699" s="10">
        <v>4.4695406000000002</v>
      </c>
      <c r="O699" s="10">
        <v>4.3533755000000003</v>
      </c>
      <c r="P699" s="10">
        <v>4.2449205000000001</v>
      </c>
      <c r="Q699" s="10">
        <v>4.1477282000000004</v>
      </c>
      <c r="R699" s="10">
        <v>4.0640678000000001</v>
      </c>
      <c r="S699" s="10">
        <v>3.9941422000000002</v>
      </c>
      <c r="T699" s="10">
        <v>3.9371556000000001</v>
      </c>
      <c r="U699" s="10">
        <v>3.8910960999999999</v>
      </c>
      <c r="V699" s="10">
        <v>3.8526004999999999</v>
      </c>
      <c r="W699" s="10">
        <v>3.8200023000000001</v>
      </c>
      <c r="X699" s="10">
        <v>3.7921702000000002</v>
      </c>
      <c r="Y699" s="10">
        <v>3.7679730999999999</v>
      </c>
      <c r="Z699" s="10">
        <v>3.7462797999999999</v>
      </c>
      <c r="AA699" s="10">
        <v>3.725959</v>
      </c>
      <c r="AB699" s="10">
        <v>3.7060485999999999</v>
      </c>
      <c r="AC699" s="10">
        <v>3.6863693999999998</v>
      </c>
      <c r="AD699" s="10">
        <v>3.6669692999999999</v>
      </c>
      <c r="AE699" s="10">
        <v>3.6478961000000001</v>
      </c>
      <c r="AF699" s="10">
        <v>3.6291977000000002</v>
      </c>
      <c r="AG699" s="10">
        <v>3.6109220999999998</v>
      </c>
      <c r="AH699" s="10">
        <v>3.5931131000000001</v>
      </c>
      <c r="AI699" s="10">
        <v>3.5757987</v>
      </c>
      <c r="AJ699" s="10">
        <v>3.5590028</v>
      </c>
      <c r="AK699" s="10">
        <v>3.5427493000000001</v>
      </c>
      <c r="AL699" s="10">
        <v>3.5270622</v>
      </c>
      <c r="AM699" s="10">
        <v>3.5119653999999998</v>
      </c>
      <c r="AN699" s="10">
        <v>3.4974826999999999</v>
      </c>
      <c r="AO699" s="10">
        <v>3.4836382000000001</v>
      </c>
      <c r="AP699" s="10">
        <v>3.4704557999999999</v>
      </c>
      <c r="AQ699" s="10">
        <v>3.4579594</v>
      </c>
      <c r="AR699" s="10">
        <v>3.4461729999999999</v>
      </c>
      <c r="AS699" s="10">
        <v>3.4351204000000002</v>
      </c>
      <c r="AT699" s="10">
        <v>3.4248189999999998</v>
      </c>
      <c r="AU699" s="10">
        <v>3.4152602999999999</v>
      </c>
      <c r="AV699" s="10">
        <v>3.4064287000000002</v>
      </c>
      <c r="AW699" s="10">
        <v>3.3983091999999999</v>
      </c>
      <c r="AX699" s="10">
        <v>3.3908865000000001</v>
      </c>
      <c r="AY699" s="10">
        <v>3.3841451999999999</v>
      </c>
      <c r="AZ699" s="10">
        <v>3.3780701999999998</v>
      </c>
      <c r="BA699" s="10">
        <v>3.3726460999999999</v>
      </c>
      <c r="BB699" s="10">
        <v>3.3678577000000001</v>
      </c>
      <c r="BC699" s="10">
        <v>3.3636897000000001</v>
      </c>
      <c r="BD699" s="10">
        <v>3.3601269</v>
      </c>
      <c r="BE699" s="10">
        <v>3.357154</v>
      </c>
      <c r="BF699" s="10">
        <v>3.3547557000000001</v>
      </c>
      <c r="BG699" s="10">
        <v>3.3529163999999998</v>
      </c>
      <c r="BH699" s="10">
        <v>3.3516202000000002</v>
      </c>
      <c r="BI699" s="10">
        <v>3.3508515999999999</v>
      </c>
      <c r="BJ699" s="10">
        <v>3.3505946999999998</v>
      </c>
      <c r="BK699" s="10">
        <v>3.3508338000000002</v>
      </c>
      <c r="BL699" s="10">
        <v>3.3515532000000001</v>
      </c>
      <c r="BM699" s="10">
        <v>3.3527372</v>
      </c>
      <c r="BN699" s="10">
        <v>3.3543699</v>
      </c>
      <c r="BO699" s="10">
        <v>3.3564357999999999</v>
      </c>
      <c r="BP699" s="10">
        <v>3.3589188999999999</v>
      </c>
      <c r="BQ699" s="10">
        <v>3.3618036999999998</v>
      </c>
      <c r="BR699" s="10">
        <v>3.3866825</v>
      </c>
      <c r="BS699" s="10">
        <v>3.422161</v>
      </c>
      <c r="BU699" s="7">
        <v>4.0999999999999996</v>
      </c>
      <c r="BV699" s="7">
        <v>3.99</v>
      </c>
      <c r="BW699" s="9">
        <v>84.803700000000006</v>
      </c>
    </row>
    <row r="700" spans="1:75" x14ac:dyDescent="0.25">
      <c r="A700" s="6">
        <f t="shared" si="79"/>
        <v>45532</v>
      </c>
      <c r="B700" s="13">
        <f t="shared" si="100"/>
        <v>8</v>
      </c>
      <c r="C700" s="13">
        <f t="shared" si="101"/>
        <v>2024</v>
      </c>
      <c r="D700">
        <f t="shared" si="102"/>
        <v>202408</v>
      </c>
      <c r="E700">
        <f t="shared" si="103"/>
        <v>3</v>
      </c>
      <c r="F700">
        <f t="shared" si="104"/>
        <v>202403</v>
      </c>
      <c r="G700" t="s">
        <v>1514</v>
      </c>
      <c r="H700" s="9">
        <v>5</v>
      </c>
      <c r="I700" s="9">
        <v>4.95</v>
      </c>
      <c r="J700" s="10">
        <v>4.9147240999999999</v>
      </c>
      <c r="K700" s="10">
        <v>4.8208687000000001</v>
      </c>
      <c r="L700" s="10">
        <v>4.7098015999999996</v>
      </c>
      <c r="M700" s="10">
        <v>4.5906902000000001</v>
      </c>
      <c r="N700" s="10">
        <v>4.4705405000000003</v>
      </c>
      <c r="O700" s="10">
        <v>4.3544315999999998</v>
      </c>
      <c r="P700" s="10">
        <v>4.2471195000000002</v>
      </c>
      <c r="Q700" s="10">
        <v>4.1522049000000001</v>
      </c>
      <c r="R700" s="10">
        <v>4.0712523000000003</v>
      </c>
      <c r="S700" s="10">
        <v>4.0039765000000003</v>
      </c>
      <c r="T700" s="10">
        <v>3.9483948</v>
      </c>
      <c r="U700" s="10">
        <v>3.9020871000000001</v>
      </c>
      <c r="V700" s="10">
        <v>3.8606714000000002</v>
      </c>
      <c r="W700" s="10">
        <v>3.8228103999999998</v>
      </c>
      <c r="X700" s="10">
        <v>3.7881128999999998</v>
      </c>
      <c r="Y700" s="10">
        <v>3.7561879999999999</v>
      </c>
      <c r="Z700" s="10">
        <v>3.7266444000000001</v>
      </c>
      <c r="AA700" s="10">
        <v>3.6990913000000001</v>
      </c>
      <c r="AB700" s="10">
        <v>3.6731815000000001</v>
      </c>
      <c r="AC700" s="10">
        <v>3.6488165000000001</v>
      </c>
      <c r="AD700" s="10">
        <v>3.6259857000000002</v>
      </c>
      <c r="AE700" s="10">
        <v>3.6046782999999998</v>
      </c>
      <c r="AF700" s="10">
        <v>3.5848835000000001</v>
      </c>
      <c r="AG700" s="10">
        <v>3.5665906999999999</v>
      </c>
      <c r="AH700" s="10">
        <v>3.5497760999999999</v>
      </c>
      <c r="AI700" s="10">
        <v>3.5343635999999998</v>
      </c>
      <c r="AJ700" s="10">
        <v>3.5202643</v>
      </c>
      <c r="AK700" s="10">
        <v>3.5073889999999999</v>
      </c>
      <c r="AL700" s="10">
        <v>3.4956488000000001</v>
      </c>
      <c r="AM700" s="10">
        <v>3.4849545000000002</v>
      </c>
      <c r="AN700" s="10">
        <v>3.4752171999999999</v>
      </c>
      <c r="AO700" s="10">
        <v>3.4663477</v>
      </c>
      <c r="AP700" s="10">
        <v>3.4582571</v>
      </c>
      <c r="AQ700" s="10">
        <v>3.4508562999999999</v>
      </c>
      <c r="AR700" s="10">
        <v>3.4440561999999999</v>
      </c>
      <c r="AS700" s="10">
        <v>3.4377678</v>
      </c>
      <c r="AT700" s="10">
        <v>3.4319120999999999</v>
      </c>
      <c r="AU700" s="10">
        <v>3.4264640000000002</v>
      </c>
      <c r="AV700" s="10">
        <v>3.4214166000000001</v>
      </c>
      <c r="AW700" s="10">
        <v>3.4167632000000001</v>
      </c>
      <c r="AX700" s="10">
        <v>3.4124965999999999</v>
      </c>
      <c r="AY700" s="10">
        <v>3.4086101000000002</v>
      </c>
      <c r="AZ700" s="10">
        <v>3.4050967999999999</v>
      </c>
      <c r="BA700" s="10">
        <v>3.4019496999999999</v>
      </c>
      <c r="BB700" s="10">
        <v>3.3991619000000002</v>
      </c>
      <c r="BC700" s="10">
        <v>3.3967266</v>
      </c>
      <c r="BD700" s="10">
        <v>3.3946369000000001</v>
      </c>
      <c r="BE700" s="10">
        <v>3.3928859</v>
      </c>
      <c r="BF700" s="10">
        <v>3.3914675000000001</v>
      </c>
      <c r="BG700" s="10">
        <v>3.3903804000000002</v>
      </c>
      <c r="BH700" s="10">
        <v>3.3896242999999999</v>
      </c>
      <c r="BI700" s="10">
        <v>3.3891993</v>
      </c>
      <c r="BJ700" s="10">
        <v>3.3891051999999999</v>
      </c>
      <c r="BK700" s="10">
        <v>3.3893418</v>
      </c>
      <c r="BL700" s="10">
        <v>3.3899091000000001</v>
      </c>
      <c r="BM700" s="10">
        <v>3.3908070000000001</v>
      </c>
      <c r="BN700" s="10">
        <v>3.3920352999999999</v>
      </c>
      <c r="BO700" s="10">
        <v>3.3935940000000002</v>
      </c>
      <c r="BP700" s="10">
        <v>3.395483</v>
      </c>
      <c r="BQ700" s="10">
        <v>3.3977020000000002</v>
      </c>
      <c r="BR700" s="10">
        <v>3.4176883999999998</v>
      </c>
      <c r="BS700" s="10">
        <v>3.4479856999999998</v>
      </c>
      <c r="BU700" s="7">
        <v>4.13</v>
      </c>
      <c r="BV700" s="7">
        <v>4.01</v>
      </c>
      <c r="BW700" s="9">
        <v>84.796899999999994</v>
      </c>
    </row>
    <row r="701" spans="1:75" x14ac:dyDescent="0.25">
      <c r="A701" s="6">
        <f t="shared" si="79"/>
        <v>45533</v>
      </c>
      <c r="B701" s="13">
        <f t="shared" si="100"/>
        <v>8</v>
      </c>
      <c r="C701" s="13">
        <f t="shared" si="101"/>
        <v>2024</v>
      </c>
      <c r="D701">
        <f t="shared" si="102"/>
        <v>202408</v>
      </c>
      <c r="E701">
        <f t="shared" si="103"/>
        <v>3</v>
      </c>
      <c r="F701">
        <f t="shared" si="104"/>
        <v>202403</v>
      </c>
      <c r="G701" t="s">
        <v>1515</v>
      </c>
      <c r="H701" s="9">
        <v>5</v>
      </c>
      <c r="I701" s="9">
        <v>4.95</v>
      </c>
      <c r="J701" s="10">
        <v>4.9128534999999998</v>
      </c>
      <c r="K701" s="10">
        <v>4.8158218000000002</v>
      </c>
      <c r="L701" s="10">
        <v>4.7036191000000001</v>
      </c>
      <c r="M701" s="10">
        <v>4.5852788999999996</v>
      </c>
      <c r="N701" s="10">
        <v>4.4657977999999998</v>
      </c>
      <c r="O701" s="10">
        <v>4.3488955999999996</v>
      </c>
      <c r="P701" s="10">
        <v>4.2389323000000001</v>
      </c>
      <c r="Q701" s="10">
        <v>4.1399068999999997</v>
      </c>
      <c r="R701" s="10">
        <v>4.0532130999999998</v>
      </c>
      <c r="S701" s="10">
        <v>3.9789078999999998</v>
      </c>
      <c r="T701" s="10">
        <v>3.9161136999999999</v>
      </c>
      <c r="U701" s="10">
        <v>3.8634857</v>
      </c>
      <c r="V701" s="10">
        <v>3.8187563999999998</v>
      </c>
      <c r="W701" s="10">
        <v>3.7806358000000002</v>
      </c>
      <c r="X701" s="10">
        <v>3.7481526999999999</v>
      </c>
      <c r="Y701" s="10">
        <v>3.7203360000000001</v>
      </c>
      <c r="Z701" s="10">
        <v>3.6962145</v>
      </c>
      <c r="AA701" s="10">
        <v>3.6748169000000002</v>
      </c>
      <c r="AB701" s="10">
        <v>3.6552766999999999</v>
      </c>
      <c r="AC701" s="10">
        <v>3.6372627999999998</v>
      </c>
      <c r="AD701" s="10">
        <v>3.6206151000000002</v>
      </c>
      <c r="AE701" s="10">
        <v>3.6051738000000002</v>
      </c>
      <c r="AF701" s="10">
        <v>3.5907787999999998</v>
      </c>
      <c r="AG701" s="10">
        <v>3.5772702999999999</v>
      </c>
      <c r="AH701" s="10">
        <v>3.5645041000000002</v>
      </c>
      <c r="AI701" s="10">
        <v>3.5524212999999998</v>
      </c>
      <c r="AJ701" s="10">
        <v>3.5409918</v>
      </c>
      <c r="AK701" s="10">
        <v>3.5301852999999999</v>
      </c>
      <c r="AL701" s="10">
        <v>3.5199715</v>
      </c>
      <c r="AM701" s="10">
        <v>3.5103200999999999</v>
      </c>
      <c r="AN701" s="10">
        <v>3.501201</v>
      </c>
      <c r="AO701" s="10">
        <v>3.4925839000000001</v>
      </c>
      <c r="AP701" s="10">
        <v>3.4844385</v>
      </c>
      <c r="AQ701" s="10">
        <v>3.4767347000000002</v>
      </c>
      <c r="AR701" s="10">
        <v>3.4694419999999999</v>
      </c>
      <c r="AS701" s="10">
        <v>3.4625303999999999</v>
      </c>
      <c r="AT701" s="10">
        <v>3.4559736999999999</v>
      </c>
      <c r="AU701" s="10">
        <v>3.4497661000000002</v>
      </c>
      <c r="AV701" s="10">
        <v>3.4439079000000001</v>
      </c>
      <c r="AW701" s="10">
        <v>3.4383995000000001</v>
      </c>
      <c r="AX701" s="10">
        <v>3.4332410000000002</v>
      </c>
      <c r="AY701" s="10">
        <v>3.4284330000000001</v>
      </c>
      <c r="AZ701" s="10">
        <v>3.4239757000000002</v>
      </c>
      <c r="BA701" s="10">
        <v>3.4198694000000001</v>
      </c>
      <c r="BB701" s="10">
        <v>3.4161144999999999</v>
      </c>
      <c r="BC701" s="10">
        <v>3.4127111999999999</v>
      </c>
      <c r="BD701" s="10">
        <v>3.4096600000000001</v>
      </c>
      <c r="BE701" s="10">
        <v>3.4069611000000002</v>
      </c>
      <c r="BF701" s="10">
        <v>3.4046151</v>
      </c>
      <c r="BG701" s="10">
        <v>3.4026238000000002</v>
      </c>
      <c r="BH701" s="10">
        <v>3.4009893</v>
      </c>
      <c r="BI701" s="10">
        <v>3.3997137999999998</v>
      </c>
      <c r="BJ701" s="10">
        <v>3.3987992</v>
      </c>
      <c r="BK701" s="10">
        <v>3.3982477000000002</v>
      </c>
      <c r="BL701" s="10">
        <v>3.3980614</v>
      </c>
      <c r="BM701" s="10">
        <v>3.3982424</v>
      </c>
      <c r="BN701" s="10">
        <v>3.3987927999999998</v>
      </c>
      <c r="BO701" s="10">
        <v>3.3997147000000001</v>
      </c>
      <c r="BP701" s="10">
        <v>3.4010102</v>
      </c>
      <c r="BQ701" s="10">
        <v>3.4026814000000001</v>
      </c>
      <c r="BR701" s="10">
        <v>3.4203304999999999</v>
      </c>
      <c r="BS701" s="10">
        <v>3.4496973999999998</v>
      </c>
      <c r="BU701" s="7">
        <v>4.12</v>
      </c>
      <c r="BV701" s="7">
        <v>4.0199999999999996</v>
      </c>
      <c r="BW701" s="9">
        <v>84.635499999999993</v>
      </c>
    </row>
    <row r="702" spans="1:75" x14ac:dyDescent="0.25">
      <c r="A702" s="6">
        <f t="shared" si="79"/>
        <v>45534</v>
      </c>
      <c r="B702" s="13">
        <f t="shared" si="100"/>
        <v>8</v>
      </c>
      <c r="C702" s="13">
        <f t="shared" si="101"/>
        <v>2024</v>
      </c>
      <c r="D702">
        <f t="shared" si="102"/>
        <v>202408</v>
      </c>
      <c r="E702">
        <f t="shared" si="103"/>
        <v>3</v>
      </c>
      <c r="F702">
        <f t="shared" si="104"/>
        <v>202403</v>
      </c>
      <c r="G702" t="s">
        <v>1516</v>
      </c>
      <c r="H702" s="9">
        <v>5</v>
      </c>
      <c r="I702" s="9">
        <v>4.95</v>
      </c>
      <c r="J702" s="10">
        <v>4.9142292000000003</v>
      </c>
      <c r="K702" s="10">
        <v>4.8179299999999996</v>
      </c>
      <c r="L702" s="10">
        <v>4.7029605999999999</v>
      </c>
      <c r="M702" s="10">
        <v>4.5820289000000001</v>
      </c>
      <c r="N702" s="10">
        <v>4.4618149999999996</v>
      </c>
      <c r="O702" s="10">
        <v>4.3455396999999998</v>
      </c>
      <c r="P702" s="10">
        <v>4.2374483999999999</v>
      </c>
      <c r="Q702" s="10">
        <v>4.1415480000000002</v>
      </c>
      <c r="R702" s="10">
        <v>4.0592538999999999</v>
      </c>
      <c r="S702" s="10">
        <v>3.9901738999999998</v>
      </c>
      <c r="T702" s="10">
        <v>3.9328530000000002</v>
      </c>
      <c r="U702" s="10">
        <v>3.8850392999999999</v>
      </c>
      <c r="V702" s="10">
        <v>3.8436477</v>
      </c>
      <c r="W702" s="10">
        <v>3.8073616000000001</v>
      </c>
      <c r="X702" s="10">
        <v>3.775487</v>
      </c>
      <c r="Y702" s="10">
        <v>3.7473299999999998</v>
      </c>
      <c r="Z702" s="10">
        <v>3.7221967</v>
      </c>
      <c r="AA702" s="10">
        <v>3.6993931999999998</v>
      </c>
      <c r="AB702" s="10">
        <v>3.6783046000000001</v>
      </c>
      <c r="AC702" s="10">
        <v>3.6586827999999998</v>
      </c>
      <c r="AD702" s="10">
        <v>3.6403859000000001</v>
      </c>
      <c r="AE702" s="10">
        <v>3.6232722000000002</v>
      </c>
      <c r="AF702" s="10">
        <v>3.6071996</v>
      </c>
      <c r="AG702" s="10">
        <v>3.5920264</v>
      </c>
      <c r="AH702" s="10">
        <v>3.5776259000000001</v>
      </c>
      <c r="AI702" s="10">
        <v>3.5639452</v>
      </c>
      <c r="AJ702" s="10">
        <v>3.5509539999999999</v>
      </c>
      <c r="AK702" s="10">
        <v>3.5386218999999999</v>
      </c>
      <c r="AL702" s="10">
        <v>3.5269186000000001</v>
      </c>
      <c r="AM702" s="10">
        <v>3.5158136</v>
      </c>
      <c r="AN702" s="10">
        <v>3.5052767</v>
      </c>
      <c r="AO702" s="10">
        <v>3.4952774</v>
      </c>
      <c r="AP702" s="10">
        <v>3.4857855</v>
      </c>
      <c r="AQ702" s="10">
        <v>3.4767705000000002</v>
      </c>
      <c r="AR702" s="10">
        <v>3.4682021999999999</v>
      </c>
      <c r="AS702" s="10">
        <v>3.4600501000000001</v>
      </c>
      <c r="AT702" s="10">
        <v>3.4522895999999998</v>
      </c>
      <c r="AU702" s="10">
        <v>3.4449215999999998</v>
      </c>
      <c r="AV702" s="10">
        <v>3.4379537</v>
      </c>
      <c r="AW702" s="10">
        <v>3.4313937999999999</v>
      </c>
      <c r="AX702" s="10">
        <v>3.4252495999999999</v>
      </c>
      <c r="AY702" s="10">
        <v>3.4195289</v>
      </c>
      <c r="AZ702" s="10">
        <v>3.4142394</v>
      </c>
      <c r="BA702" s="10">
        <v>3.4093889000000002</v>
      </c>
      <c r="BB702" s="10">
        <v>3.4049852</v>
      </c>
      <c r="BC702" s="10">
        <v>3.4010360999999998</v>
      </c>
      <c r="BD702" s="10">
        <v>3.3975491999999998</v>
      </c>
      <c r="BE702" s="10">
        <v>3.3945325</v>
      </c>
      <c r="BF702" s="10">
        <v>3.3919915999999999</v>
      </c>
      <c r="BG702" s="10">
        <v>3.389923</v>
      </c>
      <c r="BH702" s="10">
        <v>3.3883209999999999</v>
      </c>
      <c r="BI702" s="10">
        <v>3.3871796999999999</v>
      </c>
      <c r="BJ702" s="10">
        <v>3.3864931999999999</v>
      </c>
      <c r="BK702" s="10">
        <v>3.3862556000000001</v>
      </c>
      <c r="BL702" s="10">
        <v>3.3864610000000002</v>
      </c>
      <c r="BM702" s="10">
        <v>3.3871036000000001</v>
      </c>
      <c r="BN702" s="10">
        <v>3.3881774999999998</v>
      </c>
      <c r="BO702" s="10">
        <v>3.3896768000000002</v>
      </c>
      <c r="BP702" s="10">
        <v>3.3915956</v>
      </c>
      <c r="BQ702" s="10">
        <v>3.3939281000000001</v>
      </c>
      <c r="BR702" s="10">
        <v>3.4160202000000002</v>
      </c>
      <c r="BS702" s="10">
        <v>3.4499439000000001</v>
      </c>
      <c r="BU702" s="7">
        <v>4.13</v>
      </c>
      <c r="BV702" s="7">
        <v>4.03</v>
      </c>
      <c r="BW702" s="9">
        <v>84.554299999999998</v>
      </c>
    </row>
    <row r="703" spans="1:75" x14ac:dyDescent="0.25">
      <c r="A703" s="6">
        <f t="shared" si="79"/>
        <v>45537</v>
      </c>
      <c r="B703" s="13">
        <f t="shared" si="100"/>
        <v>9</v>
      </c>
      <c r="C703" s="13">
        <f t="shared" si="101"/>
        <v>2024</v>
      </c>
      <c r="D703">
        <f t="shared" si="102"/>
        <v>202409</v>
      </c>
      <c r="E703">
        <f t="shared" si="103"/>
        <v>3</v>
      </c>
      <c r="F703">
        <f t="shared" si="104"/>
        <v>202403</v>
      </c>
      <c r="G703" t="s">
        <v>1517</v>
      </c>
      <c r="H703" s="9">
        <v>5</v>
      </c>
      <c r="I703" s="9">
        <v>4.95</v>
      </c>
      <c r="J703" s="10">
        <v>4.9064360000000002</v>
      </c>
      <c r="K703" s="10">
        <v>4.8077443999999998</v>
      </c>
      <c r="L703" s="10">
        <v>4.6900971</v>
      </c>
      <c r="M703" s="10">
        <v>4.5692522000000002</v>
      </c>
      <c r="N703" s="10">
        <v>4.4502734000000004</v>
      </c>
      <c r="O703" s="10">
        <v>4.3360238999999998</v>
      </c>
      <c r="P703" s="10">
        <v>4.2304493000000001</v>
      </c>
      <c r="Q703" s="10">
        <v>4.1362610999999996</v>
      </c>
      <c r="R703" s="10">
        <v>4.054678</v>
      </c>
      <c r="S703" s="10">
        <v>3.9857809</v>
      </c>
      <c r="T703" s="10">
        <v>3.9286367000000002</v>
      </c>
      <c r="U703" s="10">
        <v>3.8812505000000002</v>
      </c>
      <c r="V703" s="10">
        <v>3.8407000999999998</v>
      </c>
      <c r="W703" s="10">
        <v>3.8056633</v>
      </c>
      <c r="X703" s="10">
        <v>3.7753098999999999</v>
      </c>
      <c r="Y703" s="10">
        <v>3.7488093999999998</v>
      </c>
      <c r="Z703" s="10">
        <v>3.7253316000000001</v>
      </c>
      <c r="AA703" s="10">
        <v>3.7040460999999998</v>
      </c>
      <c r="AB703" s="10">
        <v>3.6842595999999999</v>
      </c>
      <c r="AC703" s="10">
        <v>3.6657514999999998</v>
      </c>
      <c r="AD703" s="10">
        <v>3.6484030999999999</v>
      </c>
      <c r="AE703" s="10">
        <v>3.6320958000000001</v>
      </c>
      <c r="AF703" s="10">
        <v>3.6167109000000002</v>
      </c>
      <c r="AG703" s="10">
        <v>3.6021296999999999</v>
      </c>
      <c r="AH703" s="10">
        <v>3.5882494999999999</v>
      </c>
      <c r="AI703" s="10">
        <v>3.5750310000000001</v>
      </c>
      <c r="AJ703" s="10">
        <v>3.5624506999999999</v>
      </c>
      <c r="AK703" s="10">
        <v>3.5504853000000001</v>
      </c>
      <c r="AL703" s="10">
        <v>3.5391113999999999</v>
      </c>
      <c r="AM703" s="10">
        <v>3.5283055999999999</v>
      </c>
      <c r="AN703" s="10">
        <v>3.5180444</v>
      </c>
      <c r="AO703" s="10">
        <v>3.5083046000000002</v>
      </c>
      <c r="AP703" s="10">
        <v>3.4990627000000001</v>
      </c>
      <c r="AQ703" s="10">
        <v>3.4902951999999998</v>
      </c>
      <c r="AR703" s="10">
        <v>3.4819789000000001</v>
      </c>
      <c r="AS703" s="10">
        <v>3.4740902</v>
      </c>
      <c r="AT703" s="10">
        <v>3.4666106999999999</v>
      </c>
      <c r="AU703" s="10">
        <v>3.4595410000000002</v>
      </c>
      <c r="AV703" s="10">
        <v>3.4528867999999999</v>
      </c>
      <c r="AW703" s="10">
        <v>3.4466535</v>
      </c>
      <c r="AX703" s="10">
        <v>3.4408466</v>
      </c>
      <c r="AY703" s="10">
        <v>3.4354718000000002</v>
      </c>
      <c r="AZ703" s="10">
        <v>3.4305344999999998</v>
      </c>
      <c r="BA703" s="10">
        <v>3.4260404000000002</v>
      </c>
      <c r="BB703" s="10">
        <v>3.4219949000000001</v>
      </c>
      <c r="BC703" s="10">
        <v>3.4184036999999998</v>
      </c>
      <c r="BD703" s="10">
        <v>3.4152721000000001</v>
      </c>
      <c r="BE703" s="10">
        <v>3.4126059</v>
      </c>
      <c r="BF703" s="10">
        <v>3.4104092000000001</v>
      </c>
      <c r="BG703" s="10">
        <v>3.4086789999999998</v>
      </c>
      <c r="BH703" s="10">
        <v>3.4074099000000002</v>
      </c>
      <c r="BI703" s="10">
        <v>3.4065965</v>
      </c>
      <c r="BJ703" s="10">
        <v>3.4062334999999999</v>
      </c>
      <c r="BK703" s="10">
        <v>3.4063154</v>
      </c>
      <c r="BL703" s="10">
        <v>3.4068369000000001</v>
      </c>
      <c r="BM703" s="10">
        <v>3.4077926000000001</v>
      </c>
      <c r="BN703" s="10">
        <v>3.4091770000000001</v>
      </c>
      <c r="BO703" s="10">
        <v>3.4109848</v>
      </c>
      <c r="BP703" s="10">
        <v>3.4132106000000002</v>
      </c>
      <c r="BQ703" s="10">
        <v>3.4158488999999999</v>
      </c>
      <c r="BR703" s="10">
        <v>3.4397669999999998</v>
      </c>
      <c r="BS703" s="10">
        <v>3.4754961999999998</v>
      </c>
      <c r="BU703" s="7">
        <v>4.13</v>
      </c>
      <c r="BV703" s="7">
        <v>4.0599999999999996</v>
      </c>
      <c r="BW703" s="9">
        <v>84.674700000000001</v>
      </c>
    </row>
    <row r="704" spans="1:75" x14ac:dyDescent="0.25">
      <c r="A704" s="6">
        <f t="shared" si="79"/>
        <v>45538</v>
      </c>
      <c r="B704" s="13">
        <f t="shared" si="100"/>
        <v>9</v>
      </c>
      <c r="C704" s="13">
        <f t="shared" si="101"/>
        <v>2024</v>
      </c>
      <c r="D704">
        <f t="shared" si="102"/>
        <v>202409</v>
      </c>
      <c r="E704">
        <f t="shared" si="103"/>
        <v>3</v>
      </c>
      <c r="F704">
        <f t="shared" si="104"/>
        <v>202403</v>
      </c>
      <c r="G704" t="s">
        <v>1518</v>
      </c>
      <c r="H704" s="9">
        <v>5</v>
      </c>
      <c r="I704" s="9">
        <v>4.95</v>
      </c>
      <c r="J704" s="10">
        <v>4.9003962999999997</v>
      </c>
      <c r="K704" s="10">
        <v>4.8015128000000002</v>
      </c>
      <c r="L704" s="10">
        <v>4.6812848000000002</v>
      </c>
      <c r="M704" s="10">
        <v>4.5565761</v>
      </c>
      <c r="N704" s="10">
        <v>4.4334876000000003</v>
      </c>
      <c r="O704" s="10">
        <v>4.3155878999999997</v>
      </c>
      <c r="P704" s="10">
        <v>4.2071772000000003</v>
      </c>
      <c r="Q704" s="10">
        <v>4.1107718999999996</v>
      </c>
      <c r="R704" s="10">
        <v>4.0281444999999998</v>
      </c>
      <c r="S704" s="10">
        <v>3.9589297000000001</v>
      </c>
      <c r="T704" s="10">
        <v>3.9020066</v>
      </c>
      <c r="U704" s="10">
        <v>3.8549785999999999</v>
      </c>
      <c r="V704" s="10">
        <v>3.8141113999999998</v>
      </c>
      <c r="W704" s="10">
        <v>3.7780209</v>
      </c>
      <c r="X704" s="10">
        <v>3.7460315999999998</v>
      </c>
      <c r="Y704" s="10">
        <v>3.7174676</v>
      </c>
      <c r="Z704" s="10">
        <v>3.6916536</v>
      </c>
      <c r="AA704" s="10">
        <v>3.6679137000000002</v>
      </c>
      <c r="AB704" s="10">
        <v>3.6456857999999999</v>
      </c>
      <c r="AC704" s="10">
        <v>3.6247991000000002</v>
      </c>
      <c r="AD704" s="10">
        <v>3.6051671999999999</v>
      </c>
      <c r="AE704" s="10">
        <v>3.5867035</v>
      </c>
      <c r="AF704" s="10">
        <v>3.5693217000000002</v>
      </c>
      <c r="AG704" s="10">
        <v>3.5529351999999998</v>
      </c>
      <c r="AH704" s="10">
        <v>3.5374653</v>
      </c>
      <c r="AI704" s="10">
        <v>3.5228641000000001</v>
      </c>
      <c r="AJ704" s="10">
        <v>3.5090911999999999</v>
      </c>
      <c r="AK704" s="10">
        <v>3.4961063999999999</v>
      </c>
      <c r="AL704" s="10">
        <v>3.4838694000000001</v>
      </c>
      <c r="AM704" s="10">
        <v>3.4723399000000001</v>
      </c>
      <c r="AN704" s="10">
        <v>3.4614775999999998</v>
      </c>
      <c r="AO704" s="10">
        <v>3.4512423000000001</v>
      </c>
      <c r="AP704" s="10">
        <v>3.4415936</v>
      </c>
      <c r="AQ704" s="10">
        <v>3.4324913000000001</v>
      </c>
      <c r="AR704" s="10">
        <v>3.4238951000000002</v>
      </c>
      <c r="AS704" s="10">
        <v>3.4157647</v>
      </c>
      <c r="AT704" s="10">
        <v>3.4080674000000002</v>
      </c>
      <c r="AU704" s="10">
        <v>3.4008004000000001</v>
      </c>
      <c r="AV704" s="10">
        <v>3.3939683999999999</v>
      </c>
      <c r="AW704" s="10">
        <v>3.3875763999999999</v>
      </c>
      <c r="AX704" s="10">
        <v>3.3816290000000002</v>
      </c>
      <c r="AY704" s="10">
        <v>3.3761310999999998</v>
      </c>
      <c r="AZ704" s="10">
        <v>3.3710874</v>
      </c>
      <c r="BA704" s="10">
        <v>3.3665026999999998</v>
      </c>
      <c r="BB704" s="10">
        <v>3.3623818999999999</v>
      </c>
      <c r="BC704" s="10">
        <v>3.3587296000000002</v>
      </c>
      <c r="BD704" s="10">
        <v>3.3555508000000001</v>
      </c>
      <c r="BE704" s="10">
        <v>3.3528500999999999</v>
      </c>
      <c r="BF704" s="10">
        <v>3.3506307999999998</v>
      </c>
      <c r="BG704" s="10">
        <v>3.3488891999999999</v>
      </c>
      <c r="BH704" s="10">
        <v>3.3476192</v>
      </c>
      <c r="BI704" s="10">
        <v>3.3468148000000002</v>
      </c>
      <c r="BJ704" s="10">
        <v>3.3464697999999999</v>
      </c>
      <c r="BK704" s="10">
        <v>3.3465783999999998</v>
      </c>
      <c r="BL704" s="10">
        <v>3.3471343999999998</v>
      </c>
      <c r="BM704" s="10">
        <v>3.3481318</v>
      </c>
      <c r="BN704" s="10">
        <v>3.3495645999999999</v>
      </c>
      <c r="BO704" s="10">
        <v>3.3514268</v>
      </c>
      <c r="BP704" s="10">
        <v>3.3537123000000002</v>
      </c>
      <c r="BQ704" s="10">
        <v>3.3564151</v>
      </c>
      <c r="BR704" s="10">
        <v>3.3807659000000001</v>
      </c>
      <c r="BS704" s="10">
        <v>3.4168547</v>
      </c>
      <c r="BU704" s="7">
        <v>4.09</v>
      </c>
      <c r="BV704" s="7">
        <v>3.99</v>
      </c>
      <c r="BW704" s="9">
        <v>84.434600000000003</v>
      </c>
    </row>
    <row r="705" spans="1:75" x14ac:dyDescent="0.25">
      <c r="A705" s="6">
        <f t="shared" si="79"/>
        <v>45539</v>
      </c>
      <c r="B705" s="13">
        <f t="shared" si="100"/>
        <v>9</v>
      </c>
      <c r="C705" s="13">
        <f t="shared" si="101"/>
        <v>2024</v>
      </c>
      <c r="D705">
        <f t="shared" si="102"/>
        <v>202409</v>
      </c>
      <c r="E705">
        <f t="shared" si="103"/>
        <v>3</v>
      </c>
      <c r="F705">
        <f t="shared" si="104"/>
        <v>202403</v>
      </c>
      <c r="G705" t="s">
        <v>1519</v>
      </c>
      <c r="H705" s="9">
        <v>5</v>
      </c>
      <c r="I705" s="9">
        <v>4.95</v>
      </c>
      <c r="J705" s="10">
        <v>4.8856779000000001</v>
      </c>
      <c r="K705" s="10">
        <v>4.7833926</v>
      </c>
      <c r="L705" s="10">
        <v>4.6567401999999998</v>
      </c>
      <c r="M705" s="10">
        <v>4.5241173999999997</v>
      </c>
      <c r="N705" s="10">
        <v>4.3927461000000001</v>
      </c>
      <c r="O705" s="10">
        <v>4.2670199999999996</v>
      </c>
      <c r="P705" s="10">
        <v>4.1519874000000003</v>
      </c>
      <c r="Q705" s="10">
        <v>4.0504343</v>
      </c>
      <c r="R705" s="10">
        <v>3.9639362</v>
      </c>
      <c r="S705" s="10">
        <v>3.8919522</v>
      </c>
      <c r="T705" s="10">
        <v>3.8331027</v>
      </c>
      <c r="U705" s="10">
        <v>3.7847822</v>
      </c>
      <c r="V705" s="10">
        <v>3.7430857</v>
      </c>
      <c r="W705" s="10">
        <v>3.7065486999999999</v>
      </c>
      <c r="X705" s="10">
        <v>3.6744265999999999</v>
      </c>
      <c r="Y705" s="10">
        <v>3.6459746000000002</v>
      </c>
      <c r="Z705" s="10">
        <v>3.6204480000000001</v>
      </c>
      <c r="AA705" s="10">
        <v>3.5971023</v>
      </c>
      <c r="AB705" s="10">
        <v>3.5753140999999999</v>
      </c>
      <c r="AC705" s="10">
        <v>3.5548788999999998</v>
      </c>
      <c r="AD705" s="10">
        <v>3.5356825999999999</v>
      </c>
      <c r="AE705" s="10">
        <v>3.517611</v>
      </c>
      <c r="AF705" s="10">
        <v>3.5005499000000002</v>
      </c>
      <c r="AG705" s="10">
        <v>3.4843853</v>
      </c>
      <c r="AH705" s="10">
        <v>3.4690181999999998</v>
      </c>
      <c r="AI705" s="10">
        <v>3.4544109000000001</v>
      </c>
      <c r="AJ705" s="10">
        <v>3.4405410999999999</v>
      </c>
      <c r="AK705" s="10">
        <v>3.4273863000000002</v>
      </c>
      <c r="AL705" s="10">
        <v>3.4149242000000002</v>
      </c>
      <c r="AM705" s="10">
        <v>3.4031324000000001</v>
      </c>
      <c r="AN705" s="10">
        <v>3.3919885000000001</v>
      </c>
      <c r="AO705" s="10">
        <v>3.3814701</v>
      </c>
      <c r="AP705" s="10">
        <v>3.3715548000000002</v>
      </c>
      <c r="AQ705" s="10">
        <v>3.3622201999999999</v>
      </c>
      <c r="AR705" s="10">
        <v>3.3534440000000001</v>
      </c>
      <c r="AS705" s="10">
        <v>3.3452036999999999</v>
      </c>
      <c r="AT705" s="10">
        <v>3.3374801000000001</v>
      </c>
      <c r="AU705" s="10">
        <v>3.3302697000000001</v>
      </c>
      <c r="AV705" s="10">
        <v>3.3235733000000001</v>
      </c>
      <c r="AW705" s="10">
        <v>3.3173921000000002</v>
      </c>
      <c r="AX705" s="10">
        <v>3.3117269999999999</v>
      </c>
      <c r="AY705" s="10">
        <v>3.3065793000000001</v>
      </c>
      <c r="AZ705" s="10">
        <v>3.3019498999999999</v>
      </c>
      <c r="BA705" s="10">
        <v>3.2978398000000002</v>
      </c>
      <c r="BB705" s="10">
        <v>3.2942502</v>
      </c>
      <c r="BC705" s="10">
        <v>3.2911820000000001</v>
      </c>
      <c r="BD705" s="10">
        <v>3.2886362999999998</v>
      </c>
      <c r="BE705" s="10">
        <v>3.2866141999999998</v>
      </c>
      <c r="BF705" s="10">
        <v>3.2851146</v>
      </c>
      <c r="BG705" s="10">
        <v>3.2841273000000002</v>
      </c>
      <c r="BH705" s="10">
        <v>3.2836397000000002</v>
      </c>
      <c r="BI705" s="10">
        <v>3.2836387999999999</v>
      </c>
      <c r="BJ705" s="10">
        <v>3.2841121000000002</v>
      </c>
      <c r="BK705" s="10">
        <v>3.2850467000000001</v>
      </c>
      <c r="BL705" s="10">
        <v>3.2864300000000002</v>
      </c>
      <c r="BM705" s="10">
        <v>3.2882490999999998</v>
      </c>
      <c r="BN705" s="10">
        <v>3.2904912999999998</v>
      </c>
      <c r="BO705" s="10">
        <v>3.2931439999999998</v>
      </c>
      <c r="BP705" s="10">
        <v>3.2961942</v>
      </c>
      <c r="BQ705" s="10">
        <v>3.2996294000000002</v>
      </c>
      <c r="BR705" s="10">
        <v>3.327553</v>
      </c>
      <c r="BS705" s="10">
        <v>3.3657764000000001</v>
      </c>
      <c r="BU705" s="7">
        <v>4.03</v>
      </c>
      <c r="BV705" s="7">
        <v>3.93</v>
      </c>
      <c r="BW705" s="9">
        <v>84.611999999999995</v>
      </c>
    </row>
    <row r="706" spans="1:75" x14ac:dyDescent="0.25">
      <c r="A706" s="6">
        <f t="shared" si="79"/>
        <v>45540</v>
      </c>
      <c r="B706" s="13">
        <f t="shared" si="100"/>
        <v>9</v>
      </c>
      <c r="C706" s="13">
        <f t="shared" si="101"/>
        <v>2024</v>
      </c>
      <c r="D706">
        <f t="shared" si="102"/>
        <v>202409</v>
      </c>
      <c r="E706">
        <f t="shared" si="103"/>
        <v>3</v>
      </c>
      <c r="F706">
        <f t="shared" si="104"/>
        <v>202403</v>
      </c>
      <c r="G706" t="s">
        <v>1520</v>
      </c>
      <c r="H706" s="9">
        <v>5</v>
      </c>
      <c r="I706" s="9">
        <v>4.95</v>
      </c>
      <c r="J706" s="10">
        <v>4.8860558000000003</v>
      </c>
      <c r="K706" s="10">
        <v>4.7832632000000004</v>
      </c>
      <c r="L706" s="10">
        <v>4.6536578999999998</v>
      </c>
      <c r="M706" s="10">
        <v>4.5163279999999997</v>
      </c>
      <c r="N706" s="10">
        <v>4.3788517999999996</v>
      </c>
      <c r="O706" s="10">
        <v>4.2465352999999997</v>
      </c>
      <c r="P706" s="10">
        <v>4.1253510000000002</v>
      </c>
      <c r="Q706" s="10">
        <v>4.0188145000000004</v>
      </c>
      <c r="R706" s="10">
        <v>3.9284360999999999</v>
      </c>
      <c r="S706" s="10">
        <v>3.8538697000000002</v>
      </c>
      <c r="T706" s="10">
        <v>3.7931911</v>
      </c>
      <c r="U706" s="10">
        <v>3.7437768999999999</v>
      </c>
      <c r="V706" s="10">
        <v>3.7013531</v>
      </c>
      <c r="W706" s="10">
        <v>3.6643015999999999</v>
      </c>
      <c r="X706" s="10">
        <v>3.6318185999999999</v>
      </c>
      <c r="Y706" s="10">
        <v>3.6031000999999998</v>
      </c>
      <c r="Z706" s="10">
        <v>3.5773421999999999</v>
      </c>
      <c r="AA706" s="10">
        <v>3.5537409000000002</v>
      </c>
      <c r="AB706" s="10">
        <v>3.5316386999999998</v>
      </c>
      <c r="AC706" s="10">
        <v>3.5108820999999999</v>
      </c>
      <c r="AD706" s="10">
        <v>3.4914266999999999</v>
      </c>
      <c r="AE706" s="10">
        <v>3.4732281</v>
      </c>
      <c r="AF706" s="10">
        <v>3.4562415999999998</v>
      </c>
      <c r="AG706" s="10">
        <v>3.4404229000000002</v>
      </c>
      <c r="AH706" s="10">
        <v>3.4257252999999999</v>
      </c>
      <c r="AI706" s="10">
        <v>3.4120922999999999</v>
      </c>
      <c r="AJ706" s="10">
        <v>3.3994643</v>
      </c>
      <c r="AK706" s="10">
        <v>3.3877817000000001</v>
      </c>
      <c r="AL706" s="10">
        <v>3.3769847999999998</v>
      </c>
      <c r="AM706" s="10">
        <v>3.3670141</v>
      </c>
      <c r="AN706" s="10">
        <v>3.3578100000000002</v>
      </c>
      <c r="AO706" s="10">
        <v>3.3493127999999999</v>
      </c>
      <c r="AP706" s="10">
        <v>3.3414628999999998</v>
      </c>
      <c r="AQ706" s="10">
        <v>3.3342008000000001</v>
      </c>
      <c r="AR706" s="10">
        <v>3.3274667</v>
      </c>
      <c r="AS706" s="10">
        <v>3.3212012</v>
      </c>
      <c r="AT706" s="10">
        <v>3.3153533999999998</v>
      </c>
      <c r="AU706" s="10">
        <v>3.3099116999999998</v>
      </c>
      <c r="AV706" s="10">
        <v>3.3048750999999998</v>
      </c>
      <c r="AW706" s="10">
        <v>3.3002429000000002</v>
      </c>
      <c r="AX706" s="10">
        <v>3.296014</v>
      </c>
      <c r="AY706" s="10">
        <v>3.2921876000000001</v>
      </c>
      <c r="AZ706" s="10">
        <v>3.2887629</v>
      </c>
      <c r="BA706" s="10">
        <v>3.2857387999999998</v>
      </c>
      <c r="BB706" s="10">
        <v>3.2831144999999999</v>
      </c>
      <c r="BC706" s="10">
        <v>3.2808891999999998</v>
      </c>
      <c r="BD706" s="10">
        <v>3.2790618999999999</v>
      </c>
      <c r="BE706" s="10">
        <v>3.2776317000000001</v>
      </c>
      <c r="BF706" s="10">
        <v>3.2765973000000002</v>
      </c>
      <c r="BG706" s="10">
        <v>3.2759554999999998</v>
      </c>
      <c r="BH706" s="10">
        <v>3.2757027000000001</v>
      </c>
      <c r="BI706" s="10">
        <v>3.2758351999999999</v>
      </c>
      <c r="BJ706" s="10">
        <v>3.2763491999999999</v>
      </c>
      <c r="BK706" s="10">
        <v>3.2772410999999999</v>
      </c>
      <c r="BL706" s="10">
        <v>3.2785072</v>
      </c>
      <c r="BM706" s="10">
        <v>3.2801437999999998</v>
      </c>
      <c r="BN706" s="10">
        <v>3.2821471999999998</v>
      </c>
      <c r="BO706" s="10">
        <v>3.2845137000000002</v>
      </c>
      <c r="BP706" s="10">
        <v>3.2872397000000002</v>
      </c>
      <c r="BQ706" s="10">
        <v>3.2903213999999998</v>
      </c>
      <c r="BR706" s="10">
        <v>3.3157778000000002</v>
      </c>
      <c r="BS706" s="10">
        <v>3.3513044999999999</v>
      </c>
      <c r="BU706" s="7">
        <v>4</v>
      </c>
      <c r="BV706" s="7">
        <v>3.91</v>
      </c>
      <c r="BW706" s="9">
        <v>84.613</v>
      </c>
    </row>
    <row r="707" spans="1:75" x14ac:dyDescent="0.25">
      <c r="A707" s="6">
        <f t="shared" si="79"/>
        <v>45541</v>
      </c>
      <c r="B707" s="13">
        <f t="shared" si="100"/>
        <v>9</v>
      </c>
      <c r="C707" s="13">
        <f t="shared" si="101"/>
        <v>2024</v>
      </c>
      <c r="D707">
        <f t="shared" si="102"/>
        <v>202409</v>
      </c>
      <c r="E707">
        <f t="shared" si="103"/>
        <v>3</v>
      </c>
      <c r="F707">
        <f t="shared" si="104"/>
        <v>202403</v>
      </c>
      <c r="G707" t="s">
        <v>1521</v>
      </c>
      <c r="H707" s="9">
        <v>5</v>
      </c>
      <c r="BU707" s="7">
        <v>3.99</v>
      </c>
      <c r="BV707" s="7">
        <v>3.92</v>
      </c>
      <c r="BW707" s="9">
        <v>84.508300000000006</v>
      </c>
    </row>
  </sheetData>
  <hyperlinks>
    <hyperlink ref="BW2" r:id="rId1" xr:uid="{65ECAD31-64DB-4524-90A8-D7D2344908B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E41E-F13D-4D84-8DF6-59FC16663166}">
  <dimension ref="A1:E58"/>
  <sheetViews>
    <sheetView workbookViewId="0">
      <pane xSplit="1" ySplit="6" topLeftCell="B37" activePane="bottomRight" state="frozen"/>
      <selection pane="topRight" activeCell="B1" sqref="B1"/>
      <selection pane="bottomLeft" activeCell="A7" sqref="A7"/>
      <selection pane="bottomRight" activeCell="E2" sqref="E2"/>
    </sheetView>
  </sheetViews>
  <sheetFormatPr defaultRowHeight="15" x14ac:dyDescent="0.25"/>
  <cols>
    <col min="2" max="12" width="21" customWidth="1"/>
  </cols>
  <sheetData>
    <row r="1" spans="1:5" x14ac:dyDescent="0.25">
      <c r="A1" s="3" t="s">
        <v>988</v>
      </c>
      <c r="B1" t="s">
        <v>964</v>
      </c>
      <c r="C1" t="s">
        <v>965</v>
      </c>
      <c r="D1" t="s">
        <v>966</v>
      </c>
      <c r="E1" s="2" t="s">
        <v>5</v>
      </c>
    </row>
    <row r="2" spans="1:5" s="5" customFormat="1" ht="75" x14ac:dyDescent="0.25">
      <c r="A2" s="5" t="s">
        <v>13</v>
      </c>
      <c r="B2" s="5" t="s">
        <v>968</v>
      </c>
      <c r="C2" s="5" t="s">
        <v>1453</v>
      </c>
      <c r="D2" s="5" t="s">
        <v>969</v>
      </c>
      <c r="E2" s="5" t="s">
        <v>16</v>
      </c>
    </row>
    <row r="3" spans="1:5" x14ac:dyDescent="0.25">
      <c r="A3" t="s">
        <v>12</v>
      </c>
      <c r="B3" t="s">
        <v>1452</v>
      </c>
      <c r="C3" t="s">
        <v>1452</v>
      </c>
      <c r="D3" t="s">
        <v>1452</v>
      </c>
      <c r="E3" t="s">
        <v>990</v>
      </c>
    </row>
    <row r="4" spans="1:5" x14ac:dyDescent="0.25">
      <c r="A4" t="s">
        <v>11</v>
      </c>
      <c r="B4" t="s">
        <v>1399</v>
      </c>
      <c r="C4" t="s">
        <v>1399</v>
      </c>
      <c r="D4" t="s">
        <v>1455</v>
      </c>
      <c r="E4" t="s">
        <v>1497</v>
      </c>
    </row>
    <row r="5" spans="1:5" x14ac:dyDescent="0.25">
      <c r="A5" t="s">
        <v>10</v>
      </c>
      <c r="B5" t="s">
        <v>874</v>
      </c>
      <c r="C5" t="s">
        <v>874</v>
      </c>
      <c r="D5" t="s">
        <v>874</v>
      </c>
      <c r="E5" t="s">
        <v>14</v>
      </c>
    </row>
    <row r="6" spans="1:5" x14ac:dyDescent="0.25">
      <c r="A6" t="s">
        <v>9</v>
      </c>
      <c r="B6" t="s">
        <v>1451</v>
      </c>
      <c r="C6" t="s">
        <v>1451</v>
      </c>
      <c r="D6" t="s">
        <v>1454</v>
      </c>
      <c r="E6" t="s">
        <v>1485</v>
      </c>
    </row>
    <row r="7" spans="1:5" x14ac:dyDescent="0.25">
      <c r="A7" t="s">
        <v>989</v>
      </c>
      <c r="B7" s="7" t="e">
        <v>#N/A</v>
      </c>
      <c r="C7" s="7" t="e">
        <v>#N/A</v>
      </c>
      <c r="D7" s="7" t="e">
        <v>#N/A</v>
      </c>
      <c r="E7" s="4">
        <v>99.5</v>
      </c>
    </row>
    <row r="8" spans="1:5" x14ac:dyDescent="0.25">
      <c r="A8" t="s">
        <v>991</v>
      </c>
      <c r="B8" s="7" t="e">
        <v>#N/A</v>
      </c>
      <c r="C8" s="7" t="e">
        <v>#N/A</v>
      </c>
      <c r="D8" s="7" t="e">
        <v>#N/A</v>
      </c>
      <c r="E8" s="4">
        <v>100.06666666666666</v>
      </c>
    </row>
    <row r="9" spans="1:5" x14ac:dyDescent="0.25">
      <c r="A9" t="s">
        <v>992</v>
      </c>
      <c r="B9" s="7" t="e">
        <v>#N/A</v>
      </c>
      <c r="C9" s="7" t="e">
        <v>#N/A</v>
      </c>
      <c r="D9" s="7" t="e">
        <v>#N/A</v>
      </c>
      <c r="E9" s="4">
        <v>100.16666666666667</v>
      </c>
    </row>
    <row r="10" spans="1:5" x14ac:dyDescent="0.25">
      <c r="A10" t="s">
        <v>993</v>
      </c>
      <c r="B10" s="7" t="e">
        <v>#N/A</v>
      </c>
      <c r="C10" s="7" t="e">
        <v>#N/A</v>
      </c>
      <c r="D10" s="7" t="e">
        <v>#N/A</v>
      </c>
      <c r="E10" s="4">
        <v>100.3</v>
      </c>
    </row>
    <row r="11" spans="1:5" x14ac:dyDescent="0.25">
      <c r="A11" t="s">
        <v>994</v>
      </c>
      <c r="B11" s="7" t="e">
        <v>#N/A</v>
      </c>
      <c r="C11" s="7" t="e">
        <v>#N/A</v>
      </c>
      <c r="D11" s="7" t="e">
        <v>#N/A</v>
      </c>
      <c r="E11" s="4">
        <v>99.833333333333329</v>
      </c>
    </row>
    <row r="12" spans="1:5" x14ac:dyDescent="0.25">
      <c r="A12" t="s">
        <v>995</v>
      </c>
      <c r="B12" s="7" t="e">
        <v>#N/A</v>
      </c>
      <c r="C12" s="7" t="e">
        <v>#N/A</v>
      </c>
      <c r="D12" s="7" t="e">
        <v>#N/A</v>
      </c>
      <c r="E12" s="4">
        <v>100.40000000000002</v>
      </c>
    </row>
    <row r="13" spans="1:5" x14ac:dyDescent="0.25">
      <c r="A13" t="s">
        <v>996</v>
      </c>
      <c r="B13" s="7" t="e">
        <v>#N/A</v>
      </c>
      <c r="C13" s="7" t="e">
        <v>#N/A</v>
      </c>
      <c r="D13" s="7" t="e">
        <v>#N/A</v>
      </c>
      <c r="E13" s="4">
        <v>100.86666666666667</v>
      </c>
    </row>
    <row r="14" spans="1:5" x14ac:dyDescent="0.25">
      <c r="A14" t="s">
        <v>997</v>
      </c>
      <c r="B14" s="7" t="e">
        <v>#N/A</v>
      </c>
      <c r="C14" s="7" t="e">
        <v>#N/A</v>
      </c>
      <c r="D14" s="7" t="e">
        <v>#N/A</v>
      </c>
      <c r="E14" s="4">
        <v>101.5</v>
      </c>
    </row>
    <row r="15" spans="1:5" x14ac:dyDescent="0.25">
      <c r="A15" t="s">
        <v>998</v>
      </c>
      <c r="B15" s="7" t="e">
        <v>#N/A</v>
      </c>
      <c r="C15" s="7" t="e">
        <v>#N/A</v>
      </c>
      <c r="D15" s="7" t="e">
        <v>#N/A</v>
      </c>
      <c r="E15" s="4">
        <v>102</v>
      </c>
    </row>
    <row r="16" spans="1:5" x14ac:dyDescent="0.25">
      <c r="A16" t="s">
        <v>999</v>
      </c>
      <c r="B16" s="7" t="e">
        <v>#N/A</v>
      </c>
      <c r="C16" s="7" t="e">
        <v>#N/A</v>
      </c>
      <c r="D16" s="7" t="e">
        <v>#N/A</v>
      </c>
      <c r="E16" s="4">
        <v>103.16666666666667</v>
      </c>
    </row>
    <row r="17" spans="1:5" x14ac:dyDescent="0.25">
      <c r="A17" t="s">
        <v>1000</v>
      </c>
      <c r="B17" s="7" t="e">
        <v>#N/A</v>
      </c>
      <c r="C17" s="7" t="e">
        <v>#N/A</v>
      </c>
      <c r="D17" s="7" t="e">
        <v>#N/A</v>
      </c>
      <c r="E17" s="4">
        <v>103.7</v>
      </c>
    </row>
    <row r="18" spans="1:5" x14ac:dyDescent="0.25">
      <c r="A18" t="s">
        <v>1001</v>
      </c>
      <c r="B18" s="7" t="e">
        <v>#N/A</v>
      </c>
      <c r="C18" s="7" t="e">
        <v>#N/A</v>
      </c>
      <c r="D18" s="7" t="e">
        <v>#N/A</v>
      </c>
      <c r="E18" s="4">
        <v>104.56666666666668</v>
      </c>
    </row>
    <row r="19" spans="1:5" x14ac:dyDescent="0.25">
      <c r="A19" t="s">
        <v>1002</v>
      </c>
      <c r="B19" s="7" t="e">
        <v>#N/A</v>
      </c>
      <c r="C19" s="7" t="e">
        <v>#N/A</v>
      </c>
      <c r="D19" s="7" t="e">
        <v>#N/A</v>
      </c>
      <c r="E19" s="4">
        <v>104.76666666666667</v>
      </c>
    </row>
    <row r="20" spans="1:5" x14ac:dyDescent="0.25">
      <c r="A20" t="s">
        <v>1003</v>
      </c>
      <c r="B20" s="7" t="e">
        <v>#N/A</v>
      </c>
      <c r="C20" s="7" t="e">
        <v>#N/A</v>
      </c>
      <c r="D20" s="7" t="e">
        <v>#N/A</v>
      </c>
      <c r="E20" s="4">
        <v>105.66666666666667</v>
      </c>
    </row>
    <row r="21" spans="1:5" x14ac:dyDescent="0.25">
      <c r="A21" t="s">
        <v>1004</v>
      </c>
      <c r="B21" s="7" t="e">
        <v>#N/A</v>
      </c>
      <c r="C21" s="7" t="e">
        <v>#N/A</v>
      </c>
      <c r="D21" s="7" t="e">
        <v>#N/A</v>
      </c>
      <c r="E21" s="4">
        <v>106.3</v>
      </c>
    </row>
    <row r="22" spans="1:5" x14ac:dyDescent="0.25">
      <c r="A22" t="s">
        <v>1005</v>
      </c>
      <c r="B22" s="7" t="e">
        <v>#N/A</v>
      </c>
      <c r="C22" s="7" t="e">
        <v>#N/A</v>
      </c>
      <c r="D22" s="7" t="e">
        <v>#N/A</v>
      </c>
      <c r="E22" s="4">
        <v>106.93333333333332</v>
      </c>
    </row>
    <row r="23" spans="1:5" x14ac:dyDescent="0.25">
      <c r="A23" t="s">
        <v>1006</v>
      </c>
      <c r="B23" s="7" t="e">
        <v>#N/A</v>
      </c>
      <c r="C23" s="7" t="e">
        <v>#N/A</v>
      </c>
      <c r="D23" s="7" t="e">
        <v>#N/A</v>
      </c>
      <c r="E23" s="4">
        <v>106.7</v>
      </c>
    </row>
    <row r="24" spans="1:5" x14ac:dyDescent="0.25">
      <c r="A24" t="s">
        <v>1007</v>
      </c>
      <c r="B24" s="7" t="e">
        <v>#N/A</v>
      </c>
      <c r="C24" s="7" t="e">
        <v>#N/A</v>
      </c>
      <c r="D24" s="7" t="e">
        <v>#N/A</v>
      </c>
      <c r="E24" s="4">
        <v>107.8</v>
      </c>
    </row>
    <row r="25" spans="1:5" x14ac:dyDescent="0.25">
      <c r="A25" t="s">
        <v>1008</v>
      </c>
      <c r="B25" s="7" t="e">
        <v>#N/A</v>
      </c>
      <c r="C25" s="7" t="e">
        <v>#N/A</v>
      </c>
      <c r="D25" s="7" t="e">
        <v>#N/A</v>
      </c>
      <c r="E25" s="4">
        <v>108.26666666666667</v>
      </c>
    </row>
    <row r="26" spans="1:5" x14ac:dyDescent="0.25">
      <c r="A26" t="s">
        <v>1009</v>
      </c>
      <c r="B26" s="7" t="e">
        <v>#N/A</v>
      </c>
      <c r="C26" s="7" t="e">
        <v>#N/A</v>
      </c>
      <c r="D26" s="7" t="e">
        <v>#N/A</v>
      </c>
      <c r="E26" s="4">
        <v>108.43333333333334</v>
      </c>
    </row>
    <row r="27" spans="1:5" x14ac:dyDescent="0.25">
      <c r="A27" t="s">
        <v>1010</v>
      </c>
      <c r="B27" s="7" t="e">
        <v>#N/A</v>
      </c>
      <c r="C27" s="7" t="e">
        <v>#N/A</v>
      </c>
      <c r="D27" s="7" t="e">
        <v>#N/A</v>
      </c>
      <c r="E27" s="4">
        <v>108.46666666666665</v>
      </c>
    </row>
    <row r="28" spans="1:5" x14ac:dyDescent="0.25">
      <c r="A28" t="s">
        <v>1011</v>
      </c>
      <c r="B28" s="7" t="e">
        <v>#N/A</v>
      </c>
      <c r="C28" s="7" t="e">
        <v>#N/A</v>
      </c>
      <c r="D28" s="7" t="e">
        <v>#N/A</v>
      </c>
      <c r="E28" s="4">
        <v>108.53333333333335</v>
      </c>
    </row>
    <row r="29" spans="1:5" x14ac:dyDescent="0.25">
      <c r="A29" t="s">
        <v>1012</v>
      </c>
      <c r="B29" s="7" t="e">
        <v>#N/A</v>
      </c>
      <c r="C29" s="7" t="e">
        <v>#N/A</v>
      </c>
      <c r="D29" s="7" t="e">
        <v>#N/A</v>
      </c>
      <c r="E29" s="4">
        <v>108.93333333333332</v>
      </c>
    </row>
    <row r="30" spans="1:5" x14ac:dyDescent="0.25">
      <c r="A30" t="s">
        <v>1013</v>
      </c>
      <c r="B30" s="7" t="e">
        <v>#N/A</v>
      </c>
      <c r="C30" s="7" t="e">
        <v>#N/A</v>
      </c>
      <c r="D30" s="7" t="e">
        <v>#N/A</v>
      </c>
      <c r="E30" s="4">
        <v>109.06666666666666</v>
      </c>
    </row>
    <row r="31" spans="1:5" x14ac:dyDescent="0.25">
      <c r="A31" t="s">
        <v>1014</v>
      </c>
      <c r="B31" s="7" t="e">
        <v>#N/A</v>
      </c>
      <c r="C31" s="7" t="e">
        <v>#N/A</v>
      </c>
      <c r="D31" s="7" t="e">
        <v>#N/A</v>
      </c>
      <c r="E31" s="4">
        <v>109.16666666666667</v>
      </c>
    </row>
    <row r="32" spans="1:5" x14ac:dyDescent="0.25">
      <c r="A32" t="s">
        <v>1015</v>
      </c>
      <c r="B32" s="7" t="e">
        <v>#N/A</v>
      </c>
      <c r="C32" s="7" t="e">
        <v>#N/A</v>
      </c>
      <c r="D32" s="7" t="e">
        <v>#N/A</v>
      </c>
      <c r="E32" s="4">
        <v>110.73333333333333</v>
      </c>
    </row>
    <row r="33" spans="1:5" x14ac:dyDescent="0.25">
      <c r="A33" t="s">
        <v>1016</v>
      </c>
      <c r="B33" s="7" t="e">
        <v>#N/A</v>
      </c>
      <c r="C33" s="7" t="e">
        <v>#N/A</v>
      </c>
      <c r="D33" s="7" t="e">
        <v>#N/A</v>
      </c>
      <c r="E33" s="4">
        <v>111.93333333333332</v>
      </c>
    </row>
    <row r="34" spans="1:5" x14ac:dyDescent="0.25">
      <c r="A34" t="s">
        <v>1017</v>
      </c>
      <c r="B34" s="7" t="e">
        <v>#N/A</v>
      </c>
      <c r="C34" s="7" t="e">
        <v>#N/A</v>
      </c>
      <c r="D34" s="7" t="e">
        <v>#N/A</v>
      </c>
      <c r="E34" s="4">
        <v>114.39999999999999</v>
      </c>
    </row>
    <row r="35" spans="1:5" x14ac:dyDescent="0.25">
      <c r="A35" t="s">
        <v>1018</v>
      </c>
      <c r="B35" s="7" t="e">
        <v>#N/A</v>
      </c>
      <c r="C35" s="7" t="e">
        <v>#N/A</v>
      </c>
      <c r="D35" s="7" t="e">
        <v>#N/A</v>
      </c>
      <c r="E35" s="4">
        <v>115.93333333333332</v>
      </c>
    </row>
    <row r="36" spans="1:5" x14ac:dyDescent="0.25">
      <c r="A36" t="s">
        <v>1019</v>
      </c>
      <c r="B36" s="7" t="e">
        <v>#N/A</v>
      </c>
      <c r="C36" s="7" t="e">
        <v>#N/A</v>
      </c>
      <c r="D36" s="7" t="e">
        <v>#N/A</v>
      </c>
      <c r="E36" s="4">
        <v>120.86666666666667</v>
      </c>
    </row>
    <row r="37" spans="1:5" x14ac:dyDescent="0.25">
      <c r="A37" t="s">
        <v>1020</v>
      </c>
      <c r="B37" s="7" t="e">
        <v>#N/A</v>
      </c>
      <c r="C37" s="7" t="e">
        <v>#N/A</v>
      </c>
      <c r="D37" s="7" t="e">
        <v>#N/A</v>
      </c>
      <c r="E37" s="4">
        <v>123.13333333333333</v>
      </c>
    </row>
    <row r="38" spans="1:5" x14ac:dyDescent="0.25">
      <c r="A38" t="s">
        <v>1021</v>
      </c>
      <c r="B38" s="7" t="e">
        <v>#N/A</v>
      </c>
      <c r="C38" s="7" t="e">
        <v>#N/A</v>
      </c>
      <c r="D38" s="7" t="e">
        <v>#N/A</v>
      </c>
      <c r="E38" s="4">
        <v>126.7</v>
      </c>
    </row>
    <row r="39" spans="1:5" x14ac:dyDescent="0.25">
      <c r="A39" t="s">
        <v>967</v>
      </c>
      <c r="B39" s="7" t="e">
        <v>#N/A</v>
      </c>
      <c r="C39" s="7" t="e">
        <v>#N/A</v>
      </c>
      <c r="D39" s="7" t="e">
        <v>#N/A</v>
      </c>
      <c r="E39" s="4">
        <v>127.73333333333335</v>
      </c>
    </row>
    <row r="40" spans="1:5" x14ac:dyDescent="0.25">
      <c r="A40" t="s">
        <v>970</v>
      </c>
      <c r="B40" s="7" t="e">
        <v>#N/A</v>
      </c>
      <c r="C40" s="7" t="e">
        <v>#N/A</v>
      </c>
      <c r="D40" s="7" t="e">
        <v>#N/A</v>
      </c>
      <c r="E40" s="4">
        <v>131.06666666666669</v>
      </c>
    </row>
    <row r="41" spans="1:5" x14ac:dyDescent="0.25">
      <c r="A41" t="s">
        <v>971</v>
      </c>
      <c r="B41" s="7" t="e">
        <v>#N/A</v>
      </c>
      <c r="C41" s="7" t="e">
        <v>#N/A</v>
      </c>
      <c r="D41" s="7" t="e">
        <v>#N/A</v>
      </c>
      <c r="E41" s="4">
        <v>131.4</v>
      </c>
    </row>
    <row r="42" spans="1:5" x14ac:dyDescent="0.25">
      <c r="A42" t="s">
        <v>972</v>
      </c>
      <c r="B42" s="7" t="e">
        <v>#N/A</v>
      </c>
      <c r="C42" s="7" t="e">
        <v>#N/A</v>
      </c>
      <c r="D42" s="7" t="e">
        <v>#N/A</v>
      </c>
      <c r="E42" s="4">
        <v>131.96666666666667</v>
      </c>
    </row>
    <row r="43" spans="1:5" x14ac:dyDescent="0.25">
      <c r="A43" t="s">
        <v>973</v>
      </c>
      <c r="B43" s="7" t="e">
        <v>#N/A</v>
      </c>
      <c r="C43" s="7" t="e">
        <v>#N/A</v>
      </c>
      <c r="D43" s="7" t="e">
        <v>#N/A</v>
      </c>
      <c r="E43" s="4">
        <v>132.26666666666668</v>
      </c>
    </row>
    <row r="44" spans="1:5" x14ac:dyDescent="0.25">
      <c r="A44" t="s">
        <v>974</v>
      </c>
      <c r="B44" s="7" t="e">
        <v>#N/A</v>
      </c>
      <c r="C44" s="7" t="e">
        <v>#N/A</v>
      </c>
      <c r="D44" s="7" t="e">
        <v>#N/A</v>
      </c>
      <c r="E44" s="4">
        <v>133.83333333333334</v>
      </c>
    </row>
    <row r="45" spans="1:5" x14ac:dyDescent="0.25">
      <c r="A45" t="s">
        <v>975</v>
      </c>
      <c r="B45" s="7">
        <v>2.2999999999999998</v>
      </c>
      <c r="C45" s="7">
        <v>2.2000000000000002</v>
      </c>
      <c r="D45" s="7">
        <v>5.0999999999999996</v>
      </c>
    </row>
    <row r="46" spans="1:5" x14ac:dyDescent="0.25">
      <c r="A46" t="s">
        <v>976</v>
      </c>
      <c r="B46" s="7">
        <v>2.7</v>
      </c>
      <c r="C46" s="7">
        <v>2.6</v>
      </c>
      <c r="D46" s="7">
        <v>4.87</v>
      </c>
    </row>
    <row r="47" spans="1:5" x14ac:dyDescent="0.25">
      <c r="A47" t="s">
        <v>977</v>
      </c>
      <c r="B47" s="7">
        <v>2.7</v>
      </c>
      <c r="C47" s="7">
        <v>2.5</v>
      </c>
      <c r="D47" s="7">
        <v>4.62</v>
      </c>
    </row>
    <row r="48" spans="1:5" x14ac:dyDescent="0.25">
      <c r="A48" t="s">
        <v>978</v>
      </c>
      <c r="B48" s="7">
        <v>2.6</v>
      </c>
      <c r="C48" s="7">
        <v>2.2999999999999998</v>
      </c>
      <c r="D48" s="7">
        <v>4.4000000000000004</v>
      </c>
    </row>
    <row r="49" spans="1:4" x14ac:dyDescent="0.25">
      <c r="A49" t="s">
        <v>979</v>
      </c>
      <c r="B49" s="7">
        <v>2.4</v>
      </c>
      <c r="C49" s="7">
        <v>2</v>
      </c>
      <c r="D49" s="7">
        <v>4.2300000000000004</v>
      </c>
    </row>
    <row r="50" spans="1:4" x14ac:dyDescent="0.25">
      <c r="A50" t="s">
        <v>980</v>
      </c>
      <c r="B50" s="7">
        <v>2.2000000000000002</v>
      </c>
      <c r="C50" s="7">
        <v>1.7</v>
      </c>
      <c r="D50" s="7">
        <v>4.09</v>
      </c>
    </row>
    <row r="51" spans="1:4" x14ac:dyDescent="0.25">
      <c r="A51" t="s">
        <v>981</v>
      </c>
      <c r="B51" s="7">
        <v>2</v>
      </c>
      <c r="C51" s="7">
        <v>1.4</v>
      </c>
      <c r="D51" s="7">
        <v>3.97</v>
      </c>
    </row>
    <row r="52" spans="1:4" x14ac:dyDescent="0.25">
      <c r="A52" t="s">
        <v>982</v>
      </c>
      <c r="B52" s="7">
        <v>1.7</v>
      </c>
      <c r="C52" s="7">
        <v>1.1000000000000001</v>
      </c>
      <c r="D52" s="7">
        <v>3.86</v>
      </c>
    </row>
    <row r="53" spans="1:4" x14ac:dyDescent="0.25">
      <c r="A53" t="s">
        <v>983</v>
      </c>
      <c r="B53" s="7">
        <v>1.7</v>
      </c>
      <c r="C53" s="7">
        <v>1.1000000000000001</v>
      </c>
      <c r="D53" s="7">
        <v>3.75</v>
      </c>
    </row>
    <row r="54" spans="1:4" x14ac:dyDescent="0.25">
      <c r="A54" t="s">
        <v>984</v>
      </c>
      <c r="B54" s="7">
        <v>1.6</v>
      </c>
      <c r="C54" s="7">
        <v>0.9</v>
      </c>
      <c r="D54" s="7">
        <v>3.67</v>
      </c>
    </row>
    <row r="55" spans="1:4" x14ac:dyDescent="0.25">
      <c r="A55" t="s">
        <v>985</v>
      </c>
      <c r="B55" s="7">
        <v>1.5</v>
      </c>
      <c r="C55" s="7">
        <v>0.8</v>
      </c>
      <c r="D55" s="7">
        <v>3.6</v>
      </c>
    </row>
    <row r="56" spans="1:4" x14ac:dyDescent="0.25">
      <c r="A56" t="s">
        <v>986</v>
      </c>
      <c r="B56" s="7">
        <v>1.5</v>
      </c>
      <c r="C56" s="7">
        <v>0.8</v>
      </c>
      <c r="D56" s="7">
        <v>3.54</v>
      </c>
    </row>
    <row r="57" spans="1:4" x14ac:dyDescent="0.25">
      <c r="A57" t="s">
        <v>1400</v>
      </c>
      <c r="B57" s="7">
        <v>1.5</v>
      </c>
      <c r="C57" s="7">
        <v>0.8</v>
      </c>
      <c r="D57" s="7">
        <v>3.5</v>
      </c>
    </row>
    <row r="58" spans="1:4" x14ac:dyDescent="0.25">
      <c r="A58" t="s">
        <v>1456</v>
      </c>
      <c r="D58" s="7">
        <v>3.47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922B-5B28-4736-BD50-CA23C38ABE77}">
  <dimension ref="A1:C330"/>
  <sheetViews>
    <sheetView workbookViewId="0">
      <pane xSplit="1" ySplit="6" topLeftCell="B228" activePane="bottomRight" state="frozen"/>
      <selection pane="topRight" activeCell="B1" sqref="B1"/>
      <selection pane="bottomLeft" activeCell="A7" sqref="A7"/>
      <selection pane="bottomRight" activeCell="B230" sqref="B230"/>
    </sheetView>
  </sheetViews>
  <sheetFormatPr defaultRowHeight="15" x14ac:dyDescent="0.25"/>
  <cols>
    <col min="1" max="1" width="15.7109375" customWidth="1"/>
    <col min="2" max="2" width="20.7109375" customWidth="1"/>
    <col min="3" max="3" width="43.7109375" bestFit="1" customWidth="1"/>
    <col min="4" max="5" width="10.7109375" customWidth="1"/>
    <col min="6" max="6" width="15.7109375" customWidth="1"/>
    <col min="7" max="319" width="10.7109375" customWidth="1"/>
    <col min="320" max="320" width="20.7109375" customWidth="1"/>
    <col min="321" max="322" width="15.7109375" customWidth="1"/>
    <col min="323" max="324" width="20.7109375" customWidth="1"/>
    <col min="325" max="325" width="18.7109375" customWidth="1"/>
    <col min="326" max="327" width="22.7109375" customWidth="1"/>
    <col min="328" max="328" width="13.7109375" customWidth="1"/>
    <col min="329" max="329" width="14.7109375" customWidth="1"/>
    <col min="330" max="330" width="10.7109375" customWidth="1"/>
  </cols>
  <sheetData>
    <row r="1" spans="1:3" x14ac:dyDescent="0.25">
      <c r="A1" s="15" t="s">
        <v>1023</v>
      </c>
      <c r="B1" s="15" t="s">
        <v>1353</v>
      </c>
      <c r="C1" s="15" t="s">
        <v>1353</v>
      </c>
    </row>
    <row r="2" spans="1:3" x14ac:dyDescent="0.25">
      <c r="A2" t="s">
        <v>1024</v>
      </c>
      <c r="B2" t="s">
        <v>1354</v>
      </c>
      <c r="C2" t="s">
        <v>1361</v>
      </c>
    </row>
    <row r="3" spans="1:3" x14ac:dyDescent="0.25">
      <c r="A3" t="s">
        <v>1025</v>
      </c>
      <c r="B3" t="s">
        <v>1478</v>
      </c>
      <c r="C3" t="s">
        <v>1478</v>
      </c>
    </row>
    <row r="4" spans="1:3" x14ac:dyDescent="0.25">
      <c r="A4" t="s">
        <v>1026</v>
      </c>
      <c r="B4" t="s">
        <v>1355</v>
      </c>
      <c r="C4" t="s">
        <v>1362</v>
      </c>
    </row>
    <row r="5" spans="1:3" x14ac:dyDescent="0.25">
      <c r="A5" t="s">
        <v>1027</v>
      </c>
      <c r="B5" t="s">
        <v>1431</v>
      </c>
      <c r="C5" t="s">
        <v>1356</v>
      </c>
    </row>
    <row r="6" spans="1:3" x14ac:dyDescent="0.25">
      <c r="A6" t="s">
        <v>1028</v>
      </c>
      <c r="B6" t="s">
        <v>1357</v>
      </c>
      <c r="C6" t="s">
        <v>1357</v>
      </c>
    </row>
    <row r="7" spans="1:3" x14ac:dyDescent="0.25">
      <c r="A7" t="s">
        <v>1029</v>
      </c>
      <c r="B7" s="16">
        <v>11.88749</v>
      </c>
      <c r="C7" s="16">
        <v>8.5</v>
      </c>
    </row>
    <row r="8" spans="1:3" x14ac:dyDescent="0.25">
      <c r="A8" t="s">
        <v>1030</v>
      </c>
      <c r="B8" s="16">
        <v>12.304600000000001</v>
      </c>
      <c r="C8" s="16">
        <v>7.5</v>
      </c>
    </row>
    <row r="9" spans="1:3" x14ac:dyDescent="0.25">
      <c r="A9" t="s">
        <v>1031</v>
      </c>
      <c r="B9" s="16">
        <v>12.51315</v>
      </c>
      <c r="C9" s="16">
        <v>11.5</v>
      </c>
    </row>
    <row r="10" spans="1:3" x14ac:dyDescent="0.25">
      <c r="A10" t="s">
        <v>1032</v>
      </c>
      <c r="B10" s="16">
        <v>13.008459999999999</v>
      </c>
      <c r="C10" s="16">
        <v>13</v>
      </c>
    </row>
    <row r="11" spans="1:3" x14ac:dyDescent="0.25">
      <c r="A11" t="s">
        <v>1033</v>
      </c>
      <c r="B11" s="16">
        <v>13.47771</v>
      </c>
      <c r="C11" s="16">
        <v>12.5</v>
      </c>
    </row>
    <row r="12" spans="1:3" x14ac:dyDescent="0.25">
      <c r="A12" t="s">
        <v>1034</v>
      </c>
      <c r="B12" s="16">
        <v>14.23371</v>
      </c>
      <c r="C12" s="16">
        <v>11.75</v>
      </c>
    </row>
    <row r="13" spans="1:3" x14ac:dyDescent="0.25">
      <c r="A13" t="s">
        <v>1035</v>
      </c>
      <c r="B13" s="16">
        <v>14.572609999999999</v>
      </c>
      <c r="C13" s="16">
        <v>11.5</v>
      </c>
    </row>
    <row r="14" spans="1:3" x14ac:dyDescent="0.25">
      <c r="A14" t="s">
        <v>1036</v>
      </c>
      <c r="B14" s="16">
        <v>15.250400000000001</v>
      </c>
      <c r="C14" s="16">
        <v>11.5</v>
      </c>
    </row>
    <row r="15" spans="1:3" x14ac:dyDescent="0.25">
      <c r="A15" t="s">
        <v>1037</v>
      </c>
      <c r="B15" s="16">
        <v>16.058540000000001</v>
      </c>
      <c r="C15" s="16">
        <v>10</v>
      </c>
    </row>
    <row r="16" spans="1:3" x14ac:dyDescent="0.25">
      <c r="A16" t="s">
        <v>1038</v>
      </c>
      <c r="B16" s="16">
        <v>17.466270000000002</v>
      </c>
      <c r="C16" s="16">
        <v>10</v>
      </c>
    </row>
    <row r="17" spans="1:3" x14ac:dyDescent="0.25">
      <c r="A17" t="s">
        <v>1039</v>
      </c>
      <c r="B17" s="16">
        <v>18.222280000000001</v>
      </c>
      <c r="C17" s="16">
        <v>11</v>
      </c>
    </row>
    <row r="18" spans="1:3" x14ac:dyDescent="0.25">
      <c r="A18" t="s">
        <v>1040</v>
      </c>
      <c r="B18" s="16">
        <v>18.847930000000002</v>
      </c>
      <c r="C18" s="16">
        <v>11.25</v>
      </c>
    </row>
    <row r="19" spans="1:3" x14ac:dyDescent="0.25">
      <c r="A19" t="s">
        <v>1041</v>
      </c>
      <c r="B19" s="16">
        <v>19.42145</v>
      </c>
      <c r="C19" s="16">
        <v>9</v>
      </c>
    </row>
    <row r="20" spans="1:3" x14ac:dyDescent="0.25">
      <c r="A20" t="s">
        <v>1042</v>
      </c>
      <c r="B20" s="16">
        <v>20.125319999999999</v>
      </c>
      <c r="C20" s="16">
        <v>11.5</v>
      </c>
    </row>
    <row r="21" spans="1:3" x14ac:dyDescent="0.25">
      <c r="A21" t="s">
        <v>1043</v>
      </c>
      <c r="B21" s="16">
        <v>20.594560000000001</v>
      </c>
      <c r="C21" s="16">
        <v>13</v>
      </c>
    </row>
    <row r="22" spans="1:3" x14ac:dyDescent="0.25">
      <c r="A22" t="s">
        <v>1044</v>
      </c>
      <c r="B22" s="16">
        <v>21.506979999999999</v>
      </c>
      <c r="C22" s="16">
        <v>14.25</v>
      </c>
    </row>
    <row r="23" spans="1:3" x14ac:dyDescent="0.25">
      <c r="A23" t="s">
        <v>1045</v>
      </c>
      <c r="B23" s="16">
        <v>22.471530000000001</v>
      </c>
      <c r="C23" s="16">
        <v>9.5</v>
      </c>
    </row>
    <row r="24" spans="1:3" x14ac:dyDescent="0.25">
      <c r="A24" t="s">
        <v>1046</v>
      </c>
      <c r="B24" s="16">
        <v>23.410019999999999</v>
      </c>
      <c r="C24" s="16">
        <v>8</v>
      </c>
    </row>
    <row r="25" spans="1:3" x14ac:dyDescent="0.25">
      <c r="A25" t="s">
        <v>1047</v>
      </c>
      <c r="B25" s="16">
        <v>23.82713</v>
      </c>
      <c r="C25" s="16">
        <v>6</v>
      </c>
    </row>
    <row r="26" spans="1:3" x14ac:dyDescent="0.25">
      <c r="A26" t="s">
        <v>1048</v>
      </c>
      <c r="B26" s="16">
        <v>24.139949999999999</v>
      </c>
      <c r="C26" s="16">
        <v>7</v>
      </c>
    </row>
    <row r="27" spans="1:3" x14ac:dyDescent="0.25">
      <c r="A27" t="s">
        <v>1049</v>
      </c>
      <c r="B27" s="16">
        <v>24.452780000000001</v>
      </c>
      <c r="C27" s="16">
        <v>6.5</v>
      </c>
    </row>
    <row r="28" spans="1:3" x14ac:dyDescent="0.25">
      <c r="A28" t="s">
        <v>1050</v>
      </c>
      <c r="B28" s="16">
        <v>25.078440000000001</v>
      </c>
      <c r="C28" s="16">
        <v>10</v>
      </c>
    </row>
    <row r="29" spans="1:3" x14ac:dyDescent="0.25">
      <c r="A29" t="s">
        <v>1051</v>
      </c>
      <c r="B29" s="16">
        <v>25.469480000000001</v>
      </c>
      <c r="C29" s="16">
        <v>10</v>
      </c>
    </row>
    <row r="30" spans="1:3" x14ac:dyDescent="0.25">
      <c r="A30" t="s">
        <v>1052</v>
      </c>
      <c r="B30" s="16">
        <v>25.860510000000001</v>
      </c>
      <c r="C30" s="16">
        <v>12.5</v>
      </c>
    </row>
    <row r="31" spans="1:3" x14ac:dyDescent="0.25">
      <c r="A31" t="s">
        <v>1053</v>
      </c>
      <c r="B31" s="16">
        <v>26.43403</v>
      </c>
      <c r="C31" s="16">
        <v>13</v>
      </c>
    </row>
    <row r="32" spans="1:3" x14ac:dyDescent="0.25">
      <c r="A32" t="s">
        <v>1054</v>
      </c>
      <c r="B32" s="16">
        <v>27.268239999999999</v>
      </c>
      <c r="C32" s="16">
        <v>14</v>
      </c>
    </row>
    <row r="33" spans="1:3" x14ac:dyDescent="0.25">
      <c r="A33" t="s">
        <v>1055</v>
      </c>
      <c r="B33" s="16">
        <v>28.910589999999999</v>
      </c>
      <c r="C33" s="16">
        <v>14</v>
      </c>
    </row>
    <row r="34" spans="1:3" x14ac:dyDescent="0.25">
      <c r="A34" t="s">
        <v>1056</v>
      </c>
      <c r="B34" s="16">
        <v>29.718730000000001</v>
      </c>
      <c r="C34" s="16">
        <v>17</v>
      </c>
    </row>
    <row r="35" spans="1:3" x14ac:dyDescent="0.25">
      <c r="A35" t="s">
        <v>1057</v>
      </c>
      <c r="B35" s="16">
        <v>30.605080000000001</v>
      </c>
      <c r="C35" s="16">
        <v>17</v>
      </c>
    </row>
    <row r="36" spans="1:3" x14ac:dyDescent="0.25">
      <c r="A36" t="s">
        <v>1058</v>
      </c>
      <c r="B36" s="16">
        <v>32.247430000000001</v>
      </c>
      <c r="C36" s="16">
        <v>17</v>
      </c>
    </row>
    <row r="37" spans="1:3" x14ac:dyDescent="0.25">
      <c r="A37" t="s">
        <v>1059</v>
      </c>
      <c r="B37" s="16">
        <v>32.951300000000003</v>
      </c>
      <c r="C37" s="16">
        <v>16</v>
      </c>
    </row>
    <row r="38" spans="1:3" x14ac:dyDescent="0.25">
      <c r="A38" t="s">
        <v>1060</v>
      </c>
      <c r="B38" s="16">
        <v>33.550879999999999</v>
      </c>
      <c r="C38" s="16">
        <v>14</v>
      </c>
    </row>
    <row r="39" spans="1:3" x14ac:dyDescent="0.25">
      <c r="A39" t="s">
        <v>1061</v>
      </c>
      <c r="B39" s="16">
        <v>34.385100000000001</v>
      </c>
      <c r="C39" s="16">
        <v>12</v>
      </c>
    </row>
    <row r="40" spans="1:3" x14ac:dyDescent="0.25">
      <c r="A40" t="s">
        <v>1062</v>
      </c>
      <c r="B40" s="16">
        <v>36.079590000000003</v>
      </c>
      <c r="C40" s="16">
        <v>12</v>
      </c>
    </row>
    <row r="41" spans="1:3" x14ac:dyDescent="0.25">
      <c r="A41" t="s">
        <v>1063</v>
      </c>
      <c r="B41" s="16">
        <v>36.731310000000001</v>
      </c>
      <c r="C41" s="16">
        <v>14</v>
      </c>
    </row>
    <row r="42" spans="1:3" x14ac:dyDescent="0.25">
      <c r="A42" t="s">
        <v>1064</v>
      </c>
      <c r="B42" s="16">
        <v>37.435180000000003</v>
      </c>
      <c r="C42" s="16">
        <v>14.375</v>
      </c>
    </row>
    <row r="43" spans="1:3" x14ac:dyDescent="0.25">
      <c r="A43" t="s">
        <v>1065</v>
      </c>
      <c r="B43" s="16">
        <v>37.878349999999998</v>
      </c>
      <c r="C43" s="16">
        <v>13.25</v>
      </c>
    </row>
    <row r="44" spans="1:3" x14ac:dyDescent="0.25">
      <c r="A44" t="s">
        <v>1066</v>
      </c>
      <c r="B44" s="16">
        <v>39.181800000000003</v>
      </c>
      <c r="C44" s="16">
        <v>12.625</v>
      </c>
    </row>
    <row r="45" spans="1:3" x14ac:dyDescent="0.25">
      <c r="A45" t="s">
        <v>1067</v>
      </c>
      <c r="B45" s="16">
        <v>39.416420000000002</v>
      </c>
      <c r="C45" s="16">
        <v>10.125</v>
      </c>
    </row>
    <row r="46" spans="1:3" x14ac:dyDescent="0.25">
      <c r="A46" t="s">
        <v>1068</v>
      </c>
      <c r="B46" s="16">
        <v>39.885669999999998</v>
      </c>
      <c r="C46" s="16">
        <v>10</v>
      </c>
    </row>
    <row r="47" spans="1:3" x14ac:dyDescent="0.25">
      <c r="A47" t="s">
        <v>1069</v>
      </c>
      <c r="B47" s="16">
        <v>40.172429999999999</v>
      </c>
      <c r="C47" s="16">
        <v>10.5625</v>
      </c>
    </row>
    <row r="48" spans="1:3" x14ac:dyDescent="0.25">
      <c r="A48" t="s">
        <v>1070</v>
      </c>
      <c r="B48" s="16">
        <v>40.85022</v>
      </c>
      <c r="C48" s="16">
        <v>9.5625</v>
      </c>
    </row>
    <row r="49" spans="1:3" x14ac:dyDescent="0.25">
      <c r="A49" t="s">
        <v>1071</v>
      </c>
      <c r="B49" s="16">
        <v>41.293399999999998</v>
      </c>
      <c r="C49" s="16">
        <v>9.5625</v>
      </c>
    </row>
    <row r="50" spans="1:3" x14ac:dyDescent="0.25">
      <c r="A50" t="s">
        <v>1072</v>
      </c>
      <c r="B50" s="16">
        <v>41.762639999999998</v>
      </c>
      <c r="C50" s="16">
        <v>9.0625</v>
      </c>
    </row>
    <row r="51" spans="1:3" x14ac:dyDescent="0.25">
      <c r="A51" t="s">
        <v>1073</v>
      </c>
      <c r="B51" s="16">
        <v>41.86692</v>
      </c>
      <c r="C51" s="16">
        <v>8.5625</v>
      </c>
    </row>
    <row r="52" spans="1:3" x14ac:dyDescent="0.25">
      <c r="A52" t="s">
        <v>1074</v>
      </c>
      <c r="B52" s="16">
        <v>42.779339999999998</v>
      </c>
      <c r="C52" s="16">
        <v>8.875</v>
      </c>
    </row>
    <row r="53" spans="1:3" x14ac:dyDescent="0.25">
      <c r="A53" t="s">
        <v>1075</v>
      </c>
      <c r="B53" s="16">
        <v>42.98789</v>
      </c>
      <c r="C53" s="16">
        <v>10.5</v>
      </c>
    </row>
    <row r="54" spans="1:3" x14ac:dyDescent="0.25">
      <c r="A54" t="s">
        <v>1076</v>
      </c>
      <c r="B54" s="16">
        <v>43.431060000000002</v>
      </c>
      <c r="C54" s="16">
        <v>9.5</v>
      </c>
    </row>
    <row r="55" spans="1:3" x14ac:dyDescent="0.25">
      <c r="A55" t="s">
        <v>1077</v>
      </c>
      <c r="B55" s="16">
        <v>43.874229999999997</v>
      </c>
      <c r="C55" s="16">
        <v>12.875</v>
      </c>
    </row>
    <row r="56" spans="1:3" x14ac:dyDescent="0.25">
      <c r="A56" t="s">
        <v>1078</v>
      </c>
      <c r="B56" s="16">
        <v>44.995199999999997</v>
      </c>
      <c r="C56" s="16">
        <v>12.375</v>
      </c>
    </row>
    <row r="57" spans="1:3" x14ac:dyDescent="0.25">
      <c r="A57" t="s">
        <v>1079</v>
      </c>
      <c r="B57" s="16">
        <v>45.125549999999997</v>
      </c>
      <c r="C57" s="16">
        <v>11.375</v>
      </c>
    </row>
    <row r="58" spans="1:3" x14ac:dyDescent="0.25">
      <c r="A58" t="s">
        <v>1080</v>
      </c>
      <c r="B58" s="16">
        <v>45.490519999999997</v>
      </c>
      <c r="C58" s="16">
        <v>11.375</v>
      </c>
    </row>
    <row r="59" spans="1:3" x14ac:dyDescent="0.25">
      <c r="A59" t="s">
        <v>1081</v>
      </c>
      <c r="B59" s="16">
        <v>45.646929999999998</v>
      </c>
      <c r="C59" s="16">
        <v>11.375</v>
      </c>
    </row>
    <row r="60" spans="1:3" x14ac:dyDescent="0.25">
      <c r="A60" t="s">
        <v>1082</v>
      </c>
      <c r="B60" s="16">
        <v>46.3508</v>
      </c>
      <c r="C60" s="16">
        <v>9.875</v>
      </c>
    </row>
    <row r="61" spans="1:3" x14ac:dyDescent="0.25">
      <c r="A61" t="s">
        <v>1083</v>
      </c>
      <c r="B61" s="16">
        <v>46.533279999999998</v>
      </c>
      <c r="C61" s="16">
        <v>9.875</v>
      </c>
    </row>
    <row r="62" spans="1:3" x14ac:dyDescent="0.25">
      <c r="A62" t="s">
        <v>1084</v>
      </c>
      <c r="B62" s="16">
        <v>46.924320000000002</v>
      </c>
      <c r="C62" s="16">
        <v>10.875</v>
      </c>
    </row>
    <row r="63" spans="1:3" x14ac:dyDescent="0.25">
      <c r="A63" t="s">
        <v>1085</v>
      </c>
      <c r="B63" s="16">
        <v>47.237139999999997</v>
      </c>
      <c r="C63" s="16">
        <v>9.875</v>
      </c>
    </row>
    <row r="64" spans="1:3" x14ac:dyDescent="0.25">
      <c r="A64" t="s">
        <v>1086</v>
      </c>
      <c r="B64" s="16">
        <v>47.836730000000003</v>
      </c>
      <c r="C64" s="16">
        <v>8.875</v>
      </c>
    </row>
    <row r="65" spans="1:3" x14ac:dyDescent="0.25">
      <c r="A65" t="s">
        <v>1087</v>
      </c>
      <c r="B65" s="16">
        <v>47.888869999999997</v>
      </c>
      <c r="C65" s="16">
        <v>9.875</v>
      </c>
    </row>
    <row r="66" spans="1:3" x14ac:dyDescent="0.25">
      <c r="A66" t="s">
        <v>1088</v>
      </c>
      <c r="B66" s="16">
        <v>48.436320000000002</v>
      </c>
      <c r="C66" s="16">
        <v>8.375</v>
      </c>
    </row>
    <row r="67" spans="1:3" x14ac:dyDescent="0.25">
      <c r="A67" t="s">
        <v>1089</v>
      </c>
      <c r="B67" s="16">
        <v>48.566670000000002</v>
      </c>
      <c r="C67" s="16">
        <v>8.375</v>
      </c>
    </row>
    <row r="68" spans="1:3" x14ac:dyDescent="0.25">
      <c r="A68" t="s">
        <v>1090</v>
      </c>
      <c r="B68" s="16">
        <v>49.5</v>
      </c>
      <c r="C68" s="16">
        <v>8.875</v>
      </c>
    </row>
    <row r="69" spans="1:3" x14ac:dyDescent="0.25">
      <c r="A69" t="s">
        <v>1091</v>
      </c>
      <c r="B69" s="16">
        <v>49.9</v>
      </c>
      <c r="C69" s="16">
        <v>11.875</v>
      </c>
    </row>
    <row r="70" spans="1:3" x14ac:dyDescent="0.25">
      <c r="A70" t="s">
        <v>1092</v>
      </c>
      <c r="B70" s="16">
        <v>50.466670000000001</v>
      </c>
      <c r="C70" s="16">
        <v>12.875</v>
      </c>
    </row>
    <row r="71" spans="1:3" x14ac:dyDescent="0.25">
      <c r="A71" t="s">
        <v>1093</v>
      </c>
      <c r="B71" s="16">
        <v>51</v>
      </c>
      <c r="C71" s="16">
        <v>12.875</v>
      </c>
    </row>
    <row r="72" spans="1:3" x14ac:dyDescent="0.25">
      <c r="A72" t="s">
        <v>1094</v>
      </c>
      <c r="B72" s="16">
        <v>52.133339999999997</v>
      </c>
      <c r="C72" s="16">
        <v>13.75</v>
      </c>
    </row>
    <row r="73" spans="1:3" x14ac:dyDescent="0.25">
      <c r="A73" t="s">
        <v>1095</v>
      </c>
      <c r="B73" s="16">
        <v>52.466670000000001</v>
      </c>
      <c r="C73" s="16">
        <v>13.75</v>
      </c>
    </row>
    <row r="74" spans="1:3" x14ac:dyDescent="0.25">
      <c r="A74" t="s">
        <v>1096</v>
      </c>
      <c r="B74" s="16">
        <v>53.266669999999998</v>
      </c>
      <c r="C74" s="16">
        <v>14.875</v>
      </c>
    </row>
    <row r="75" spans="1:3" x14ac:dyDescent="0.25">
      <c r="A75" t="s">
        <v>1097</v>
      </c>
      <c r="B75" s="16">
        <v>53.933329999999998</v>
      </c>
      <c r="C75" s="16">
        <v>14.875</v>
      </c>
    </row>
    <row r="76" spans="1:3" x14ac:dyDescent="0.25">
      <c r="A76" t="s">
        <v>1098</v>
      </c>
      <c r="B76" s="16">
        <v>55.6</v>
      </c>
      <c r="C76" s="16">
        <v>14.875</v>
      </c>
    </row>
    <row r="77" spans="1:3" x14ac:dyDescent="0.25">
      <c r="A77" t="s">
        <v>1099</v>
      </c>
      <c r="B77" s="16">
        <v>56.4</v>
      </c>
      <c r="C77" s="16">
        <v>14.875</v>
      </c>
    </row>
    <row r="78" spans="1:3" x14ac:dyDescent="0.25">
      <c r="A78" t="s">
        <v>1100</v>
      </c>
      <c r="B78" s="16">
        <v>57.466670000000001</v>
      </c>
      <c r="C78" s="16">
        <v>13.875</v>
      </c>
    </row>
    <row r="79" spans="1:3" x14ac:dyDescent="0.25">
      <c r="A79" t="s">
        <v>1101</v>
      </c>
      <c r="B79" s="16">
        <v>57.666670000000003</v>
      </c>
      <c r="C79" s="16">
        <v>12.375</v>
      </c>
    </row>
    <row r="80" spans="1:3" x14ac:dyDescent="0.25">
      <c r="A80" t="s">
        <v>1102</v>
      </c>
      <c r="B80" s="16">
        <v>60.266669999999998</v>
      </c>
      <c r="C80" s="16">
        <v>11.375</v>
      </c>
    </row>
    <row r="81" spans="1:3" x14ac:dyDescent="0.25">
      <c r="A81" t="s">
        <v>1103</v>
      </c>
      <c r="B81" s="16">
        <v>60.833329999999997</v>
      </c>
      <c r="C81" s="16">
        <v>10.375</v>
      </c>
    </row>
    <row r="82" spans="1:3" x14ac:dyDescent="0.25">
      <c r="A82" t="s">
        <v>1104</v>
      </c>
      <c r="B82" s="16">
        <v>61.466670000000001</v>
      </c>
      <c r="C82" s="16">
        <v>10.375</v>
      </c>
    </row>
    <row r="83" spans="1:3" x14ac:dyDescent="0.25">
      <c r="A83" t="s">
        <v>1105</v>
      </c>
      <c r="B83" s="16">
        <v>61.7</v>
      </c>
      <c r="C83" s="16">
        <v>10.375</v>
      </c>
    </row>
    <row r="84" spans="1:3" x14ac:dyDescent="0.25">
      <c r="A84" t="s">
        <v>1106</v>
      </c>
      <c r="B84" s="16">
        <v>62.833329999999997</v>
      </c>
      <c r="C84" s="16">
        <v>9.875</v>
      </c>
    </row>
    <row r="85" spans="1:3" x14ac:dyDescent="0.25">
      <c r="A85" t="s">
        <v>1107</v>
      </c>
      <c r="B85" s="16">
        <v>62.733330000000002</v>
      </c>
      <c r="C85" s="16">
        <v>8.875</v>
      </c>
    </row>
    <row r="86" spans="1:3" x14ac:dyDescent="0.25">
      <c r="A86" t="s">
        <v>1108</v>
      </c>
      <c r="B86" s="16">
        <v>63.133339999999997</v>
      </c>
      <c r="C86" s="16">
        <v>6.875</v>
      </c>
    </row>
    <row r="87" spans="1:3" x14ac:dyDescent="0.25">
      <c r="A87" t="s">
        <v>1109</v>
      </c>
      <c r="B87" s="16">
        <v>63.2</v>
      </c>
      <c r="C87" s="16">
        <v>5.875</v>
      </c>
    </row>
    <row r="88" spans="1:3" x14ac:dyDescent="0.25">
      <c r="A88" t="s">
        <v>1110</v>
      </c>
      <c r="B88" s="16">
        <v>64.433329999999998</v>
      </c>
      <c r="C88" s="16">
        <v>5.875</v>
      </c>
    </row>
    <row r="89" spans="1:3" x14ac:dyDescent="0.25">
      <c r="A89" t="s">
        <v>1111</v>
      </c>
      <c r="B89" s="16">
        <v>64.5</v>
      </c>
      <c r="C89" s="16">
        <v>5.875</v>
      </c>
    </row>
    <row r="90" spans="1:3" x14ac:dyDescent="0.25">
      <c r="A90" t="s">
        <v>1112</v>
      </c>
      <c r="B90" s="16">
        <v>64.666659999999993</v>
      </c>
      <c r="C90" s="16">
        <v>5.375</v>
      </c>
    </row>
    <row r="91" spans="1:3" x14ac:dyDescent="0.25">
      <c r="A91" t="s">
        <v>1113</v>
      </c>
      <c r="B91" s="16">
        <v>64.766670000000005</v>
      </c>
      <c r="C91" s="16">
        <v>5.125</v>
      </c>
    </row>
    <row r="92" spans="1:3" x14ac:dyDescent="0.25">
      <c r="A92" t="s">
        <v>1114</v>
      </c>
      <c r="B92" s="16">
        <v>65.7</v>
      </c>
      <c r="C92" s="16">
        <v>5.125</v>
      </c>
    </row>
    <row r="93" spans="1:3" x14ac:dyDescent="0.25">
      <c r="A93" t="s">
        <v>1115</v>
      </c>
      <c r="B93" s="16">
        <v>65.633330000000001</v>
      </c>
      <c r="C93" s="16">
        <v>5.625</v>
      </c>
    </row>
    <row r="94" spans="1:3" x14ac:dyDescent="0.25">
      <c r="A94" t="s">
        <v>1116</v>
      </c>
      <c r="B94" s="16">
        <v>65.8</v>
      </c>
      <c r="C94" s="16">
        <v>6.125</v>
      </c>
    </row>
    <row r="95" spans="1:3" x14ac:dyDescent="0.25">
      <c r="A95" t="s">
        <v>1117</v>
      </c>
      <c r="B95" s="16">
        <v>66.333340000000007</v>
      </c>
      <c r="C95" s="16">
        <v>6.625</v>
      </c>
    </row>
    <row r="96" spans="1:3" x14ac:dyDescent="0.25">
      <c r="A96" t="s">
        <v>1118</v>
      </c>
      <c r="B96" s="16">
        <v>67.266670000000005</v>
      </c>
      <c r="C96" s="16">
        <v>6.625</v>
      </c>
    </row>
    <row r="97" spans="1:3" x14ac:dyDescent="0.25">
      <c r="A97" t="s">
        <v>1119</v>
      </c>
      <c r="B97" s="16">
        <v>67.400000000000006</v>
      </c>
      <c r="C97" s="16">
        <v>6.625</v>
      </c>
    </row>
    <row r="98" spans="1:3" x14ac:dyDescent="0.25">
      <c r="A98" t="s">
        <v>1120</v>
      </c>
      <c r="B98" s="16">
        <v>67.733329999999995</v>
      </c>
      <c r="C98" s="16">
        <v>6.375</v>
      </c>
    </row>
    <row r="99" spans="1:3" x14ac:dyDescent="0.25">
      <c r="A99" t="s">
        <v>1121</v>
      </c>
      <c r="B99" s="16">
        <v>68.099999999999994</v>
      </c>
      <c r="C99" s="16">
        <v>5.9375</v>
      </c>
    </row>
    <row r="100" spans="1:3" x14ac:dyDescent="0.25">
      <c r="A100" t="s">
        <v>1122</v>
      </c>
      <c r="B100" s="16">
        <v>68.866669999999999</v>
      </c>
      <c r="C100" s="16">
        <v>5.6875</v>
      </c>
    </row>
    <row r="101" spans="1:3" x14ac:dyDescent="0.25">
      <c r="A101" t="s">
        <v>1123</v>
      </c>
      <c r="B101" s="16">
        <v>68.933329999999998</v>
      </c>
      <c r="C101" s="16">
        <v>5.6875</v>
      </c>
    </row>
    <row r="102" spans="1:3" x14ac:dyDescent="0.25">
      <c r="A102" t="s">
        <v>1124</v>
      </c>
      <c r="B102" s="16">
        <v>69.366669999999999</v>
      </c>
      <c r="C102" s="16">
        <v>5.9375</v>
      </c>
    </row>
    <row r="103" spans="1:3" x14ac:dyDescent="0.25">
      <c r="A103" t="s">
        <v>1125</v>
      </c>
      <c r="B103" s="16">
        <v>69.366669999999999</v>
      </c>
      <c r="C103" s="16">
        <v>5.9375</v>
      </c>
    </row>
    <row r="104" spans="1:3" x14ac:dyDescent="0.25">
      <c r="A104" t="s">
        <v>1126</v>
      </c>
      <c r="B104" s="16">
        <v>70</v>
      </c>
      <c r="C104" s="16">
        <v>6.5</v>
      </c>
    </row>
    <row r="105" spans="1:3" x14ac:dyDescent="0.25">
      <c r="A105" t="s">
        <v>1127</v>
      </c>
      <c r="B105" s="16">
        <v>70.266670000000005</v>
      </c>
      <c r="C105" s="16">
        <v>7</v>
      </c>
    </row>
    <row r="106" spans="1:3" x14ac:dyDescent="0.25">
      <c r="A106" t="s">
        <v>1128</v>
      </c>
      <c r="B106" s="16">
        <v>70.633330000000001</v>
      </c>
      <c r="C106" s="16">
        <v>7.25</v>
      </c>
    </row>
    <row r="107" spans="1:3" x14ac:dyDescent="0.25">
      <c r="A107" t="s">
        <v>1129</v>
      </c>
      <c r="B107" s="16">
        <v>70.5</v>
      </c>
      <c r="C107" s="16">
        <v>7.25</v>
      </c>
    </row>
    <row r="108" spans="1:3" x14ac:dyDescent="0.25">
      <c r="A108" t="s">
        <v>1130</v>
      </c>
      <c r="B108" s="16">
        <v>71.266670000000005</v>
      </c>
      <c r="C108" s="16">
        <v>7.5</v>
      </c>
    </row>
    <row r="109" spans="1:3" x14ac:dyDescent="0.25">
      <c r="A109" t="s">
        <v>1131</v>
      </c>
      <c r="B109" s="16">
        <v>71.233329999999995</v>
      </c>
      <c r="C109" s="16">
        <v>7.5</v>
      </c>
    </row>
    <row r="110" spans="1:3" x14ac:dyDescent="0.25">
      <c r="A110" t="s">
        <v>1132</v>
      </c>
      <c r="B110" s="16">
        <v>71.633330000000001</v>
      </c>
      <c r="C110" s="16">
        <v>6.25</v>
      </c>
    </row>
    <row r="111" spans="1:3" x14ac:dyDescent="0.25">
      <c r="A111" t="s">
        <v>1133</v>
      </c>
      <c r="B111" s="16">
        <v>71.599999999999994</v>
      </c>
      <c r="C111" s="16">
        <v>5.5</v>
      </c>
    </row>
    <row r="112" spans="1:3" x14ac:dyDescent="0.25">
      <c r="A112" t="s">
        <v>1134</v>
      </c>
      <c r="B112" s="16">
        <v>72.3</v>
      </c>
      <c r="C112" s="16">
        <v>5</v>
      </c>
    </row>
    <row r="113" spans="1:3" x14ac:dyDescent="0.25">
      <c r="A113" t="s">
        <v>1135</v>
      </c>
      <c r="B113" s="16">
        <v>72.133330000000001</v>
      </c>
      <c r="C113" s="16">
        <v>5.25</v>
      </c>
    </row>
    <row r="114" spans="1:3" x14ac:dyDescent="0.25">
      <c r="A114" t="s">
        <v>1136</v>
      </c>
      <c r="B114" s="16">
        <v>72.433329999999998</v>
      </c>
      <c r="C114" s="16">
        <v>5.5</v>
      </c>
    </row>
    <row r="115" spans="1:3" x14ac:dyDescent="0.25">
      <c r="A115" t="s">
        <v>1137</v>
      </c>
      <c r="B115" s="16">
        <v>72.133330000000001</v>
      </c>
      <c r="C115" s="16">
        <v>6</v>
      </c>
    </row>
    <row r="116" spans="1:3" x14ac:dyDescent="0.25">
      <c r="A116" t="s">
        <v>1138</v>
      </c>
      <c r="B116" s="16">
        <v>72.766670000000005</v>
      </c>
      <c r="C116" s="16">
        <v>6</v>
      </c>
    </row>
    <row r="117" spans="1:3" x14ac:dyDescent="0.25">
      <c r="A117" t="s">
        <v>1139</v>
      </c>
      <c r="B117" s="16">
        <v>72.7</v>
      </c>
      <c r="C117" s="16">
        <v>6</v>
      </c>
    </row>
    <row r="118" spans="1:3" x14ac:dyDescent="0.25">
      <c r="A118" t="s">
        <v>1140</v>
      </c>
      <c r="B118" s="16">
        <v>73.166659999999993</v>
      </c>
      <c r="C118" s="16">
        <v>6</v>
      </c>
    </row>
    <row r="119" spans="1:3" x14ac:dyDescent="0.25">
      <c r="A119" t="s">
        <v>1141</v>
      </c>
      <c r="B119" s="16">
        <v>72.766670000000005</v>
      </c>
      <c r="C119" s="16">
        <v>5.75</v>
      </c>
    </row>
    <row r="120" spans="1:3" x14ac:dyDescent="0.25">
      <c r="A120" t="s">
        <v>1142</v>
      </c>
      <c r="B120" s="16">
        <v>73.833340000000007</v>
      </c>
      <c r="C120" s="16">
        <v>5.25</v>
      </c>
    </row>
    <row r="121" spans="1:3" x14ac:dyDescent="0.25">
      <c r="A121" t="s">
        <v>1143</v>
      </c>
      <c r="B121" s="16">
        <v>73.866669999999999</v>
      </c>
      <c r="C121" s="16">
        <v>4.75</v>
      </c>
    </row>
    <row r="122" spans="1:3" x14ac:dyDescent="0.25">
      <c r="A122" t="s">
        <v>1144</v>
      </c>
      <c r="B122" s="16">
        <v>73.900000000000006</v>
      </c>
      <c r="C122" s="16">
        <v>4</v>
      </c>
    </row>
    <row r="123" spans="1:3" x14ac:dyDescent="0.25">
      <c r="A123" t="s">
        <v>1145</v>
      </c>
      <c r="B123" s="16">
        <v>73.866669999999999</v>
      </c>
      <c r="C123" s="16">
        <v>4</v>
      </c>
    </row>
    <row r="124" spans="1:3" x14ac:dyDescent="0.25">
      <c r="A124" t="s">
        <v>1146</v>
      </c>
      <c r="B124" s="16">
        <v>74.533330000000007</v>
      </c>
      <c r="C124" s="16">
        <v>4</v>
      </c>
    </row>
    <row r="125" spans="1:3" x14ac:dyDescent="0.25">
      <c r="A125" t="s">
        <v>1147</v>
      </c>
      <c r="B125" s="16">
        <v>74.599999999999994</v>
      </c>
      <c r="C125" s="16">
        <v>4</v>
      </c>
    </row>
    <row r="126" spans="1:3" x14ac:dyDescent="0.25">
      <c r="A126" t="s">
        <v>1148</v>
      </c>
      <c r="B126" s="16">
        <v>75</v>
      </c>
      <c r="C126" s="16">
        <v>4</v>
      </c>
    </row>
    <row r="127" spans="1:3" x14ac:dyDescent="0.25">
      <c r="A127" t="s">
        <v>1149</v>
      </c>
      <c r="B127" s="16">
        <v>75</v>
      </c>
      <c r="C127" s="16">
        <v>3.75</v>
      </c>
    </row>
    <row r="128" spans="1:3" x14ac:dyDescent="0.25">
      <c r="A128" t="s">
        <v>1150</v>
      </c>
      <c r="B128" s="16">
        <v>75.466669999999993</v>
      </c>
      <c r="C128" s="16">
        <v>3.75</v>
      </c>
    </row>
    <row r="129" spans="1:3" x14ac:dyDescent="0.25">
      <c r="A129" t="s">
        <v>1151</v>
      </c>
      <c r="B129" s="16">
        <v>75.599999999999994</v>
      </c>
      <c r="C129" s="16">
        <v>3.5</v>
      </c>
    </row>
    <row r="130" spans="1:3" x14ac:dyDescent="0.25">
      <c r="A130" t="s">
        <v>1152</v>
      </c>
      <c r="B130" s="16">
        <v>76.033330000000007</v>
      </c>
      <c r="C130" s="16">
        <v>3.75</v>
      </c>
    </row>
    <row r="131" spans="1:3" x14ac:dyDescent="0.25">
      <c r="A131" t="s">
        <v>1153</v>
      </c>
      <c r="B131" s="16">
        <v>75.966669999999993</v>
      </c>
      <c r="C131" s="16">
        <v>4</v>
      </c>
    </row>
    <row r="132" spans="1:3" x14ac:dyDescent="0.25">
      <c r="A132" t="s">
        <v>1154</v>
      </c>
      <c r="B132" s="16">
        <v>76.533330000000007</v>
      </c>
      <c r="C132" s="16">
        <v>4.5</v>
      </c>
    </row>
    <row r="133" spans="1:3" x14ac:dyDescent="0.25">
      <c r="A133" t="s">
        <v>1155</v>
      </c>
      <c r="B133" s="16">
        <v>76.566670000000002</v>
      </c>
      <c r="C133" s="16">
        <v>4.75</v>
      </c>
    </row>
    <row r="134" spans="1:3" x14ac:dyDescent="0.25">
      <c r="A134" t="s">
        <v>1156</v>
      </c>
      <c r="B134" s="16">
        <v>77.099999999999994</v>
      </c>
      <c r="C134" s="16">
        <v>4.75</v>
      </c>
    </row>
    <row r="135" spans="1:3" x14ac:dyDescent="0.25">
      <c r="A135" t="s">
        <v>1157</v>
      </c>
      <c r="B135" s="16">
        <v>77.233329999999995</v>
      </c>
      <c r="C135" s="16">
        <v>4.75</v>
      </c>
    </row>
    <row r="136" spans="1:3" x14ac:dyDescent="0.25">
      <c r="A136" t="s">
        <v>1158</v>
      </c>
      <c r="B136" s="16">
        <v>78</v>
      </c>
      <c r="C136" s="16">
        <v>4.75</v>
      </c>
    </row>
    <row r="137" spans="1:3" x14ac:dyDescent="0.25">
      <c r="A137" t="s">
        <v>1159</v>
      </c>
      <c r="B137" s="16">
        <v>78.400000000000006</v>
      </c>
      <c r="C137" s="16">
        <v>4.5</v>
      </c>
    </row>
    <row r="138" spans="1:3" x14ac:dyDescent="0.25">
      <c r="A138" t="s">
        <v>1160</v>
      </c>
      <c r="B138" s="16">
        <v>78.766670000000005</v>
      </c>
      <c r="C138" s="16">
        <v>4.5</v>
      </c>
    </row>
    <row r="139" spans="1:3" x14ac:dyDescent="0.25">
      <c r="A139" t="s">
        <v>1161</v>
      </c>
      <c r="B139" s="16">
        <v>78.733329999999995</v>
      </c>
      <c r="C139" s="16">
        <v>4.5</v>
      </c>
    </row>
    <row r="140" spans="1:3" x14ac:dyDescent="0.25">
      <c r="A140" t="s">
        <v>1162</v>
      </c>
      <c r="B140" s="16">
        <v>79.8</v>
      </c>
      <c r="C140" s="16">
        <v>4.5</v>
      </c>
    </row>
    <row r="141" spans="1:3" x14ac:dyDescent="0.25">
      <c r="A141" t="s">
        <v>1163</v>
      </c>
      <c r="B141" s="16">
        <v>80.3</v>
      </c>
      <c r="C141" s="16">
        <v>4.75</v>
      </c>
    </row>
    <row r="142" spans="1:3" x14ac:dyDescent="0.25">
      <c r="A142" t="s">
        <v>1164</v>
      </c>
      <c r="B142" s="16">
        <v>80.900000000000006</v>
      </c>
      <c r="C142" s="16">
        <v>5</v>
      </c>
    </row>
    <row r="143" spans="1:3" x14ac:dyDescent="0.25">
      <c r="A143" t="s">
        <v>1165</v>
      </c>
      <c r="B143" s="16">
        <v>81</v>
      </c>
      <c r="C143" s="16">
        <v>5.25</v>
      </c>
    </row>
    <row r="144" spans="1:3" x14ac:dyDescent="0.25">
      <c r="A144" t="s">
        <v>1166</v>
      </c>
      <c r="B144" s="16">
        <v>81.8</v>
      </c>
      <c r="C144" s="16">
        <v>5.5</v>
      </c>
    </row>
    <row r="145" spans="1:3" x14ac:dyDescent="0.25">
      <c r="A145" t="s">
        <v>1167</v>
      </c>
      <c r="B145" s="16">
        <v>81.733329999999995</v>
      </c>
      <c r="C145" s="16">
        <v>5.75</v>
      </c>
    </row>
    <row r="146" spans="1:3" x14ac:dyDescent="0.25">
      <c r="A146" t="s">
        <v>1168</v>
      </c>
      <c r="B146" s="16">
        <v>82.6</v>
      </c>
      <c r="C146" s="16">
        <v>5.5</v>
      </c>
    </row>
    <row r="147" spans="1:3" x14ac:dyDescent="0.25">
      <c r="A147" t="s">
        <v>1169</v>
      </c>
      <c r="B147" s="16">
        <v>82.933329999999998</v>
      </c>
      <c r="C147" s="16">
        <v>5.25</v>
      </c>
    </row>
    <row r="148" spans="1:3" x14ac:dyDescent="0.25">
      <c r="A148" t="s">
        <v>1170</v>
      </c>
      <c r="B148" s="16">
        <v>84.6</v>
      </c>
      <c r="C148" s="16">
        <v>5</v>
      </c>
    </row>
    <row r="149" spans="1:3" x14ac:dyDescent="0.25">
      <c r="A149" t="s">
        <v>1171</v>
      </c>
      <c r="B149" s="16">
        <v>85.633330000000001</v>
      </c>
      <c r="C149" s="16">
        <v>5</v>
      </c>
    </row>
    <row r="150" spans="1:3" x14ac:dyDescent="0.25">
      <c r="A150" t="s">
        <v>1172</v>
      </c>
      <c r="B150" s="16">
        <v>85.733329999999995</v>
      </c>
      <c r="C150" s="16">
        <v>2</v>
      </c>
    </row>
    <row r="151" spans="1:3" x14ac:dyDescent="0.25">
      <c r="A151" t="s">
        <v>1173</v>
      </c>
      <c r="B151" s="16">
        <v>85.433329999999998</v>
      </c>
      <c r="C151" s="16">
        <v>0.5</v>
      </c>
    </row>
    <row r="152" spans="1:3" x14ac:dyDescent="0.25">
      <c r="A152" t="s">
        <v>1174</v>
      </c>
      <c r="B152" s="16">
        <v>86.366669999999999</v>
      </c>
      <c r="C152" s="16">
        <v>0.5</v>
      </c>
    </row>
    <row r="153" spans="1:3" x14ac:dyDescent="0.25">
      <c r="A153" t="s">
        <v>1175</v>
      </c>
      <c r="B153" s="16">
        <v>86.933329999999998</v>
      </c>
      <c r="C153" s="16">
        <v>0.5</v>
      </c>
    </row>
    <row r="154" spans="1:3" x14ac:dyDescent="0.25">
      <c r="A154" t="s">
        <v>1176</v>
      </c>
      <c r="B154" s="16">
        <v>87.566670000000002</v>
      </c>
      <c r="C154" s="16">
        <v>0.5</v>
      </c>
    </row>
    <row r="155" spans="1:3" x14ac:dyDescent="0.25">
      <c r="A155" t="s">
        <v>1177</v>
      </c>
      <c r="B155" s="16">
        <v>88.233329999999995</v>
      </c>
      <c r="C155" s="16">
        <v>0.5</v>
      </c>
    </row>
    <row r="156" spans="1:3" x14ac:dyDescent="0.25">
      <c r="A156" t="s">
        <v>1178</v>
      </c>
      <c r="B156" s="16">
        <v>89.366669999999999</v>
      </c>
      <c r="C156" s="16">
        <v>0.5</v>
      </c>
    </row>
    <row r="157" spans="1:3" x14ac:dyDescent="0.25">
      <c r="A157" t="s">
        <v>1179</v>
      </c>
      <c r="B157" s="16">
        <v>89.633330000000001</v>
      </c>
      <c r="C157" s="16">
        <v>0.5</v>
      </c>
    </row>
    <row r="158" spans="1:3" x14ac:dyDescent="0.25">
      <c r="A158" t="s">
        <v>1180</v>
      </c>
      <c r="B158" s="16">
        <v>90.5</v>
      </c>
      <c r="C158" s="16">
        <v>0.5</v>
      </c>
    </row>
    <row r="159" spans="1:3" x14ac:dyDescent="0.25">
      <c r="A159" t="s">
        <v>1181</v>
      </c>
      <c r="B159" s="16">
        <v>91.833340000000007</v>
      </c>
      <c r="C159" s="16">
        <v>0.5</v>
      </c>
    </row>
    <row r="160" spans="1:3" x14ac:dyDescent="0.25">
      <c r="A160" t="s">
        <v>1182</v>
      </c>
      <c r="B160" s="16">
        <v>93.3</v>
      </c>
      <c r="C160" s="16">
        <v>0.5</v>
      </c>
    </row>
    <row r="161" spans="1:3" x14ac:dyDescent="0.25">
      <c r="A161" t="s">
        <v>1183</v>
      </c>
      <c r="B161" s="16">
        <v>93.833340000000007</v>
      </c>
      <c r="C161" s="16">
        <v>0.5</v>
      </c>
    </row>
    <row r="162" spans="1:3" x14ac:dyDescent="0.25">
      <c r="A162" t="s">
        <v>1184</v>
      </c>
      <c r="B162" s="16">
        <v>94.733329999999995</v>
      </c>
      <c r="C162" s="16">
        <v>0.5</v>
      </c>
    </row>
    <row r="163" spans="1:3" x14ac:dyDescent="0.25">
      <c r="A163" t="s">
        <v>1185</v>
      </c>
      <c r="B163" s="16">
        <v>95.033330000000007</v>
      </c>
      <c r="C163" s="16">
        <v>0.5</v>
      </c>
    </row>
    <row r="164" spans="1:3" x14ac:dyDescent="0.25">
      <c r="A164" t="s">
        <v>1186</v>
      </c>
      <c r="B164" s="16">
        <v>95.8</v>
      </c>
      <c r="C164" s="16">
        <v>0.5</v>
      </c>
    </row>
    <row r="165" spans="1:3" x14ac:dyDescent="0.25">
      <c r="A165" t="s">
        <v>1187</v>
      </c>
      <c r="B165" s="16">
        <v>96.066670000000002</v>
      </c>
      <c r="C165" s="16">
        <v>0.5</v>
      </c>
    </row>
    <row r="166" spans="1:3" x14ac:dyDescent="0.25">
      <c r="A166" t="s">
        <v>1188</v>
      </c>
      <c r="B166" s="16">
        <v>97.266670000000005</v>
      </c>
      <c r="C166" s="16">
        <v>0.5</v>
      </c>
    </row>
    <row r="167" spans="1:3" x14ac:dyDescent="0.25">
      <c r="A167" t="s">
        <v>1189</v>
      </c>
      <c r="B167" s="16">
        <v>97.666659999999993</v>
      </c>
      <c r="C167" s="16">
        <v>0.5</v>
      </c>
    </row>
    <row r="168" spans="1:3" x14ac:dyDescent="0.25">
      <c r="A168" t="s">
        <v>1190</v>
      </c>
      <c r="B168" s="16">
        <v>98.366669999999999</v>
      </c>
      <c r="C168" s="16">
        <v>0.5</v>
      </c>
    </row>
    <row r="169" spans="1:3" x14ac:dyDescent="0.25">
      <c r="A169" t="s">
        <v>1191</v>
      </c>
      <c r="B169" s="16">
        <v>98.7</v>
      </c>
      <c r="C169" s="16">
        <v>0.5</v>
      </c>
    </row>
    <row r="170" spans="1:3" x14ac:dyDescent="0.25">
      <c r="A170" t="s">
        <v>1192</v>
      </c>
      <c r="B170" s="16">
        <v>99.3</v>
      </c>
      <c r="C170" s="16">
        <v>0.5</v>
      </c>
    </row>
    <row r="171" spans="1:3" x14ac:dyDescent="0.25">
      <c r="A171" t="s">
        <v>1193</v>
      </c>
      <c r="B171" s="16">
        <v>99.4</v>
      </c>
      <c r="C171" s="16">
        <v>0.5</v>
      </c>
    </row>
    <row r="172" spans="1:3" x14ac:dyDescent="0.25">
      <c r="A172" t="s">
        <v>1194</v>
      </c>
      <c r="B172" s="16">
        <v>100.1</v>
      </c>
      <c r="C172" s="16">
        <v>0.5</v>
      </c>
    </row>
    <row r="173" spans="1:3" x14ac:dyDescent="0.25">
      <c r="A173" t="s">
        <v>1195</v>
      </c>
      <c r="B173" s="16">
        <v>100.13330000000001</v>
      </c>
      <c r="C173" s="16">
        <v>0.5</v>
      </c>
    </row>
    <row r="174" spans="1:3" x14ac:dyDescent="0.25">
      <c r="A174" t="s">
        <v>1196</v>
      </c>
      <c r="B174" s="16">
        <v>100.2</v>
      </c>
      <c r="C174" s="16">
        <v>0.5</v>
      </c>
    </row>
    <row r="175" spans="1:3" x14ac:dyDescent="0.25">
      <c r="A175" t="s">
        <v>1197</v>
      </c>
      <c r="B175" s="16">
        <v>99.5</v>
      </c>
      <c r="C175" s="16">
        <v>0.5</v>
      </c>
    </row>
    <row r="176" spans="1:3" x14ac:dyDescent="0.25">
      <c r="A176" t="s">
        <v>1198</v>
      </c>
      <c r="B176" s="16">
        <v>100.0667</v>
      </c>
      <c r="C176" s="16">
        <v>0.5</v>
      </c>
    </row>
    <row r="177" spans="1:3" x14ac:dyDescent="0.25">
      <c r="A177" t="s">
        <v>1199</v>
      </c>
      <c r="B177" s="16">
        <v>100.16670000000001</v>
      </c>
      <c r="C177" s="16">
        <v>0.5</v>
      </c>
    </row>
    <row r="178" spans="1:3" x14ac:dyDescent="0.25">
      <c r="A178" t="s">
        <v>1200</v>
      </c>
      <c r="B178" s="16">
        <v>100.3</v>
      </c>
      <c r="C178" s="16">
        <v>0.5</v>
      </c>
    </row>
    <row r="179" spans="1:3" x14ac:dyDescent="0.25">
      <c r="A179" t="s">
        <v>1201</v>
      </c>
      <c r="B179" s="16">
        <v>99.833340000000007</v>
      </c>
      <c r="C179" s="16">
        <v>0.5</v>
      </c>
    </row>
    <row r="180" spans="1:3" x14ac:dyDescent="0.25">
      <c r="A180" t="s">
        <v>1202</v>
      </c>
      <c r="B180" s="16">
        <v>100.4</v>
      </c>
      <c r="C180" s="16">
        <v>0.5</v>
      </c>
    </row>
    <row r="181" spans="1:3" x14ac:dyDescent="0.25">
      <c r="A181" t="s">
        <v>1203</v>
      </c>
      <c r="B181" s="16">
        <v>100.86669999999999</v>
      </c>
      <c r="C181" s="16">
        <v>0.25</v>
      </c>
    </row>
    <row r="182" spans="1:3" x14ac:dyDescent="0.25">
      <c r="A182" t="s">
        <v>1204</v>
      </c>
      <c r="B182" s="16">
        <v>101.5</v>
      </c>
      <c r="C182" s="16">
        <v>0.25</v>
      </c>
    </row>
    <row r="183" spans="1:3" x14ac:dyDescent="0.25">
      <c r="A183" t="s">
        <v>1205</v>
      </c>
      <c r="B183" s="16">
        <v>102</v>
      </c>
      <c r="C183" s="16">
        <v>0.25</v>
      </c>
    </row>
    <row r="184" spans="1:3" x14ac:dyDescent="0.25">
      <c r="A184" t="s">
        <v>1206</v>
      </c>
      <c r="B184" s="16">
        <v>103.16670000000001</v>
      </c>
      <c r="C184" s="16">
        <v>0.25</v>
      </c>
    </row>
    <row r="185" spans="1:3" x14ac:dyDescent="0.25">
      <c r="A185" t="s">
        <v>1207</v>
      </c>
      <c r="B185" s="16">
        <v>103.7</v>
      </c>
      <c r="C185" s="16">
        <v>0.25</v>
      </c>
    </row>
    <row r="186" spans="1:3" x14ac:dyDescent="0.25">
      <c r="A186" t="s">
        <v>1208</v>
      </c>
      <c r="B186" s="16">
        <v>104.5667</v>
      </c>
      <c r="C186" s="16">
        <v>0.5</v>
      </c>
    </row>
    <row r="187" spans="1:3" x14ac:dyDescent="0.25">
      <c r="A187" t="s">
        <v>1209</v>
      </c>
      <c r="B187" s="16">
        <v>104.7667</v>
      </c>
      <c r="C187" s="16">
        <v>0.5</v>
      </c>
    </row>
    <row r="188" spans="1:3" x14ac:dyDescent="0.25">
      <c r="A188" t="s">
        <v>1210</v>
      </c>
      <c r="B188" s="16">
        <v>105.66670000000001</v>
      </c>
      <c r="C188" s="16">
        <v>0.5</v>
      </c>
    </row>
    <row r="189" spans="1:3" x14ac:dyDescent="0.25">
      <c r="A189" t="s">
        <v>1211</v>
      </c>
      <c r="B189" s="16">
        <v>106.3</v>
      </c>
      <c r="C189" s="16">
        <v>0.75</v>
      </c>
    </row>
    <row r="190" spans="1:3" x14ac:dyDescent="0.25">
      <c r="A190" t="s">
        <v>1212</v>
      </c>
      <c r="B190" s="16">
        <v>106.9333</v>
      </c>
      <c r="C190" s="16">
        <v>0.75</v>
      </c>
    </row>
    <row r="191" spans="1:3" x14ac:dyDescent="0.25">
      <c r="A191" t="s">
        <v>1213</v>
      </c>
      <c r="B191" s="16">
        <v>106.7</v>
      </c>
      <c r="C191" s="16">
        <v>0.75</v>
      </c>
    </row>
    <row r="192" spans="1:3" x14ac:dyDescent="0.25">
      <c r="A192" t="s">
        <v>1214</v>
      </c>
      <c r="B192" s="16">
        <v>107.8</v>
      </c>
      <c r="C192" s="16">
        <v>0.75</v>
      </c>
    </row>
    <row r="193" spans="1:3" x14ac:dyDescent="0.25">
      <c r="A193" t="s">
        <v>1215</v>
      </c>
      <c r="B193" s="16">
        <v>108.2667</v>
      </c>
      <c r="C193" s="16">
        <v>0.75</v>
      </c>
    </row>
    <row r="194" spans="1:3" x14ac:dyDescent="0.25">
      <c r="A194" t="s">
        <v>1216</v>
      </c>
      <c r="B194" s="16">
        <v>108.4333</v>
      </c>
      <c r="C194" s="16">
        <v>0.75</v>
      </c>
    </row>
    <row r="195" spans="1:3" x14ac:dyDescent="0.25">
      <c r="A195" t="s">
        <v>1217</v>
      </c>
      <c r="B195" s="16">
        <v>108.4667</v>
      </c>
      <c r="C195" s="16">
        <v>0.1</v>
      </c>
    </row>
    <row r="196" spans="1:3" x14ac:dyDescent="0.25">
      <c r="A196" t="s">
        <v>1218</v>
      </c>
      <c r="B196" s="16">
        <v>108.5333</v>
      </c>
      <c r="C196" s="16">
        <v>0.1</v>
      </c>
    </row>
    <row r="197" spans="1:3" x14ac:dyDescent="0.25">
      <c r="A197" t="s">
        <v>1219</v>
      </c>
      <c r="B197" s="16">
        <v>108.9333</v>
      </c>
      <c r="C197" s="16">
        <v>0.1</v>
      </c>
    </row>
    <row r="198" spans="1:3" x14ac:dyDescent="0.25">
      <c r="A198" t="s">
        <v>1220</v>
      </c>
      <c r="B198" s="16">
        <v>109.0667</v>
      </c>
      <c r="C198" s="16">
        <v>0.1</v>
      </c>
    </row>
    <row r="199" spans="1:3" x14ac:dyDescent="0.25">
      <c r="A199" t="s">
        <v>1221</v>
      </c>
      <c r="B199" s="16">
        <v>109.16670000000001</v>
      </c>
      <c r="C199" s="16">
        <v>0.1</v>
      </c>
    </row>
    <row r="200" spans="1:3" x14ac:dyDescent="0.25">
      <c r="A200" t="s">
        <v>1222</v>
      </c>
      <c r="B200" s="16">
        <v>110.7333</v>
      </c>
      <c r="C200" s="16">
        <v>0.1</v>
      </c>
    </row>
    <row r="201" spans="1:3" x14ac:dyDescent="0.25">
      <c r="A201" t="s">
        <v>1223</v>
      </c>
      <c r="B201" s="16">
        <v>111.9333</v>
      </c>
      <c r="C201" s="16">
        <v>0.1</v>
      </c>
    </row>
    <row r="202" spans="1:3" x14ac:dyDescent="0.25">
      <c r="A202" t="s">
        <v>1224</v>
      </c>
      <c r="B202" s="16">
        <v>114.4</v>
      </c>
      <c r="C202" s="16">
        <v>0.25</v>
      </c>
    </row>
    <row r="203" spans="1:3" x14ac:dyDescent="0.25">
      <c r="A203" t="s">
        <v>1225</v>
      </c>
      <c r="B203" s="16">
        <v>115.9333</v>
      </c>
      <c r="C203" s="16">
        <v>0.75</v>
      </c>
    </row>
    <row r="204" spans="1:3" x14ac:dyDescent="0.25">
      <c r="A204" t="s">
        <v>1226</v>
      </c>
      <c r="B204" s="16">
        <v>120.86669999999999</v>
      </c>
      <c r="C204" s="16">
        <v>1.25</v>
      </c>
    </row>
    <row r="205" spans="1:3" x14ac:dyDescent="0.25">
      <c r="A205" t="s">
        <v>1227</v>
      </c>
      <c r="B205" s="16">
        <v>123.13330000000001</v>
      </c>
      <c r="C205" s="16">
        <v>2.25</v>
      </c>
    </row>
    <row r="206" spans="1:3" x14ac:dyDescent="0.25">
      <c r="A206" t="s">
        <v>1228</v>
      </c>
      <c r="B206" s="16">
        <v>126.7</v>
      </c>
      <c r="C206" s="16">
        <v>3.5</v>
      </c>
    </row>
    <row r="207" spans="1:3" x14ac:dyDescent="0.25">
      <c r="A207" t="s">
        <v>1229</v>
      </c>
      <c r="B207" s="16">
        <v>127.7333</v>
      </c>
      <c r="C207" s="16">
        <v>4.25</v>
      </c>
    </row>
    <row r="208" spans="1:3" x14ac:dyDescent="0.25">
      <c r="A208" t="s">
        <v>1230</v>
      </c>
      <c r="B208" s="16">
        <v>131.0667</v>
      </c>
      <c r="C208" s="16">
        <v>5</v>
      </c>
    </row>
    <row r="209" spans="1:3" x14ac:dyDescent="0.25">
      <c r="A209" t="s">
        <v>1231</v>
      </c>
      <c r="B209" s="16">
        <v>131.4</v>
      </c>
      <c r="C209" s="16">
        <v>5.25</v>
      </c>
    </row>
    <row r="210" spans="1:3" x14ac:dyDescent="0.25">
      <c r="A210" t="s">
        <v>1232</v>
      </c>
      <c r="B210" s="16">
        <v>131.9667</v>
      </c>
      <c r="C210" s="16">
        <v>5.25</v>
      </c>
    </row>
    <row r="211" spans="1:3" x14ac:dyDescent="0.25">
      <c r="A211" t="s">
        <v>1233</v>
      </c>
      <c r="B211" s="16">
        <v>132.26669999999999</v>
      </c>
      <c r="C211" s="16">
        <v>5.25</v>
      </c>
    </row>
    <row r="212" spans="1:3" x14ac:dyDescent="0.25">
      <c r="A212" t="s">
        <v>1234</v>
      </c>
      <c r="B212" s="16">
        <v>133.83330000000001</v>
      </c>
      <c r="C212" s="16">
        <v>5.25</v>
      </c>
    </row>
    <row r="213" spans="1:3" x14ac:dyDescent="0.25">
      <c r="A213" t="s">
        <v>1235</v>
      </c>
      <c r="B213" s="17">
        <v>134.18690000000001</v>
      </c>
      <c r="C213" s="17">
        <v>5</v>
      </c>
    </row>
    <row r="214" spans="1:3" x14ac:dyDescent="0.25">
      <c r="A214" t="s">
        <v>1236</v>
      </c>
      <c r="B214" s="17">
        <v>135.34440000000001</v>
      </c>
      <c r="C214" s="17">
        <v>4.75</v>
      </c>
    </row>
    <row r="215" spans="1:3" x14ac:dyDescent="0.25">
      <c r="A215" t="s">
        <v>1237</v>
      </c>
      <c r="B215" s="17">
        <v>135.63220000000001</v>
      </c>
      <c r="C215" s="17">
        <v>4.5</v>
      </c>
    </row>
    <row r="216" spans="1:3" x14ac:dyDescent="0.25">
      <c r="A216" t="s">
        <v>1238</v>
      </c>
      <c r="B216" s="17">
        <v>136.98500000000001</v>
      </c>
      <c r="C216" s="17">
        <v>4.25</v>
      </c>
    </row>
    <row r="217" spans="1:3" x14ac:dyDescent="0.25">
      <c r="A217" t="s">
        <v>1239</v>
      </c>
      <c r="B217" s="17">
        <v>137.7346</v>
      </c>
      <c r="C217" s="17">
        <v>4</v>
      </c>
    </row>
    <row r="218" spans="1:3" x14ac:dyDescent="0.25">
      <c r="A218" t="s">
        <v>1240</v>
      </c>
      <c r="B218" s="17">
        <v>138.63990000000001</v>
      </c>
      <c r="C218" s="17">
        <v>3.75</v>
      </c>
    </row>
    <row r="219" spans="1:3" x14ac:dyDescent="0.25">
      <c r="A219" t="s">
        <v>1241</v>
      </c>
      <c r="B219" s="17">
        <v>138.8766</v>
      </c>
      <c r="C219" s="17">
        <v>3.5</v>
      </c>
    </row>
    <row r="220" spans="1:3" x14ac:dyDescent="0.25">
      <c r="A220" t="s">
        <v>1242</v>
      </c>
      <c r="B220" s="17">
        <v>140.14429999999999</v>
      </c>
      <c r="C220" s="17">
        <v>3.25</v>
      </c>
    </row>
    <row r="221" spans="1:3" x14ac:dyDescent="0.25">
      <c r="A221" t="s">
        <v>1243</v>
      </c>
      <c r="B221" s="17">
        <v>140.8006</v>
      </c>
      <c r="C221" s="17">
        <v>3</v>
      </c>
    </row>
    <row r="222" spans="1:3" x14ac:dyDescent="0.25">
      <c r="A222" t="s">
        <v>1244</v>
      </c>
      <c r="B222" s="17">
        <v>141.54949999999999</v>
      </c>
      <c r="C222" s="17">
        <v>2.75</v>
      </c>
    </row>
    <row r="223" spans="1:3" x14ac:dyDescent="0.25">
      <c r="A223" t="s">
        <v>1245</v>
      </c>
      <c r="B223" s="17">
        <v>141.881</v>
      </c>
      <c r="C223" s="17">
        <v>2.5</v>
      </c>
    </row>
    <row r="224" spans="1:3" x14ac:dyDescent="0.25">
      <c r="A224" t="s">
        <v>1246</v>
      </c>
      <c r="B224" s="17">
        <v>143.21100000000001</v>
      </c>
      <c r="C224" s="17">
        <v>2.25</v>
      </c>
    </row>
    <row r="225" spans="1:3" x14ac:dyDescent="0.25">
      <c r="A225" t="s">
        <v>1247</v>
      </c>
      <c r="B225" s="17">
        <v>143.94990000000001</v>
      </c>
      <c r="C225" s="17">
        <v>2</v>
      </c>
    </row>
    <row r="226" spans="1:3" x14ac:dyDescent="0.25">
      <c r="A226" t="s">
        <v>1248</v>
      </c>
      <c r="B226" s="17">
        <v>144.74469999999999</v>
      </c>
      <c r="C226" s="17">
        <v>2</v>
      </c>
    </row>
    <row r="227" spans="1:3" x14ac:dyDescent="0.25">
      <c r="A227" t="s">
        <v>1249</v>
      </c>
      <c r="B227" s="17">
        <v>145.035</v>
      </c>
      <c r="C227" s="17">
        <v>2</v>
      </c>
    </row>
    <row r="228" spans="1:3" x14ac:dyDescent="0.25">
      <c r="A228" t="s">
        <v>1250</v>
      </c>
      <c r="B228" s="17">
        <v>146.34649999999999</v>
      </c>
      <c r="C228" s="17">
        <v>2</v>
      </c>
    </row>
    <row r="229" spans="1:3" x14ac:dyDescent="0.25">
      <c r="A229" t="s">
        <v>1251</v>
      </c>
      <c r="B229" s="17">
        <v>147.0659</v>
      </c>
      <c r="C229" s="17">
        <v>2</v>
      </c>
    </row>
    <row r="230" spans="1:3" x14ac:dyDescent="0.25">
      <c r="A230" t="s">
        <v>1252</v>
      </c>
      <c r="B230" s="17">
        <v>147.81899999999999</v>
      </c>
      <c r="C230" s="17">
        <v>2</v>
      </c>
    </row>
    <row r="231" spans="1:3" x14ac:dyDescent="0.25">
      <c r="A231" t="s">
        <v>1253</v>
      </c>
      <c r="B231" s="17">
        <v>148.06739999999999</v>
      </c>
      <c r="C231" s="17">
        <v>2</v>
      </c>
    </row>
    <row r="232" spans="1:3" x14ac:dyDescent="0.25">
      <c r="A232" t="s">
        <v>1254</v>
      </c>
      <c r="B232" s="17">
        <v>149.3716</v>
      </c>
      <c r="C232" s="17">
        <v>2</v>
      </c>
    </row>
    <row r="233" spans="1:3" x14ac:dyDescent="0.25">
      <c r="A233" t="s">
        <v>1255</v>
      </c>
      <c r="B233" s="17">
        <v>150.08590000000001</v>
      </c>
      <c r="C233" s="17">
        <v>2</v>
      </c>
    </row>
    <row r="234" spans="1:3" x14ac:dyDescent="0.25">
      <c r="A234" t="s">
        <v>1256</v>
      </c>
      <c r="B234" s="17">
        <v>150.81489999999999</v>
      </c>
      <c r="C234" s="17">
        <v>2</v>
      </c>
    </row>
    <row r="235" spans="1:3" x14ac:dyDescent="0.25">
      <c r="A235" t="s">
        <v>1257</v>
      </c>
      <c r="B235" s="17">
        <v>151.04660000000001</v>
      </c>
      <c r="C235" s="17">
        <v>2</v>
      </c>
    </row>
    <row r="236" spans="1:3" x14ac:dyDescent="0.25">
      <c r="A236" t="s">
        <v>1258</v>
      </c>
      <c r="B236" s="17">
        <v>152.36850000000001</v>
      </c>
      <c r="C236" s="17">
        <v>2</v>
      </c>
    </row>
    <row r="237" spans="1:3" x14ac:dyDescent="0.25">
      <c r="A237" t="s">
        <v>1259</v>
      </c>
      <c r="B237" s="17">
        <v>153.10140000000001</v>
      </c>
      <c r="C237" s="17">
        <v>2</v>
      </c>
    </row>
    <row r="238" spans="1:3" x14ac:dyDescent="0.25">
      <c r="A238" t="s">
        <v>1260</v>
      </c>
      <c r="B238" s="17">
        <v>153.8263</v>
      </c>
      <c r="C238" s="17">
        <v>2</v>
      </c>
    </row>
    <row r="239" spans="1:3" x14ac:dyDescent="0.25">
      <c r="A239" t="s">
        <v>1261</v>
      </c>
      <c r="B239" s="17">
        <v>154.0676</v>
      </c>
      <c r="C239" s="17">
        <v>2</v>
      </c>
    </row>
    <row r="240" spans="1:3" x14ac:dyDescent="0.25">
      <c r="A240" t="s">
        <v>1262</v>
      </c>
      <c r="B240" s="17">
        <v>155.41589999999999</v>
      </c>
      <c r="C240" s="17">
        <v>2</v>
      </c>
    </row>
    <row r="241" spans="1:3" x14ac:dyDescent="0.25">
      <c r="A241" t="s">
        <v>1263</v>
      </c>
      <c r="B241" s="17">
        <v>156.1635</v>
      </c>
      <c r="C241" s="17">
        <v>2</v>
      </c>
    </row>
    <row r="242" spans="1:3" x14ac:dyDescent="0.25">
      <c r="A242" t="s">
        <v>1264</v>
      </c>
      <c r="B242" s="17">
        <v>156.90280000000001</v>
      </c>
      <c r="C242" s="17">
        <v>2</v>
      </c>
    </row>
    <row r="243" spans="1:3" x14ac:dyDescent="0.25">
      <c r="A243" t="s">
        <v>1265</v>
      </c>
      <c r="B243" s="17">
        <v>157.1489</v>
      </c>
      <c r="C243" s="17">
        <v>2</v>
      </c>
    </row>
    <row r="244" spans="1:3" x14ac:dyDescent="0.25">
      <c r="A244" t="s">
        <v>1266</v>
      </c>
      <c r="B244" s="17">
        <v>158.52420000000001</v>
      </c>
      <c r="C244" s="17">
        <v>2</v>
      </c>
    </row>
    <row r="245" spans="1:3" x14ac:dyDescent="0.25">
      <c r="A245" t="s">
        <v>1267</v>
      </c>
      <c r="B245" s="17">
        <v>159.2867</v>
      </c>
      <c r="C245" s="17">
        <v>2</v>
      </c>
    </row>
    <row r="246" spans="1:3" x14ac:dyDescent="0.25">
      <c r="A246" t="s">
        <v>1268</v>
      </c>
      <c r="B246" s="17">
        <v>160.04089999999999</v>
      </c>
      <c r="C246" s="17">
        <v>2</v>
      </c>
    </row>
    <row r="247" spans="1:3" x14ac:dyDescent="0.25">
      <c r="A247" t="s">
        <v>1269</v>
      </c>
      <c r="B247" s="17">
        <v>160.2919</v>
      </c>
      <c r="C247" s="17">
        <v>2</v>
      </c>
    </row>
    <row r="248" spans="1:3" x14ac:dyDescent="0.25">
      <c r="A248" t="s">
        <v>1270</v>
      </c>
      <c r="B248" s="17">
        <v>161.69470000000001</v>
      </c>
      <c r="C248" s="17">
        <v>2</v>
      </c>
    </row>
    <row r="249" spans="1:3" x14ac:dyDescent="0.25">
      <c r="A249" t="s">
        <v>1271</v>
      </c>
      <c r="B249" s="17">
        <v>162.4725</v>
      </c>
      <c r="C249" s="17">
        <v>2</v>
      </c>
    </row>
    <row r="250" spans="1:3" x14ac:dyDescent="0.25">
      <c r="A250" t="s">
        <v>1272</v>
      </c>
      <c r="B250" s="17">
        <v>163.24170000000001</v>
      </c>
      <c r="C250" s="17">
        <v>2</v>
      </c>
    </row>
    <row r="251" spans="1:3" x14ac:dyDescent="0.25">
      <c r="A251" t="s">
        <v>1273</v>
      </c>
      <c r="B251" s="17">
        <v>163.49770000000001</v>
      </c>
      <c r="C251" s="17">
        <v>2</v>
      </c>
    </row>
    <row r="252" spans="1:3" x14ac:dyDescent="0.25">
      <c r="A252" t="s">
        <v>1274</v>
      </c>
      <c r="B252" s="17">
        <v>164.92859999999999</v>
      </c>
      <c r="C252" s="17">
        <v>2</v>
      </c>
    </row>
    <row r="253" spans="1:3" x14ac:dyDescent="0.25">
      <c r="A253" t="s">
        <v>1275</v>
      </c>
      <c r="B253" s="17">
        <v>165.72190000000001</v>
      </c>
      <c r="C253" s="17">
        <v>2</v>
      </c>
    </row>
    <row r="254" spans="1:3" x14ac:dyDescent="0.25">
      <c r="A254" t="s">
        <v>1276</v>
      </c>
      <c r="B254" s="17">
        <v>166.50649999999999</v>
      </c>
      <c r="C254" s="17">
        <v>2</v>
      </c>
    </row>
    <row r="255" spans="1:3" x14ac:dyDescent="0.25">
      <c r="A255" t="s">
        <v>1277</v>
      </c>
      <c r="B255" s="17">
        <v>166.76769999999999</v>
      </c>
      <c r="C255" s="17">
        <v>2</v>
      </c>
    </row>
    <row r="256" spans="1:3" x14ac:dyDescent="0.25">
      <c r="A256" t="s">
        <v>1278</v>
      </c>
      <c r="B256" s="17">
        <v>168.22720000000001</v>
      </c>
      <c r="C256" s="17">
        <v>2</v>
      </c>
    </row>
    <row r="257" spans="1:3" x14ac:dyDescent="0.25">
      <c r="A257" t="s">
        <v>1279</v>
      </c>
      <c r="B257" s="17">
        <v>169.03639999999999</v>
      </c>
      <c r="C257" s="17">
        <v>2</v>
      </c>
    </row>
    <row r="258" spans="1:3" x14ac:dyDescent="0.25">
      <c r="A258" t="s">
        <v>1280</v>
      </c>
      <c r="B258" s="17">
        <v>169.83670000000001</v>
      </c>
      <c r="C258" s="17">
        <v>2</v>
      </c>
    </row>
    <row r="259" spans="1:3" x14ac:dyDescent="0.25">
      <c r="A259" t="s">
        <v>1281</v>
      </c>
      <c r="B259" s="17">
        <v>170.10300000000001</v>
      </c>
      <c r="C259" s="17">
        <v>2</v>
      </c>
    </row>
    <row r="260" spans="1:3" x14ac:dyDescent="0.25">
      <c r="A260" t="s">
        <v>1282</v>
      </c>
      <c r="B260" s="17">
        <v>171.5917</v>
      </c>
      <c r="C260" s="17">
        <v>2</v>
      </c>
    </row>
    <row r="261" spans="1:3" x14ac:dyDescent="0.25">
      <c r="A261" t="s">
        <v>1283</v>
      </c>
      <c r="B261" s="17">
        <v>172.4171</v>
      </c>
      <c r="C261" s="17">
        <v>2</v>
      </c>
    </row>
    <row r="262" spans="1:3" x14ac:dyDescent="0.25">
      <c r="A262" t="s">
        <v>1284</v>
      </c>
      <c r="B262" s="17">
        <v>173.23339999999999</v>
      </c>
      <c r="C262" s="17">
        <v>2</v>
      </c>
    </row>
    <row r="263" spans="1:3" x14ac:dyDescent="0.25">
      <c r="A263" t="s">
        <v>1285</v>
      </c>
      <c r="B263" s="17">
        <v>173.5051</v>
      </c>
      <c r="C263" s="17">
        <v>2</v>
      </c>
    </row>
    <row r="264" spans="1:3" x14ac:dyDescent="0.25">
      <c r="A264" t="s">
        <v>1286</v>
      </c>
      <c r="B264" s="17">
        <v>175.02350000000001</v>
      </c>
      <c r="C264" s="17">
        <v>2</v>
      </c>
    </row>
    <row r="265" spans="1:3" x14ac:dyDescent="0.25">
      <c r="A265" t="s">
        <v>1287</v>
      </c>
      <c r="B265" s="17">
        <v>175.86539999999999</v>
      </c>
      <c r="C265" s="17">
        <v>2</v>
      </c>
    </row>
    <row r="266" spans="1:3" x14ac:dyDescent="0.25">
      <c r="A266" t="s">
        <v>1288</v>
      </c>
      <c r="B266" s="17">
        <v>176.69810000000001</v>
      </c>
      <c r="C266" s="17">
        <v>2</v>
      </c>
    </row>
    <row r="267" spans="1:3" x14ac:dyDescent="0.25">
      <c r="A267" t="s">
        <v>1289</v>
      </c>
      <c r="B267" s="17">
        <v>176.9752</v>
      </c>
      <c r="C267" s="17">
        <v>2</v>
      </c>
    </row>
    <row r="268" spans="1:3" x14ac:dyDescent="0.25">
      <c r="A268" t="s">
        <v>1290</v>
      </c>
      <c r="B268" s="17">
        <v>178.524</v>
      </c>
      <c r="C268" s="17">
        <v>2</v>
      </c>
    </row>
    <row r="269" spans="1:3" x14ac:dyDescent="0.25">
      <c r="A269" t="s">
        <v>1291</v>
      </c>
      <c r="B269" s="17">
        <v>179.3828</v>
      </c>
      <c r="C269" s="17">
        <v>2</v>
      </c>
    </row>
    <row r="270" spans="1:3" x14ac:dyDescent="0.25">
      <c r="A270" t="s">
        <v>1292</v>
      </c>
      <c r="B270" s="17">
        <v>180.232</v>
      </c>
      <c r="C270" s="17">
        <v>2</v>
      </c>
    </row>
    <row r="271" spans="1:3" x14ac:dyDescent="0.25">
      <c r="A271" t="s">
        <v>1293</v>
      </c>
      <c r="B271" s="17">
        <v>180.5147</v>
      </c>
      <c r="C271" s="17">
        <v>2</v>
      </c>
    </row>
    <row r="272" spans="1:3" x14ac:dyDescent="0.25">
      <c r="A272" t="s">
        <v>1294</v>
      </c>
      <c r="B272" s="17">
        <v>182.09450000000001</v>
      </c>
      <c r="C272" s="17">
        <v>2</v>
      </c>
    </row>
    <row r="273" spans="1:3" x14ac:dyDescent="0.25">
      <c r="A273" t="s">
        <v>1295</v>
      </c>
      <c r="B273" s="17">
        <v>182.97040000000001</v>
      </c>
      <c r="C273" s="17">
        <v>2</v>
      </c>
    </row>
    <row r="274" spans="1:3" x14ac:dyDescent="0.25">
      <c r="A274" t="s">
        <v>1296</v>
      </c>
      <c r="B274" s="17">
        <v>183.83670000000001</v>
      </c>
      <c r="C274" s="17">
        <v>2</v>
      </c>
    </row>
    <row r="275" spans="1:3" x14ac:dyDescent="0.25">
      <c r="A275" t="s">
        <v>1297</v>
      </c>
      <c r="B275" s="17">
        <v>184.125</v>
      </c>
      <c r="C275" s="17">
        <v>2</v>
      </c>
    </row>
    <row r="276" spans="1:3" x14ac:dyDescent="0.25">
      <c r="A276" t="s">
        <v>1298</v>
      </c>
      <c r="B276" s="17">
        <v>185.7364</v>
      </c>
      <c r="C276" s="17">
        <v>2</v>
      </c>
    </row>
    <row r="277" spans="1:3" x14ac:dyDescent="0.25">
      <c r="A277" t="s">
        <v>1299</v>
      </c>
      <c r="B277" s="17">
        <v>186.62979999999999</v>
      </c>
      <c r="C277" s="17">
        <v>2</v>
      </c>
    </row>
    <row r="278" spans="1:3" x14ac:dyDescent="0.25">
      <c r="A278" t="s">
        <v>1300</v>
      </c>
      <c r="B278" s="17">
        <v>187.51339999999999</v>
      </c>
      <c r="C278" s="17">
        <v>2</v>
      </c>
    </row>
    <row r="279" spans="1:3" x14ac:dyDescent="0.25">
      <c r="A279" t="s">
        <v>1301</v>
      </c>
      <c r="B279" s="17">
        <v>187.8075</v>
      </c>
      <c r="C279" s="17">
        <v>2</v>
      </c>
    </row>
    <row r="280" spans="1:3" x14ac:dyDescent="0.25">
      <c r="A280" t="s">
        <v>1302</v>
      </c>
      <c r="B280" s="17">
        <v>189.4511</v>
      </c>
      <c r="C280" s="17">
        <v>2</v>
      </c>
    </row>
    <row r="281" spans="1:3" x14ac:dyDescent="0.25">
      <c r="A281" t="s">
        <v>1303</v>
      </c>
      <c r="B281" s="17">
        <v>190.36240000000001</v>
      </c>
      <c r="C281" s="17">
        <v>2</v>
      </c>
    </row>
    <row r="282" spans="1:3" x14ac:dyDescent="0.25">
      <c r="A282" t="s">
        <v>1304</v>
      </c>
      <c r="B282" s="17">
        <v>191.2637</v>
      </c>
      <c r="C282" s="17">
        <v>2</v>
      </c>
    </row>
    <row r="283" spans="1:3" x14ac:dyDescent="0.25">
      <c r="A283" t="s">
        <v>1305</v>
      </c>
      <c r="B283" s="17">
        <v>191.56360000000001</v>
      </c>
      <c r="C283" s="17">
        <v>2</v>
      </c>
    </row>
    <row r="284" spans="1:3" x14ac:dyDescent="0.25">
      <c r="A284" t="s">
        <v>1306</v>
      </c>
      <c r="B284" s="17">
        <v>193.24010000000001</v>
      </c>
      <c r="C284" s="17">
        <v>2</v>
      </c>
    </row>
    <row r="285" spans="1:3" x14ac:dyDescent="0.25">
      <c r="A285" t="s">
        <v>1307</v>
      </c>
      <c r="B285" s="17">
        <v>194.1696</v>
      </c>
      <c r="C285" s="17">
        <v>2</v>
      </c>
    </row>
    <row r="286" spans="1:3" x14ac:dyDescent="0.25">
      <c r="A286" t="s">
        <v>1308</v>
      </c>
      <c r="B286" s="17">
        <v>195.089</v>
      </c>
      <c r="C286" s="17">
        <v>2</v>
      </c>
    </row>
    <row r="287" spans="1:3" x14ac:dyDescent="0.25">
      <c r="A287" t="s">
        <v>1309</v>
      </c>
      <c r="B287" s="17">
        <v>195.39490000000001</v>
      </c>
      <c r="C287" s="17">
        <v>2</v>
      </c>
    </row>
    <row r="288" spans="1:3" x14ac:dyDescent="0.25">
      <c r="A288" t="s">
        <v>1310</v>
      </c>
      <c r="B288" s="17">
        <v>197.10489999999999</v>
      </c>
      <c r="C288" s="17">
        <v>2</v>
      </c>
    </row>
    <row r="289" spans="1:3" x14ac:dyDescent="0.25">
      <c r="A289" t="s">
        <v>1311</v>
      </c>
      <c r="B289" s="17">
        <v>198.053</v>
      </c>
      <c r="C289" s="17">
        <v>2</v>
      </c>
    </row>
    <row r="290" spans="1:3" x14ac:dyDescent="0.25">
      <c r="A290" t="s">
        <v>1312</v>
      </c>
      <c r="B290" s="17">
        <v>198.9907</v>
      </c>
      <c r="C290" s="17">
        <v>2</v>
      </c>
    </row>
    <row r="291" spans="1:3" x14ac:dyDescent="0.25">
      <c r="A291" t="s">
        <v>1313</v>
      </c>
      <c r="B291" s="17">
        <v>199.30279999999999</v>
      </c>
      <c r="C291" s="17">
        <v>2</v>
      </c>
    </row>
    <row r="292" spans="1:3" x14ac:dyDescent="0.25">
      <c r="A292" t="s">
        <v>1314</v>
      </c>
      <c r="B292" s="17">
        <v>201.047</v>
      </c>
      <c r="C292" s="17">
        <v>2</v>
      </c>
    </row>
    <row r="293" spans="1:3" x14ac:dyDescent="0.25">
      <c r="A293" t="s">
        <v>1315</v>
      </c>
      <c r="B293" s="17">
        <v>202.01410000000001</v>
      </c>
      <c r="C293" s="17">
        <v>2</v>
      </c>
    </row>
    <row r="294" spans="1:3" x14ac:dyDescent="0.25">
      <c r="A294" t="s">
        <v>1316</v>
      </c>
      <c r="B294" s="17">
        <v>202.97059999999999</v>
      </c>
      <c r="C294" s="17">
        <v>2</v>
      </c>
    </row>
    <row r="295" spans="1:3" x14ac:dyDescent="0.25">
      <c r="A295" t="s">
        <v>1317</v>
      </c>
      <c r="B295" s="17">
        <v>203.28890000000001</v>
      </c>
      <c r="C295" s="17">
        <v>2</v>
      </c>
    </row>
    <row r="296" spans="1:3" x14ac:dyDescent="0.25">
      <c r="A296" t="s">
        <v>1318</v>
      </c>
      <c r="B296" s="17">
        <v>205.06800000000001</v>
      </c>
      <c r="C296" s="17">
        <v>2</v>
      </c>
    </row>
    <row r="297" spans="1:3" x14ac:dyDescent="0.25">
      <c r="A297" t="s">
        <v>1319</v>
      </c>
      <c r="B297" s="17">
        <v>206.05439999999999</v>
      </c>
      <c r="C297" s="17">
        <v>2</v>
      </c>
    </row>
    <row r="298" spans="1:3" x14ac:dyDescent="0.25">
      <c r="A298" t="s">
        <v>1320</v>
      </c>
      <c r="B298" s="17">
        <v>207.03</v>
      </c>
      <c r="C298" s="17">
        <v>2</v>
      </c>
    </row>
    <row r="299" spans="1:3" x14ac:dyDescent="0.25">
      <c r="A299" t="s">
        <v>1321</v>
      </c>
      <c r="B299" s="17">
        <v>207.3546</v>
      </c>
      <c r="C299" s="17">
        <v>2</v>
      </c>
    </row>
    <row r="300" spans="1:3" x14ac:dyDescent="0.25">
      <c r="A300" t="s">
        <v>1322</v>
      </c>
      <c r="B300" s="17">
        <v>209.16929999999999</v>
      </c>
      <c r="C300" s="17">
        <v>2</v>
      </c>
    </row>
    <row r="301" spans="1:3" x14ac:dyDescent="0.25">
      <c r="A301" t="s">
        <v>1323</v>
      </c>
      <c r="B301" s="17">
        <v>210.1755</v>
      </c>
      <c r="C301" s="17">
        <v>2</v>
      </c>
    </row>
    <row r="302" spans="1:3" x14ac:dyDescent="0.25">
      <c r="A302" t="s">
        <v>1324</v>
      </c>
      <c r="B302" s="17">
        <v>211.17060000000001</v>
      </c>
      <c r="C302" s="17">
        <v>2</v>
      </c>
    </row>
    <row r="303" spans="1:3" x14ac:dyDescent="0.25">
      <c r="A303" t="s">
        <v>1325</v>
      </c>
      <c r="B303" s="17">
        <v>211.5017</v>
      </c>
      <c r="C303" s="17">
        <v>2</v>
      </c>
    </row>
    <row r="304" spans="1:3" x14ac:dyDescent="0.25">
      <c r="A304" t="s">
        <v>1326</v>
      </c>
      <c r="B304" s="17">
        <v>213.3527</v>
      </c>
      <c r="C304" s="17">
        <v>2</v>
      </c>
    </row>
    <row r="305" spans="1:3" x14ac:dyDescent="0.25">
      <c r="A305" t="s">
        <v>1327</v>
      </c>
      <c r="B305" s="17">
        <v>214.37899999999999</v>
      </c>
      <c r="C305" s="17">
        <v>2</v>
      </c>
    </row>
    <row r="306" spans="1:3" x14ac:dyDescent="0.25">
      <c r="A306" t="s">
        <v>1328</v>
      </c>
      <c r="B306" s="17">
        <v>215.39400000000001</v>
      </c>
      <c r="C306" s="17">
        <v>2</v>
      </c>
    </row>
    <row r="307" spans="1:3" x14ac:dyDescent="0.25">
      <c r="A307" t="s">
        <v>1329</v>
      </c>
      <c r="B307" s="17">
        <v>215.73179999999999</v>
      </c>
      <c r="C307" s="17">
        <v>2</v>
      </c>
    </row>
    <row r="308" spans="1:3" x14ac:dyDescent="0.25">
      <c r="A308" t="s">
        <v>1330</v>
      </c>
      <c r="B308" s="17">
        <v>217.6198</v>
      </c>
      <c r="C308" s="17">
        <v>2</v>
      </c>
    </row>
    <row r="309" spans="1:3" x14ac:dyDescent="0.25">
      <c r="A309" t="s">
        <v>1331</v>
      </c>
      <c r="B309" s="17">
        <v>218.66659999999999</v>
      </c>
      <c r="C309" s="17">
        <v>2</v>
      </c>
    </row>
    <row r="310" spans="1:3" x14ac:dyDescent="0.25">
      <c r="A310" t="s">
        <v>1332</v>
      </c>
      <c r="B310" s="17">
        <v>219.70179999999999</v>
      </c>
      <c r="C310" s="17">
        <v>2</v>
      </c>
    </row>
    <row r="311" spans="1:3" x14ac:dyDescent="0.25">
      <c r="A311" t="s">
        <v>1333</v>
      </c>
      <c r="B311" s="17">
        <v>220.04640000000001</v>
      </c>
      <c r="C311" s="17">
        <v>2</v>
      </c>
    </row>
    <row r="312" spans="1:3" x14ac:dyDescent="0.25">
      <c r="A312" t="s">
        <v>1334</v>
      </c>
      <c r="B312" s="17">
        <v>221.97219999999999</v>
      </c>
      <c r="C312" s="17">
        <v>2</v>
      </c>
    </row>
    <row r="313" spans="1:3" x14ac:dyDescent="0.25">
      <c r="A313" t="s">
        <v>1335</v>
      </c>
      <c r="B313" s="17">
        <v>223.03989999999999</v>
      </c>
      <c r="C313" s="17">
        <v>2</v>
      </c>
    </row>
    <row r="314" spans="1:3" x14ac:dyDescent="0.25">
      <c r="A314" t="s">
        <v>1336</v>
      </c>
      <c r="B314" s="17">
        <v>224.0959</v>
      </c>
      <c r="C314" s="17">
        <v>2</v>
      </c>
    </row>
    <row r="315" spans="1:3" x14ac:dyDescent="0.25">
      <c r="A315" t="s">
        <v>1337</v>
      </c>
      <c r="B315" s="17">
        <v>224.44730000000001</v>
      </c>
      <c r="C315" s="17">
        <v>2</v>
      </c>
    </row>
    <row r="316" spans="1:3" x14ac:dyDescent="0.25">
      <c r="A316" t="s">
        <v>1338</v>
      </c>
      <c r="B316" s="17">
        <v>226.41159999999999</v>
      </c>
      <c r="C316" s="17">
        <v>2</v>
      </c>
    </row>
    <row r="317" spans="1:3" x14ac:dyDescent="0.25">
      <c r="A317" t="s">
        <v>1339</v>
      </c>
      <c r="B317" s="17">
        <v>227.50069999999999</v>
      </c>
      <c r="C317" s="17">
        <v>2</v>
      </c>
    </row>
    <row r="318" spans="1:3" x14ac:dyDescent="0.25">
      <c r="A318" t="s">
        <v>1340</v>
      </c>
      <c r="B318" s="17">
        <v>228.5778</v>
      </c>
      <c r="C318" s="17">
        <v>2</v>
      </c>
    </row>
    <row r="319" spans="1:3" x14ac:dyDescent="0.25">
      <c r="A319" t="s">
        <v>1341</v>
      </c>
      <c r="B319" t="s">
        <v>1358</v>
      </c>
      <c r="C319" t="s">
        <v>1363</v>
      </c>
    </row>
    <row r="320" spans="1:3" x14ac:dyDescent="0.25">
      <c r="A320" t="s">
        <v>1342</v>
      </c>
      <c r="B320" t="b">
        <v>0</v>
      </c>
      <c r="C320" t="b">
        <v>0</v>
      </c>
    </row>
    <row r="321" spans="1:3" x14ac:dyDescent="0.25">
      <c r="A321" t="s">
        <v>1343</v>
      </c>
      <c r="B321" t="s">
        <v>1356</v>
      </c>
      <c r="C321" t="s">
        <v>1356</v>
      </c>
    </row>
    <row r="322" spans="1:3" x14ac:dyDescent="0.25">
      <c r="A322" t="s">
        <v>1344</v>
      </c>
      <c r="B322">
        <v>2015</v>
      </c>
      <c r="C322" t="s">
        <v>1356</v>
      </c>
    </row>
    <row r="323" spans="1:3" x14ac:dyDescent="0.25">
      <c r="A323" t="s">
        <v>1345</v>
      </c>
      <c r="B323">
        <v>2024</v>
      </c>
      <c r="C323">
        <v>2024</v>
      </c>
    </row>
    <row r="324" spans="1:3" x14ac:dyDescent="0.25">
      <c r="A324" t="s">
        <v>1346</v>
      </c>
      <c r="B324">
        <v>2</v>
      </c>
      <c r="C324">
        <v>2</v>
      </c>
    </row>
    <row r="325" spans="1:3" x14ac:dyDescent="0.25">
      <c r="A325" t="s">
        <v>1347</v>
      </c>
      <c r="B325" s="6">
        <v>45504</v>
      </c>
      <c r="C325" s="6">
        <v>45504</v>
      </c>
    </row>
    <row r="326" spans="1:3" x14ac:dyDescent="0.25">
      <c r="A326" t="s">
        <v>1348</v>
      </c>
      <c r="B326" t="s">
        <v>5</v>
      </c>
      <c r="C326" t="s">
        <v>1364</v>
      </c>
    </row>
    <row r="327" spans="1:3" x14ac:dyDescent="0.25">
      <c r="A327" t="s">
        <v>1349</v>
      </c>
      <c r="B327" t="s">
        <v>1359</v>
      </c>
      <c r="C327" t="s">
        <v>1365</v>
      </c>
    </row>
    <row r="328" spans="1:3" x14ac:dyDescent="0.25">
      <c r="A328" t="s">
        <v>1350</v>
      </c>
      <c r="B328" t="s">
        <v>1360</v>
      </c>
      <c r="C328" t="s">
        <v>1360</v>
      </c>
    </row>
    <row r="329" spans="1:3" x14ac:dyDescent="0.25">
      <c r="A329" t="s">
        <v>1351</v>
      </c>
      <c r="B329" t="s">
        <v>773</v>
      </c>
      <c r="C329" t="s">
        <v>1366</v>
      </c>
    </row>
    <row r="330" spans="1:3" x14ac:dyDescent="0.25">
      <c r="A330" t="s">
        <v>1352</v>
      </c>
      <c r="B330" t="s">
        <v>1432</v>
      </c>
      <c r="C330" t="s">
        <v>1432</v>
      </c>
    </row>
  </sheetData>
  <pageMargins left="0.7" right="0.7" top="0.75" bottom="0.75" header="0.3" footer="0.3"/>
  <customProperties>
    <customPr name="Commands" r:id="rId1"/>
    <customPr name="PostPullCommands" r:id="rId2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1884D-3E0C-4851-B8C2-DB34B41D0BC1}">
  <dimension ref="A1:K53"/>
  <sheetViews>
    <sheetView zoomScale="90" zoomScaleNormal="90" workbookViewId="0">
      <selection activeCell="H4" sqref="H4"/>
    </sheetView>
  </sheetViews>
  <sheetFormatPr defaultRowHeight="15" x14ac:dyDescent="0.25"/>
  <cols>
    <col min="1" max="1" width="24.5703125" customWidth="1"/>
    <col min="2" max="2" width="21" customWidth="1"/>
    <col min="3" max="3" width="24.42578125" customWidth="1"/>
    <col min="4" max="4" width="26.42578125" customWidth="1"/>
    <col min="5" max="5" width="21.7109375" customWidth="1"/>
    <col min="7" max="7" width="10.7109375" bestFit="1" customWidth="1"/>
  </cols>
  <sheetData>
    <row r="1" spans="1:11" x14ac:dyDescent="0.25">
      <c r="A1" s="105" t="s">
        <v>1548</v>
      </c>
      <c r="B1" s="105"/>
      <c r="C1" s="105"/>
      <c r="D1" s="105"/>
    </row>
    <row r="2" spans="1:11" ht="32.1" customHeight="1" x14ac:dyDescent="0.25">
      <c r="A2" s="44" t="s">
        <v>1549</v>
      </c>
      <c r="B2" s="44" t="s">
        <v>1550</v>
      </c>
      <c r="C2" s="45" t="s">
        <v>1551</v>
      </c>
      <c r="D2" s="45" t="s">
        <v>1552</v>
      </c>
      <c r="E2" s="45" t="s">
        <v>1553</v>
      </c>
    </row>
    <row r="3" spans="1:11" x14ac:dyDescent="0.25">
      <c r="A3" s="46" t="s">
        <v>1554</v>
      </c>
      <c r="B3" s="47"/>
      <c r="C3" s="48"/>
      <c r="D3" s="49"/>
      <c r="E3" s="50">
        <v>687.64881862840366</v>
      </c>
    </row>
    <row r="4" spans="1:11" x14ac:dyDescent="0.25">
      <c r="A4" s="51" t="s">
        <v>1555</v>
      </c>
      <c r="B4" s="47">
        <v>45542</v>
      </c>
      <c r="C4" s="52">
        <v>23.517199999999992</v>
      </c>
      <c r="D4" s="50">
        <v>26.286768434000006</v>
      </c>
      <c r="E4" s="50">
        <v>661.36205019440365</v>
      </c>
      <c r="G4" t="s">
        <v>1603</v>
      </c>
      <c r="H4" s="7">
        <f>SUM(D5:D8)</f>
        <v>87.187539232999995</v>
      </c>
      <c r="K4" s="7">
        <f>+H4</f>
        <v>87.187539232999995</v>
      </c>
    </row>
    <row r="5" spans="1:11" x14ac:dyDescent="0.25">
      <c r="A5" s="51" t="s">
        <v>1556</v>
      </c>
      <c r="B5" s="47">
        <v>45688</v>
      </c>
      <c r="C5" s="52">
        <v>6.0229999999999988</v>
      </c>
      <c r="D5" s="50">
        <v>5.9961053939999989</v>
      </c>
      <c r="E5" s="50">
        <v>655.36594480040367</v>
      </c>
      <c r="G5" t="s">
        <v>1604</v>
      </c>
      <c r="H5" s="7">
        <f>SUM(D9:D10)</f>
        <v>49.127840932827311</v>
      </c>
      <c r="K5" s="7">
        <f>+H5+K4</f>
        <v>136.31538016582732</v>
      </c>
    </row>
    <row r="6" spans="1:11" x14ac:dyDescent="0.25">
      <c r="A6" s="51" t="s">
        <v>1557</v>
      </c>
      <c r="B6" s="47">
        <v>45723</v>
      </c>
      <c r="C6" s="52">
        <v>18.986599999999996</v>
      </c>
      <c r="D6" s="50">
        <v>23.217043341999997</v>
      </c>
      <c r="E6" s="50">
        <v>632.14890145840377</v>
      </c>
      <c r="G6" t="s">
        <v>1605</v>
      </c>
      <c r="H6" s="7">
        <f>SUM(D11:D12)</f>
        <v>30.505273803655086</v>
      </c>
      <c r="K6" s="7">
        <f t="shared" ref="K6:K9" si="0">+H6+K5</f>
        <v>166.82065396948241</v>
      </c>
    </row>
    <row r="7" spans="1:11" x14ac:dyDescent="0.25">
      <c r="A7" s="51" t="s">
        <v>1558</v>
      </c>
      <c r="B7" s="47">
        <v>45815</v>
      </c>
      <c r="C7" s="52">
        <v>28.8354</v>
      </c>
      <c r="D7" s="50">
        <v>29.642377743000004</v>
      </c>
      <c r="E7" s="50">
        <v>602.50652371540355</v>
      </c>
      <c r="G7" t="s">
        <v>1606</v>
      </c>
      <c r="H7" s="7">
        <f>SUM(D13:D14)</f>
        <v>29.223226360099716</v>
      </c>
      <c r="K7" s="7">
        <f t="shared" si="0"/>
        <v>196.04388032958212</v>
      </c>
    </row>
    <row r="8" spans="1:11" x14ac:dyDescent="0.25">
      <c r="A8" s="51" t="s">
        <v>1559</v>
      </c>
      <c r="B8" s="47">
        <v>45907</v>
      </c>
      <c r="C8" s="52">
        <v>26.1983</v>
      </c>
      <c r="D8" s="50">
        <v>28.332012754000001</v>
      </c>
      <c r="E8" s="50">
        <v>574.1745109614036</v>
      </c>
      <c r="G8" t="s">
        <v>1607</v>
      </c>
      <c r="H8" s="7">
        <f>SUM(D15:D17)</f>
        <v>36.662547300085905</v>
      </c>
      <c r="K8" s="7">
        <f t="shared" si="0"/>
        <v>232.70642762966804</v>
      </c>
    </row>
    <row r="9" spans="1:11" x14ac:dyDescent="0.25">
      <c r="A9" s="51" t="s">
        <v>1560</v>
      </c>
      <c r="B9" s="47">
        <v>46052</v>
      </c>
      <c r="C9" s="52">
        <v>19.863600000000005</v>
      </c>
      <c r="D9" s="50">
        <v>19.790573618587331</v>
      </c>
      <c r="E9" s="50">
        <v>554.38393734281635</v>
      </c>
      <c r="G9" t="s">
        <v>1608</v>
      </c>
      <c r="H9" s="7">
        <f>SUM(D18)</f>
        <v>28.983779871842955</v>
      </c>
      <c r="K9" s="7">
        <f t="shared" si="0"/>
        <v>261.690207501511</v>
      </c>
    </row>
    <row r="10" spans="1:11" x14ac:dyDescent="0.25">
      <c r="A10" s="51" t="s">
        <v>1561</v>
      </c>
      <c r="B10" s="47">
        <v>46225</v>
      </c>
      <c r="C10" s="52">
        <v>27.378399999999999</v>
      </c>
      <c r="D10" s="50">
        <v>29.337267314239977</v>
      </c>
      <c r="E10" s="50">
        <v>525.04667002857627</v>
      </c>
    </row>
    <row r="11" spans="1:11" x14ac:dyDescent="0.25">
      <c r="A11" s="51" t="s">
        <v>1562</v>
      </c>
      <c r="B11" s="47">
        <v>46317</v>
      </c>
      <c r="C11" s="52">
        <v>5.7427999999999981</v>
      </c>
      <c r="D11" s="50">
        <v>5.7074497784670104</v>
      </c>
      <c r="E11" s="50">
        <v>519.33922025010929</v>
      </c>
    </row>
    <row r="12" spans="1:11" x14ac:dyDescent="0.25">
      <c r="A12" s="51" t="s">
        <v>1563</v>
      </c>
      <c r="B12" s="47">
        <v>46590</v>
      </c>
      <c r="C12" s="52">
        <v>23.428000000000004</v>
      </c>
      <c r="D12" s="50">
        <v>24.797824025188078</v>
      </c>
      <c r="E12" s="50">
        <v>494.54139622492119</v>
      </c>
    </row>
    <row r="13" spans="1:11" x14ac:dyDescent="0.25">
      <c r="A13" s="51" t="s">
        <v>1564</v>
      </c>
      <c r="B13" s="47">
        <v>46728</v>
      </c>
      <c r="C13" s="52">
        <v>17.051999999999996</v>
      </c>
      <c r="D13" s="50">
        <v>18.916816072842725</v>
      </c>
      <c r="E13" s="50">
        <v>475.62458015207847</v>
      </c>
    </row>
    <row r="14" spans="1:11" x14ac:dyDescent="0.25">
      <c r="A14" s="51" t="s">
        <v>1565</v>
      </c>
      <c r="B14" s="47">
        <v>46783</v>
      </c>
      <c r="C14" s="52">
        <v>10.462599999999998</v>
      </c>
      <c r="D14" s="50">
        <v>10.306410287256989</v>
      </c>
      <c r="E14" s="50">
        <v>465.31816986482147</v>
      </c>
    </row>
    <row r="15" spans="1:11" x14ac:dyDescent="0.25">
      <c r="A15" s="51" t="s">
        <v>1566</v>
      </c>
      <c r="B15" s="47">
        <v>47048</v>
      </c>
      <c r="C15" s="52">
        <v>22.479900000000001</v>
      </c>
      <c r="D15" s="50">
        <v>25.052075231415191</v>
      </c>
      <c r="E15" s="50">
        <v>440.26609463340623</v>
      </c>
    </row>
    <row r="16" spans="1:11" x14ac:dyDescent="0.25">
      <c r="A16" s="51" t="s">
        <v>1567</v>
      </c>
      <c r="B16" s="47">
        <v>47094</v>
      </c>
      <c r="C16" s="52">
        <v>8.2904999999999998</v>
      </c>
      <c r="D16" s="50">
        <v>11.070936482627788</v>
      </c>
      <c r="E16" s="50">
        <v>429.19515815077847</v>
      </c>
    </row>
    <row r="17" spans="1:5" x14ac:dyDescent="0.25">
      <c r="A17" s="51" t="s">
        <v>1568</v>
      </c>
      <c r="B17" s="47">
        <v>47149</v>
      </c>
      <c r="C17" s="52">
        <v>0.55400000000000005</v>
      </c>
      <c r="D17" s="50">
        <v>0.5395355860429234</v>
      </c>
      <c r="E17" s="50">
        <v>428.65562256473555</v>
      </c>
    </row>
    <row r="18" spans="1:5" x14ac:dyDescent="0.25">
      <c r="A18" s="51" t="s">
        <v>1569</v>
      </c>
      <c r="B18" s="47">
        <v>47413</v>
      </c>
      <c r="C18" s="52">
        <v>27.2681</v>
      </c>
      <c r="D18" s="50">
        <v>28.983779871842955</v>
      </c>
      <c r="E18" s="50">
        <v>399.67184269289254</v>
      </c>
    </row>
    <row r="19" spans="1:5" x14ac:dyDescent="0.25">
      <c r="A19" s="51" t="s">
        <v>1570</v>
      </c>
      <c r="B19" s="47">
        <v>47778</v>
      </c>
      <c r="C19" s="52">
        <v>20.584400000000002</v>
      </c>
      <c r="D19" s="50">
        <v>20.481932834810628</v>
      </c>
      <c r="E19" s="50">
        <v>379.18990985808188</v>
      </c>
    </row>
    <row r="20" spans="1:5" x14ac:dyDescent="0.25">
      <c r="A20" s="51" t="s">
        <v>1571</v>
      </c>
      <c r="B20" s="47">
        <v>47824</v>
      </c>
      <c r="C20" s="52">
        <v>21.278899999999997</v>
      </c>
      <c r="D20" s="50">
        <v>27.716418362307905</v>
      </c>
      <c r="E20" s="50">
        <v>351.47349149577394</v>
      </c>
    </row>
    <row r="21" spans="1:5" x14ac:dyDescent="0.25">
      <c r="A21" s="51" t="s">
        <v>1572</v>
      </c>
      <c r="B21" s="47">
        <v>48060</v>
      </c>
      <c r="C21" s="52">
        <v>12.1419</v>
      </c>
      <c r="D21" s="50">
        <v>11.499676412399879</v>
      </c>
      <c r="E21" s="50">
        <v>339.97381508337406</v>
      </c>
    </row>
    <row r="22" spans="1:5" x14ac:dyDescent="0.25">
      <c r="A22" s="51" t="s">
        <v>1573</v>
      </c>
      <c r="B22" s="47">
        <v>48372</v>
      </c>
      <c r="C22" s="52">
        <v>18.522200000000002</v>
      </c>
      <c r="D22" s="50">
        <v>21.823946250162152</v>
      </c>
      <c r="E22" s="50">
        <v>318.14986883321188</v>
      </c>
    </row>
    <row r="23" spans="1:5" x14ac:dyDescent="0.25">
      <c r="A23" s="51" t="s">
        <v>1574</v>
      </c>
      <c r="B23" s="47">
        <v>48791</v>
      </c>
      <c r="C23" s="52">
        <v>0.34089999999999998</v>
      </c>
      <c r="D23" s="50">
        <v>0.33535712733859191</v>
      </c>
      <c r="E23" s="50">
        <v>317.81451170587331</v>
      </c>
    </row>
    <row r="24" spans="1:5" x14ac:dyDescent="0.25">
      <c r="A24" s="51" t="s">
        <v>1575</v>
      </c>
      <c r="B24" s="47">
        <v>49194</v>
      </c>
      <c r="C24" s="52">
        <v>20.973800000000004</v>
      </c>
      <c r="D24" s="50">
        <v>28.768399861661749</v>
      </c>
      <c r="E24" s="50">
        <v>289.04611184421157</v>
      </c>
    </row>
    <row r="25" spans="1:5" x14ac:dyDescent="0.25">
      <c r="A25" s="51" t="s">
        <v>1576</v>
      </c>
      <c r="B25" s="47">
        <v>49521</v>
      </c>
      <c r="C25" s="52">
        <v>11.072900000000001</v>
      </c>
      <c r="D25" s="50">
        <v>10.609788596099543</v>
      </c>
      <c r="E25" s="50">
        <v>278.4363232481121</v>
      </c>
    </row>
    <row r="26" spans="1:5" x14ac:dyDescent="0.25">
      <c r="A26" s="51" t="s">
        <v>1577</v>
      </c>
      <c r="B26" s="47">
        <v>49741</v>
      </c>
      <c r="C26" s="52">
        <v>11.3406</v>
      </c>
      <c r="D26" s="50">
        <v>15.043228505526878</v>
      </c>
      <c r="E26" s="50">
        <v>263.39309474258528</v>
      </c>
    </row>
    <row r="27" spans="1:5" x14ac:dyDescent="0.25">
      <c r="A27" s="51" t="s">
        <v>1578</v>
      </c>
      <c r="B27" s="47">
        <v>50290</v>
      </c>
      <c r="C27" s="52">
        <v>10.313600000000001</v>
      </c>
      <c r="D27" s="50">
        <v>11.720301778821227</v>
      </c>
      <c r="E27" s="50">
        <v>251.67279296376404</v>
      </c>
    </row>
    <row r="28" spans="1:5" x14ac:dyDescent="0.25">
      <c r="A28" s="51" t="s">
        <v>1579</v>
      </c>
      <c r="B28" s="47">
        <v>50746</v>
      </c>
      <c r="C28" s="52">
        <v>10.350600000000002</v>
      </c>
      <c r="D28" s="50">
        <v>13.271898185290819</v>
      </c>
      <c r="E28" s="50">
        <v>238.40089477847323</v>
      </c>
    </row>
    <row r="29" spans="1:5" x14ac:dyDescent="0.25">
      <c r="A29" s="51" t="s">
        <v>1580</v>
      </c>
      <c r="B29" s="47">
        <v>51020</v>
      </c>
      <c r="C29" s="52">
        <v>10.960799999999999</v>
      </c>
      <c r="D29" s="50">
        <v>14.110664507004801</v>
      </c>
      <c r="E29" s="50">
        <v>224.29023027146843</v>
      </c>
    </row>
    <row r="30" spans="1:5" x14ac:dyDescent="0.25">
      <c r="A30" s="51" t="s">
        <v>1581</v>
      </c>
      <c r="B30" s="47">
        <v>51477</v>
      </c>
      <c r="C30" s="52">
        <v>11.113599999999998</v>
      </c>
      <c r="D30" s="50">
        <v>14.80937724335935</v>
      </c>
      <c r="E30" s="50">
        <v>209.48085302810907</v>
      </c>
    </row>
    <row r="31" spans="1:5" x14ac:dyDescent="0.25">
      <c r="A31" s="51" t="s">
        <v>1582</v>
      </c>
      <c r="B31" s="47">
        <v>51796</v>
      </c>
      <c r="C31" s="52">
        <v>8.5388000000000002</v>
      </c>
      <c r="D31" s="50">
        <v>9.1824213731950461</v>
      </c>
      <c r="E31" s="50">
        <v>200.29843165491403</v>
      </c>
    </row>
    <row r="32" spans="1:5" x14ac:dyDescent="0.25">
      <c r="A32" s="51" t="s">
        <v>1583</v>
      </c>
      <c r="B32" s="47">
        <v>52207</v>
      </c>
      <c r="C32" s="52">
        <v>8.3928000000000011</v>
      </c>
      <c r="D32" s="50">
        <v>11.222834120329464</v>
      </c>
      <c r="E32" s="50">
        <v>189.07559753458457</v>
      </c>
    </row>
    <row r="33" spans="1:5" x14ac:dyDescent="0.25">
      <c r="A33" s="51" t="s">
        <v>1584</v>
      </c>
      <c r="B33" s="47">
        <v>52618</v>
      </c>
      <c r="C33" s="52">
        <v>6.8056999999999999</v>
      </c>
      <c r="D33" s="50">
        <v>8.9848252157250794</v>
      </c>
      <c r="E33" s="50">
        <v>180.09077231885951</v>
      </c>
    </row>
    <row r="34" spans="1:5" x14ac:dyDescent="0.25">
      <c r="A34" s="51" t="s">
        <v>1585</v>
      </c>
      <c r="B34" s="47">
        <v>52984</v>
      </c>
      <c r="C34" s="52">
        <v>8.7683999999999997</v>
      </c>
      <c r="D34" s="50">
        <v>12.687123535097504</v>
      </c>
      <c r="E34" s="50">
        <v>167.40364878376198</v>
      </c>
    </row>
    <row r="35" spans="1:5" x14ac:dyDescent="0.25">
      <c r="A35" s="51" t="s">
        <v>1586</v>
      </c>
      <c r="B35" s="47">
        <v>53358</v>
      </c>
      <c r="C35" s="52">
        <v>5.6887999999999996</v>
      </c>
      <c r="D35" s="50">
        <v>5.3378362281557656</v>
      </c>
      <c r="E35" s="50">
        <v>162.06581255560621</v>
      </c>
    </row>
    <row r="36" spans="1:5" x14ac:dyDescent="0.25">
      <c r="A36" s="51" t="s">
        <v>1587</v>
      </c>
      <c r="B36" s="47">
        <v>53668</v>
      </c>
      <c r="C36" s="52">
        <v>7.6609999999999996</v>
      </c>
      <c r="D36" s="50">
        <v>10.462609593561281</v>
      </c>
      <c r="E36" s="50">
        <v>151.60320296204492</v>
      </c>
    </row>
    <row r="37" spans="1:5" x14ac:dyDescent="0.25">
      <c r="A37" s="51" t="s">
        <v>1588</v>
      </c>
      <c r="B37" s="47">
        <v>53895</v>
      </c>
      <c r="C37" s="52">
        <v>6.5825999999999993</v>
      </c>
      <c r="D37" s="50">
        <v>7.1181524342409057</v>
      </c>
      <c r="E37" s="50">
        <v>144.48505052780402</v>
      </c>
    </row>
    <row r="38" spans="1:5" x14ac:dyDescent="0.25">
      <c r="A38" s="51" t="s">
        <v>1589</v>
      </c>
      <c r="B38" s="47">
        <v>54445</v>
      </c>
      <c r="C38" s="52">
        <v>18.357100000000003</v>
      </c>
      <c r="D38" s="50">
        <v>22.95734920890434</v>
      </c>
      <c r="E38" s="50">
        <v>121.52770131889969</v>
      </c>
    </row>
    <row r="39" spans="1:5" x14ac:dyDescent="0.25">
      <c r="A39" s="51" t="s">
        <v>1590</v>
      </c>
      <c r="B39" s="47">
        <v>54764</v>
      </c>
      <c r="C39" s="52">
        <v>7.6110000000000015</v>
      </c>
      <c r="D39" s="50">
        <v>10.659299479137308</v>
      </c>
      <c r="E39" s="50">
        <v>110.86840183976236</v>
      </c>
    </row>
    <row r="40" spans="1:5" x14ac:dyDescent="0.25">
      <c r="A40" s="51" t="s">
        <v>1591</v>
      </c>
      <c r="B40" s="47">
        <v>55083</v>
      </c>
      <c r="C40" s="52">
        <v>12.004099999999996</v>
      </c>
      <c r="D40" s="50">
        <v>10.781427510983297</v>
      </c>
      <c r="E40" s="50">
        <v>100.08697432877906</v>
      </c>
    </row>
    <row r="41" spans="1:5" x14ac:dyDescent="0.25">
      <c r="A41" s="51" t="s">
        <v>1592</v>
      </c>
      <c r="B41" s="47">
        <v>55365</v>
      </c>
      <c r="C41" s="52">
        <v>1.9097999999999993</v>
      </c>
      <c r="D41" s="50">
        <v>1.9485572958232857</v>
      </c>
      <c r="E41" s="50">
        <v>98.1384170329558</v>
      </c>
    </row>
    <row r="42" spans="1:5" x14ac:dyDescent="0.25">
      <c r="A42" s="51" t="s">
        <v>1593</v>
      </c>
      <c r="B42" s="47">
        <v>55722</v>
      </c>
      <c r="C42" s="52">
        <v>11.953900000000001</v>
      </c>
      <c r="D42" s="50">
        <v>17.231895675489891</v>
      </c>
      <c r="E42" s="50">
        <v>80.906521357465891</v>
      </c>
    </row>
    <row r="43" spans="1:5" x14ac:dyDescent="0.25">
      <c r="A43" s="51" t="s">
        <v>1594</v>
      </c>
      <c r="B43" s="47">
        <v>56096</v>
      </c>
      <c r="C43" s="52">
        <v>1.9700000000000051E-2</v>
      </c>
      <c r="D43" s="50">
        <v>2.2960544678872645E-2</v>
      </c>
      <c r="E43" s="50">
        <v>80.883560812787024</v>
      </c>
    </row>
    <row r="44" spans="1:5" x14ac:dyDescent="0.25">
      <c r="A44" s="51" t="s">
        <v>1595</v>
      </c>
      <c r="B44" s="47">
        <v>56544</v>
      </c>
      <c r="C44" s="52">
        <v>10.456799999999999</v>
      </c>
      <c r="D44" s="50">
        <v>13.138078452500276</v>
      </c>
      <c r="E44" s="50">
        <v>67.745482360286758</v>
      </c>
    </row>
    <row r="45" spans="1:5" x14ac:dyDescent="0.25">
      <c r="A45" s="51" t="s">
        <v>1596</v>
      </c>
      <c r="B45" s="47">
        <v>56955</v>
      </c>
      <c r="C45" s="52">
        <v>10.221400000000001</v>
      </c>
      <c r="D45" s="50">
        <v>13.350127057260448</v>
      </c>
      <c r="E45" s="50">
        <v>54.3953553030263</v>
      </c>
    </row>
    <row r="46" spans="1:5" x14ac:dyDescent="0.25">
      <c r="A46" s="51" t="s">
        <v>1597</v>
      </c>
      <c r="B46" s="47">
        <v>57548</v>
      </c>
      <c r="C46" s="52">
        <v>9.7007000000000012</v>
      </c>
      <c r="D46" s="50">
        <v>12.453459819983424</v>
      </c>
      <c r="E46" s="50">
        <v>41.941895483042877</v>
      </c>
    </row>
    <row r="47" spans="1:5" x14ac:dyDescent="0.25">
      <c r="A47" s="51" t="s">
        <v>1598</v>
      </c>
      <c r="B47" s="47">
        <v>58462</v>
      </c>
      <c r="C47" s="52">
        <v>11.660000000000002</v>
      </c>
      <c r="D47" s="50">
        <v>17.348099748160301</v>
      </c>
      <c r="E47" s="50">
        <v>24.593795734882576</v>
      </c>
    </row>
    <row r="48" spans="1:5" x14ac:dyDescent="0.25">
      <c r="A48" s="51" t="s">
        <v>1599</v>
      </c>
      <c r="B48" s="47">
        <v>59101</v>
      </c>
      <c r="C48" s="52">
        <v>0.49129999999999985</v>
      </c>
      <c r="D48" s="50">
        <v>0.44285327067936325</v>
      </c>
      <c r="E48" s="50">
        <v>24.150942464203212</v>
      </c>
    </row>
    <row r="49" spans="1:5" x14ac:dyDescent="0.25">
      <c r="A49" s="51" t="s">
        <v>1600</v>
      </c>
      <c r="B49" s="47">
        <v>60470</v>
      </c>
      <c r="C49" s="52">
        <v>4.9352</v>
      </c>
      <c r="D49" s="50">
        <v>8.2780577754194837</v>
      </c>
      <c r="E49" s="50">
        <v>15.872884688783728</v>
      </c>
    </row>
    <row r="50" spans="1:5" x14ac:dyDescent="0.25">
      <c r="A50" s="51" t="s">
        <v>1601</v>
      </c>
      <c r="B50" s="47">
        <v>61566</v>
      </c>
      <c r="C50" s="52">
        <v>4.7795000000000005</v>
      </c>
      <c r="D50" s="50">
        <v>8.9387106844280506</v>
      </c>
      <c r="E50" s="50">
        <v>6.9341740043556772</v>
      </c>
    </row>
    <row r="51" spans="1:5" x14ac:dyDescent="0.25">
      <c r="A51" s="51" t="s">
        <v>1602</v>
      </c>
      <c r="B51" s="47">
        <v>62753</v>
      </c>
      <c r="C51" s="52">
        <v>5.0884999999999998</v>
      </c>
      <c r="D51" s="50">
        <v>6.9341740043556772</v>
      </c>
      <c r="E51" s="50">
        <v>0</v>
      </c>
    </row>
    <row r="52" spans="1:5" x14ac:dyDescent="0.25">
      <c r="A52" s="53"/>
      <c r="B52" s="54"/>
      <c r="C52" s="55"/>
      <c r="D52" s="56"/>
      <c r="E52" s="56"/>
    </row>
    <row r="53" spans="1:5" x14ac:dyDescent="0.25">
      <c r="A53" s="57"/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7339-9648-447A-A0B6-429E137B986D}">
  <dimension ref="B1:W1125"/>
  <sheetViews>
    <sheetView showGridLines="0" workbookViewId="0">
      <pane xSplit="1" ySplit="2" topLeftCell="B589" activePane="bottomRight" state="frozen"/>
      <selection pane="topRight" activeCell="B1" sqref="B1"/>
      <selection pane="bottomLeft" activeCell="A3" sqref="A3"/>
      <selection pane="bottomRight" activeCell="H917" sqref="H917"/>
    </sheetView>
  </sheetViews>
  <sheetFormatPr defaultColWidth="8.7109375" defaultRowHeight="15" x14ac:dyDescent="0.25"/>
  <cols>
    <col min="1" max="1" width="1.7109375" style="62" customWidth="1"/>
    <col min="2" max="2" width="17.5703125" style="62" customWidth="1"/>
    <col min="3" max="3" width="14.7109375" style="62" customWidth="1"/>
    <col min="4" max="4" width="17.5703125" style="62" customWidth="1"/>
    <col min="5" max="5" width="21.5703125" style="62" customWidth="1"/>
    <col min="6" max="13" width="17.5703125" style="62" customWidth="1"/>
    <col min="14" max="14" width="17.5703125" style="102" customWidth="1"/>
    <col min="15" max="16384" width="8.7109375" style="62"/>
  </cols>
  <sheetData>
    <row r="1" spans="2:14" ht="18.75" x14ac:dyDescent="0.25">
      <c r="B1" s="58" t="s">
        <v>1609</v>
      </c>
      <c r="C1" s="59" t="s">
        <v>1610</v>
      </c>
      <c r="D1" s="59" t="s">
        <v>1610</v>
      </c>
      <c r="E1" s="59" t="s">
        <v>1610</v>
      </c>
      <c r="F1" s="59" t="s">
        <v>1610</v>
      </c>
      <c r="G1" s="59" t="s">
        <v>1610</v>
      </c>
      <c r="H1" s="59" t="s">
        <v>1610</v>
      </c>
      <c r="I1" s="59" t="s">
        <v>1610</v>
      </c>
      <c r="J1" s="59" t="s">
        <v>1610</v>
      </c>
      <c r="K1" s="60" t="s">
        <v>1610</v>
      </c>
      <c r="L1" s="59" t="s">
        <v>1610</v>
      </c>
      <c r="M1" s="60" t="s">
        <v>1610</v>
      </c>
      <c r="N1" s="61" t="s">
        <v>1610</v>
      </c>
    </row>
    <row r="2" spans="2:14" ht="57" x14ac:dyDescent="0.25">
      <c r="B2" s="59" t="s">
        <v>1611</v>
      </c>
      <c r="C2" s="59" t="s">
        <v>1612</v>
      </c>
      <c r="D2" s="59" t="s">
        <v>1613</v>
      </c>
      <c r="E2" s="59" t="s">
        <v>1614</v>
      </c>
      <c r="F2" s="59" t="s">
        <v>1615</v>
      </c>
      <c r="G2" s="59" t="s">
        <v>1616</v>
      </c>
      <c r="H2" s="59" t="s">
        <v>1617</v>
      </c>
      <c r="I2" s="59" t="s">
        <v>1618</v>
      </c>
      <c r="J2" s="59" t="s">
        <v>1619</v>
      </c>
      <c r="K2" s="60" t="s">
        <v>1620</v>
      </c>
      <c r="L2" s="59" t="s">
        <v>1621</v>
      </c>
      <c r="M2" s="60" t="s">
        <v>1622</v>
      </c>
      <c r="N2" s="61" t="s">
        <v>1623</v>
      </c>
    </row>
    <row r="3" spans="2:14" x14ac:dyDescent="0.25">
      <c r="B3" s="63">
        <v>44866</v>
      </c>
      <c r="C3" s="63">
        <v>44867</v>
      </c>
      <c r="D3" s="64" t="s">
        <v>1624</v>
      </c>
      <c r="E3" s="64" t="s">
        <v>1625</v>
      </c>
      <c r="F3" s="65">
        <v>969.35602400000005</v>
      </c>
      <c r="G3" s="66">
        <v>491.10866616848301</v>
      </c>
      <c r="H3" s="65">
        <v>545</v>
      </c>
      <c r="I3" s="67">
        <v>3.3817010000000001</v>
      </c>
      <c r="J3" s="67">
        <v>90.079413000000002</v>
      </c>
      <c r="K3" s="67">
        <v>90.09</v>
      </c>
      <c r="L3" s="68">
        <v>100</v>
      </c>
      <c r="M3" s="67">
        <v>90.07</v>
      </c>
      <c r="N3" s="68">
        <v>9.4129999999999995E-3</v>
      </c>
    </row>
    <row r="4" spans="2:14" x14ac:dyDescent="0.25">
      <c r="B4" s="63">
        <v>44866</v>
      </c>
      <c r="C4" s="63">
        <v>44867</v>
      </c>
      <c r="D4" s="64" t="s">
        <v>1626</v>
      </c>
      <c r="E4" s="64" t="s">
        <v>1627</v>
      </c>
      <c r="F4" s="65">
        <v>46.834918000000002</v>
      </c>
      <c r="G4" s="66">
        <v>0</v>
      </c>
      <c r="H4" s="65">
        <v>0</v>
      </c>
      <c r="I4" s="67">
        <v>0</v>
      </c>
      <c r="J4" s="67">
        <v>0</v>
      </c>
      <c r="K4" s="67">
        <v>0</v>
      </c>
      <c r="L4" s="68">
        <v>0</v>
      </c>
      <c r="M4" s="67">
        <v>0</v>
      </c>
      <c r="N4" s="68">
        <v>0</v>
      </c>
    </row>
    <row r="5" spans="2:14" x14ac:dyDescent="0.25">
      <c r="B5" s="63">
        <v>44866</v>
      </c>
      <c r="C5" s="63">
        <v>44867</v>
      </c>
      <c r="D5" s="64" t="s">
        <v>1628</v>
      </c>
      <c r="E5" s="64" t="s">
        <v>1629</v>
      </c>
      <c r="F5" s="65">
        <v>790.34977500000002</v>
      </c>
      <c r="G5" s="66">
        <v>170.28738490109399</v>
      </c>
      <c r="H5" s="65">
        <v>192.8</v>
      </c>
      <c r="I5" s="67">
        <v>3.5581170000000002</v>
      </c>
      <c r="J5" s="67">
        <v>88.311999999999998</v>
      </c>
      <c r="K5" s="67">
        <v>88.311999999999998</v>
      </c>
      <c r="L5" s="68">
        <v>44.837209000000001</v>
      </c>
      <c r="M5" s="67">
        <v>88.311999999999998</v>
      </c>
      <c r="N5" s="68">
        <v>0</v>
      </c>
    </row>
    <row r="6" spans="2:14" x14ac:dyDescent="0.25">
      <c r="B6" s="63">
        <v>44866</v>
      </c>
      <c r="C6" s="63">
        <v>44867</v>
      </c>
      <c r="D6" s="64" t="s">
        <v>1630</v>
      </c>
      <c r="E6" s="64" t="s">
        <v>1631</v>
      </c>
      <c r="F6" s="65">
        <v>275.53058499999997</v>
      </c>
      <c r="G6" s="66">
        <v>45.194932065214999</v>
      </c>
      <c r="H6" s="65">
        <v>50</v>
      </c>
      <c r="I6" s="67">
        <v>3.5607820000000001</v>
      </c>
      <c r="J6" s="67">
        <v>90.04</v>
      </c>
      <c r="K6" s="67">
        <v>90.04</v>
      </c>
      <c r="L6" s="68">
        <v>100</v>
      </c>
      <c r="M6" s="67">
        <v>90.04</v>
      </c>
      <c r="N6" s="68">
        <v>0</v>
      </c>
    </row>
    <row r="7" spans="2:14" x14ac:dyDescent="0.25">
      <c r="B7" s="63">
        <v>44866</v>
      </c>
      <c r="C7" s="63">
        <v>44867</v>
      </c>
      <c r="D7" s="64" t="s">
        <v>1632</v>
      </c>
      <c r="E7" s="64" t="s">
        <v>1633</v>
      </c>
      <c r="F7" s="65">
        <v>31.327373000000001</v>
      </c>
      <c r="G7" s="66">
        <v>0</v>
      </c>
      <c r="H7" s="65">
        <v>0</v>
      </c>
      <c r="I7" s="67">
        <v>0</v>
      </c>
      <c r="J7" s="67">
        <v>0</v>
      </c>
      <c r="K7" s="67">
        <v>0</v>
      </c>
      <c r="L7" s="68">
        <v>0</v>
      </c>
      <c r="M7" s="67">
        <v>0</v>
      </c>
      <c r="N7" s="68">
        <v>0</v>
      </c>
    </row>
    <row r="8" spans="2:14" x14ac:dyDescent="0.25">
      <c r="B8" s="63">
        <v>44866</v>
      </c>
      <c r="C8" s="63">
        <v>44867</v>
      </c>
      <c r="D8" s="64" t="s">
        <v>1634</v>
      </c>
      <c r="E8" s="64" t="s">
        <v>1635</v>
      </c>
      <c r="F8" s="65">
        <v>54.269753999999999</v>
      </c>
      <c r="G8" s="66">
        <v>0</v>
      </c>
      <c r="H8" s="65">
        <v>0</v>
      </c>
      <c r="I8" s="67">
        <v>0</v>
      </c>
      <c r="J8" s="67">
        <v>0</v>
      </c>
      <c r="K8" s="67">
        <v>0</v>
      </c>
      <c r="L8" s="68">
        <v>0</v>
      </c>
      <c r="M8" s="67">
        <v>0</v>
      </c>
      <c r="N8" s="68">
        <v>0</v>
      </c>
    </row>
    <row r="9" spans="2:14" x14ac:dyDescent="0.25">
      <c r="B9" s="63">
        <v>44866</v>
      </c>
      <c r="C9" s="63">
        <v>44867</v>
      </c>
      <c r="D9" s="64" t="s">
        <v>1636</v>
      </c>
      <c r="E9" s="64" t="s">
        <v>1637</v>
      </c>
      <c r="F9" s="65">
        <v>71.775284999999997</v>
      </c>
      <c r="G9" s="66">
        <v>22.444776785715</v>
      </c>
      <c r="H9" s="65">
        <v>25</v>
      </c>
      <c r="I9" s="67">
        <v>3.5490949999999999</v>
      </c>
      <c r="J9" s="67">
        <v>89.73</v>
      </c>
      <c r="K9" s="67">
        <v>89.73</v>
      </c>
      <c r="L9" s="68">
        <v>100</v>
      </c>
      <c r="M9" s="67">
        <v>89.73</v>
      </c>
      <c r="N9" s="68">
        <v>0</v>
      </c>
    </row>
    <row r="10" spans="2:14" x14ac:dyDescent="0.25">
      <c r="B10" s="63">
        <v>44866</v>
      </c>
      <c r="C10" s="63">
        <v>44867</v>
      </c>
      <c r="D10" s="64" t="s">
        <v>1638</v>
      </c>
      <c r="E10" s="64" t="s">
        <v>1639</v>
      </c>
      <c r="F10" s="65">
        <v>0</v>
      </c>
      <c r="G10" s="66">
        <v>0</v>
      </c>
      <c r="H10" s="65">
        <v>0</v>
      </c>
      <c r="I10" s="67">
        <v>0</v>
      </c>
      <c r="J10" s="67">
        <v>0</v>
      </c>
      <c r="K10" s="67">
        <v>0</v>
      </c>
      <c r="L10" s="68">
        <v>0</v>
      </c>
      <c r="M10" s="67">
        <v>0</v>
      </c>
      <c r="N10" s="68">
        <v>0</v>
      </c>
    </row>
    <row r="11" spans="2:14" x14ac:dyDescent="0.25">
      <c r="B11" s="63">
        <v>44866</v>
      </c>
      <c r="C11" s="63">
        <v>44867</v>
      </c>
      <c r="D11" s="64" t="s">
        <v>1640</v>
      </c>
      <c r="E11" s="64" t="s">
        <v>1641</v>
      </c>
      <c r="F11" s="65">
        <v>204.70528300000001</v>
      </c>
      <c r="G11" s="66">
        <v>20.921610576923001</v>
      </c>
      <c r="H11" s="65">
        <v>25</v>
      </c>
      <c r="I11" s="67">
        <v>3.5411630000000001</v>
      </c>
      <c r="J11" s="67">
        <v>83.66</v>
      </c>
      <c r="K11" s="67">
        <v>83.66</v>
      </c>
      <c r="L11" s="68">
        <v>100</v>
      </c>
      <c r="M11" s="67">
        <v>83.66</v>
      </c>
      <c r="N11" s="68">
        <v>0</v>
      </c>
    </row>
    <row r="12" spans="2:14" x14ac:dyDescent="0.25">
      <c r="B12" s="69">
        <v>44872</v>
      </c>
      <c r="C12" s="69">
        <v>44873</v>
      </c>
      <c r="D12" s="70" t="s">
        <v>1642</v>
      </c>
      <c r="E12" s="70" t="s">
        <v>1643</v>
      </c>
      <c r="F12" s="71">
        <v>133.67627300000001</v>
      </c>
      <c r="G12" s="72">
        <v>133.67627335164201</v>
      </c>
      <c r="H12" s="71">
        <v>170</v>
      </c>
      <c r="I12" s="73">
        <v>3.4755910000000001</v>
      </c>
      <c r="J12" s="73">
        <v>78.615622999999999</v>
      </c>
      <c r="K12" s="73">
        <v>78.632999999999996</v>
      </c>
      <c r="L12" s="74">
        <v>100</v>
      </c>
      <c r="M12" s="73">
        <v>78.430000000000007</v>
      </c>
      <c r="N12" s="74">
        <v>0.18562300000000001</v>
      </c>
    </row>
    <row r="13" spans="2:14" x14ac:dyDescent="0.25">
      <c r="B13" s="69">
        <v>44872</v>
      </c>
      <c r="C13" s="69">
        <v>44873</v>
      </c>
      <c r="D13" s="70" t="s">
        <v>1644</v>
      </c>
      <c r="E13" s="70" t="s">
        <v>1645</v>
      </c>
      <c r="F13" s="71">
        <v>61.101047999999999</v>
      </c>
      <c r="G13" s="72">
        <v>61.101048633879003</v>
      </c>
      <c r="H13" s="71">
        <v>55</v>
      </c>
      <c r="I13" s="73">
        <v>3.4502030000000001</v>
      </c>
      <c r="J13" s="73">
        <v>109.094223</v>
      </c>
      <c r="K13" s="73">
        <v>109.15600000000001</v>
      </c>
      <c r="L13" s="74">
        <v>100</v>
      </c>
      <c r="M13" s="73">
        <v>109.02</v>
      </c>
      <c r="N13" s="74">
        <v>7.4222999999999997E-2</v>
      </c>
    </row>
    <row r="14" spans="2:14" x14ac:dyDescent="0.25">
      <c r="B14" s="69">
        <v>44872</v>
      </c>
      <c r="C14" s="69">
        <v>44873</v>
      </c>
      <c r="D14" s="70" t="s">
        <v>1646</v>
      </c>
      <c r="E14" s="70" t="s">
        <v>1647</v>
      </c>
      <c r="F14" s="71">
        <v>64.817103000000003</v>
      </c>
      <c r="G14" s="72">
        <v>64.817103913043994</v>
      </c>
      <c r="H14" s="71">
        <v>86</v>
      </c>
      <c r="I14" s="73">
        <v>3.568219</v>
      </c>
      <c r="J14" s="73">
        <v>75.300898000000004</v>
      </c>
      <c r="K14" s="73">
        <v>75.382999999999996</v>
      </c>
      <c r="L14" s="74">
        <v>100</v>
      </c>
      <c r="M14" s="73">
        <v>75.16</v>
      </c>
      <c r="N14" s="74">
        <v>0.140898</v>
      </c>
    </row>
    <row r="15" spans="2:14" x14ac:dyDescent="0.25">
      <c r="B15" s="69">
        <v>44872</v>
      </c>
      <c r="C15" s="69">
        <v>44873</v>
      </c>
      <c r="D15" s="70" t="s">
        <v>1648</v>
      </c>
      <c r="E15" s="70" t="s">
        <v>1649</v>
      </c>
      <c r="F15" s="71">
        <v>26.834561999999998</v>
      </c>
      <c r="G15" s="72">
        <v>26.834562841530001</v>
      </c>
      <c r="H15" s="71">
        <v>25</v>
      </c>
      <c r="I15" s="73">
        <v>3.5607980000000001</v>
      </c>
      <c r="J15" s="73">
        <v>105.55</v>
      </c>
      <c r="K15" s="73">
        <v>105.55</v>
      </c>
      <c r="L15" s="74">
        <v>100</v>
      </c>
      <c r="M15" s="73">
        <v>105.55</v>
      </c>
      <c r="N15" s="74">
        <v>0</v>
      </c>
    </row>
    <row r="16" spans="2:14" x14ac:dyDescent="0.25">
      <c r="B16" s="69">
        <v>44872</v>
      </c>
      <c r="C16" s="69">
        <v>44873</v>
      </c>
      <c r="D16" s="70" t="s">
        <v>1650</v>
      </c>
      <c r="E16" s="70" t="s">
        <v>1651</v>
      </c>
      <c r="F16" s="71">
        <v>26.955179000000001</v>
      </c>
      <c r="G16" s="72">
        <v>26.955179558009998</v>
      </c>
      <c r="H16" s="71">
        <v>25</v>
      </c>
      <c r="I16" s="73">
        <v>3.755843</v>
      </c>
      <c r="J16" s="73">
        <v>107.05</v>
      </c>
      <c r="K16" s="73">
        <v>107.05</v>
      </c>
      <c r="L16" s="74">
        <v>100</v>
      </c>
      <c r="M16" s="73">
        <v>107.05</v>
      </c>
      <c r="N16" s="74">
        <v>0</v>
      </c>
    </row>
    <row r="17" spans="2:14" x14ac:dyDescent="0.25">
      <c r="B17" s="69">
        <v>44872</v>
      </c>
      <c r="C17" s="69">
        <v>44873</v>
      </c>
      <c r="D17" s="70" t="s">
        <v>1652</v>
      </c>
      <c r="E17" s="70" t="s">
        <v>1653</v>
      </c>
      <c r="F17" s="71">
        <v>440.44443999999999</v>
      </c>
      <c r="G17" s="72">
        <v>189.570915108691</v>
      </c>
      <c r="H17" s="71">
        <v>279</v>
      </c>
      <c r="I17" s="73">
        <v>3.8513899999999999</v>
      </c>
      <c r="J17" s="73">
        <v>67.776888</v>
      </c>
      <c r="K17" s="73">
        <v>67.906999999999996</v>
      </c>
      <c r="L17" s="74">
        <v>52.666665999999999</v>
      </c>
      <c r="M17" s="73">
        <v>67.632999999999996</v>
      </c>
      <c r="N17" s="74">
        <v>0.14388799999999999</v>
      </c>
    </row>
    <row r="18" spans="2:14" x14ac:dyDescent="0.25">
      <c r="B18" s="69">
        <v>44872</v>
      </c>
      <c r="C18" s="69">
        <v>44873</v>
      </c>
      <c r="D18" s="70" t="s">
        <v>1654</v>
      </c>
      <c r="E18" s="70" t="s">
        <v>1655</v>
      </c>
      <c r="F18" s="71">
        <v>41.899560000000001</v>
      </c>
      <c r="G18" s="72">
        <v>41.899560220996001</v>
      </c>
      <c r="H18" s="71">
        <v>40</v>
      </c>
      <c r="I18" s="73">
        <v>3.860789</v>
      </c>
      <c r="J18" s="73">
        <v>104.021</v>
      </c>
      <c r="K18" s="73">
        <v>104.021</v>
      </c>
      <c r="L18" s="74">
        <v>100</v>
      </c>
      <c r="M18" s="73">
        <v>104.021</v>
      </c>
      <c r="N18" s="74">
        <v>0</v>
      </c>
    </row>
    <row r="19" spans="2:14" x14ac:dyDescent="0.25">
      <c r="B19" s="69">
        <v>44872</v>
      </c>
      <c r="C19" s="69">
        <v>44873</v>
      </c>
      <c r="D19" s="70" t="s">
        <v>1656</v>
      </c>
      <c r="E19" s="70" t="s">
        <v>1657</v>
      </c>
      <c r="F19" s="71">
        <v>208.44924</v>
      </c>
      <c r="G19" s="72">
        <v>197.12428176796701</v>
      </c>
      <c r="H19" s="71">
        <v>260</v>
      </c>
      <c r="I19" s="73">
        <v>3.9466169999999998</v>
      </c>
      <c r="J19" s="73">
        <v>75.517353999999997</v>
      </c>
      <c r="K19" s="73">
        <v>75.561000000000007</v>
      </c>
      <c r="L19" s="74">
        <v>100</v>
      </c>
      <c r="M19" s="73">
        <v>75.400000000000006</v>
      </c>
      <c r="N19" s="74">
        <v>0.117354</v>
      </c>
    </row>
    <row r="20" spans="2:14" x14ac:dyDescent="0.25">
      <c r="B20" s="69">
        <v>44872</v>
      </c>
      <c r="C20" s="69">
        <v>44873</v>
      </c>
      <c r="D20" s="70" t="s">
        <v>1658</v>
      </c>
      <c r="E20" s="70" t="s">
        <v>1659</v>
      </c>
      <c r="F20" s="71">
        <v>0</v>
      </c>
      <c r="G20" s="72">
        <v>0</v>
      </c>
      <c r="H20" s="71">
        <v>0</v>
      </c>
      <c r="I20" s="73">
        <v>0</v>
      </c>
      <c r="J20" s="73">
        <v>0</v>
      </c>
      <c r="K20" s="73">
        <v>0</v>
      </c>
      <c r="L20" s="74">
        <v>0</v>
      </c>
      <c r="M20" s="73">
        <v>0</v>
      </c>
      <c r="N20" s="74">
        <v>0</v>
      </c>
    </row>
    <row r="21" spans="2:14" x14ac:dyDescent="0.25">
      <c r="B21" s="69">
        <v>44872</v>
      </c>
      <c r="C21" s="69">
        <v>44873</v>
      </c>
      <c r="D21" s="70" t="s">
        <v>1660</v>
      </c>
      <c r="E21" s="70" t="s">
        <v>1661</v>
      </c>
      <c r="F21" s="71">
        <v>7.9854839999999996</v>
      </c>
      <c r="G21" s="72">
        <v>7.9854847826090003</v>
      </c>
      <c r="H21" s="71">
        <v>12</v>
      </c>
      <c r="I21" s="73">
        <v>3.965821</v>
      </c>
      <c r="J21" s="73">
        <v>66.239999999999995</v>
      </c>
      <c r="K21" s="73">
        <v>66.239999999999995</v>
      </c>
      <c r="L21" s="74">
        <v>100</v>
      </c>
      <c r="M21" s="73">
        <v>66.239999999999995</v>
      </c>
      <c r="N21" s="74">
        <v>0</v>
      </c>
    </row>
    <row r="22" spans="2:14" x14ac:dyDescent="0.25">
      <c r="B22" s="69">
        <v>44872</v>
      </c>
      <c r="C22" s="69">
        <v>44873</v>
      </c>
      <c r="D22" s="70" t="s">
        <v>1662</v>
      </c>
      <c r="E22" s="70" t="s">
        <v>1663</v>
      </c>
      <c r="F22" s="71">
        <v>0</v>
      </c>
      <c r="G22" s="72">
        <v>0</v>
      </c>
      <c r="H22" s="71">
        <v>0</v>
      </c>
      <c r="I22" s="73">
        <v>0</v>
      </c>
      <c r="J22" s="73">
        <v>0</v>
      </c>
      <c r="K22" s="73">
        <v>0</v>
      </c>
      <c r="L22" s="74">
        <v>0</v>
      </c>
      <c r="M22" s="73">
        <v>0</v>
      </c>
      <c r="N22" s="74">
        <v>0</v>
      </c>
    </row>
    <row r="23" spans="2:14" x14ac:dyDescent="0.25">
      <c r="B23" s="69">
        <v>44872</v>
      </c>
      <c r="C23" s="69">
        <v>44873</v>
      </c>
      <c r="D23" s="70" t="s">
        <v>1664</v>
      </c>
      <c r="E23" s="70" t="s">
        <v>1665</v>
      </c>
      <c r="F23" s="71">
        <v>0</v>
      </c>
      <c r="G23" s="72">
        <v>0</v>
      </c>
      <c r="H23" s="71">
        <v>0</v>
      </c>
      <c r="I23" s="73">
        <v>0</v>
      </c>
      <c r="J23" s="73">
        <v>0</v>
      </c>
      <c r="K23" s="73">
        <v>0</v>
      </c>
      <c r="L23" s="74">
        <v>0</v>
      </c>
      <c r="M23" s="73">
        <v>0</v>
      </c>
      <c r="N23" s="74">
        <v>0</v>
      </c>
    </row>
    <row r="24" spans="2:14" x14ac:dyDescent="0.25">
      <c r="B24" s="69">
        <v>44872</v>
      </c>
      <c r="C24" s="69">
        <v>44873</v>
      </c>
      <c r="D24" s="70" t="s">
        <v>1666</v>
      </c>
      <c r="E24" s="70" t="s">
        <v>1667</v>
      </c>
      <c r="F24" s="71">
        <v>0</v>
      </c>
      <c r="G24" s="72">
        <v>0</v>
      </c>
      <c r="H24" s="71">
        <v>0</v>
      </c>
      <c r="I24" s="73">
        <v>0</v>
      </c>
      <c r="J24" s="73">
        <v>0</v>
      </c>
      <c r="K24" s="73">
        <v>0</v>
      </c>
      <c r="L24" s="74">
        <v>0</v>
      </c>
      <c r="M24" s="73">
        <v>0</v>
      </c>
      <c r="N24" s="74">
        <v>0</v>
      </c>
    </row>
    <row r="25" spans="2:14" x14ac:dyDescent="0.25">
      <c r="B25" s="69">
        <v>44879</v>
      </c>
      <c r="C25" s="69">
        <v>44880</v>
      </c>
      <c r="D25" s="70" t="s">
        <v>1624</v>
      </c>
      <c r="E25" s="70" t="s">
        <v>1625</v>
      </c>
      <c r="F25" s="71">
        <v>477.417395</v>
      </c>
      <c r="G25" s="72">
        <v>459.28005815218302</v>
      </c>
      <c r="H25" s="71">
        <v>505</v>
      </c>
      <c r="I25" s="73">
        <v>3.126404</v>
      </c>
      <c r="J25" s="73">
        <v>90.909864999999996</v>
      </c>
      <c r="K25" s="73">
        <v>90.93</v>
      </c>
      <c r="L25" s="74">
        <v>100</v>
      </c>
      <c r="M25" s="73">
        <v>90.875</v>
      </c>
      <c r="N25" s="74">
        <v>3.4865E-2</v>
      </c>
    </row>
    <row r="26" spans="2:14" x14ac:dyDescent="0.25">
      <c r="B26" s="69">
        <v>44879</v>
      </c>
      <c r="C26" s="69">
        <v>44880</v>
      </c>
      <c r="D26" s="70" t="s">
        <v>1626</v>
      </c>
      <c r="E26" s="70" t="s">
        <v>1627</v>
      </c>
      <c r="F26" s="71">
        <v>283.73372799999999</v>
      </c>
      <c r="G26" s="72">
        <v>165.56894565217999</v>
      </c>
      <c r="H26" s="71">
        <v>175</v>
      </c>
      <c r="I26" s="73">
        <v>3.1987350000000001</v>
      </c>
      <c r="J26" s="73">
        <v>94.138000000000005</v>
      </c>
      <c r="K26" s="73">
        <v>94.146000000000001</v>
      </c>
      <c r="L26" s="74">
        <v>100</v>
      </c>
      <c r="M26" s="73">
        <v>94.132999999999996</v>
      </c>
      <c r="N26" s="74">
        <v>5.0000000000000001E-3</v>
      </c>
    </row>
    <row r="27" spans="2:14" x14ac:dyDescent="0.25">
      <c r="B27" s="69">
        <v>44879</v>
      </c>
      <c r="C27" s="69">
        <v>44880</v>
      </c>
      <c r="D27" s="70" t="s">
        <v>1628</v>
      </c>
      <c r="E27" s="70" t="s">
        <v>1629</v>
      </c>
      <c r="F27" s="71">
        <v>187.52567300000001</v>
      </c>
      <c r="G27" s="72">
        <v>0</v>
      </c>
      <c r="H27" s="71">
        <v>0</v>
      </c>
      <c r="I27" s="73">
        <v>0</v>
      </c>
      <c r="J27" s="73">
        <v>0</v>
      </c>
      <c r="K27" s="73">
        <v>0</v>
      </c>
      <c r="L27" s="74">
        <v>0</v>
      </c>
      <c r="M27" s="73">
        <v>0</v>
      </c>
      <c r="N27" s="74">
        <v>0</v>
      </c>
    </row>
    <row r="28" spans="2:14" x14ac:dyDescent="0.25">
      <c r="B28" s="69">
        <v>44879</v>
      </c>
      <c r="C28" s="69">
        <v>44880</v>
      </c>
      <c r="D28" s="70" t="s">
        <v>1630</v>
      </c>
      <c r="E28" s="70" t="s">
        <v>1631</v>
      </c>
      <c r="F28" s="71">
        <v>530.277826</v>
      </c>
      <c r="G28" s="72">
        <v>45.223734739130002</v>
      </c>
      <c r="H28" s="71">
        <v>49.4</v>
      </c>
      <c r="I28" s="73">
        <v>3.3038479999999999</v>
      </c>
      <c r="J28" s="73">
        <v>91.152000000000001</v>
      </c>
      <c r="K28" s="73">
        <v>91.152000000000001</v>
      </c>
      <c r="L28" s="74">
        <v>28.228570999999999</v>
      </c>
      <c r="M28" s="73">
        <v>91.152000000000001</v>
      </c>
      <c r="N28" s="74">
        <v>0</v>
      </c>
    </row>
    <row r="29" spans="2:14" x14ac:dyDescent="0.25">
      <c r="B29" s="69">
        <v>44879</v>
      </c>
      <c r="C29" s="69">
        <v>44880</v>
      </c>
      <c r="D29" s="70" t="s">
        <v>1632</v>
      </c>
      <c r="E29" s="70" t="s">
        <v>1633</v>
      </c>
      <c r="F29" s="71">
        <v>0</v>
      </c>
      <c r="G29" s="72">
        <v>0</v>
      </c>
      <c r="H29" s="71">
        <v>0</v>
      </c>
      <c r="I29" s="73">
        <v>0</v>
      </c>
      <c r="J29" s="73">
        <v>0</v>
      </c>
      <c r="K29" s="73">
        <v>0</v>
      </c>
      <c r="L29" s="74">
        <v>0</v>
      </c>
      <c r="M29" s="73">
        <v>0</v>
      </c>
      <c r="N29" s="74">
        <v>0</v>
      </c>
    </row>
    <row r="30" spans="2:14" x14ac:dyDescent="0.25">
      <c r="B30" s="69">
        <v>44879</v>
      </c>
      <c r="C30" s="69">
        <v>44880</v>
      </c>
      <c r="D30" s="70" t="s">
        <v>1634</v>
      </c>
      <c r="E30" s="70" t="s">
        <v>1635</v>
      </c>
      <c r="F30" s="71">
        <v>12.716751</v>
      </c>
      <c r="G30" s="72">
        <v>0</v>
      </c>
      <c r="H30" s="71">
        <v>0</v>
      </c>
      <c r="I30" s="73">
        <v>0</v>
      </c>
      <c r="J30" s="73">
        <v>0</v>
      </c>
      <c r="K30" s="73">
        <v>0</v>
      </c>
      <c r="L30" s="74">
        <v>0</v>
      </c>
      <c r="M30" s="73">
        <v>0</v>
      </c>
      <c r="N30" s="74">
        <v>0</v>
      </c>
    </row>
    <row r="31" spans="2:14" x14ac:dyDescent="0.25">
      <c r="B31" s="69">
        <v>44879</v>
      </c>
      <c r="C31" s="69">
        <v>44880</v>
      </c>
      <c r="D31" s="70" t="s">
        <v>1636</v>
      </c>
      <c r="E31" s="70" t="s">
        <v>1637</v>
      </c>
      <c r="F31" s="71">
        <v>0</v>
      </c>
      <c r="G31" s="72">
        <v>0</v>
      </c>
      <c r="H31" s="71">
        <v>0</v>
      </c>
      <c r="I31" s="73">
        <v>0</v>
      </c>
      <c r="J31" s="73">
        <v>0</v>
      </c>
      <c r="K31" s="73">
        <v>0</v>
      </c>
      <c r="L31" s="74">
        <v>0</v>
      </c>
      <c r="M31" s="73">
        <v>0</v>
      </c>
      <c r="N31" s="74">
        <v>0</v>
      </c>
    </row>
    <row r="32" spans="2:14" x14ac:dyDescent="0.25">
      <c r="B32" s="69">
        <v>44879</v>
      </c>
      <c r="C32" s="69">
        <v>44880</v>
      </c>
      <c r="D32" s="70" t="s">
        <v>1638</v>
      </c>
      <c r="E32" s="70" t="s">
        <v>1639</v>
      </c>
      <c r="F32" s="71">
        <v>52.454554000000002</v>
      </c>
      <c r="G32" s="72">
        <v>0</v>
      </c>
      <c r="H32" s="71">
        <v>0</v>
      </c>
      <c r="I32" s="73">
        <v>0</v>
      </c>
      <c r="J32" s="73">
        <v>0</v>
      </c>
      <c r="K32" s="73">
        <v>0</v>
      </c>
      <c r="L32" s="74">
        <v>0</v>
      </c>
      <c r="M32" s="73">
        <v>0</v>
      </c>
      <c r="N32" s="74">
        <v>0</v>
      </c>
    </row>
    <row r="33" spans="2:14" x14ac:dyDescent="0.25">
      <c r="B33" s="69">
        <v>44879</v>
      </c>
      <c r="C33" s="69">
        <v>44880</v>
      </c>
      <c r="D33" s="70" t="s">
        <v>1668</v>
      </c>
      <c r="E33" s="70" t="s">
        <v>1669</v>
      </c>
      <c r="F33" s="71">
        <v>218.43698900000001</v>
      </c>
      <c r="G33" s="72">
        <v>79.864611413041004</v>
      </c>
      <c r="H33" s="71">
        <v>95</v>
      </c>
      <c r="I33" s="73">
        <v>3.3933490000000002</v>
      </c>
      <c r="J33" s="73">
        <v>83.922634000000002</v>
      </c>
      <c r="K33" s="73">
        <v>83.94</v>
      </c>
      <c r="L33" s="74">
        <v>100</v>
      </c>
      <c r="M33" s="73">
        <v>83.906999999999996</v>
      </c>
      <c r="N33" s="74">
        <v>1.5633999999999999E-2</v>
      </c>
    </row>
    <row r="34" spans="2:14" x14ac:dyDescent="0.25">
      <c r="B34" s="69">
        <v>44886</v>
      </c>
      <c r="C34" s="69">
        <v>44887</v>
      </c>
      <c r="D34" s="70" t="s">
        <v>1624</v>
      </c>
      <c r="E34" s="70" t="s">
        <v>1625</v>
      </c>
      <c r="F34" s="71">
        <v>341.61898400000001</v>
      </c>
      <c r="G34" s="72">
        <v>194.16210218750001</v>
      </c>
      <c r="H34" s="71">
        <v>213.1</v>
      </c>
      <c r="I34" s="73">
        <v>3.086811</v>
      </c>
      <c r="J34" s="73">
        <v>91.074078</v>
      </c>
      <c r="K34" s="73">
        <v>91.08</v>
      </c>
      <c r="L34" s="74">
        <v>13.1</v>
      </c>
      <c r="M34" s="73">
        <v>91.06</v>
      </c>
      <c r="N34" s="74">
        <v>1.4078E-2</v>
      </c>
    </row>
    <row r="35" spans="2:14" x14ac:dyDescent="0.25">
      <c r="B35" s="69">
        <v>44886</v>
      </c>
      <c r="C35" s="69">
        <v>44887</v>
      </c>
      <c r="D35" s="70" t="s">
        <v>1626</v>
      </c>
      <c r="E35" s="70" t="s">
        <v>1627</v>
      </c>
      <c r="F35" s="71">
        <v>23.644589</v>
      </c>
      <c r="G35" s="72">
        <v>0</v>
      </c>
      <c r="H35" s="71">
        <v>0</v>
      </c>
      <c r="I35" s="73">
        <v>0</v>
      </c>
      <c r="J35" s="73">
        <v>0</v>
      </c>
      <c r="K35" s="73">
        <v>0</v>
      </c>
      <c r="L35" s="74">
        <v>0</v>
      </c>
      <c r="M35" s="73">
        <v>0</v>
      </c>
      <c r="N35" s="74">
        <v>0</v>
      </c>
    </row>
    <row r="36" spans="2:14" x14ac:dyDescent="0.25">
      <c r="B36" s="69">
        <v>44886</v>
      </c>
      <c r="C36" s="69">
        <v>44887</v>
      </c>
      <c r="D36" s="70" t="s">
        <v>1628</v>
      </c>
      <c r="E36" s="70" t="s">
        <v>1629</v>
      </c>
      <c r="F36" s="71">
        <v>328.85490800000002</v>
      </c>
      <c r="G36" s="72">
        <v>246.47557623627301</v>
      </c>
      <c r="H36" s="71">
        <v>275</v>
      </c>
      <c r="I36" s="73">
        <v>3.2253029999999998</v>
      </c>
      <c r="J36" s="73">
        <v>89.595546999999996</v>
      </c>
      <c r="K36" s="73">
        <v>89.606999999999999</v>
      </c>
      <c r="L36" s="74">
        <v>100</v>
      </c>
      <c r="M36" s="73">
        <v>89.576999999999998</v>
      </c>
      <c r="N36" s="74">
        <v>1.8547000000000001E-2</v>
      </c>
    </row>
    <row r="37" spans="2:14" x14ac:dyDescent="0.25">
      <c r="B37" s="69">
        <v>44886</v>
      </c>
      <c r="C37" s="69">
        <v>44887</v>
      </c>
      <c r="D37" s="70" t="s">
        <v>1630</v>
      </c>
      <c r="E37" s="70" t="s">
        <v>1631</v>
      </c>
      <c r="F37" s="71">
        <v>549.58937500000002</v>
      </c>
      <c r="G37" s="72">
        <v>247.93185706520799</v>
      </c>
      <c r="H37" s="71">
        <v>270</v>
      </c>
      <c r="I37" s="73">
        <v>3.249044</v>
      </c>
      <c r="J37" s="73">
        <v>91.408815000000004</v>
      </c>
      <c r="K37" s="73">
        <v>91.414000000000001</v>
      </c>
      <c r="L37" s="74">
        <v>100</v>
      </c>
      <c r="M37" s="73">
        <v>91.4</v>
      </c>
      <c r="N37" s="74">
        <v>8.8149999999999999E-3</v>
      </c>
    </row>
    <row r="38" spans="2:14" x14ac:dyDescent="0.25">
      <c r="B38" s="69">
        <v>44886</v>
      </c>
      <c r="C38" s="69">
        <v>44887</v>
      </c>
      <c r="D38" s="70" t="s">
        <v>1632</v>
      </c>
      <c r="E38" s="70" t="s">
        <v>1633</v>
      </c>
      <c r="F38" s="71">
        <v>0</v>
      </c>
      <c r="G38" s="72">
        <v>0</v>
      </c>
      <c r="H38" s="71">
        <v>0</v>
      </c>
      <c r="I38" s="73">
        <v>0</v>
      </c>
      <c r="J38" s="73">
        <v>0</v>
      </c>
      <c r="K38" s="73">
        <v>0</v>
      </c>
      <c r="L38" s="74">
        <v>0</v>
      </c>
      <c r="M38" s="73">
        <v>0</v>
      </c>
      <c r="N38" s="74">
        <v>0</v>
      </c>
    </row>
    <row r="39" spans="2:14" x14ac:dyDescent="0.25">
      <c r="B39" s="69">
        <v>44886</v>
      </c>
      <c r="C39" s="69">
        <v>44887</v>
      </c>
      <c r="D39" s="70" t="s">
        <v>1634</v>
      </c>
      <c r="E39" s="70" t="s">
        <v>1635</v>
      </c>
      <c r="F39" s="71">
        <v>99.585705000000004</v>
      </c>
      <c r="G39" s="72">
        <v>0</v>
      </c>
      <c r="H39" s="71">
        <v>0</v>
      </c>
      <c r="I39" s="73">
        <v>0</v>
      </c>
      <c r="J39" s="73">
        <v>0</v>
      </c>
      <c r="K39" s="73">
        <v>0</v>
      </c>
      <c r="L39" s="74">
        <v>0</v>
      </c>
      <c r="M39" s="73">
        <v>0</v>
      </c>
      <c r="N39" s="74">
        <v>0</v>
      </c>
    </row>
    <row r="40" spans="2:14" x14ac:dyDescent="0.25">
      <c r="B40" s="69">
        <v>44886</v>
      </c>
      <c r="C40" s="69">
        <v>44887</v>
      </c>
      <c r="D40" s="70" t="s">
        <v>1636</v>
      </c>
      <c r="E40" s="70" t="s">
        <v>1637</v>
      </c>
      <c r="F40" s="71">
        <v>141.929508</v>
      </c>
      <c r="G40" s="72">
        <v>32.069937499999</v>
      </c>
      <c r="H40" s="71">
        <v>35</v>
      </c>
      <c r="I40" s="73">
        <v>3.2162760000000001</v>
      </c>
      <c r="J40" s="73">
        <v>91.49</v>
      </c>
      <c r="K40" s="73">
        <v>91.49</v>
      </c>
      <c r="L40" s="74">
        <v>100</v>
      </c>
      <c r="M40" s="73">
        <v>91.49</v>
      </c>
      <c r="N40" s="74">
        <v>0</v>
      </c>
    </row>
    <row r="41" spans="2:14" x14ac:dyDescent="0.25">
      <c r="B41" s="69">
        <v>44886</v>
      </c>
      <c r="C41" s="69">
        <v>44887</v>
      </c>
      <c r="D41" s="70" t="s">
        <v>1638</v>
      </c>
      <c r="E41" s="70" t="s">
        <v>1639</v>
      </c>
      <c r="F41" s="71">
        <v>29.276024</v>
      </c>
      <c r="G41" s="72">
        <v>29.276024590165001</v>
      </c>
      <c r="H41" s="71">
        <v>25</v>
      </c>
      <c r="I41" s="73">
        <v>3.3555199999999998</v>
      </c>
      <c r="J41" s="73">
        <v>114.35</v>
      </c>
      <c r="K41" s="73">
        <v>114.35</v>
      </c>
      <c r="L41" s="74">
        <v>100</v>
      </c>
      <c r="M41" s="73">
        <v>114.35</v>
      </c>
      <c r="N41" s="74">
        <v>0</v>
      </c>
    </row>
    <row r="42" spans="2:14" x14ac:dyDescent="0.25">
      <c r="B42" s="69">
        <v>44886</v>
      </c>
      <c r="C42" s="69">
        <v>44887</v>
      </c>
      <c r="D42" s="70" t="s">
        <v>1668</v>
      </c>
      <c r="E42" s="70" t="s">
        <v>1669</v>
      </c>
      <c r="F42" s="71">
        <v>0</v>
      </c>
      <c r="G42" s="72">
        <v>0</v>
      </c>
      <c r="H42" s="71">
        <v>0</v>
      </c>
      <c r="I42" s="73">
        <v>0</v>
      </c>
      <c r="J42" s="73">
        <v>0</v>
      </c>
      <c r="K42" s="73">
        <v>0</v>
      </c>
      <c r="L42" s="74">
        <v>0</v>
      </c>
      <c r="M42" s="73">
        <v>0</v>
      </c>
      <c r="N42" s="74">
        <v>0</v>
      </c>
    </row>
    <row r="43" spans="2:14" x14ac:dyDescent="0.25">
      <c r="B43" s="69">
        <v>44886</v>
      </c>
      <c r="C43" s="69">
        <v>44887</v>
      </c>
      <c r="D43" s="70" t="s">
        <v>1640</v>
      </c>
      <c r="E43" s="70" t="s">
        <v>1641</v>
      </c>
      <c r="F43" s="71">
        <v>0</v>
      </c>
      <c r="G43" s="72">
        <v>0</v>
      </c>
      <c r="H43" s="71">
        <v>0</v>
      </c>
      <c r="I43" s="73">
        <v>0</v>
      </c>
      <c r="J43" s="73">
        <v>0</v>
      </c>
      <c r="K43" s="73">
        <v>0</v>
      </c>
      <c r="L43" s="74">
        <v>0</v>
      </c>
      <c r="M43" s="73">
        <v>0</v>
      </c>
      <c r="N43" s="74">
        <v>0</v>
      </c>
    </row>
    <row r="44" spans="2:14" x14ac:dyDescent="0.25">
      <c r="B44" s="69">
        <v>44889</v>
      </c>
      <c r="C44" s="69">
        <v>44890</v>
      </c>
      <c r="D44" s="70" t="s">
        <v>1642</v>
      </c>
      <c r="E44" s="70" t="s">
        <v>1643</v>
      </c>
      <c r="F44" s="71">
        <v>711.70249000000001</v>
      </c>
      <c r="G44" s="72">
        <v>366.46212362638499</v>
      </c>
      <c r="H44" s="71">
        <v>450</v>
      </c>
      <c r="I44" s="73">
        <v>3.038967</v>
      </c>
      <c r="J44" s="73">
        <v>81.400999999999996</v>
      </c>
      <c r="K44" s="73">
        <v>81.400999999999996</v>
      </c>
      <c r="L44" s="74">
        <v>100</v>
      </c>
      <c r="M44" s="73">
        <v>81.400999999999996</v>
      </c>
      <c r="N44" s="74">
        <v>0</v>
      </c>
    </row>
    <row r="45" spans="2:14" x14ac:dyDescent="0.25">
      <c r="B45" s="69">
        <v>44889</v>
      </c>
      <c r="C45" s="69">
        <v>44890</v>
      </c>
      <c r="D45" s="70" t="s">
        <v>1644</v>
      </c>
      <c r="E45" s="70" t="s">
        <v>1645</v>
      </c>
      <c r="F45" s="71">
        <v>28.670065000000001</v>
      </c>
      <c r="G45" s="72">
        <v>28.67006557377</v>
      </c>
      <c r="H45" s="71">
        <v>25</v>
      </c>
      <c r="I45" s="73">
        <v>2.9931049999999999</v>
      </c>
      <c r="J45" s="73">
        <v>112.461</v>
      </c>
      <c r="K45" s="73">
        <v>112.461</v>
      </c>
      <c r="L45" s="74">
        <v>100</v>
      </c>
      <c r="M45" s="73">
        <v>112.461</v>
      </c>
      <c r="N45" s="74">
        <v>0</v>
      </c>
    </row>
    <row r="46" spans="2:14" x14ac:dyDescent="0.25">
      <c r="B46" s="69">
        <v>44889</v>
      </c>
      <c r="C46" s="69">
        <v>44890</v>
      </c>
      <c r="D46" s="70" t="s">
        <v>1646</v>
      </c>
      <c r="E46" s="70" t="s">
        <v>1647</v>
      </c>
      <c r="F46" s="71">
        <v>11.822922</v>
      </c>
      <c r="G46" s="72">
        <v>11.822922554348001</v>
      </c>
      <c r="H46" s="71">
        <v>15</v>
      </c>
      <c r="I46" s="73">
        <v>3.0565129999999998</v>
      </c>
      <c r="J46" s="73">
        <v>78.739999999999995</v>
      </c>
      <c r="K46" s="73">
        <v>78.739999999999995</v>
      </c>
      <c r="L46" s="74">
        <v>100</v>
      </c>
      <c r="M46" s="73">
        <v>78.739999999999995</v>
      </c>
      <c r="N46" s="74">
        <v>0</v>
      </c>
    </row>
    <row r="47" spans="2:14" x14ac:dyDescent="0.25">
      <c r="B47" s="69">
        <v>44889</v>
      </c>
      <c r="C47" s="69">
        <v>44890</v>
      </c>
      <c r="D47" s="70" t="s">
        <v>1648</v>
      </c>
      <c r="E47" s="70" t="s">
        <v>1649</v>
      </c>
      <c r="F47" s="71">
        <v>84.132491000000002</v>
      </c>
      <c r="G47" s="72">
        <v>84.132491803275002</v>
      </c>
      <c r="H47" s="71">
        <v>75</v>
      </c>
      <c r="I47" s="73">
        <v>3.0120439999999999</v>
      </c>
      <c r="J47" s="73">
        <v>110.191014</v>
      </c>
      <c r="K47" s="73">
        <v>110.241</v>
      </c>
      <c r="L47" s="74">
        <v>100</v>
      </c>
      <c r="M47" s="73">
        <v>110.14100000000001</v>
      </c>
      <c r="N47" s="74">
        <v>5.0014000000000003E-2</v>
      </c>
    </row>
    <row r="48" spans="2:14" x14ac:dyDescent="0.25">
      <c r="B48" s="69">
        <v>44889</v>
      </c>
      <c r="C48" s="69">
        <v>44890</v>
      </c>
      <c r="D48" s="70" t="s">
        <v>1670</v>
      </c>
      <c r="E48" s="70" t="s">
        <v>1671</v>
      </c>
      <c r="F48" s="71">
        <v>0</v>
      </c>
      <c r="G48" s="72">
        <v>0</v>
      </c>
      <c r="H48" s="71">
        <v>0</v>
      </c>
      <c r="I48" s="73">
        <v>0</v>
      </c>
      <c r="J48" s="73">
        <v>0</v>
      </c>
      <c r="K48" s="73">
        <v>0</v>
      </c>
      <c r="L48" s="74">
        <v>0</v>
      </c>
      <c r="M48" s="73">
        <v>0</v>
      </c>
      <c r="N48" s="74">
        <v>0</v>
      </c>
    </row>
    <row r="49" spans="2:14" x14ac:dyDescent="0.25">
      <c r="B49" s="69">
        <v>44889</v>
      </c>
      <c r="C49" s="69">
        <v>44890</v>
      </c>
      <c r="D49" s="70" t="s">
        <v>1650</v>
      </c>
      <c r="E49" s="70" t="s">
        <v>1651</v>
      </c>
      <c r="F49" s="71">
        <v>300.86161700000002</v>
      </c>
      <c r="G49" s="72">
        <v>0</v>
      </c>
      <c r="H49" s="71">
        <v>0</v>
      </c>
      <c r="I49" s="73">
        <v>0</v>
      </c>
      <c r="J49" s="73">
        <v>0</v>
      </c>
      <c r="K49" s="73">
        <v>0</v>
      </c>
      <c r="L49" s="74">
        <v>0</v>
      </c>
      <c r="M49" s="73">
        <v>0</v>
      </c>
      <c r="N49" s="74">
        <v>0</v>
      </c>
    </row>
    <row r="50" spans="2:14" x14ac:dyDescent="0.25">
      <c r="B50" s="69">
        <v>44889</v>
      </c>
      <c r="C50" s="69">
        <v>44890</v>
      </c>
      <c r="D50" s="70" t="s">
        <v>1652</v>
      </c>
      <c r="E50" s="70" t="s">
        <v>1653</v>
      </c>
      <c r="F50" s="71">
        <v>0</v>
      </c>
      <c r="G50" s="72">
        <v>0</v>
      </c>
      <c r="H50" s="71">
        <v>0</v>
      </c>
      <c r="I50" s="73">
        <v>0</v>
      </c>
      <c r="J50" s="73">
        <v>0</v>
      </c>
      <c r="K50" s="73">
        <v>0</v>
      </c>
      <c r="L50" s="74">
        <v>0</v>
      </c>
      <c r="M50" s="73">
        <v>0</v>
      </c>
      <c r="N50" s="74">
        <v>0</v>
      </c>
    </row>
    <row r="51" spans="2:14" x14ac:dyDescent="0.25">
      <c r="B51" s="69">
        <v>44889</v>
      </c>
      <c r="C51" s="69">
        <v>44890</v>
      </c>
      <c r="D51" s="70" t="s">
        <v>1654</v>
      </c>
      <c r="E51" s="70" t="s">
        <v>1655</v>
      </c>
      <c r="F51" s="71">
        <v>0</v>
      </c>
      <c r="G51" s="72">
        <v>0</v>
      </c>
      <c r="H51" s="71">
        <v>0</v>
      </c>
      <c r="I51" s="73">
        <v>0</v>
      </c>
      <c r="J51" s="73">
        <v>0</v>
      </c>
      <c r="K51" s="73">
        <v>0</v>
      </c>
      <c r="L51" s="74">
        <v>0</v>
      </c>
      <c r="M51" s="73">
        <v>0</v>
      </c>
      <c r="N51" s="74">
        <v>0</v>
      </c>
    </row>
    <row r="52" spans="2:14" x14ac:dyDescent="0.25">
      <c r="B52" s="69">
        <v>44889</v>
      </c>
      <c r="C52" s="69">
        <v>44890</v>
      </c>
      <c r="D52" s="70" t="s">
        <v>1656</v>
      </c>
      <c r="E52" s="70" t="s">
        <v>1657</v>
      </c>
      <c r="F52" s="71">
        <v>173.05297999999999</v>
      </c>
      <c r="G52" s="72">
        <v>161.63403403315499</v>
      </c>
      <c r="H52" s="71">
        <v>198</v>
      </c>
      <c r="I52" s="73">
        <v>3.3707590000000001</v>
      </c>
      <c r="J52" s="73">
        <v>81.251475999999997</v>
      </c>
      <c r="K52" s="73">
        <v>81.319999999999993</v>
      </c>
      <c r="L52" s="74">
        <v>82.716048999999998</v>
      </c>
      <c r="M52" s="73">
        <v>81.182000000000002</v>
      </c>
      <c r="N52" s="74">
        <v>6.9475999999999996E-2</v>
      </c>
    </row>
    <row r="53" spans="2:14" x14ac:dyDescent="0.25">
      <c r="B53" s="69">
        <v>44889</v>
      </c>
      <c r="C53" s="69">
        <v>44890</v>
      </c>
      <c r="D53" s="70" t="s">
        <v>1658</v>
      </c>
      <c r="E53" s="70" t="s">
        <v>1659</v>
      </c>
      <c r="F53" s="71">
        <v>59.494630999999998</v>
      </c>
      <c r="G53" s="72">
        <v>29.772315573770001</v>
      </c>
      <c r="H53" s="71">
        <v>25</v>
      </c>
      <c r="I53" s="73">
        <v>3.3784559999999999</v>
      </c>
      <c r="J53" s="73">
        <v>116.87</v>
      </c>
      <c r="K53" s="73">
        <v>116.87</v>
      </c>
      <c r="L53" s="74">
        <v>100</v>
      </c>
      <c r="M53" s="73">
        <v>116.87</v>
      </c>
      <c r="N53" s="74">
        <v>0</v>
      </c>
    </row>
    <row r="54" spans="2:14" x14ac:dyDescent="0.25">
      <c r="B54" s="69">
        <v>44889</v>
      </c>
      <c r="C54" s="69">
        <v>44890</v>
      </c>
      <c r="D54" s="70" t="s">
        <v>1662</v>
      </c>
      <c r="E54" s="70" t="s">
        <v>1663</v>
      </c>
      <c r="F54" s="71">
        <v>0</v>
      </c>
      <c r="G54" s="72">
        <v>0</v>
      </c>
      <c r="H54" s="71">
        <v>0</v>
      </c>
      <c r="I54" s="73">
        <v>0</v>
      </c>
      <c r="J54" s="73">
        <v>0</v>
      </c>
      <c r="K54" s="73">
        <v>0</v>
      </c>
      <c r="L54" s="74">
        <v>0</v>
      </c>
      <c r="M54" s="73">
        <v>0</v>
      </c>
      <c r="N54" s="74">
        <v>0</v>
      </c>
    </row>
    <row r="55" spans="2:14" x14ac:dyDescent="0.25">
      <c r="B55" s="69">
        <v>44889</v>
      </c>
      <c r="C55" s="69">
        <v>44890</v>
      </c>
      <c r="D55" s="70" t="s">
        <v>1664</v>
      </c>
      <c r="E55" s="70" t="s">
        <v>1665</v>
      </c>
      <c r="F55" s="71">
        <v>0</v>
      </c>
      <c r="G55" s="72">
        <v>0</v>
      </c>
      <c r="H55" s="71">
        <v>0</v>
      </c>
      <c r="I55" s="73">
        <v>0</v>
      </c>
      <c r="J55" s="73">
        <v>0</v>
      </c>
      <c r="K55" s="73">
        <v>0</v>
      </c>
      <c r="L55" s="74">
        <v>0</v>
      </c>
      <c r="M55" s="73">
        <v>0</v>
      </c>
      <c r="N55" s="74">
        <v>0</v>
      </c>
    </row>
    <row r="56" spans="2:14" x14ac:dyDescent="0.25">
      <c r="B56" s="69">
        <v>44889</v>
      </c>
      <c r="C56" s="69">
        <v>44890</v>
      </c>
      <c r="D56" s="70" t="s">
        <v>1666</v>
      </c>
      <c r="E56" s="70" t="s">
        <v>1667</v>
      </c>
      <c r="F56" s="71">
        <v>67.475920000000002</v>
      </c>
      <c r="G56" s="72">
        <v>67.475920329671993</v>
      </c>
      <c r="H56" s="71">
        <v>95</v>
      </c>
      <c r="I56" s="73">
        <v>3.3369719999999998</v>
      </c>
      <c r="J56" s="73">
        <v>70.910572000000002</v>
      </c>
      <c r="K56" s="73">
        <v>70.94</v>
      </c>
      <c r="L56" s="74">
        <v>100</v>
      </c>
      <c r="M56" s="73">
        <v>70.8</v>
      </c>
      <c r="N56" s="74">
        <v>0.110572</v>
      </c>
    </row>
    <row r="57" spans="2:14" x14ac:dyDescent="0.25">
      <c r="B57" s="69">
        <v>44893</v>
      </c>
      <c r="C57" s="69">
        <v>44894</v>
      </c>
      <c r="D57" s="70" t="s">
        <v>1642</v>
      </c>
      <c r="E57" s="70" t="s">
        <v>1643</v>
      </c>
      <c r="F57" s="71">
        <v>249.40135900000001</v>
      </c>
      <c r="G57" s="72">
        <v>160.96229670330001</v>
      </c>
      <c r="H57" s="71">
        <v>200</v>
      </c>
      <c r="I57" s="73">
        <v>3.197511</v>
      </c>
      <c r="J57" s="73">
        <v>80.442003999999997</v>
      </c>
      <c r="K57" s="73">
        <v>80.462000000000003</v>
      </c>
      <c r="L57" s="74">
        <v>100</v>
      </c>
      <c r="M57" s="73">
        <v>80.421999999999997</v>
      </c>
      <c r="N57" s="74">
        <v>2.0004000000000001E-2</v>
      </c>
    </row>
    <row r="58" spans="2:14" x14ac:dyDescent="0.25">
      <c r="B58" s="69">
        <v>44893</v>
      </c>
      <c r="C58" s="69">
        <v>44894</v>
      </c>
      <c r="D58" s="70" t="s">
        <v>1644</v>
      </c>
      <c r="E58" s="70" t="s">
        <v>1645</v>
      </c>
      <c r="F58" s="71">
        <v>776.751172</v>
      </c>
      <c r="G58" s="72">
        <v>399.204039584707</v>
      </c>
      <c r="H58" s="71">
        <v>358.9</v>
      </c>
      <c r="I58" s="73">
        <v>3.1408079999999998</v>
      </c>
      <c r="J58" s="73">
        <v>111.333707</v>
      </c>
      <c r="K58" s="73">
        <v>111.339</v>
      </c>
      <c r="L58" s="74">
        <v>78.484848</v>
      </c>
      <c r="M58" s="73">
        <v>111.27200000000001</v>
      </c>
      <c r="N58" s="74">
        <v>6.1706999999999998E-2</v>
      </c>
    </row>
    <row r="59" spans="2:14" x14ac:dyDescent="0.25">
      <c r="B59" s="69">
        <v>44893</v>
      </c>
      <c r="C59" s="69">
        <v>44894</v>
      </c>
      <c r="D59" s="70" t="s">
        <v>1646</v>
      </c>
      <c r="E59" s="70" t="s">
        <v>1647</v>
      </c>
      <c r="F59" s="71">
        <v>0</v>
      </c>
      <c r="G59" s="72">
        <v>0</v>
      </c>
      <c r="H59" s="71">
        <v>0</v>
      </c>
      <c r="I59" s="73">
        <v>0</v>
      </c>
      <c r="J59" s="73">
        <v>0</v>
      </c>
      <c r="K59" s="73">
        <v>0</v>
      </c>
      <c r="L59" s="74">
        <v>0</v>
      </c>
      <c r="M59" s="73">
        <v>0</v>
      </c>
      <c r="N59" s="74">
        <v>0</v>
      </c>
    </row>
    <row r="60" spans="2:14" x14ac:dyDescent="0.25">
      <c r="B60" s="69">
        <v>44893</v>
      </c>
      <c r="C60" s="69">
        <v>44894</v>
      </c>
      <c r="D60" s="70" t="s">
        <v>1648</v>
      </c>
      <c r="E60" s="70" t="s">
        <v>1649</v>
      </c>
      <c r="F60" s="71">
        <v>175.198587</v>
      </c>
      <c r="G60" s="72">
        <v>120.84453524590501</v>
      </c>
      <c r="H60" s="71">
        <v>111</v>
      </c>
      <c r="I60" s="73">
        <v>3.1532070000000001</v>
      </c>
      <c r="J60" s="73">
        <v>108.96184700000001</v>
      </c>
      <c r="K60" s="73">
        <v>108.965</v>
      </c>
      <c r="L60" s="74">
        <v>100</v>
      </c>
      <c r="M60" s="73">
        <v>108.95099999999999</v>
      </c>
      <c r="N60" s="74">
        <v>1.0847000000000001E-2</v>
      </c>
    </row>
    <row r="61" spans="2:14" x14ac:dyDescent="0.25">
      <c r="B61" s="69">
        <v>44893</v>
      </c>
      <c r="C61" s="69">
        <v>44894</v>
      </c>
      <c r="D61" s="70" t="s">
        <v>1670</v>
      </c>
      <c r="E61" s="70" t="s">
        <v>1671</v>
      </c>
      <c r="F61" s="71">
        <v>0</v>
      </c>
      <c r="G61" s="72">
        <v>0</v>
      </c>
      <c r="H61" s="71">
        <v>0</v>
      </c>
      <c r="I61" s="73">
        <v>0</v>
      </c>
      <c r="J61" s="73">
        <v>0</v>
      </c>
      <c r="K61" s="73">
        <v>0</v>
      </c>
      <c r="L61" s="74">
        <v>0</v>
      </c>
      <c r="M61" s="73">
        <v>0</v>
      </c>
      <c r="N61" s="74">
        <v>0</v>
      </c>
    </row>
    <row r="62" spans="2:14" x14ac:dyDescent="0.25">
      <c r="B62" s="69">
        <v>44893</v>
      </c>
      <c r="C62" s="69">
        <v>44894</v>
      </c>
      <c r="D62" s="70" t="s">
        <v>1650</v>
      </c>
      <c r="E62" s="70" t="s">
        <v>1651</v>
      </c>
      <c r="F62" s="71">
        <v>488.14319</v>
      </c>
      <c r="G62" s="72">
        <v>61.957972375689998</v>
      </c>
      <c r="H62" s="71">
        <v>55</v>
      </c>
      <c r="I62" s="73">
        <v>3.3002739999999999</v>
      </c>
      <c r="J62" s="73">
        <v>111.619091</v>
      </c>
      <c r="K62" s="73">
        <v>111.63</v>
      </c>
      <c r="L62" s="74">
        <v>100</v>
      </c>
      <c r="M62" s="73">
        <v>111.61</v>
      </c>
      <c r="N62" s="74">
        <v>9.0910000000000001E-3</v>
      </c>
    </row>
    <row r="63" spans="2:14" x14ac:dyDescent="0.25">
      <c r="B63" s="69">
        <v>44893</v>
      </c>
      <c r="C63" s="69">
        <v>44894</v>
      </c>
      <c r="D63" s="70" t="s">
        <v>1652</v>
      </c>
      <c r="E63" s="70" t="s">
        <v>1653</v>
      </c>
      <c r="F63" s="71">
        <v>0</v>
      </c>
      <c r="G63" s="72">
        <v>0</v>
      </c>
      <c r="H63" s="71">
        <v>0</v>
      </c>
      <c r="I63" s="73">
        <v>0</v>
      </c>
      <c r="J63" s="73">
        <v>0</v>
      </c>
      <c r="K63" s="73">
        <v>0</v>
      </c>
      <c r="L63" s="74">
        <v>0</v>
      </c>
      <c r="M63" s="73">
        <v>0</v>
      </c>
      <c r="N63" s="74">
        <v>0</v>
      </c>
    </row>
    <row r="64" spans="2:14" x14ac:dyDescent="0.25">
      <c r="B64" s="69">
        <v>44893</v>
      </c>
      <c r="C64" s="69">
        <v>44894</v>
      </c>
      <c r="D64" s="70" t="s">
        <v>1654</v>
      </c>
      <c r="E64" s="70" t="s">
        <v>1655</v>
      </c>
      <c r="F64" s="71">
        <v>82.033334999999994</v>
      </c>
      <c r="G64" s="72">
        <v>0</v>
      </c>
      <c r="H64" s="71">
        <v>0</v>
      </c>
      <c r="I64" s="73">
        <v>0</v>
      </c>
      <c r="J64" s="73">
        <v>0</v>
      </c>
      <c r="K64" s="73">
        <v>0</v>
      </c>
      <c r="L64" s="74">
        <v>0</v>
      </c>
      <c r="M64" s="73">
        <v>0</v>
      </c>
      <c r="N64" s="74">
        <v>0</v>
      </c>
    </row>
    <row r="65" spans="2:14" x14ac:dyDescent="0.25">
      <c r="B65" s="69">
        <v>44893</v>
      </c>
      <c r="C65" s="69">
        <v>44894</v>
      </c>
      <c r="D65" s="70" t="s">
        <v>1656</v>
      </c>
      <c r="E65" s="70" t="s">
        <v>1657</v>
      </c>
      <c r="F65" s="71">
        <v>0</v>
      </c>
      <c r="G65" s="72">
        <v>0</v>
      </c>
      <c r="H65" s="71">
        <v>0</v>
      </c>
      <c r="I65" s="73">
        <v>0</v>
      </c>
      <c r="J65" s="73">
        <v>0</v>
      </c>
      <c r="K65" s="73">
        <v>0</v>
      </c>
      <c r="L65" s="74">
        <v>0</v>
      </c>
      <c r="M65" s="73">
        <v>0</v>
      </c>
      <c r="N65" s="74">
        <v>0</v>
      </c>
    </row>
    <row r="66" spans="2:14" x14ac:dyDescent="0.25">
      <c r="B66" s="69">
        <v>44893</v>
      </c>
      <c r="C66" s="69">
        <v>44894</v>
      </c>
      <c r="D66" s="70" t="s">
        <v>1658</v>
      </c>
      <c r="E66" s="70" t="s">
        <v>1659</v>
      </c>
      <c r="F66" s="71">
        <v>0</v>
      </c>
      <c r="G66" s="72">
        <v>0</v>
      </c>
      <c r="H66" s="71">
        <v>0</v>
      </c>
      <c r="I66" s="73">
        <v>0</v>
      </c>
      <c r="J66" s="73">
        <v>0</v>
      </c>
      <c r="K66" s="73">
        <v>0</v>
      </c>
      <c r="L66" s="74">
        <v>0</v>
      </c>
      <c r="M66" s="73">
        <v>0</v>
      </c>
      <c r="N66" s="74">
        <v>0</v>
      </c>
    </row>
    <row r="67" spans="2:14" x14ac:dyDescent="0.25">
      <c r="B67" s="69">
        <v>44893</v>
      </c>
      <c r="C67" s="69">
        <v>44894</v>
      </c>
      <c r="D67" s="70" t="s">
        <v>1662</v>
      </c>
      <c r="E67" s="70" t="s">
        <v>1663</v>
      </c>
      <c r="F67" s="71">
        <v>0</v>
      </c>
      <c r="G67" s="72">
        <v>0</v>
      </c>
      <c r="H67" s="71">
        <v>0</v>
      </c>
      <c r="I67" s="73">
        <v>0</v>
      </c>
      <c r="J67" s="73">
        <v>0</v>
      </c>
      <c r="K67" s="73">
        <v>0</v>
      </c>
      <c r="L67" s="74">
        <v>0</v>
      </c>
      <c r="M67" s="73">
        <v>0</v>
      </c>
      <c r="N67" s="74">
        <v>0</v>
      </c>
    </row>
    <row r="68" spans="2:14" x14ac:dyDescent="0.25">
      <c r="B68" s="69">
        <v>44893</v>
      </c>
      <c r="C68" s="69">
        <v>44894</v>
      </c>
      <c r="D68" s="70" t="s">
        <v>1664</v>
      </c>
      <c r="E68" s="70" t="s">
        <v>1665</v>
      </c>
      <c r="F68" s="71">
        <v>0</v>
      </c>
      <c r="G68" s="72">
        <v>0</v>
      </c>
      <c r="H68" s="71">
        <v>0</v>
      </c>
      <c r="I68" s="73">
        <v>0</v>
      </c>
      <c r="J68" s="73">
        <v>0</v>
      </c>
      <c r="K68" s="73">
        <v>0</v>
      </c>
      <c r="L68" s="74">
        <v>0</v>
      </c>
      <c r="M68" s="73">
        <v>0</v>
      </c>
      <c r="N68" s="74">
        <v>0</v>
      </c>
    </row>
    <row r="69" spans="2:14" x14ac:dyDescent="0.25">
      <c r="B69" s="69">
        <v>44893</v>
      </c>
      <c r="C69" s="69">
        <v>44894</v>
      </c>
      <c r="D69" s="70" t="s">
        <v>1666</v>
      </c>
      <c r="E69" s="70" t="s">
        <v>1667</v>
      </c>
      <c r="F69" s="71">
        <v>24.273423000000001</v>
      </c>
      <c r="G69" s="72">
        <v>6.9455494505489996</v>
      </c>
      <c r="H69" s="72">
        <v>10</v>
      </c>
      <c r="I69" s="73">
        <v>3.4784470000000001</v>
      </c>
      <c r="J69" s="73">
        <v>69.325000000000003</v>
      </c>
      <c r="K69" s="73">
        <v>69.325000000000003</v>
      </c>
      <c r="L69" s="74">
        <v>100</v>
      </c>
      <c r="M69" s="73">
        <v>69.325000000000003</v>
      </c>
      <c r="N69" s="74">
        <v>0</v>
      </c>
    </row>
    <row r="70" spans="2:14" x14ac:dyDescent="0.25">
      <c r="B70" s="69">
        <v>44900</v>
      </c>
      <c r="C70" s="69">
        <v>44901</v>
      </c>
      <c r="D70" s="70" t="s">
        <v>1624</v>
      </c>
      <c r="E70" s="70" t="s">
        <v>1625</v>
      </c>
      <c r="F70" s="71">
        <v>342.46547500000003</v>
      </c>
      <c r="G70" s="72">
        <v>91.123817934780007</v>
      </c>
      <c r="H70" s="72">
        <v>100</v>
      </c>
      <c r="I70" s="67">
        <v>3.1206839999999998</v>
      </c>
      <c r="J70" s="67">
        <v>91.08</v>
      </c>
      <c r="K70" s="67">
        <v>91.08</v>
      </c>
      <c r="L70" s="68">
        <v>100</v>
      </c>
      <c r="M70" s="67">
        <v>91.08</v>
      </c>
      <c r="N70" s="68">
        <v>0</v>
      </c>
    </row>
    <row r="71" spans="2:14" x14ac:dyDescent="0.25">
      <c r="B71" s="69">
        <v>44900</v>
      </c>
      <c r="C71" s="69">
        <v>44901</v>
      </c>
      <c r="D71" s="70" t="s">
        <v>1626</v>
      </c>
      <c r="E71" s="70" t="s">
        <v>1627</v>
      </c>
      <c r="F71" s="71">
        <v>58.769441999999998</v>
      </c>
      <c r="G71" s="72">
        <v>58.769442826084997</v>
      </c>
      <c r="H71" s="72">
        <v>62</v>
      </c>
      <c r="I71" s="67">
        <v>3.1965699999999999</v>
      </c>
      <c r="J71" s="67">
        <v>94.230999999999995</v>
      </c>
      <c r="K71" s="67">
        <v>94.230999999999995</v>
      </c>
      <c r="L71" s="68">
        <v>100</v>
      </c>
      <c r="M71" s="67">
        <v>94.230999999999995</v>
      </c>
      <c r="N71" s="68">
        <v>0</v>
      </c>
    </row>
    <row r="72" spans="2:14" x14ac:dyDescent="0.25">
      <c r="B72" s="69">
        <v>44900</v>
      </c>
      <c r="C72" s="69">
        <v>44901</v>
      </c>
      <c r="D72" s="70" t="s">
        <v>1628</v>
      </c>
      <c r="E72" s="70" t="s">
        <v>1629</v>
      </c>
      <c r="F72" s="71">
        <v>510.15848699999998</v>
      </c>
      <c r="G72" s="72">
        <v>393.10198175824303</v>
      </c>
      <c r="H72" s="72">
        <v>438.4</v>
      </c>
      <c r="I72" s="67">
        <v>3.2460330000000002</v>
      </c>
      <c r="J72" s="67">
        <v>89.621063000000007</v>
      </c>
      <c r="K72" s="67">
        <v>89.63</v>
      </c>
      <c r="L72" s="68">
        <v>64.624999000000003</v>
      </c>
      <c r="M72" s="67">
        <v>89.61</v>
      </c>
      <c r="N72" s="68">
        <v>1.1063E-2</v>
      </c>
    </row>
    <row r="73" spans="2:14" x14ac:dyDescent="0.25">
      <c r="B73" s="69">
        <v>44900</v>
      </c>
      <c r="C73" s="69">
        <v>44901</v>
      </c>
      <c r="D73" s="70" t="s">
        <v>1630</v>
      </c>
      <c r="E73" s="70" t="s">
        <v>1631</v>
      </c>
      <c r="F73" s="71">
        <v>500.59444200000002</v>
      </c>
      <c r="G73" s="72">
        <v>45.957676630435003</v>
      </c>
      <c r="H73" s="72">
        <v>50</v>
      </c>
      <c r="I73" s="67">
        <v>3.2549440000000001</v>
      </c>
      <c r="J73" s="67">
        <v>91.45</v>
      </c>
      <c r="K73" s="67">
        <v>91.45</v>
      </c>
      <c r="L73" s="68">
        <v>100</v>
      </c>
      <c r="M73" s="67">
        <v>91.45</v>
      </c>
      <c r="N73" s="68">
        <v>0</v>
      </c>
    </row>
    <row r="74" spans="2:14" x14ac:dyDescent="0.25">
      <c r="B74" s="69">
        <v>44900</v>
      </c>
      <c r="C74" s="69">
        <v>44901</v>
      </c>
      <c r="D74" s="70" t="s">
        <v>1632</v>
      </c>
      <c r="E74" s="70" t="s">
        <v>1633</v>
      </c>
      <c r="F74" s="71">
        <v>52.061692999999998</v>
      </c>
      <c r="G74" s="72">
        <v>0</v>
      </c>
      <c r="H74" s="72">
        <v>0</v>
      </c>
      <c r="I74" s="67">
        <v>0</v>
      </c>
      <c r="J74" s="67">
        <v>0</v>
      </c>
      <c r="K74" s="67">
        <v>0</v>
      </c>
      <c r="L74" s="68">
        <v>0</v>
      </c>
      <c r="M74" s="67">
        <v>0</v>
      </c>
      <c r="N74" s="68">
        <v>0</v>
      </c>
    </row>
    <row r="75" spans="2:14" x14ac:dyDescent="0.25">
      <c r="B75" s="69">
        <v>44900</v>
      </c>
      <c r="C75" s="69">
        <v>44901</v>
      </c>
      <c r="D75" s="70" t="s">
        <v>1634</v>
      </c>
      <c r="E75" s="70" t="s">
        <v>1635</v>
      </c>
      <c r="F75" s="71">
        <v>14.502691</v>
      </c>
      <c r="G75" s="72">
        <v>0</v>
      </c>
      <c r="H75" s="72">
        <v>0</v>
      </c>
      <c r="I75" s="67">
        <v>0</v>
      </c>
      <c r="J75" s="67">
        <v>0</v>
      </c>
      <c r="K75" s="67">
        <v>0</v>
      </c>
      <c r="L75" s="68">
        <v>0</v>
      </c>
      <c r="M75" s="67">
        <v>0</v>
      </c>
      <c r="N75" s="68">
        <v>0</v>
      </c>
    </row>
    <row r="76" spans="2:14" x14ac:dyDescent="0.25">
      <c r="B76" s="69">
        <v>44900</v>
      </c>
      <c r="C76" s="69">
        <v>44901</v>
      </c>
      <c r="D76" s="70" t="s">
        <v>1636</v>
      </c>
      <c r="E76" s="70" t="s">
        <v>1637</v>
      </c>
      <c r="F76" s="71">
        <v>298.58115099999998</v>
      </c>
      <c r="G76" s="72">
        <v>160.90606249999499</v>
      </c>
      <c r="H76" s="72">
        <v>175</v>
      </c>
      <c r="I76" s="67">
        <v>3.1757170000000001</v>
      </c>
      <c r="J76" s="67">
        <v>91.745429000000001</v>
      </c>
      <c r="K76" s="67">
        <v>91.756</v>
      </c>
      <c r="L76" s="68">
        <v>100</v>
      </c>
      <c r="M76" s="67">
        <v>91.736999999999995</v>
      </c>
      <c r="N76" s="68">
        <v>8.4290000000000007E-3</v>
      </c>
    </row>
    <row r="77" spans="2:14" x14ac:dyDescent="0.25">
      <c r="B77" s="69">
        <v>44900</v>
      </c>
      <c r="C77" s="69">
        <v>44901</v>
      </c>
      <c r="D77" s="70" t="s">
        <v>1638</v>
      </c>
      <c r="E77" s="70" t="s">
        <v>1639</v>
      </c>
      <c r="F77" s="71">
        <v>45.727442000000003</v>
      </c>
      <c r="G77" s="72">
        <v>0</v>
      </c>
      <c r="H77" s="72">
        <v>0</v>
      </c>
      <c r="I77" s="67">
        <v>0</v>
      </c>
      <c r="J77" s="67">
        <v>0</v>
      </c>
      <c r="K77" s="67">
        <v>0</v>
      </c>
      <c r="L77" s="68">
        <v>0</v>
      </c>
      <c r="M77" s="67">
        <v>0</v>
      </c>
      <c r="N77" s="68">
        <v>0</v>
      </c>
    </row>
    <row r="78" spans="2:14" x14ac:dyDescent="0.25">
      <c r="B78" s="69">
        <v>44900</v>
      </c>
      <c r="C78" s="69">
        <v>44901</v>
      </c>
      <c r="D78" s="70" t="s">
        <v>1668</v>
      </c>
      <c r="E78" s="70" t="s">
        <v>1669</v>
      </c>
      <c r="F78" s="71">
        <v>0</v>
      </c>
      <c r="G78" s="72">
        <v>0</v>
      </c>
      <c r="H78" s="72">
        <v>0</v>
      </c>
      <c r="I78" s="67">
        <v>0</v>
      </c>
      <c r="J78" s="67">
        <v>0</v>
      </c>
      <c r="K78" s="67">
        <v>0</v>
      </c>
      <c r="L78" s="68">
        <v>0</v>
      </c>
      <c r="M78" s="67">
        <v>0</v>
      </c>
      <c r="N78" s="68">
        <v>0</v>
      </c>
    </row>
    <row r="79" spans="2:14" x14ac:dyDescent="0.25">
      <c r="B79" s="69">
        <v>44900</v>
      </c>
      <c r="C79" s="69">
        <v>44901</v>
      </c>
      <c r="D79" s="70" t="s">
        <v>1640</v>
      </c>
      <c r="E79" s="70" t="s">
        <v>1641</v>
      </c>
      <c r="F79" s="71">
        <v>0</v>
      </c>
      <c r="G79" s="71">
        <v>0</v>
      </c>
      <c r="H79" s="71">
        <v>0</v>
      </c>
      <c r="I79" s="67">
        <v>0</v>
      </c>
      <c r="J79" s="67">
        <v>0</v>
      </c>
      <c r="K79" s="67">
        <v>0</v>
      </c>
      <c r="L79" s="67">
        <v>0</v>
      </c>
      <c r="M79" s="67">
        <v>0</v>
      </c>
      <c r="N79" s="68">
        <v>0</v>
      </c>
    </row>
    <row r="80" spans="2:14" x14ac:dyDescent="0.25">
      <c r="B80" s="69">
        <v>44903</v>
      </c>
      <c r="C80" s="69">
        <v>44904</v>
      </c>
      <c r="D80" s="70" t="s">
        <v>1642</v>
      </c>
      <c r="E80" s="70" t="s">
        <v>1643</v>
      </c>
      <c r="F80" s="71">
        <v>104.505691</v>
      </c>
      <c r="G80" s="72">
        <v>28.370807692307999</v>
      </c>
      <c r="H80" s="71">
        <v>35</v>
      </c>
      <c r="I80" s="73">
        <v>3.1149840000000002</v>
      </c>
      <c r="J80" s="73">
        <v>81.010000000000005</v>
      </c>
      <c r="K80" s="73">
        <v>81.010000000000005</v>
      </c>
      <c r="L80" s="74">
        <v>100</v>
      </c>
      <c r="M80" s="73">
        <v>81.010000000000005</v>
      </c>
      <c r="N80" s="74">
        <v>0</v>
      </c>
    </row>
    <row r="81" spans="2:14" x14ac:dyDescent="0.25">
      <c r="B81" s="69">
        <v>44903</v>
      </c>
      <c r="C81" s="69">
        <v>44904</v>
      </c>
      <c r="D81" s="70" t="s">
        <v>1644</v>
      </c>
      <c r="E81" s="70" t="s">
        <v>1645</v>
      </c>
      <c r="F81" s="71">
        <v>211.391516</v>
      </c>
      <c r="G81" s="72">
        <v>90.617450109890996</v>
      </c>
      <c r="H81" s="71">
        <v>81</v>
      </c>
      <c r="I81" s="73">
        <v>3.0676260000000002</v>
      </c>
      <c r="J81" s="73">
        <v>111.84729799999999</v>
      </c>
      <c r="K81" s="73">
        <v>111.866</v>
      </c>
      <c r="L81" s="74">
        <v>100</v>
      </c>
      <c r="M81" s="73">
        <v>111.831</v>
      </c>
      <c r="N81" s="74">
        <v>1.6298E-2</v>
      </c>
    </row>
    <row r="82" spans="2:14" x14ac:dyDescent="0.25">
      <c r="B82" s="69">
        <v>44903</v>
      </c>
      <c r="C82" s="69">
        <v>44904</v>
      </c>
      <c r="D82" s="70" t="s">
        <v>1646</v>
      </c>
      <c r="E82" s="70" t="s">
        <v>1647</v>
      </c>
      <c r="F82" s="71">
        <v>9.3724790000000002</v>
      </c>
      <c r="G82" s="72">
        <v>0</v>
      </c>
      <c r="H82" s="71">
        <v>0</v>
      </c>
      <c r="I82" s="73">
        <v>0</v>
      </c>
      <c r="J82" s="73">
        <v>0</v>
      </c>
      <c r="K82" s="73">
        <v>0</v>
      </c>
      <c r="L82" s="74">
        <v>0</v>
      </c>
      <c r="M82" s="73">
        <v>0</v>
      </c>
      <c r="N82" s="74">
        <v>0</v>
      </c>
    </row>
    <row r="83" spans="2:14" x14ac:dyDescent="0.25">
      <c r="B83" s="69">
        <v>44903</v>
      </c>
      <c r="C83" s="69">
        <v>44904</v>
      </c>
      <c r="D83" s="70" t="s">
        <v>1648</v>
      </c>
      <c r="E83" s="70" t="s">
        <v>1649</v>
      </c>
      <c r="F83" s="71">
        <v>858.17433600000004</v>
      </c>
      <c r="G83" s="72">
        <v>554.62093345054097</v>
      </c>
      <c r="H83" s="71">
        <v>506.6</v>
      </c>
      <c r="I83" s="73">
        <v>3.0930550000000001</v>
      </c>
      <c r="J83" s="73">
        <v>109.45571099999999</v>
      </c>
      <c r="K83" s="73">
        <v>109.462</v>
      </c>
      <c r="L83" s="74">
        <v>72.5</v>
      </c>
      <c r="M83" s="73">
        <v>109.449</v>
      </c>
      <c r="N83" s="74">
        <v>6.711E-3</v>
      </c>
    </row>
    <row r="84" spans="2:14" x14ac:dyDescent="0.25">
      <c r="B84" s="69">
        <v>44903</v>
      </c>
      <c r="C84" s="69">
        <v>44904</v>
      </c>
      <c r="D84" s="70" t="s">
        <v>1670</v>
      </c>
      <c r="E84" s="70" t="s">
        <v>1671</v>
      </c>
      <c r="F84" s="71">
        <v>63.214683999999998</v>
      </c>
      <c r="G84" s="72">
        <v>0</v>
      </c>
      <c r="H84" s="71">
        <v>0</v>
      </c>
      <c r="I84" s="73">
        <v>0</v>
      </c>
      <c r="J84" s="73">
        <v>0</v>
      </c>
      <c r="K84" s="73">
        <v>0</v>
      </c>
      <c r="L84" s="74">
        <v>0</v>
      </c>
      <c r="M84" s="73">
        <v>0</v>
      </c>
      <c r="N84" s="74">
        <v>0</v>
      </c>
    </row>
    <row r="85" spans="2:14" x14ac:dyDescent="0.25">
      <c r="B85" s="69">
        <v>44903</v>
      </c>
      <c r="C85" s="69">
        <v>44904</v>
      </c>
      <c r="D85" s="70" t="s">
        <v>1650</v>
      </c>
      <c r="E85" s="70" t="s">
        <v>1651</v>
      </c>
      <c r="F85" s="71">
        <v>475.401028</v>
      </c>
      <c r="G85" s="72">
        <v>0</v>
      </c>
      <c r="H85" s="71">
        <v>0</v>
      </c>
      <c r="I85" s="73">
        <v>0</v>
      </c>
      <c r="J85" s="73">
        <v>0</v>
      </c>
      <c r="K85" s="73">
        <v>0</v>
      </c>
      <c r="L85" s="74">
        <v>0</v>
      </c>
      <c r="M85" s="73">
        <v>0</v>
      </c>
      <c r="N85" s="74">
        <v>0</v>
      </c>
    </row>
    <row r="86" spans="2:14" x14ac:dyDescent="0.25">
      <c r="B86" s="69">
        <v>44903</v>
      </c>
      <c r="C86" s="69">
        <v>44904</v>
      </c>
      <c r="D86" s="70" t="s">
        <v>1652</v>
      </c>
      <c r="E86" s="70" t="s">
        <v>1653</v>
      </c>
      <c r="F86" s="71">
        <v>0</v>
      </c>
      <c r="G86" s="72">
        <v>0</v>
      </c>
      <c r="H86" s="71">
        <v>0</v>
      </c>
      <c r="I86" s="73">
        <v>0</v>
      </c>
      <c r="J86" s="73">
        <v>0</v>
      </c>
      <c r="K86" s="73">
        <v>0</v>
      </c>
      <c r="L86" s="74">
        <v>0</v>
      </c>
      <c r="M86" s="73">
        <v>0</v>
      </c>
      <c r="N86" s="74">
        <v>0</v>
      </c>
    </row>
    <row r="87" spans="2:14" x14ac:dyDescent="0.25">
      <c r="B87" s="69">
        <v>44903</v>
      </c>
      <c r="C87" s="69">
        <v>44904</v>
      </c>
      <c r="D87" s="70" t="s">
        <v>1654</v>
      </c>
      <c r="E87" s="70" t="s">
        <v>1655</v>
      </c>
      <c r="F87" s="71">
        <v>132.325321</v>
      </c>
      <c r="G87" s="72">
        <v>27.580462707182999</v>
      </c>
      <c r="H87" s="71">
        <v>25</v>
      </c>
      <c r="I87" s="73">
        <v>3.3792900000000001</v>
      </c>
      <c r="J87" s="73">
        <v>109.23</v>
      </c>
      <c r="K87" s="73">
        <v>109.23</v>
      </c>
      <c r="L87" s="74">
        <v>100</v>
      </c>
      <c r="M87" s="73">
        <v>109.23</v>
      </c>
      <c r="N87" s="74">
        <v>0</v>
      </c>
    </row>
    <row r="88" spans="2:14" x14ac:dyDescent="0.25">
      <c r="B88" s="69">
        <v>44903</v>
      </c>
      <c r="C88" s="69">
        <v>44904</v>
      </c>
      <c r="D88" s="70" t="s">
        <v>1656</v>
      </c>
      <c r="E88" s="70" t="s">
        <v>1657</v>
      </c>
      <c r="F88" s="71">
        <v>38.681401000000001</v>
      </c>
      <c r="G88" s="72">
        <v>14.511525414365</v>
      </c>
      <c r="H88" s="71">
        <v>18</v>
      </c>
      <c r="I88" s="73">
        <v>3.4808029999999999</v>
      </c>
      <c r="J88" s="73">
        <v>80.17</v>
      </c>
      <c r="K88" s="73">
        <v>80.17</v>
      </c>
      <c r="L88" s="74">
        <v>100</v>
      </c>
      <c r="M88" s="73">
        <v>80.17</v>
      </c>
      <c r="N88" s="74">
        <v>0</v>
      </c>
    </row>
    <row r="89" spans="2:14" x14ac:dyDescent="0.25">
      <c r="B89" s="69">
        <v>44903</v>
      </c>
      <c r="C89" s="69">
        <v>44904</v>
      </c>
      <c r="D89" s="70" t="s">
        <v>1658</v>
      </c>
      <c r="E89" s="70" t="s">
        <v>1659</v>
      </c>
      <c r="F89" s="71">
        <v>0</v>
      </c>
      <c r="G89" s="72">
        <v>0</v>
      </c>
      <c r="H89" s="71">
        <v>0</v>
      </c>
      <c r="I89" s="73">
        <v>0</v>
      </c>
      <c r="J89" s="73">
        <v>0</v>
      </c>
      <c r="K89" s="73">
        <v>0</v>
      </c>
      <c r="L89" s="74">
        <v>0</v>
      </c>
      <c r="M89" s="73">
        <v>0</v>
      </c>
      <c r="N89" s="74">
        <v>0</v>
      </c>
    </row>
    <row r="90" spans="2:14" x14ac:dyDescent="0.25">
      <c r="B90" s="69">
        <v>44903</v>
      </c>
      <c r="C90" s="69">
        <v>44904</v>
      </c>
      <c r="D90" s="70" t="s">
        <v>1662</v>
      </c>
      <c r="E90" s="70" t="s">
        <v>1663</v>
      </c>
      <c r="F90" s="71">
        <v>0</v>
      </c>
      <c r="G90" s="72">
        <v>0</v>
      </c>
      <c r="H90" s="71">
        <v>0</v>
      </c>
      <c r="I90" s="73">
        <v>0</v>
      </c>
      <c r="J90" s="73">
        <v>0</v>
      </c>
      <c r="K90" s="73">
        <v>0</v>
      </c>
      <c r="L90" s="74">
        <v>0</v>
      </c>
      <c r="M90" s="73">
        <v>0</v>
      </c>
      <c r="N90" s="74">
        <v>0</v>
      </c>
    </row>
    <row r="91" spans="2:14" x14ac:dyDescent="0.25">
      <c r="B91" s="69">
        <v>44903</v>
      </c>
      <c r="C91" s="69">
        <v>44904</v>
      </c>
      <c r="D91" s="70" t="s">
        <v>1664</v>
      </c>
      <c r="E91" s="70" t="s">
        <v>1665</v>
      </c>
      <c r="F91" s="71">
        <v>27.173337</v>
      </c>
      <c r="G91" s="72">
        <v>0</v>
      </c>
      <c r="H91" s="71">
        <v>0</v>
      </c>
      <c r="I91" s="73">
        <v>0</v>
      </c>
      <c r="J91" s="73">
        <v>0</v>
      </c>
      <c r="K91" s="73">
        <v>0</v>
      </c>
      <c r="L91" s="74">
        <v>0</v>
      </c>
      <c r="M91" s="73">
        <v>0</v>
      </c>
      <c r="N91" s="74">
        <v>0</v>
      </c>
    </row>
    <row r="92" spans="2:14" x14ac:dyDescent="0.25">
      <c r="B92" s="69">
        <v>44903</v>
      </c>
      <c r="C92" s="69">
        <v>44904</v>
      </c>
      <c r="D92" s="70" t="s">
        <v>1666</v>
      </c>
      <c r="E92" s="70" t="s">
        <v>1667</v>
      </c>
      <c r="F92" s="71">
        <v>24.116692</v>
      </c>
      <c r="G92" s="72">
        <v>17.231208791210001</v>
      </c>
      <c r="H92" s="71">
        <v>25</v>
      </c>
      <c r="I92" s="73">
        <v>3.532254</v>
      </c>
      <c r="J92" s="73">
        <v>68.760000000000005</v>
      </c>
      <c r="K92" s="73">
        <v>68.760000000000005</v>
      </c>
      <c r="L92" s="74">
        <v>100</v>
      </c>
      <c r="M92" s="73">
        <v>68.760000000000005</v>
      </c>
      <c r="N92" s="74">
        <v>0</v>
      </c>
    </row>
    <row r="93" spans="2:14" x14ac:dyDescent="0.25">
      <c r="B93" s="69">
        <v>44903</v>
      </c>
      <c r="C93" s="69">
        <v>44904</v>
      </c>
      <c r="D93" s="69" t="s">
        <v>1672</v>
      </c>
      <c r="E93" s="69" t="s">
        <v>1673</v>
      </c>
      <c r="F93" s="71">
        <v>50.941625999999999</v>
      </c>
      <c r="G93" s="71">
        <v>16.982208791209999</v>
      </c>
      <c r="H93" s="71">
        <v>15</v>
      </c>
      <c r="I93" s="73">
        <v>3.5713460000000001</v>
      </c>
      <c r="J93" s="73">
        <v>113.19</v>
      </c>
      <c r="K93" s="73">
        <v>113.19</v>
      </c>
      <c r="L93" s="74">
        <v>100</v>
      </c>
      <c r="M93" s="73">
        <v>113.19</v>
      </c>
      <c r="N93" s="74">
        <v>0</v>
      </c>
    </row>
    <row r="94" spans="2:14" x14ac:dyDescent="0.25">
      <c r="B94" s="69">
        <v>44935</v>
      </c>
      <c r="C94" s="69">
        <v>44936</v>
      </c>
      <c r="D94" s="69" t="s">
        <v>1624</v>
      </c>
      <c r="E94" s="69" t="s">
        <v>1625</v>
      </c>
      <c r="F94" s="71">
        <v>331.14607799999999</v>
      </c>
      <c r="G94" s="71">
        <v>104.34721250000101</v>
      </c>
      <c r="H94" s="71">
        <v>115</v>
      </c>
      <c r="I94" s="73">
        <v>3.3608630000000002</v>
      </c>
      <c r="J94" s="73">
        <v>90.680999999999997</v>
      </c>
      <c r="K94" s="73">
        <v>90.680999999999997</v>
      </c>
      <c r="L94" s="74">
        <v>100</v>
      </c>
      <c r="M94" s="73">
        <v>90.680999999999997</v>
      </c>
      <c r="N94" s="74">
        <v>0</v>
      </c>
    </row>
    <row r="95" spans="2:14" x14ac:dyDescent="0.25">
      <c r="B95" s="69">
        <v>44935</v>
      </c>
      <c r="C95" s="69">
        <v>44936</v>
      </c>
      <c r="D95" s="69" t="s">
        <v>1626</v>
      </c>
      <c r="E95" s="69" t="s">
        <v>1627</v>
      </c>
      <c r="F95" s="71">
        <v>9.4191079999999996</v>
      </c>
      <c r="G95" s="71">
        <v>0</v>
      </c>
      <c r="H95" s="71">
        <v>0</v>
      </c>
      <c r="I95" s="73">
        <v>0</v>
      </c>
      <c r="J95" s="73">
        <v>0</v>
      </c>
      <c r="K95" s="73">
        <v>0</v>
      </c>
      <c r="L95" s="74">
        <v>0</v>
      </c>
      <c r="M95" s="73">
        <v>0</v>
      </c>
      <c r="N95" s="74">
        <v>0</v>
      </c>
    </row>
    <row r="96" spans="2:14" x14ac:dyDescent="0.25">
      <c r="B96" s="69">
        <v>44935</v>
      </c>
      <c r="C96" s="69">
        <v>44936</v>
      </c>
      <c r="D96" s="69" t="s">
        <v>1628</v>
      </c>
      <c r="E96" s="69" t="s">
        <v>1629</v>
      </c>
      <c r="F96" s="71">
        <v>686.91711499999997</v>
      </c>
      <c r="G96" s="71">
        <v>545.61956593408104</v>
      </c>
      <c r="H96" s="71">
        <v>611.6</v>
      </c>
      <c r="I96" s="73">
        <v>3.4679720000000001</v>
      </c>
      <c r="J96" s="73">
        <v>89.129414999999995</v>
      </c>
      <c r="K96" s="73">
        <v>89.152000000000001</v>
      </c>
      <c r="L96" s="74">
        <v>78.707691999999994</v>
      </c>
      <c r="M96" s="73">
        <v>89.125</v>
      </c>
      <c r="N96" s="74">
        <v>4.4149999999999997E-3</v>
      </c>
    </row>
    <row r="97" spans="2:14" x14ac:dyDescent="0.25">
      <c r="B97" s="69">
        <v>44935</v>
      </c>
      <c r="C97" s="69">
        <v>44936</v>
      </c>
      <c r="D97" s="69" t="s">
        <v>1630</v>
      </c>
      <c r="E97" s="69" t="s">
        <v>1631</v>
      </c>
      <c r="F97" s="71">
        <v>127.822734</v>
      </c>
      <c r="G97" s="71">
        <v>0</v>
      </c>
      <c r="H97" s="71">
        <v>0</v>
      </c>
      <c r="I97" s="73">
        <v>0</v>
      </c>
      <c r="J97" s="73">
        <v>0</v>
      </c>
      <c r="K97" s="73">
        <v>0</v>
      </c>
      <c r="L97" s="74">
        <v>0</v>
      </c>
      <c r="M97" s="73">
        <v>0</v>
      </c>
      <c r="N97" s="74">
        <v>0</v>
      </c>
    </row>
    <row r="98" spans="2:14" x14ac:dyDescent="0.25">
      <c r="B98" s="69">
        <v>44935</v>
      </c>
      <c r="C98" s="69">
        <v>44936</v>
      </c>
      <c r="D98" s="69" t="s">
        <v>1632</v>
      </c>
      <c r="E98" s="69" t="s">
        <v>1633</v>
      </c>
      <c r="F98" s="71">
        <v>0</v>
      </c>
      <c r="G98" s="71">
        <v>0</v>
      </c>
      <c r="H98" s="71">
        <v>0</v>
      </c>
      <c r="I98" s="73">
        <v>0</v>
      </c>
      <c r="J98" s="73">
        <v>0</v>
      </c>
      <c r="K98" s="73">
        <v>0</v>
      </c>
      <c r="L98" s="74">
        <v>0</v>
      </c>
      <c r="M98" s="73">
        <v>0</v>
      </c>
      <c r="N98" s="74">
        <v>0</v>
      </c>
    </row>
    <row r="99" spans="2:14" x14ac:dyDescent="0.25">
      <c r="B99" s="69">
        <v>44935</v>
      </c>
      <c r="C99" s="69">
        <v>44936</v>
      </c>
      <c r="D99" s="69" t="s">
        <v>1634</v>
      </c>
      <c r="E99" s="69" t="s">
        <v>1635</v>
      </c>
      <c r="F99" s="71">
        <v>402.94860599999998</v>
      </c>
      <c r="G99" s="71">
        <v>0</v>
      </c>
      <c r="H99" s="71">
        <v>0</v>
      </c>
      <c r="I99" s="73">
        <v>0</v>
      </c>
      <c r="J99" s="73">
        <v>0</v>
      </c>
      <c r="K99" s="73">
        <v>0</v>
      </c>
      <c r="L99" s="74">
        <v>0</v>
      </c>
      <c r="M99" s="73">
        <v>0</v>
      </c>
      <c r="N99" s="74">
        <v>0</v>
      </c>
    </row>
    <row r="100" spans="2:14" x14ac:dyDescent="0.25">
      <c r="B100" s="69">
        <v>44935</v>
      </c>
      <c r="C100" s="69">
        <v>44936</v>
      </c>
      <c r="D100" s="69" t="s">
        <v>1636</v>
      </c>
      <c r="E100" s="69" t="s">
        <v>1637</v>
      </c>
      <c r="F100" s="71">
        <v>104.640964</v>
      </c>
      <c r="G100" s="71">
        <v>0</v>
      </c>
      <c r="H100" s="71">
        <v>0</v>
      </c>
      <c r="I100" s="73">
        <v>0</v>
      </c>
      <c r="J100" s="73">
        <v>0</v>
      </c>
      <c r="K100" s="73">
        <v>0</v>
      </c>
      <c r="L100" s="74">
        <v>0</v>
      </c>
      <c r="M100" s="73">
        <v>0</v>
      </c>
      <c r="N100" s="74">
        <v>0</v>
      </c>
    </row>
    <row r="101" spans="2:14" x14ac:dyDescent="0.25">
      <c r="B101" s="69">
        <v>44935</v>
      </c>
      <c r="C101" s="69">
        <v>44936</v>
      </c>
      <c r="D101" s="69" t="s">
        <v>1638</v>
      </c>
      <c r="E101" s="69" t="s">
        <v>1639</v>
      </c>
      <c r="F101" s="71">
        <v>121.43764</v>
      </c>
      <c r="G101" s="71">
        <v>0</v>
      </c>
      <c r="H101" s="71">
        <v>0</v>
      </c>
      <c r="I101" s="73">
        <v>0</v>
      </c>
      <c r="J101" s="73">
        <v>0</v>
      </c>
      <c r="K101" s="73">
        <v>0</v>
      </c>
      <c r="L101" s="74">
        <v>0</v>
      </c>
      <c r="M101" s="73">
        <v>0</v>
      </c>
      <c r="N101" s="74">
        <v>0</v>
      </c>
    </row>
    <row r="102" spans="2:14" x14ac:dyDescent="0.25">
      <c r="B102" s="69">
        <v>44935</v>
      </c>
      <c r="C102" s="69">
        <v>44936</v>
      </c>
      <c r="D102" s="69" t="s">
        <v>1668</v>
      </c>
      <c r="E102" s="69" t="s">
        <v>1669</v>
      </c>
      <c r="F102" s="71">
        <v>0</v>
      </c>
      <c r="G102" s="71">
        <v>0</v>
      </c>
      <c r="H102" s="71">
        <v>0</v>
      </c>
      <c r="I102" s="73">
        <v>0</v>
      </c>
      <c r="J102" s="73">
        <v>0</v>
      </c>
      <c r="K102" s="73">
        <v>0</v>
      </c>
      <c r="L102" s="74">
        <v>0</v>
      </c>
      <c r="M102" s="73">
        <v>0</v>
      </c>
      <c r="N102" s="74">
        <v>0</v>
      </c>
    </row>
    <row r="103" spans="2:14" x14ac:dyDescent="0.25">
      <c r="B103" s="69">
        <v>44935</v>
      </c>
      <c r="C103" s="69">
        <v>44936</v>
      </c>
      <c r="D103" s="69" t="s">
        <v>1640</v>
      </c>
      <c r="E103" s="69" t="s">
        <v>1641</v>
      </c>
      <c r="F103" s="71">
        <v>11.832423</v>
      </c>
      <c r="G103" s="71">
        <v>0</v>
      </c>
      <c r="H103" s="71">
        <v>0</v>
      </c>
      <c r="I103" s="73">
        <v>0</v>
      </c>
      <c r="J103" s="73">
        <v>0</v>
      </c>
      <c r="K103" s="73">
        <v>0</v>
      </c>
      <c r="L103" s="74">
        <v>0</v>
      </c>
      <c r="M103" s="73">
        <v>0</v>
      </c>
      <c r="N103" s="74">
        <v>0</v>
      </c>
    </row>
    <row r="104" spans="2:14" x14ac:dyDescent="0.25">
      <c r="B104" s="63">
        <v>44938</v>
      </c>
      <c r="C104" s="63">
        <v>44939</v>
      </c>
      <c r="D104" s="64" t="s">
        <v>1642</v>
      </c>
      <c r="E104" s="64" t="s">
        <v>1643</v>
      </c>
      <c r="F104" s="65">
        <v>148.26524000000001</v>
      </c>
      <c r="G104" s="66">
        <v>148.265240247256</v>
      </c>
      <c r="H104" s="65">
        <v>185</v>
      </c>
      <c r="I104" s="67">
        <v>3.305574</v>
      </c>
      <c r="J104" s="67">
        <v>80.057882000000006</v>
      </c>
      <c r="K104" s="67">
        <v>80.102000000000004</v>
      </c>
      <c r="L104" s="68">
        <v>100</v>
      </c>
      <c r="M104" s="67">
        <v>80.006</v>
      </c>
      <c r="N104" s="68">
        <v>5.1881999999999998E-2</v>
      </c>
    </row>
    <row r="105" spans="2:14" x14ac:dyDescent="0.25">
      <c r="B105" s="63">
        <v>44938</v>
      </c>
      <c r="C105" s="63">
        <v>44939</v>
      </c>
      <c r="D105" s="64" t="s">
        <v>1644</v>
      </c>
      <c r="E105" s="64" t="s">
        <v>1645</v>
      </c>
      <c r="F105" s="65">
        <v>55.317413999999999</v>
      </c>
      <c r="G105" s="66">
        <v>55.317414835165003</v>
      </c>
      <c r="H105" s="65">
        <v>50</v>
      </c>
      <c r="I105" s="67">
        <v>3.280084</v>
      </c>
      <c r="J105" s="67">
        <v>110.152</v>
      </c>
      <c r="K105" s="67">
        <v>110.152</v>
      </c>
      <c r="L105" s="68">
        <v>100</v>
      </c>
      <c r="M105" s="67">
        <v>110.152</v>
      </c>
      <c r="N105" s="68">
        <v>0</v>
      </c>
    </row>
    <row r="106" spans="2:14" x14ac:dyDescent="0.25">
      <c r="B106" s="63">
        <v>44938</v>
      </c>
      <c r="C106" s="63">
        <v>44939</v>
      </c>
      <c r="D106" s="64" t="s">
        <v>1646</v>
      </c>
      <c r="E106" s="64" t="s">
        <v>1647</v>
      </c>
      <c r="F106" s="65">
        <v>61.750816999999998</v>
      </c>
      <c r="G106" s="66">
        <v>61.750817391304999</v>
      </c>
      <c r="H106" s="65">
        <v>80</v>
      </c>
      <c r="I106" s="67">
        <v>3.3569770000000001</v>
      </c>
      <c r="J106" s="67">
        <v>77.075750999999997</v>
      </c>
      <c r="K106" s="67">
        <v>77.091999999999999</v>
      </c>
      <c r="L106" s="68">
        <v>100</v>
      </c>
      <c r="M106" s="67">
        <v>77.063999999999993</v>
      </c>
      <c r="N106" s="68">
        <v>1.1750999999999999E-2</v>
      </c>
    </row>
    <row r="107" spans="2:14" x14ac:dyDescent="0.25">
      <c r="B107" s="63">
        <v>44938</v>
      </c>
      <c r="C107" s="63">
        <v>44939</v>
      </c>
      <c r="D107" s="64" t="s">
        <v>1648</v>
      </c>
      <c r="E107" s="64" t="s">
        <v>1649</v>
      </c>
      <c r="F107" s="65">
        <v>322.84501599999999</v>
      </c>
      <c r="G107" s="66">
        <v>107.65500549450999</v>
      </c>
      <c r="H107" s="65">
        <v>100</v>
      </c>
      <c r="I107" s="67">
        <v>3.347518</v>
      </c>
      <c r="J107" s="67">
        <v>107.223</v>
      </c>
      <c r="K107" s="67">
        <v>107.223</v>
      </c>
      <c r="L107" s="68">
        <v>100</v>
      </c>
      <c r="M107" s="67">
        <v>107.223</v>
      </c>
      <c r="N107" s="68">
        <v>0</v>
      </c>
    </row>
    <row r="108" spans="2:14" x14ac:dyDescent="0.25">
      <c r="B108" s="63">
        <v>44938</v>
      </c>
      <c r="C108" s="63">
        <v>44939</v>
      </c>
      <c r="D108" s="64" t="s">
        <v>1670</v>
      </c>
      <c r="E108" s="64" t="s">
        <v>1671</v>
      </c>
      <c r="F108" s="65">
        <v>174.34807699999999</v>
      </c>
      <c r="G108" s="66">
        <v>170.48834239131199</v>
      </c>
      <c r="H108" s="65">
        <v>220</v>
      </c>
      <c r="I108" s="67">
        <v>3.4883220000000001</v>
      </c>
      <c r="J108" s="67">
        <v>77.099999999999994</v>
      </c>
      <c r="K108" s="67">
        <v>77.099999999999994</v>
      </c>
      <c r="L108" s="68">
        <v>100</v>
      </c>
      <c r="M108" s="67">
        <v>77.099999999999994</v>
      </c>
      <c r="N108" s="68">
        <v>0</v>
      </c>
    </row>
    <row r="109" spans="2:14" x14ac:dyDescent="0.25">
      <c r="B109" s="63">
        <v>44938</v>
      </c>
      <c r="C109" s="63">
        <v>44939</v>
      </c>
      <c r="D109" s="64" t="s">
        <v>1650</v>
      </c>
      <c r="E109" s="64" t="s">
        <v>1651</v>
      </c>
      <c r="F109" s="65">
        <v>720.64504099999999</v>
      </c>
      <c r="G109" s="66">
        <v>32.286787624307998</v>
      </c>
      <c r="H109" s="65">
        <v>29.1</v>
      </c>
      <c r="I109" s="67">
        <v>3.5133420000000002</v>
      </c>
      <c r="J109" s="67">
        <v>109.36</v>
      </c>
      <c r="K109" s="67">
        <v>109.36</v>
      </c>
      <c r="L109" s="68">
        <v>29.099999</v>
      </c>
      <c r="M109" s="67">
        <v>109.36</v>
      </c>
      <c r="N109" s="68">
        <v>0</v>
      </c>
    </row>
    <row r="110" spans="2:14" x14ac:dyDescent="0.25">
      <c r="B110" s="63">
        <v>44938</v>
      </c>
      <c r="C110" s="63">
        <v>44939</v>
      </c>
      <c r="D110" s="64" t="s">
        <v>1652</v>
      </c>
      <c r="E110" s="64" t="s">
        <v>1653</v>
      </c>
      <c r="F110" s="65">
        <v>0</v>
      </c>
      <c r="G110" s="66">
        <v>0</v>
      </c>
      <c r="H110" s="65">
        <v>0</v>
      </c>
      <c r="I110" s="67">
        <v>0</v>
      </c>
      <c r="J110" s="67">
        <v>0</v>
      </c>
      <c r="K110" s="67">
        <v>0</v>
      </c>
      <c r="L110" s="68">
        <v>0</v>
      </c>
      <c r="M110" s="67">
        <v>0</v>
      </c>
      <c r="N110" s="68">
        <v>0</v>
      </c>
    </row>
    <row r="111" spans="2:14" x14ac:dyDescent="0.25">
      <c r="B111" s="63">
        <v>44938</v>
      </c>
      <c r="C111" s="63">
        <v>44939</v>
      </c>
      <c r="D111" s="64" t="s">
        <v>1654</v>
      </c>
      <c r="E111" s="64" t="s">
        <v>1655</v>
      </c>
      <c r="F111" s="65">
        <v>0</v>
      </c>
      <c r="G111" s="66">
        <v>0</v>
      </c>
      <c r="H111" s="65">
        <v>0</v>
      </c>
      <c r="I111" s="67">
        <v>0</v>
      </c>
      <c r="J111" s="67">
        <v>0</v>
      </c>
      <c r="K111" s="67">
        <v>0</v>
      </c>
      <c r="L111" s="68">
        <v>0</v>
      </c>
      <c r="M111" s="67">
        <v>0</v>
      </c>
      <c r="N111" s="68">
        <v>0</v>
      </c>
    </row>
    <row r="112" spans="2:14" x14ac:dyDescent="0.25">
      <c r="B112" s="63">
        <v>44938</v>
      </c>
      <c r="C112" s="63">
        <v>44939</v>
      </c>
      <c r="D112" s="64" t="s">
        <v>1656</v>
      </c>
      <c r="E112" s="64" t="s">
        <v>1657</v>
      </c>
      <c r="F112" s="65">
        <v>0</v>
      </c>
      <c r="G112" s="66">
        <v>0</v>
      </c>
      <c r="H112" s="65">
        <v>0</v>
      </c>
      <c r="I112" s="67">
        <v>0</v>
      </c>
      <c r="J112" s="67">
        <v>0</v>
      </c>
      <c r="K112" s="67">
        <v>0</v>
      </c>
      <c r="L112" s="68">
        <v>0</v>
      </c>
      <c r="M112" s="67">
        <v>0</v>
      </c>
      <c r="N112" s="68">
        <v>0</v>
      </c>
    </row>
    <row r="113" spans="2:14" x14ac:dyDescent="0.25">
      <c r="B113" s="63">
        <v>44938</v>
      </c>
      <c r="C113" s="63">
        <v>44939</v>
      </c>
      <c r="D113" s="64" t="s">
        <v>1658</v>
      </c>
      <c r="E113" s="64" t="s">
        <v>1659</v>
      </c>
      <c r="F113" s="65">
        <v>0</v>
      </c>
      <c r="G113" s="66">
        <v>0</v>
      </c>
      <c r="H113" s="65">
        <v>0</v>
      </c>
      <c r="I113" s="67">
        <v>0</v>
      </c>
      <c r="J113" s="67">
        <v>0</v>
      </c>
      <c r="K113" s="67">
        <v>0</v>
      </c>
      <c r="L113" s="68">
        <v>0</v>
      </c>
      <c r="M113" s="67">
        <v>0</v>
      </c>
      <c r="N113" s="68">
        <v>0</v>
      </c>
    </row>
    <row r="114" spans="2:14" x14ac:dyDescent="0.25">
      <c r="B114" s="63">
        <v>44938</v>
      </c>
      <c r="C114" s="63">
        <v>44939</v>
      </c>
      <c r="D114" s="64" t="s">
        <v>1660</v>
      </c>
      <c r="E114" s="64" t="s">
        <v>1661</v>
      </c>
      <c r="F114" s="65">
        <v>24.201965000000001</v>
      </c>
      <c r="G114" s="66">
        <v>24.201965489132</v>
      </c>
      <c r="H114" s="65">
        <v>35</v>
      </c>
      <c r="I114" s="67">
        <v>3.7416510000000001</v>
      </c>
      <c r="J114" s="67">
        <v>68.641000000000005</v>
      </c>
      <c r="K114" s="67">
        <v>68.641000000000005</v>
      </c>
      <c r="L114" s="68">
        <v>100</v>
      </c>
      <c r="M114" s="67">
        <v>68.641000000000005</v>
      </c>
      <c r="N114" s="68">
        <v>0</v>
      </c>
    </row>
    <row r="115" spans="2:14" x14ac:dyDescent="0.25">
      <c r="B115" s="63">
        <v>44938</v>
      </c>
      <c r="C115" s="63">
        <v>44939</v>
      </c>
      <c r="D115" s="64" t="s">
        <v>1662</v>
      </c>
      <c r="E115" s="64" t="s">
        <v>1663</v>
      </c>
      <c r="F115" s="65">
        <v>0</v>
      </c>
      <c r="G115" s="66">
        <v>0</v>
      </c>
      <c r="H115" s="65">
        <v>0</v>
      </c>
      <c r="I115" s="67">
        <v>0</v>
      </c>
      <c r="J115" s="67">
        <v>0</v>
      </c>
      <c r="K115" s="67">
        <v>0</v>
      </c>
      <c r="L115" s="68">
        <v>0</v>
      </c>
      <c r="M115" s="67">
        <v>0</v>
      </c>
      <c r="N115" s="68">
        <v>0</v>
      </c>
    </row>
    <row r="116" spans="2:14" x14ac:dyDescent="0.25">
      <c r="B116" s="63">
        <v>44938</v>
      </c>
      <c r="C116" s="63">
        <v>44939</v>
      </c>
      <c r="D116" s="64" t="s">
        <v>1664</v>
      </c>
      <c r="E116" s="64" t="s">
        <v>1665</v>
      </c>
      <c r="F116" s="65">
        <v>0</v>
      </c>
      <c r="G116" s="66">
        <v>0</v>
      </c>
      <c r="H116" s="65">
        <v>0</v>
      </c>
      <c r="I116" s="67">
        <v>0</v>
      </c>
      <c r="J116" s="67">
        <v>0</v>
      </c>
      <c r="K116" s="67">
        <v>0</v>
      </c>
      <c r="L116" s="68">
        <v>0</v>
      </c>
      <c r="M116" s="67">
        <v>0</v>
      </c>
      <c r="N116" s="68">
        <v>0</v>
      </c>
    </row>
    <row r="117" spans="2:14" x14ac:dyDescent="0.25">
      <c r="B117" s="63">
        <v>44938</v>
      </c>
      <c r="C117" s="63">
        <v>44939</v>
      </c>
      <c r="D117" s="64" t="s">
        <v>1666</v>
      </c>
      <c r="E117" s="64" t="s">
        <v>1667</v>
      </c>
      <c r="F117" s="65">
        <v>49.957769999999996</v>
      </c>
      <c r="G117" s="66">
        <v>49.957770604396998</v>
      </c>
      <c r="H117" s="65">
        <v>75</v>
      </c>
      <c r="I117" s="67">
        <v>3.768688</v>
      </c>
      <c r="J117" s="67">
        <v>66.325368999999995</v>
      </c>
      <c r="K117" s="67">
        <v>66.36</v>
      </c>
      <c r="L117" s="68">
        <v>100</v>
      </c>
      <c r="M117" s="67">
        <v>66.256</v>
      </c>
      <c r="N117" s="68">
        <v>6.9369E-2</v>
      </c>
    </row>
    <row r="118" spans="2:14" x14ac:dyDescent="0.25">
      <c r="B118" s="63">
        <v>44938</v>
      </c>
      <c r="C118" s="63">
        <v>44939</v>
      </c>
      <c r="D118" s="64" t="s">
        <v>1672</v>
      </c>
      <c r="E118" s="64" t="s">
        <v>1673</v>
      </c>
      <c r="F118" s="65">
        <v>22.045983</v>
      </c>
      <c r="G118" s="66">
        <v>0</v>
      </c>
      <c r="H118" s="65">
        <v>0</v>
      </c>
      <c r="I118" s="67">
        <v>0</v>
      </c>
      <c r="J118" s="67">
        <v>0</v>
      </c>
      <c r="K118" s="67">
        <v>0</v>
      </c>
      <c r="L118" s="68">
        <v>0</v>
      </c>
      <c r="M118" s="67">
        <v>0</v>
      </c>
      <c r="N118" s="68">
        <v>0</v>
      </c>
    </row>
    <row r="119" spans="2:14" x14ac:dyDescent="0.25">
      <c r="B119" s="63">
        <v>44942</v>
      </c>
      <c r="C119" s="63">
        <v>44943</v>
      </c>
      <c r="D119" s="64" t="s">
        <v>1642</v>
      </c>
      <c r="E119" s="64" t="s">
        <v>1643</v>
      </c>
      <c r="F119" s="65">
        <v>59.891421000000001</v>
      </c>
      <c r="G119" s="66">
        <v>0</v>
      </c>
      <c r="H119" s="65">
        <v>0</v>
      </c>
      <c r="I119" s="67">
        <v>0</v>
      </c>
      <c r="J119" s="67">
        <v>0</v>
      </c>
      <c r="K119" s="67">
        <v>0</v>
      </c>
      <c r="L119" s="68">
        <v>0</v>
      </c>
      <c r="M119" s="67">
        <v>0</v>
      </c>
      <c r="N119" s="68">
        <v>0</v>
      </c>
    </row>
    <row r="120" spans="2:14" x14ac:dyDescent="0.25">
      <c r="B120" s="63">
        <v>44942</v>
      </c>
      <c r="C120" s="63">
        <v>44943</v>
      </c>
      <c r="D120" s="64" t="s">
        <v>1644</v>
      </c>
      <c r="E120" s="64" t="s">
        <v>1645</v>
      </c>
      <c r="F120" s="65">
        <v>165.42054099999999</v>
      </c>
      <c r="G120" s="66">
        <v>55.153513736264998</v>
      </c>
      <c r="H120" s="65">
        <v>50</v>
      </c>
      <c r="I120" s="67">
        <v>3.3304870000000002</v>
      </c>
      <c r="J120" s="67">
        <v>109.77200000000001</v>
      </c>
      <c r="K120" s="67">
        <v>109.77200000000001</v>
      </c>
      <c r="L120" s="68">
        <v>100</v>
      </c>
      <c r="M120" s="67">
        <v>109.77200000000001</v>
      </c>
      <c r="N120" s="68">
        <v>0</v>
      </c>
    </row>
    <row r="121" spans="2:14" x14ac:dyDescent="0.25">
      <c r="B121" s="63">
        <v>44942</v>
      </c>
      <c r="C121" s="63">
        <v>44943</v>
      </c>
      <c r="D121" s="64" t="s">
        <v>1646</v>
      </c>
      <c r="E121" s="64" t="s">
        <v>1647</v>
      </c>
      <c r="F121" s="65">
        <v>19.211621999999998</v>
      </c>
      <c r="G121" s="66">
        <v>0</v>
      </c>
      <c r="H121" s="65">
        <v>0</v>
      </c>
      <c r="I121" s="67">
        <v>0</v>
      </c>
      <c r="J121" s="67">
        <v>0</v>
      </c>
      <c r="K121" s="67">
        <v>0</v>
      </c>
      <c r="L121" s="68">
        <v>0</v>
      </c>
      <c r="M121" s="67">
        <v>0</v>
      </c>
      <c r="N121" s="68">
        <v>0</v>
      </c>
    </row>
    <row r="122" spans="2:14" x14ac:dyDescent="0.25">
      <c r="B122" s="63">
        <v>44942</v>
      </c>
      <c r="C122" s="63">
        <v>44943</v>
      </c>
      <c r="D122" s="64" t="s">
        <v>1648</v>
      </c>
      <c r="E122" s="64" t="s">
        <v>1649</v>
      </c>
      <c r="F122" s="65">
        <v>160.88806299999999</v>
      </c>
      <c r="G122" s="66">
        <v>160.888063186815</v>
      </c>
      <c r="H122" s="65">
        <v>150</v>
      </c>
      <c r="I122" s="67">
        <v>3.3999130000000002</v>
      </c>
      <c r="J122" s="67">
        <v>106.78</v>
      </c>
      <c r="K122" s="67">
        <v>106.78</v>
      </c>
      <c r="L122" s="68">
        <v>100</v>
      </c>
      <c r="M122" s="67">
        <v>106.78</v>
      </c>
      <c r="N122" s="68">
        <v>0</v>
      </c>
    </row>
    <row r="123" spans="2:14" x14ac:dyDescent="0.25">
      <c r="B123" s="63">
        <v>44942</v>
      </c>
      <c r="C123" s="63">
        <v>44943</v>
      </c>
      <c r="D123" s="64" t="s">
        <v>1670</v>
      </c>
      <c r="E123" s="64" t="s">
        <v>1671</v>
      </c>
      <c r="F123" s="65">
        <v>38.592104999999997</v>
      </c>
      <c r="G123" s="66">
        <v>0</v>
      </c>
      <c r="H123" s="65">
        <v>0</v>
      </c>
      <c r="I123" s="67">
        <v>0</v>
      </c>
      <c r="J123" s="67">
        <v>0</v>
      </c>
      <c r="K123" s="67">
        <v>0</v>
      </c>
      <c r="L123" s="68">
        <v>0</v>
      </c>
      <c r="M123" s="67">
        <v>0</v>
      </c>
      <c r="N123" s="68">
        <v>0</v>
      </c>
    </row>
    <row r="124" spans="2:14" x14ac:dyDescent="0.25">
      <c r="B124" s="63">
        <v>44942</v>
      </c>
      <c r="C124" s="63">
        <v>44943</v>
      </c>
      <c r="D124" s="64" t="s">
        <v>1650</v>
      </c>
      <c r="E124" s="64" t="s">
        <v>1651</v>
      </c>
      <c r="F124" s="65">
        <v>773.58268699999996</v>
      </c>
      <c r="G124" s="66">
        <v>387.06809392265001</v>
      </c>
      <c r="H124" s="65">
        <v>350</v>
      </c>
      <c r="I124" s="67">
        <v>3.5537040000000002</v>
      </c>
      <c r="J124" s="67">
        <v>108.95</v>
      </c>
      <c r="K124" s="67">
        <v>108.95</v>
      </c>
      <c r="L124" s="68">
        <v>100</v>
      </c>
      <c r="M124" s="67">
        <v>108.95</v>
      </c>
      <c r="N124" s="68">
        <v>0</v>
      </c>
    </row>
    <row r="125" spans="2:14" x14ac:dyDescent="0.25">
      <c r="B125" s="63">
        <v>44942</v>
      </c>
      <c r="C125" s="63">
        <v>44943</v>
      </c>
      <c r="D125" s="64" t="s">
        <v>1652</v>
      </c>
      <c r="E125" s="64" t="s">
        <v>1653</v>
      </c>
      <c r="F125" s="65">
        <v>101.781048</v>
      </c>
      <c r="G125" s="66">
        <v>46.829218125002001</v>
      </c>
      <c r="H125" s="65">
        <v>66.7</v>
      </c>
      <c r="I125" s="67">
        <v>3.6332149999999999</v>
      </c>
      <c r="J125" s="67">
        <v>69.92</v>
      </c>
      <c r="K125" s="67">
        <v>69.92</v>
      </c>
      <c r="L125" s="68">
        <v>66.7</v>
      </c>
      <c r="M125" s="67">
        <v>69.92</v>
      </c>
      <c r="N125" s="68">
        <v>0</v>
      </c>
    </row>
    <row r="126" spans="2:14" x14ac:dyDescent="0.25">
      <c r="B126" s="63">
        <v>44942</v>
      </c>
      <c r="C126" s="63">
        <v>44943</v>
      </c>
      <c r="D126" s="64" t="s">
        <v>1654</v>
      </c>
      <c r="E126" s="64" t="s">
        <v>1655</v>
      </c>
      <c r="F126" s="65">
        <v>0</v>
      </c>
      <c r="G126" s="66">
        <v>0</v>
      </c>
      <c r="H126" s="65">
        <v>0</v>
      </c>
      <c r="I126" s="67">
        <v>0</v>
      </c>
      <c r="J126" s="67">
        <v>0</v>
      </c>
      <c r="K126" s="67">
        <v>0</v>
      </c>
      <c r="L126" s="68">
        <v>0</v>
      </c>
      <c r="M126" s="67">
        <v>0</v>
      </c>
      <c r="N126" s="68">
        <v>0</v>
      </c>
    </row>
    <row r="127" spans="2:14" x14ac:dyDescent="0.25">
      <c r="B127" s="63">
        <v>44942</v>
      </c>
      <c r="C127" s="63">
        <v>44943</v>
      </c>
      <c r="D127" s="64" t="s">
        <v>1656</v>
      </c>
      <c r="E127" s="64" t="s">
        <v>1657</v>
      </c>
      <c r="F127" s="65">
        <v>27.415192000000001</v>
      </c>
      <c r="G127" s="66">
        <v>0</v>
      </c>
      <c r="H127" s="65">
        <v>0</v>
      </c>
      <c r="I127" s="67">
        <v>0</v>
      </c>
      <c r="J127" s="67">
        <v>0</v>
      </c>
      <c r="K127" s="67">
        <v>0</v>
      </c>
      <c r="L127" s="68">
        <v>0</v>
      </c>
      <c r="M127" s="67">
        <v>0</v>
      </c>
      <c r="N127" s="68">
        <v>0</v>
      </c>
    </row>
    <row r="128" spans="2:14" x14ac:dyDescent="0.25">
      <c r="B128" s="63">
        <v>44942</v>
      </c>
      <c r="C128" s="63">
        <v>44943</v>
      </c>
      <c r="D128" s="64" t="s">
        <v>1658</v>
      </c>
      <c r="E128" s="64" t="s">
        <v>1659</v>
      </c>
      <c r="F128" s="65">
        <v>0</v>
      </c>
      <c r="G128" s="66">
        <v>0</v>
      </c>
      <c r="H128" s="65">
        <v>0</v>
      </c>
      <c r="I128" s="67">
        <v>0</v>
      </c>
      <c r="J128" s="67">
        <v>0</v>
      </c>
      <c r="K128" s="67">
        <v>0</v>
      </c>
      <c r="L128" s="68">
        <v>0</v>
      </c>
      <c r="M128" s="67">
        <v>0</v>
      </c>
      <c r="N128" s="68">
        <v>0</v>
      </c>
    </row>
    <row r="129" spans="2:14" x14ac:dyDescent="0.25">
      <c r="B129" s="63">
        <v>44942</v>
      </c>
      <c r="C129" s="63">
        <v>44943</v>
      </c>
      <c r="D129" s="64" t="s">
        <v>1660</v>
      </c>
      <c r="E129" s="64" t="s">
        <v>1661</v>
      </c>
      <c r="F129" s="65">
        <v>0</v>
      </c>
      <c r="G129" s="66">
        <v>0</v>
      </c>
      <c r="H129" s="65">
        <v>0</v>
      </c>
      <c r="I129" s="67">
        <v>0</v>
      </c>
      <c r="J129" s="67">
        <v>0</v>
      </c>
      <c r="K129" s="67">
        <v>0</v>
      </c>
      <c r="L129" s="68">
        <v>0</v>
      </c>
      <c r="M129" s="67">
        <v>0</v>
      </c>
      <c r="N129" s="68">
        <v>0</v>
      </c>
    </row>
    <row r="130" spans="2:14" x14ac:dyDescent="0.25">
      <c r="B130" s="63">
        <v>44942</v>
      </c>
      <c r="C130" s="63">
        <v>44943</v>
      </c>
      <c r="D130" s="64" t="s">
        <v>1662</v>
      </c>
      <c r="E130" s="64" t="s">
        <v>1663</v>
      </c>
      <c r="F130" s="65">
        <v>0</v>
      </c>
      <c r="G130" s="66">
        <v>0</v>
      </c>
      <c r="H130" s="65">
        <v>0</v>
      </c>
      <c r="I130" s="67">
        <v>0</v>
      </c>
      <c r="J130" s="67">
        <v>0</v>
      </c>
      <c r="K130" s="67">
        <v>0</v>
      </c>
      <c r="L130" s="68">
        <v>0</v>
      </c>
      <c r="M130" s="67">
        <v>0</v>
      </c>
      <c r="N130" s="68">
        <v>0</v>
      </c>
    </row>
    <row r="131" spans="2:14" x14ac:dyDescent="0.25">
      <c r="B131" s="63">
        <v>44942</v>
      </c>
      <c r="C131" s="63">
        <v>44943</v>
      </c>
      <c r="D131" s="64" t="s">
        <v>1664</v>
      </c>
      <c r="E131" s="64" t="s">
        <v>1665</v>
      </c>
      <c r="F131" s="65">
        <v>42.403483000000001</v>
      </c>
      <c r="G131" s="66">
        <v>0</v>
      </c>
      <c r="H131" s="65">
        <v>0</v>
      </c>
      <c r="I131" s="67">
        <v>0</v>
      </c>
      <c r="J131" s="67">
        <v>0</v>
      </c>
      <c r="K131" s="67">
        <v>0</v>
      </c>
      <c r="L131" s="68">
        <v>0</v>
      </c>
      <c r="M131" s="67">
        <v>0</v>
      </c>
      <c r="N131" s="68">
        <v>0</v>
      </c>
    </row>
    <row r="132" spans="2:14" x14ac:dyDescent="0.25">
      <c r="B132" s="63">
        <v>44942</v>
      </c>
      <c r="C132" s="63">
        <v>44943</v>
      </c>
      <c r="D132" s="64" t="s">
        <v>1666</v>
      </c>
      <c r="E132" s="64" t="s">
        <v>1667</v>
      </c>
      <c r="F132" s="65">
        <v>16.54419</v>
      </c>
      <c r="G132" s="66">
        <v>0</v>
      </c>
      <c r="H132" s="65">
        <v>0</v>
      </c>
      <c r="I132" s="67">
        <v>0</v>
      </c>
      <c r="J132" s="67">
        <v>0</v>
      </c>
      <c r="K132" s="67">
        <v>0</v>
      </c>
      <c r="L132" s="68">
        <v>0</v>
      </c>
      <c r="M132" s="67">
        <v>0</v>
      </c>
      <c r="N132" s="68">
        <v>0</v>
      </c>
    </row>
    <row r="133" spans="2:14" x14ac:dyDescent="0.25">
      <c r="B133" s="63">
        <v>44942</v>
      </c>
      <c r="C133" s="63">
        <v>44943</v>
      </c>
      <c r="D133" s="64" t="s">
        <v>1672</v>
      </c>
      <c r="E133" s="64" t="s">
        <v>1673</v>
      </c>
      <c r="F133" s="65">
        <v>5.492343</v>
      </c>
      <c r="G133" s="66">
        <v>0</v>
      </c>
      <c r="H133" s="65">
        <v>0</v>
      </c>
      <c r="I133" s="67">
        <v>0</v>
      </c>
      <c r="J133" s="67">
        <v>0</v>
      </c>
      <c r="K133" s="67">
        <v>0</v>
      </c>
      <c r="L133" s="68">
        <v>0</v>
      </c>
      <c r="M133" s="67">
        <v>0</v>
      </c>
      <c r="N133" s="68">
        <v>0</v>
      </c>
    </row>
    <row r="134" spans="2:14" x14ac:dyDescent="0.25">
      <c r="B134" s="69">
        <v>44949</v>
      </c>
      <c r="C134" s="69">
        <v>44950</v>
      </c>
      <c r="D134" s="70" t="s">
        <v>1624</v>
      </c>
      <c r="E134" s="70" t="s">
        <v>1625</v>
      </c>
      <c r="F134" s="71">
        <v>697.93240800000001</v>
      </c>
      <c r="G134" s="72">
        <v>520.08188315216398</v>
      </c>
      <c r="H134" s="71">
        <v>570</v>
      </c>
      <c r="I134" s="73">
        <v>3.1928480000000001</v>
      </c>
      <c r="J134" s="73">
        <v>91.244473999999997</v>
      </c>
      <c r="K134" s="73">
        <v>91.251999999999995</v>
      </c>
      <c r="L134" s="74">
        <v>100</v>
      </c>
      <c r="M134" s="73">
        <v>91.23</v>
      </c>
      <c r="N134" s="74">
        <v>1.4474000000000001E-2</v>
      </c>
    </row>
    <row r="135" spans="2:14" x14ac:dyDescent="0.25">
      <c r="B135" s="69">
        <v>44949</v>
      </c>
      <c r="C135" s="69">
        <v>44950</v>
      </c>
      <c r="D135" s="70" t="s">
        <v>1626</v>
      </c>
      <c r="E135" s="70" t="s">
        <v>1627</v>
      </c>
      <c r="F135" s="71">
        <v>98.839701000000005</v>
      </c>
      <c r="G135" s="72">
        <v>62.317486187847003</v>
      </c>
      <c r="H135" s="71">
        <v>66.2</v>
      </c>
      <c r="I135" s="73">
        <v>3.2930030000000001</v>
      </c>
      <c r="J135" s="73">
        <v>94.126887999999994</v>
      </c>
      <c r="K135" s="73">
        <v>94.13</v>
      </c>
      <c r="L135" s="74">
        <v>82.399998999999994</v>
      </c>
      <c r="M135" s="73">
        <v>94.125</v>
      </c>
      <c r="N135" s="74">
        <v>1.8879999999999999E-3</v>
      </c>
    </row>
    <row r="136" spans="2:14" x14ac:dyDescent="0.25">
      <c r="B136" s="69">
        <v>44949</v>
      </c>
      <c r="C136" s="69">
        <v>44950</v>
      </c>
      <c r="D136" s="70" t="s">
        <v>1628</v>
      </c>
      <c r="E136" s="70" t="s">
        <v>1629</v>
      </c>
      <c r="F136" s="71">
        <v>0</v>
      </c>
      <c r="G136" s="72">
        <v>0</v>
      </c>
      <c r="H136" s="71">
        <v>0</v>
      </c>
      <c r="I136" s="73">
        <v>0</v>
      </c>
      <c r="J136" s="73">
        <v>0</v>
      </c>
      <c r="K136" s="73">
        <v>0</v>
      </c>
      <c r="L136" s="74">
        <v>0</v>
      </c>
      <c r="M136" s="73">
        <v>0</v>
      </c>
      <c r="N136" s="74">
        <v>0</v>
      </c>
    </row>
    <row r="137" spans="2:14" x14ac:dyDescent="0.25">
      <c r="B137" s="69">
        <v>44949</v>
      </c>
      <c r="C137" s="69">
        <v>44950</v>
      </c>
      <c r="D137" s="70" t="s">
        <v>1630</v>
      </c>
      <c r="E137" s="70" t="s">
        <v>1631</v>
      </c>
      <c r="F137" s="71">
        <v>210.49193299999999</v>
      </c>
      <c r="G137" s="72">
        <v>27.492121823205999</v>
      </c>
      <c r="H137" s="71">
        <v>30</v>
      </c>
      <c r="I137" s="73">
        <v>3.2666219999999999</v>
      </c>
      <c r="J137" s="73">
        <v>91.633499999999998</v>
      </c>
      <c r="K137" s="73">
        <v>91.635999999999996</v>
      </c>
      <c r="L137" s="74">
        <v>100</v>
      </c>
      <c r="M137" s="73">
        <v>91.631</v>
      </c>
      <c r="N137" s="74">
        <v>2.5000000000000001E-3</v>
      </c>
    </row>
    <row r="138" spans="2:14" x14ac:dyDescent="0.25">
      <c r="B138" s="69">
        <v>44949</v>
      </c>
      <c r="C138" s="69">
        <v>44950</v>
      </c>
      <c r="D138" s="70" t="s">
        <v>1632</v>
      </c>
      <c r="E138" s="70" t="s">
        <v>1633</v>
      </c>
      <c r="F138" s="71">
        <v>0</v>
      </c>
      <c r="G138" s="72">
        <v>0</v>
      </c>
      <c r="H138" s="71">
        <v>0</v>
      </c>
      <c r="I138" s="73">
        <v>0</v>
      </c>
      <c r="J138" s="73">
        <v>0</v>
      </c>
      <c r="K138" s="73">
        <v>0</v>
      </c>
      <c r="L138" s="74">
        <v>0</v>
      </c>
      <c r="M138" s="73">
        <v>0</v>
      </c>
      <c r="N138" s="74">
        <v>0</v>
      </c>
    </row>
    <row r="139" spans="2:14" x14ac:dyDescent="0.25">
      <c r="B139" s="69">
        <v>44949</v>
      </c>
      <c r="C139" s="69">
        <v>44950</v>
      </c>
      <c r="D139" s="70" t="s">
        <v>1634</v>
      </c>
      <c r="E139" s="70" t="s">
        <v>1635</v>
      </c>
      <c r="F139" s="71">
        <v>199.717356</v>
      </c>
      <c r="G139" s="72">
        <v>0</v>
      </c>
      <c r="H139" s="71">
        <v>0</v>
      </c>
      <c r="I139" s="73">
        <v>0</v>
      </c>
      <c r="J139" s="73">
        <v>0</v>
      </c>
      <c r="K139" s="73">
        <v>0</v>
      </c>
      <c r="L139" s="74">
        <v>0</v>
      </c>
      <c r="M139" s="73">
        <v>0</v>
      </c>
      <c r="N139" s="74">
        <v>0</v>
      </c>
    </row>
    <row r="140" spans="2:14" x14ac:dyDescent="0.25">
      <c r="B140" s="69">
        <v>44949</v>
      </c>
      <c r="C140" s="69">
        <v>44950</v>
      </c>
      <c r="D140" s="70" t="s">
        <v>1636</v>
      </c>
      <c r="E140" s="70" t="s">
        <v>1637</v>
      </c>
      <c r="F140" s="71">
        <v>45.933821000000002</v>
      </c>
      <c r="G140" s="72">
        <v>0</v>
      </c>
      <c r="H140" s="71">
        <v>0</v>
      </c>
      <c r="I140" s="73">
        <v>0</v>
      </c>
      <c r="J140" s="73">
        <v>0</v>
      </c>
      <c r="K140" s="73">
        <v>0</v>
      </c>
      <c r="L140" s="74">
        <v>0</v>
      </c>
      <c r="M140" s="73">
        <v>0</v>
      </c>
      <c r="N140" s="74">
        <v>0</v>
      </c>
    </row>
    <row r="141" spans="2:14" x14ac:dyDescent="0.25">
      <c r="B141" s="69">
        <v>44949</v>
      </c>
      <c r="C141" s="69">
        <v>44950</v>
      </c>
      <c r="D141" s="70" t="s">
        <v>1638</v>
      </c>
      <c r="E141" s="70" t="s">
        <v>1639</v>
      </c>
      <c r="F141" s="71">
        <v>57.286653999999999</v>
      </c>
      <c r="G141" s="72">
        <v>40.105173076923997</v>
      </c>
      <c r="H141" s="71">
        <v>35</v>
      </c>
      <c r="I141" s="73">
        <v>3.3870960000000001</v>
      </c>
      <c r="J141" s="73">
        <v>113.795</v>
      </c>
      <c r="K141" s="73">
        <v>113.795</v>
      </c>
      <c r="L141" s="74">
        <v>100</v>
      </c>
      <c r="M141" s="73">
        <v>113.795</v>
      </c>
      <c r="N141" s="74">
        <v>0</v>
      </c>
    </row>
    <row r="142" spans="2:14" x14ac:dyDescent="0.25">
      <c r="B142" s="69">
        <v>44949</v>
      </c>
      <c r="C142" s="69">
        <v>44950</v>
      </c>
      <c r="D142" s="70" t="s">
        <v>1668</v>
      </c>
      <c r="E142" s="70" t="s">
        <v>1669</v>
      </c>
      <c r="F142" s="71">
        <v>0</v>
      </c>
      <c r="G142" s="72">
        <v>0</v>
      </c>
      <c r="H142" s="71">
        <v>0</v>
      </c>
      <c r="I142" s="73">
        <v>0</v>
      </c>
      <c r="J142" s="73">
        <v>0</v>
      </c>
      <c r="K142" s="73">
        <v>0</v>
      </c>
      <c r="L142" s="74">
        <v>0</v>
      </c>
      <c r="M142" s="73">
        <v>0</v>
      </c>
      <c r="N142" s="74">
        <v>0</v>
      </c>
    </row>
    <row r="143" spans="2:14" x14ac:dyDescent="0.25">
      <c r="B143" s="69">
        <v>44949</v>
      </c>
      <c r="C143" s="69">
        <v>44950</v>
      </c>
      <c r="D143" s="70" t="s">
        <v>1640</v>
      </c>
      <c r="E143" s="70" t="s">
        <v>1641</v>
      </c>
      <c r="F143" s="71">
        <v>21.420490000000001</v>
      </c>
      <c r="G143" s="72">
        <v>0</v>
      </c>
      <c r="H143" s="71">
        <v>0</v>
      </c>
      <c r="I143" s="73">
        <v>0</v>
      </c>
      <c r="J143" s="73">
        <v>0</v>
      </c>
      <c r="K143" s="73">
        <v>0</v>
      </c>
      <c r="L143" s="74">
        <v>0</v>
      </c>
      <c r="M143" s="73">
        <v>0</v>
      </c>
      <c r="N143" s="74">
        <v>0</v>
      </c>
    </row>
    <row r="144" spans="2:14" x14ac:dyDescent="0.25">
      <c r="B144" s="63">
        <v>44956</v>
      </c>
      <c r="C144" s="63">
        <v>44957</v>
      </c>
      <c r="D144" s="64" t="s">
        <v>1674</v>
      </c>
      <c r="E144" s="64" t="s">
        <v>1675</v>
      </c>
      <c r="F144" s="65">
        <v>0</v>
      </c>
      <c r="G144" s="66">
        <v>0</v>
      </c>
      <c r="H144" s="65">
        <v>0</v>
      </c>
      <c r="I144" s="67">
        <v>0</v>
      </c>
      <c r="J144" s="67">
        <v>0</v>
      </c>
      <c r="K144" s="67">
        <v>0</v>
      </c>
      <c r="L144" s="68">
        <v>0</v>
      </c>
      <c r="M144" s="67">
        <v>0</v>
      </c>
      <c r="N144" s="68">
        <v>0</v>
      </c>
    </row>
    <row r="145" spans="2:14" x14ac:dyDescent="0.25">
      <c r="B145" s="63">
        <v>44956</v>
      </c>
      <c r="C145" s="63">
        <v>44957</v>
      </c>
      <c r="D145" s="64" t="s">
        <v>1676</v>
      </c>
      <c r="E145" s="64" t="s">
        <v>1677</v>
      </c>
      <c r="F145" s="65">
        <v>0</v>
      </c>
      <c r="G145" s="66">
        <v>0</v>
      </c>
      <c r="H145" s="65">
        <v>0</v>
      </c>
      <c r="I145" s="67">
        <v>0</v>
      </c>
      <c r="J145" s="67">
        <v>0</v>
      </c>
      <c r="K145" s="67">
        <v>0</v>
      </c>
      <c r="L145" s="68">
        <v>0</v>
      </c>
      <c r="M145" s="67">
        <v>0</v>
      </c>
      <c r="N145" s="68">
        <v>0</v>
      </c>
    </row>
    <row r="146" spans="2:14" x14ac:dyDescent="0.25">
      <c r="B146" s="63">
        <v>44956</v>
      </c>
      <c r="C146" s="63">
        <v>44957</v>
      </c>
      <c r="D146" s="64" t="s">
        <v>1678</v>
      </c>
      <c r="E146" s="64" t="s">
        <v>1679</v>
      </c>
      <c r="F146" s="65">
        <v>0</v>
      </c>
      <c r="G146" s="66">
        <v>0</v>
      </c>
      <c r="H146" s="65">
        <v>0</v>
      </c>
      <c r="I146" s="67">
        <v>0</v>
      </c>
      <c r="J146" s="67">
        <v>0</v>
      </c>
      <c r="K146" s="67">
        <v>0</v>
      </c>
      <c r="L146" s="68">
        <v>0</v>
      </c>
      <c r="M146" s="67">
        <v>0</v>
      </c>
      <c r="N146" s="68">
        <v>0</v>
      </c>
    </row>
    <row r="147" spans="2:14" x14ac:dyDescent="0.25">
      <c r="B147" s="63">
        <v>44956</v>
      </c>
      <c r="C147" s="63">
        <v>44957</v>
      </c>
      <c r="D147" s="64" t="s">
        <v>1680</v>
      </c>
      <c r="E147" s="64" t="s">
        <v>1681</v>
      </c>
      <c r="F147" s="65">
        <v>0</v>
      </c>
      <c r="G147" s="66">
        <v>0</v>
      </c>
      <c r="H147" s="65">
        <v>0</v>
      </c>
      <c r="I147" s="67">
        <v>0</v>
      </c>
      <c r="J147" s="67">
        <v>0</v>
      </c>
      <c r="K147" s="67">
        <v>0</v>
      </c>
      <c r="L147" s="68">
        <v>0</v>
      </c>
      <c r="M147" s="67">
        <v>0</v>
      </c>
      <c r="N147" s="68">
        <v>0</v>
      </c>
    </row>
    <row r="148" spans="2:14" x14ac:dyDescent="0.25">
      <c r="B148" s="63">
        <v>44956</v>
      </c>
      <c r="C148" s="63">
        <v>44957</v>
      </c>
      <c r="D148" s="64" t="s">
        <v>1682</v>
      </c>
      <c r="E148" s="64" t="s">
        <v>1683</v>
      </c>
      <c r="F148" s="65">
        <v>0</v>
      </c>
      <c r="G148" s="66">
        <v>0</v>
      </c>
      <c r="H148" s="65">
        <v>0</v>
      </c>
      <c r="I148" s="67">
        <v>0</v>
      </c>
      <c r="J148" s="67">
        <v>0</v>
      </c>
      <c r="K148" s="67">
        <v>0</v>
      </c>
      <c r="L148" s="68">
        <v>0</v>
      </c>
      <c r="M148" s="67">
        <v>0</v>
      </c>
      <c r="N148" s="68">
        <v>0</v>
      </c>
    </row>
    <row r="149" spans="2:14" x14ac:dyDescent="0.25">
      <c r="B149" s="63">
        <v>44956</v>
      </c>
      <c r="C149" s="63">
        <v>44957</v>
      </c>
      <c r="D149" s="64" t="s">
        <v>1684</v>
      </c>
      <c r="E149" s="64" t="s">
        <v>1685</v>
      </c>
      <c r="F149" s="65">
        <v>0</v>
      </c>
      <c r="G149" s="66">
        <v>0</v>
      </c>
      <c r="H149" s="65">
        <v>0</v>
      </c>
      <c r="I149" s="67">
        <v>0</v>
      </c>
      <c r="J149" s="67">
        <v>0</v>
      </c>
      <c r="K149" s="67">
        <v>0</v>
      </c>
      <c r="L149" s="68">
        <v>0</v>
      </c>
      <c r="M149" s="67">
        <v>0</v>
      </c>
      <c r="N149" s="68">
        <v>0</v>
      </c>
    </row>
    <row r="150" spans="2:14" x14ac:dyDescent="0.25">
      <c r="B150" s="63">
        <v>44956</v>
      </c>
      <c r="C150" s="63">
        <v>44957</v>
      </c>
      <c r="D150" s="64" t="s">
        <v>1686</v>
      </c>
      <c r="E150" s="64" t="s">
        <v>1687</v>
      </c>
      <c r="F150" s="65">
        <v>0</v>
      </c>
      <c r="G150" s="66">
        <v>0</v>
      </c>
      <c r="H150" s="65">
        <v>0</v>
      </c>
      <c r="I150" s="67">
        <v>0</v>
      </c>
      <c r="J150" s="67">
        <v>0</v>
      </c>
      <c r="K150" s="67">
        <v>0</v>
      </c>
      <c r="L150" s="68">
        <v>0</v>
      </c>
      <c r="M150" s="67">
        <v>0</v>
      </c>
      <c r="N150" s="68">
        <v>0</v>
      </c>
    </row>
    <row r="151" spans="2:14" x14ac:dyDescent="0.25">
      <c r="B151" s="63">
        <v>44956</v>
      </c>
      <c r="C151" s="63">
        <v>44957</v>
      </c>
      <c r="D151" s="64" t="s">
        <v>1688</v>
      </c>
      <c r="E151" s="64" t="s">
        <v>1689</v>
      </c>
      <c r="F151" s="65">
        <v>360.626194</v>
      </c>
      <c r="G151" s="66">
        <v>178.85452623626301</v>
      </c>
      <c r="H151" s="65">
        <v>375</v>
      </c>
      <c r="I151" s="67">
        <v>3.6505670000000001</v>
      </c>
      <c r="J151" s="67">
        <v>47.521141</v>
      </c>
      <c r="K151" s="67">
        <v>47.542999999999999</v>
      </c>
      <c r="L151" s="68">
        <v>100</v>
      </c>
      <c r="M151" s="67">
        <v>47.472999999999999</v>
      </c>
      <c r="N151" s="68">
        <v>4.8141000000000003E-2</v>
      </c>
    </row>
    <row r="152" spans="2:14" x14ac:dyDescent="0.25">
      <c r="B152" s="63">
        <v>44956</v>
      </c>
      <c r="C152" s="63">
        <v>44957</v>
      </c>
      <c r="D152" s="64" t="s">
        <v>1690</v>
      </c>
      <c r="E152" s="64" t="s">
        <v>1691</v>
      </c>
      <c r="F152" s="65">
        <v>97.295500000000004</v>
      </c>
      <c r="G152" s="66">
        <v>42.952500000000001</v>
      </c>
      <c r="H152" s="65">
        <v>75</v>
      </c>
      <c r="I152" s="67">
        <v>3.684323</v>
      </c>
      <c r="J152" s="67">
        <v>57.27</v>
      </c>
      <c r="K152" s="67">
        <v>57.27</v>
      </c>
      <c r="L152" s="68">
        <v>100</v>
      </c>
      <c r="M152" s="67">
        <v>57.27</v>
      </c>
      <c r="N152" s="68">
        <v>0</v>
      </c>
    </row>
    <row r="153" spans="2:14" x14ac:dyDescent="0.25">
      <c r="B153" s="63">
        <v>44956</v>
      </c>
      <c r="C153" s="63">
        <v>44957</v>
      </c>
      <c r="D153" s="64" t="s">
        <v>1692</v>
      </c>
      <c r="E153" s="64" t="s">
        <v>1693</v>
      </c>
      <c r="F153" s="65">
        <v>0</v>
      </c>
      <c r="G153" s="66">
        <v>0</v>
      </c>
      <c r="H153" s="65">
        <v>0</v>
      </c>
      <c r="I153" s="67">
        <v>0</v>
      </c>
      <c r="J153" s="67">
        <v>0</v>
      </c>
      <c r="K153" s="67">
        <v>0</v>
      </c>
      <c r="L153" s="68">
        <v>0</v>
      </c>
      <c r="M153" s="67">
        <v>0</v>
      </c>
      <c r="N153" s="68">
        <v>0</v>
      </c>
    </row>
    <row r="154" spans="2:14" x14ac:dyDescent="0.25">
      <c r="B154" s="63">
        <v>44956</v>
      </c>
      <c r="C154" s="63">
        <v>44957</v>
      </c>
      <c r="D154" s="64" t="s">
        <v>1694</v>
      </c>
      <c r="E154" s="64" t="s">
        <v>1695</v>
      </c>
      <c r="F154" s="65">
        <v>0</v>
      </c>
      <c r="G154" s="66">
        <v>0</v>
      </c>
      <c r="H154" s="65">
        <v>0</v>
      </c>
      <c r="I154" s="67">
        <v>0</v>
      </c>
      <c r="J154" s="67">
        <v>0</v>
      </c>
      <c r="K154" s="67">
        <v>0</v>
      </c>
      <c r="L154" s="68">
        <v>0</v>
      </c>
      <c r="M154" s="67">
        <v>0</v>
      </c>
      <c r="N154" s="68">
        <v>0</v>
      </c>
    </row>
    <row r="155" spans="2:14" x14ac:dyDescent="0.25">
      <c r="B155" s="63">
        <v>44956</v>
      </c>
      <c r="C155" s="63">
        <v>44957</v>
      </c>
      <c r="D155" s="64" t="s">
        <v>1696</v>
      </c>
      <c r="E155" s="64" t="s">
        <v>1697</v>
      </c>
      <c r="F155" s="65">
        <v>0</v>
      </c>
      <c r="G155" s="66">
        <v>0</v>
      </c>
      <c r="H155" s="65">
        <v>0</v>
      </c>
      <c r="I155" s="67">
        <v>0</v>
      </c>
      <c r="J155" s="67">
        <v>0</v>
      </c>
      <c r="K155" s="67">
        <v>0</v>
      </c>
      <c r="L155" s="68">
        <v>0</v>
      </c>
      <c r="M155" s="67">
        <v>0</v>
      </c>
      <c r="N155" s="68">
        <v>0</v>
      </c>
    </row>
    <row r="156" spans="2:14" x14ac:dyDescent="0.25">
      <c r="B156" s="63">
        <v>44956</v>
      </c>
      <c r="C156" s="63">
        <v>44957</v>
      </c>
      <c r="D156" s="64" t="s">
        <v>1698</v>
      </c>
      <c r="E156" s="64" t="s">
        <v>1699</v>
      </c>
      <c r="F156" s="65">
        <v>0</v>
      </c>
      <c r="G156" s="66">
        <v>0</v>
      </c>
      <c r="H156" s="65">
        <v>0</v>
      </c>
      <c r="I156" s="67">
        <v>0</v>
      </c>
      <c r="J156" s="67">
        <v>0</v>
      </c>
      <c r="K156" s="67">
        <v>0</v>
      </c>
      <c r="L156" s="68">
        <v>0</v>
      </c>
      <c r="M156" s="67">
        <v>0</v>
      </c>
      <c r="N156" s="68">
        <v>0</v>
      </c>
    </row>
    <row r="157" spans="2:14" x14ac:dyDescent="0.25">
      <c r="B157" s="63">
        <v>44956</v>
      </c>
      <c r="C157" s="63">
        <v>44957</v>
      </c>
      <c r="D157" s="64" t="s">
        <v>1700</v>
      </c>
      <c r="E157" s="64" t="s">
        <v>1701</v>
      </c>
      <c r="F157" s="65">
        <v>17.113247000000001</v>
      </c>
      <c r="G157" s="66">
        <v>0</v>
      </c>
      <c r="H157" s="65">
        <v>0</v>
      </c>
      <c r="I157" s="67">
        <v>0</v>
      </c>
      <c r="J157" s="67">
        <v>0</v>
      </c>
      <c r="K157" s="67">
        <v>0</v>
      </c>
      <c r="L157" s="68">
        <v>0</v>
      </c>
      <c r="M157" s="67">
        <v>0</v>
      </c>
      <c r="N157" s="68">
        <v>0</v>
      </c>
    </row>
    <row r="158" spans="2:14" x14ac:dyDescent="0.25">
      <c r="B158" s="63">
        <v>44956</v>
      </c>
      <c r="C158" s="63">
        <v>44957</v>
      </c>
      <c r="D158" s="64" t="s">
        <v>1702</v>
      </c>
      <c r="E158" s="64" t="s">
        <v>1703</v>
      </c>
      <c r="F158" s="65">
        <v>145.948654</v>
      </c>
      <c r="G158" s="66">
        <v>97.347402762431003</v>
      </c>
      <c r="H158" s="65">
        <v>90</v>
      </c>
      <c r="I158" s="67">
        <v>3.6035110000000001</v>
      </c>
      <c r="J158" s="67">
        <v>108.064342</v>
      </c>
      <c r="K158" s="67">
        <v>108.10599999999999</v>
      </c>
      <c r="L158" s="68">
        <v>100</v>
      </c>
      <c r="M158" s="67">
        <v>108.02</v>
      </c>
      <c r="N158" s="68">
        <v>4.4341999999999999E-2</v>
      </c>
    </row>
    <row r="159" spans="2:14" x14ac:dyDescent="0.25">
      <c r="B159" s="63">
        <v>44956</v>
      </c>
      <c r="C159" s="63">
        <v>44957</v>
      </c>
      <c r="D159" s="64" t="s">
        <v>1704</v>
      </c>
      <c r="E159" s="64" t="s">
        <v>1705</v>
      </c>
      <c r="F159" s="65">
        <v>5.5933099999999998</v>
      </c>
      <c r="G159" s="66">
        <v>0</v>
      </c>
      <c r="H159" s="65">
        <v>0</v>
      </c>
      <c r="I159" s="67">
        <v>0</v>
      </c>
      <c r="J159" s="67">
        <v>0</v>
      </c>
      <c r="K159" s="67">
        <v>0</v>
      </c>
      <c r="L159" s="68">
        <v>0</v>
      </c>
      <c r="M159" s="67">
        <v>0</v>
      </c>
      <c r="N159" s="68">
        <v>0</v>
      </c>
    </row>
    <row r="160" spans="2:14" x14ac:dyDescent="0.25">
      <c r="B160" s="63">
        <v>44956</v>
      </c>
      <c r="C160" s="63">
        <v>44957</v>
      </c>
      <c r="D160" s="64" t="s">
        <v>1706</v>
      </c>
      <c r="E160" s="64" t="s">
        <v>1707</v>
      </c>
      <c r="F160" s="65">
        <v>61.802923</v>
      </c>
      <c r="G160" s="66">
        <v>46.363092817678002</v>
      </c>
      <c r="H160" s="65">
        <v>60</v>
      </c>
      <c r="I160" s="67">
        <v>3.5416080000000001</v>
      </c>
      <c r="J160" s="67">
        <v>77.209677999999997</v>
      </c>
      <c r="K160" s="67">
        <v>77.245999999999995</v>
      </c>
      <c r="L160" s="68">
        <v>100</v>
      </c>
      <c r="M160" s="67">
        <v>77.173000000000002</v>
      </c>
      <c r="N160" s="68">
        <v>3.6678000000000002E-2</v>
      </c>
    </row>
    <row r="161" spans="2:14" x14ac:dyDescent="0.25">
      <c r="B161" s="63">
        <v>44956</v>
      </c>
      <c r="C161" s="63">
        <v>44957</v>
      </c>
      <c r="D161" s="64" t="s">
        <v>1708</v>
      </c>
      <c r="E161" s="64" t="s">
        <v>1709</v>
      </c>
      <c r="F161" s="65">
        <v>49.468508</v>
      </c>
      <c r="G161" s="66">
        <v>49.468508287295002</v>
      </c>
      <c r="H161" s="65">
        <v>50</v>
      </c>
      <c r="I161" s="67">
        <v>3.5511270000000001</v>
      </c>
      <c r="J161" s="67">
        <v>98.85</v>
      </c>
      <c r="K161" s="67">
        <v>98.85</v>
      </c>
      <c r="L161" s="68">
        <v>100</v>
      </c>
      <c r="M161" s="67">
        <v>98.85</v>
      </c>
      <c r="N161" s="68">
        <v>0</v>
      </c>
    </row>
    <row r="162" spans="2:14" x14ac:dyDescent="0.25">
      <c r="B162" s="63">
        <v>44956</v>
      </c>
      <c r="C162" s="63">
        <v>44957</v>
      </c>
      <c r="D162" s="64" t="s">
        <v>1710</v>
      </c>
      <c r="E162" s="64" t="s">
        <v>1711</v>
      </c>
      <c r="F162" s="65">
        <v>336.799578</v>
      </c>
      <c r="G162" s="66">
        <v>234.96315160713101</v>
      </c>
      <c r="H162" s="65">
        <v>404.5</v>
      </c>
      <c r="I162" s="67">
        <v>3.415886</v>
      </c>
      <c r="J162" s="67">
        <v>57.636423999999998</v>
      </c>
      <c r="K162" s="67">
        <v>57.665999999999997</v>
      </c>
      <c r="L162" s="68">
        <v>78.965517000000006</v>
      </c>
      <c r="M162" s="67">
        <v>57.601999999999997</v>
      </c>
      <c r="N162" s="68">
        <v>3.4424000000000003E-2</v>
      </c>
    </row>
    <row r="163" spans="2:14" x14ac:dyDescent="0.25">
      <c r="B163" s="63">
        <v>44963</v>
      </c>
      <c r="C163" s="63">
        <v>44964</v>
      </c>
      <c r="D163" s="64" t="s">
        <v>1642</v>
      </c>
      <c r="E163" s="64" t="s">
        <v>1643</v>
      </c>
      <c r="F163" s="65">
        <v>0</v>
      </c>
      <c r="G163" s="66">
        <v>0</v>
      </c>
      <c r="H163" s="65">
        <v>0</v>
      </c>
      <c r="I163" s="67">
        <v>0</v>
      </c>
      <c r="J163" s="67">
        <v>0</v>
      </c>
      <c r="K163" s="67">
        <v>0</v>
      </c>
      <c r="L163" s="68">
        <v>0</v>
      </c>
      <c r="M163" s="67">
        <v>0</v>
      </c>
      <c r="N163" s="68">
        <v>0</v>
      </c>
    </row>
    <row r="164" spans="2:14" x14ac:dyDescent="0.25">
      <c r="B164" s="63">
        <v>44963</v>
      </c>
      <c r="C164" s="63">
        <v>44964</v>
      </c>
      <c r="D164" s="64" t="s">
        <v>1644</v>
      </c>
      <c r="E164" s="64" t="s">
        <v>1645</v>
      </c>
      <c r="F164" s="65">
        <v>189.69946200000001</v>
      </c>
      <c r="G164" s="66">
        <v>16.751859890111</v>
      </c>
      <c r="H164" s="65">
        <v>15</v>
      </c>
      <c r="I164" s="67">
        <v>3.1707109999999998</v>
      </c>
      <c r="J164" s="67">
        <v>110.87</v>
      </c>
      <c r="K164" s="67">
        <v>110.87</v>
      </c>
      <c r="L164" s="68">
        <v>100</v>
      </c>
      <c r="M164" s="67">
        <v>110.87</v>
      </c>
      <c r="N164" s="68">
        <v>0</v>
      </c>
    </row>
    <row r="165" spans="2:14" x14ac:dyDescent="0.25">
      <c r="B165" s="63">
        <v>44963</v>
      </c>
      <c r="C165" s="63">
        <v>44964</v>
      </c>
      <c r="D165" s="64" t="s">
        <v>1646</v>
      </c>
      <c r="E165" s="64" t="s">
        <v>1647</v>
      </c>
      <c r="F165" s="65">
        <v>11.669225000000001</v>
      </c>
      <c r="G165" s="66">
        <v>0</v>
      </c>
      <c r="H165" s="65">
        <v>0</v>
      </c>
      <c r="I165" s="67">
        <v>0</v>
      </c>
      <c r="J165" s="67">
        <v>0</v>
      </c>
      <c r="K165" s="67">
        <v>0</v>
      </c>
      <c r="L165" s="68">
        <v>0</v>
      </c>
      <c r="M165" s="67">
        <v>0</v>
      </c>
      <c r="N165" s="68">
        <v>0</v>
      </c>
    </row>
    <row r="166" spans="2:14" x14ac:dyDescent="0.25">
      <c r="B166" s="63">
        <v>44963</v>
      </c>
      <c r="C166" s="63">
        <v>44964</v>
      </c>
      <c r="D166" s="64" t="s">
        <v>1648</v>
      </c>
      <c r="E166" s="64" t="s">
        <v>1649</v>
      </c>
      <c r="F166" s="65">
        <v>624.90468099999998</v>
      </c>
      <c r="G166" s="66">
        <v>323.32777996702998</v>
      </c>
      <c r="H166" s="65">
        <v>297.3</v>
      </c>
      <c r="I166" s="67">
        <v>3.2449620000000001</v>
      </c>
      <c r="J166" s="67">
        <v>108.03081899999999</v>
      </c>
      <c r="K166" s="67">
        <v>108.039</v>
      </c>
      <c r="L166" s="68">
        <v>48.649999000000001</v>
      </c>
      <c r="M166" s="67">
        <v>108.014</v>
      </c>
      <c r="N166" s="68">
        <v>1.6819000000000001E-2</v>
      </c>
    </row>
    <row r="167" spans="2:14" x14ac:dyDescent="0.25">
      <c r="B167" s="63">
        <v>44963</v>
      </c>
      <c r="C167" s="63">
        <v>44964</v>
      </c>
      <c r="D167" s="64" t="s">
        <v>1650</v>
      </c>
      <c r="E167" s="64" t="s">
        <v>1651</v>
      </c>
      <c r="F167" s="65">
        <v>0</v>
      </c>
      <c r="G167" s="66">
        <v>0</v>
      </c>
      <c r="H167" s="65">
        <v>0</v>
      </c>
      <c r="I167" s="67">
        <v>0</v>
      </c>
      <c r="J167" s="67">
        <v>0</v>
      </c>
      <c r="K167" s="67">
        <v>0</v>
      </c>
      <c r="L167" s="68">
        <v>0</v>
      </c>
      <c r="M167" s="67">
        <v>0</v>
      </c>
      <c r="N167" s="68">
        <v>0</v>
      </c>
    </row>
    <row r="168" spans="2:14" x14ac:dyDescent="0.25">
      <c r="B168" s="63">
        <v>44963</v>
      </c>
      <c r="C168" s="63">
        <v>44964</v>
      </c>
      <c r="D168" s="64" t="s">
        <v>1652</v>
      </c>
      <c r="E168" s="64" t="s">
        <v>1653</v>
      </c>
      <c r="F168" s="65">
        <v>0</v>
      </c>
      <c r="G168" s="66">
        <v>0</v>
      </c>
      <c r="H168" s="65">
        <v>0</v>
      </c>
      <c r="I168" s="67">
        <v>0</v>
      </c>
      <c r="J168" s="67">
        <v>0</v>
      </c>
      <c r="K168" s="67">
        <v>0</v>
      </c>
      <c r="L168" s="68">
        <v>0</v>
      </c>
      <c r="M168" s="67">
        <v>0</v>
      </c>
      <c r="N168" s="68">
        <v>0</v>
      </c>
    </row>
    <row r="169" spans="2:14" x14ac:dyDescent="0.25">
      <c r="B169" s="63">
        <v>44963</v>
      </c>
      <c r="C169" s="63">
        <v>44964</v>
      </c>
      <c r="D169" s="64" t="s">
        <v>1654</v>
      </c>
      <c r="E169" s="64" t="s">
        <v>1655</v>
      </c>
      <c r="F169" s="65">
        <v>391.69663100000002</v>
      </c>
      <c r="G169" s="66">
        <v>309.912928839774</v>
      </c>
      <c r="H169" s="65">
        <v>284</v>
      </c>
      <c r="I169" s="67">
        <v>3.544667</v>
      </c>
      <c r="J169" s="67">
        <v>107.328002</v>
      </c>
      <c r="K169" s="67">
        <v>107.343</v>
      </c>
      <c r="L169" s="68">
        <v>100</v>
      </c>
      <c r="M169" s="67">
        <v>107.313</v>
      </c>
      <c r="N169" s="68">
        <v>1.5002E-2</v>
      </c>
    </row>
    <row r="170" spans="2:14" x14ac:dyDescent="0.25">
      <c r="B170" s="63">
        <v>44963</v>
      </c>
      <c r="C170" s="63">
        <v>44964</v>
      </c>
      <c r="D170" s="64" t="s">
        <v>1656</v>
      </c>
      <c r="E170" s="64" t="s">
        <v>1657</v>
      </c>
      <c r="F170" s="65">
        <v>39.706319999999998</v>
      </c>
      <c r="G170" s="66">
        <v>0</v>
      </c>
      <c r="H170" s="65">
        <v>0</v>
      </c>
      <c r="I170" s="67">
        <v>0</v>
      </c>
      <c r="J170" s="67">
        <v>0</v>
      </c>
      <c r="K170" s="67">
        <v>0</v>
      </c>
      <c r="L170" s="68">
        <v>0</v>
      </c>
      <c r="M170" s="67">
        <v>0</v>
      </c>
      <c r="N170" s="68">
        <v>0</v>
      </c>
    </row>
    <row r="171" spans="2:14" x14ac:dyDescent="0.25">
      <c r="B171" s="63">
        <v>44963</v>
      </c>
      <c r="C171" s="63">
        <v>44964</v>
      </c>
      <c r="D171" s="64" t="s">
        <v>1658</v>
      </c>
      <c r="E171" s="64" t="s">
        <v>1659</v>
      </c>
      <c r="F171" s="65">
        <v>85.191799000000003</v>
      </c>
      <c r="G171" s="66">
        <v>0</v>
      </c>
      <c r="H171" s="65">
        <v>0</v>
      </c>
      <c r="I171" s="67">
        <v>0</v>
      </c>
      <c r="J171" s="67">
        <v>0</v>
      </c>
      <c r="K171" s="67">
        <v>0</v>
      </c>
      <c r="L171" s="68">
        <v>0</v>
      </c>
      <c r="M171" s="67">
        <v>0</v>
      </c>
      <c r="N171" s="68">
        <v>0</v>
      </c>
    </row>
    <row r="172" spans="2:14" x14ac:dyDescent="0.25">
      <c r="B172" s="63">
        <v>44963</v>
      </c>
      <c r="C172" s="63">
        <v>44964</v>
      </c>
      <c r="D172" s="64" t="s">
        <v>1662</v>
      </c>
      <c r="E172" s="64" t="s">
        <v>1663</v>
      </c>
      <c r="F172" s="65">
        <v>0</v>
      </c>
      <c r="G172" s="66">
        <v>0</v>
      </c>
      <c r="H172" s="65">
        <v>0</v>
      </c>
      <c r="I172" s="67">
        <v>0</v>
      </c>
      <c r="J172" s="67">
        <v>0</v>
      </c>
      <c r="K172" s="67">
        <v>0</v>
      </c>
      <c r="L172" s="68">
        <v>0</v>
      </c>
      <c r="M172" s="67">
        <v>0</v>
      </c>
      <c r="N172" s="68">
        <v>0</v>
      </c>
    </row>
    <row r="173" spans="2:14" x14ac:dyDescent="0.25">
      <c r="B173" s="63">
        <v>44963</v>
      </c>
      <c r="C173" s="63">
        <v>44964</v>
      </c>
      <c r="D173" s="64" t="s">
        <v>1664</v>
      </c>
      <c r="E173" s="64" t="s">
        <v>1665</v>
      </c>
      <c r="F173" s="65">
        <v>0</v>
      </c>
      <c r="G173" s="66">
        <v>0</v>
      </c>
      <c r="H173" s="65">
        <v>0</v>
      </c>
      <c r="I173" s="67">
        <v>0</v>
      </c>
      <c r="J173" s="67">
        <v>0</v>
      </c>
      <c r="K173" s="67">
        <v>0</v>
      </c>
      <c r="L173" s="68">
        <v>0</v>
      </c>
      <c r="M173" s="67">
        <v>0</v>
      </c>
      <c r="N173" s="68">
        <v>0</v>
      </c>
    </row>
    <row r="174" spans="2:14" x14ac:dyDescent="0.25">
      <c r="B174" s="63">
        <v>44963</v>
      </c>
      <c r="C174" s="63">
        <v>44964</v>
      </c>
      <c r="D174" s="64" t="s">
        <v>1666</v>
      </c>
      <c r="E174" s="64" t="s">
        <v>1667</v>
      </c>
      <c r="F174" s="65">
        <v>33.345939000000001</v>
      </c>
      <c r="G174" s="66">
        <v>0</v>
      </c>
      <c r="H174" s="65">
        <v>0</v>
      </c>
      <c r="I174" s="67">
        <v>0</v>
      </c>
      <c r="J174" s="67">
        <v>0</v>
      </c>
      <c r="K174" s="67">
        <v>0</v>
      </c>
      <c r="L174" s="68">
        <v>0</v>
      </c>
      <c r="M174" s="67">
        <v>0</v>
      </c>
      <c r="N174" s="68">
        <v>0</v>
      </c>
    </row>
    <row r="175" spans="2:14" x14ac:dyDescent="0.25">
      <c r="B175" s="63">
        <v>44963</v>
      </c>
      <c r="C175" s="63">
        <v>44964</v>
      </c>
      <c r="D175" s="64" t="s">
        <v>1672</v>
      </c>
      <c r="E175" s="64" t="s">
        <v>1673</v>
      </c>
      <c r="F175" s="65">
        <v>11.066648000000001</v>
      </c>
      <c r="G175" s="66">
        <v>0</v>
      </c>
      <c r="H175" s="65">
        <v>0</v>
      </c>
      <c r="I175" s="67">
        <v>0</v>
      </c>
      <c r="J175" s="67">
        <v>0</v>
      </c>
      <c r="K175" s="67">
        <v>0</v>
      </c>
      <c r="L175" s="68">
        <v>0</v>
      </c>
      <c r="M175" s="67">
        <v>0</v>
      </c>
      <c r="N175" s="68">
        <v>0</v>
      </c>
    </row>
    <row r="176" spans="2:14" x14ac:dyDescent="0.25">
      <c r="B176" s="63">
        <v>44966</v>
      </c>
      <c r="C176" s="63">
        <v>44967</v>
      </c>
      <c r="D176" s="64" t="s">
        <v>1626</v>
      </c>
      <c r="E176" s="65" t="s">
        <v>1627</v>
      </c>
      <c r="F176" s="66">
        <v>23.689181999999999</v>
      </c>
      <c r="G176" s="65">
        <v>23.689182320442001</v>
      </c>
      <c r="H176" s="64">
        <v>25</v>
      </c>
      <c r="I176" s="67">
        <v>3.1407120000000002</v>
      </c>
      <c r="J176" s="67">
        <v>94.678000999999995</v>
      </c>
      <c r="K176" s="67">
        <v>94.69</v>
      </c>
      <c r="L176" s="67">
        <v>100</v>
      </c>
      <c r="M176" s="67">
        <v>94.67</v>
      </c>
      <c r="N176" s="68">
        <v>8.0009999999999994E-3</v>
      </c>
    </row>
    <row r="177" spans="2:14" x14ac:dyDescent="0.25">
      <c r="B177" s="63">
        <v>44966</v>
      </c>
      <c r="C177" s="63">
        <v>44967</v>
      </c>
      <c r="D177" s="64" t="s">
        <v>1628</v>
      </c>
      <c r="E177" s="65" t="s">
        <v>1629</v>
      </c>
      <c r="F177" s="66">
        <v>34.321733999999999</v>
      </c>
      <c r="G177" s="65">
        <v>34.321734670327999</v>
      </c>
      <c r="H177" s="64">
        <v>38</v>
      </c>
      <c r="I177" s="67">
        <v>3.2067709999999998</v>
      </c>
      <c r="J177" s="67">
        <v>90.206000000000003</v>
      </c>
      <c r="K177" s="67">
        <v>90.206000000000003</v>
      </c>
      <c r="L177" s="67">
        <v>100</v>
      </c>
      <c r="M177" s="67">
        <v>90.206000000000003</v>
      </c>
      <c r="N177" s="68">
        <v>0</v>
      </c>
    </row>
    <row r="178" spans="2:14" x14ac:dyDescent="0.25">
      <c r="B178" s="63">
        <v>44966</v>
      </c>
      <c r="C178" s="63">
        <v>44967</v>
      </c>
      <c r="D178" s="64" t="s">
        <v>1630</v>
      </c>
      <c r="E178" s="65" t="s">
        <v>1631</v>
      </c>
      <c r="F178" s="66">
        <v>202.3</v>
      </c>
      <c r="G178" s="65">
        <v>110.471729281772</v>
      </c>
      <c r="H178" s="64">
        <v>120</v>
      </c>
      <c r="I178" s="67">
        <v>3.1952020000000001</v>
      </c>
      <c r="J178" s="67">
        <v>91.994174000000001</v>
      </c>
      <c r="K178" s="67">
        <v>92.07</v>
      </c>
      <c r="L178" s="67">
        <v>100</v>
      </c>
      <c r="M178" s="67">
        <v>91.983000000000004</v>
      </c>
      <c r="N178" s="68">
        <v>1.1174E-2</v>
      </c>
    </row>
    <row r="179" spans="2:14" x14ac:dyDescent="0.25">
      <c r="B179" s="63">
        <v>44966</v>
      </c>
      <c r="C179" s="63">
        <v>44967</v>
      </c>
      <c r="D179" s="64" t="s">
        <v>1632</v>
      </c>
      <c r="E179" s="65" t="s">
        <v>1633</v>
      </c>
      <c r="F179" s="66">
        <v>79.150195999999994</v>
      </c>
      <c r="G179" s="65">
        <v>79.150196428572002</v>
      </c>
      <c r="H179" s="64">
        <v>75</v>
      </c>
      <c r="I179" s="67">
        <v>3.173324</v>
      </c>
      <c r="J179" s="67">
        <v>104.774666</v>
      </c>
      <c r="K179" s="67">
        <v>104.777</v>
      </c>
      <c r="L179" s="67">
        <v>100</v>
      </c>
      <c r="M179" s="67">
        <v>104.77</v>
      </c>
      <c r="N179" s="68">
        <v>4.666E-3</v>
      </c>
    </row>
    <row r="180" spans="2:14" x14ac:dyDescent="0.25">
      <c r="B180" s="63">
        <v>44966</v>
      </c>
      <c r="C180" s="63">
        <v>44967</v>
      </c>
      <c r="D180" s="64" t="s">
        <v>1634</v>
      </c>
      <c r="E180" s="65" t="s">
        <v>1635</v>
      </c>
      <c r="F180" s="66">
        <v>193.39976899999999</v>
      </c>
      <c r="G180" s="65">
        <v>193.399769337008</v>
      </c>
      <c r="H180" s="64">
        <v>225</v>
      </c>
      <c r="I180" s="67">
        <v>3.203719</v>
      </c>
      <c r="J180" s="67">
        <v>85.952055000000001</v>
      </c>
      <c r="K180" s="67">
        <v>86.05</v>
      </c>
      <c r="L180" s="67">
        <v>100</v>
      </c>
      <c r="M180" s="67">
        <v>85.903000000000006</v>
      </c>
      <c r="N180" s="68">
        <v>4.9055000000000001E-2</v>
      </c>
    </row>
    <row r="181" spans="2:14" x14ac:dyDescent="0.25">
      <c r="B181" s="63">
        <v>44966</v>
      </c>
      <c r="C181" s="63">
        <v>44967</v>
      </c>
      <c r="D181" s="64" t="s">
        <v>1636</v>
      </c>
      <c r="E181" s="65" t="s">
        <v>1637</v>
      </c>
      <c r="F181" s="66">
        <v>0</v>
      </c>
      <c r="G181" s="65">
        <v>0</v>
      </c>
      <c r="H181" s="64">
        <v>0</v>
      </c>
      <c r="I181" s="67">
        <v>0</v>
      </c>
      <c r="J181" s="67">
        <v>0</v>
      </c>
      <c r="K181" s="67">
        <v>0</v>
      </c>
      <c r="L181" s="67">
        <v>0</v>
      </c>
      <c r="M181" s="67">
        <v>0</v>
      </c>
      <c r="N181" s="68">
        <v>0</v>
      </c>
    </row>
    <row r="182" spans="2:14" x14ac:dyDescent="0.25">
      <c r="B182" s="63">
        <v>44966</v>
      </c>
      <c r="C182" s="63">
        <v>44967</v>
      </c>
      <c r="D182" s="64" t="s">
        <v>1638</v>
      </c>
      <c r="E182" s="65" t="s">
        <v>1639</v>
      </c>
      <c r="F182" s="66">
        <v>162.85509400000001</v>
      </c>
      <c r="G182" s="65">
        <v>162.855094285718</v>
      </c>
      <c r="H182" s="64">
        <v>141</v>
      </c>
      <c r="I182" s="67">
        <v>3.2578710000000002</v>
      </c>
      <c r="J182" s="67">
        <v>114.428668</v>
      </c>
      <c r="K182" s="67">
        <v>114.492</v>
      </c>
      <c r="L182" s="67">
        <v>100</v>
      </c>
      <c r="M182" s="67">
        <v>114.35</v>
      </c>
      <c r="N182" s="68">
        <v>7.8668000000000002E-2</v>
      </c>
    </row>
    <row r="183" spans="2:14" x14ac:dyDescent="0.25">
      <c r="B183" s="63">
        <v>44966</v>
      </c>
      <c r="C183" s="63">
        <v>44967</v>
      </c>
      <c r="D183" s="64" t="s">
        <v>1640</v>
      </c>
      <c r="E183" s="65" t="s">
        <v>1641</v>
      </c>
      <c r="F183" s="66">
        <v>17.290365000000001</v>
      </c>
      <c r="G183" s="65">
        <v>17.290365384615999</v>
      </c>
      <c r="H183" s="64">
        <v>20</v>
      </c>
      <c r="I183" s="67">
        <v>3.1822499999999998</v>
      </c>
      <c r="J183" s="67">
        <v>86.185006999999999</v>
      </c>
      <c r="K183" s="67">
        <v>86.21</v>
      </c>
      <c r="L183" s="67">
        <v>100</v>
      </c>
      <c r="M183" s="67">
        <v>86.16</v>
      </c>
      <c r="N183" s="68">
        <v>2.5007000000000001E-2</v>
      </c>
    </row>
    <row r="184" spans="2:14" x14ac:dyDescent="0.25">
      <c r="B184" s="69">
        <v>44970</v>
      </c>
      <c r="C184" s="69">
        <v>44971</v>
      </c>
      <c r="D184" s="70" t="s">
        <v>1674</v>
      </c>
      <c r="E184" s="70" t="s">
        <v>1675</v>
      </c>
      <c r="F184" s="71">
        <v>54.532344999999999</v>
      </c>
      <c r="G184" s="72">
        <v>50.017020441992003</v>
      </c>
      <c r="H184" s="71">
        <v>55</v>
      </c>
      <c r="I184" s="73">
        <v>3.9016649999999999</v>
      </c>
      <c r="J184" s="73">
        <v>90.733562000000006</v>
      </c>
      <c r="K184" s="73">
        <v>90.771000000000001</v>
      </c>
      <c r="L184" s="74">
        <v>100</v>
      </c>
      <c r="M184" s="73">
        <v>90.655000000000001</v>
      </c>
      <c r="N184" s="74">
        <v>7.8562000000000007E-2</v>
      </c>
    </row>
    <row r="185" spans="2:14" x14ac:dyDescent="0.25">
      <c r="B185" s="69">
        <v>44970</v>
      </c>
      <c r="C185" s="69">
        <v>44971</v>
      </c>
      <c r="D185" s="70" t="s">
        <v>1676</v>
      </c>
      <c r="E185" s="70" t="s">
        <v>1677</v>
      </c>
      <c r="F185" s="71">
        <v>0</v>
      </c>
      <c r="G185" s="72">
        <v>0</v>
      </c>
      <c r="H185" s="71">
        <v>0</v>
      </c>
      <c r="I185" s="73">
        <v>0</v>
      </c>
      <c r="J185" s="73">
        <v>0</v>
      </c>
      <c r="K185" s="73">
        <v>0</v>
      </c>
      <c r="L185" s="74">
        <v>0</v>
      </c>
      <c r="M185" s="73">
        <v>0</v>
      </c>
      <c r="N185" s="74">
        <v>0</v>
      </c>
    </row>
    <row r="186" spans="2:14" x14ac:dyDescent="0.25">
      <c r="B186" s="69">
        <v>44970</v>
      </c>
      <c r="C186" s="69">
        <v>44971</v>
      </c>
      <c r="D186" s="70" t="s">
        <v>1678</v>
      </c>
      <c r="E186" s="70" t="s">
        <v>1679</v>
      </c>
      <c r="F186" s="71">
        <v>0</v>
      </c>
      <c r="G186" s="72">
        <v>0</v>
      </c>
      <c r="H186" s="71">
        <v>0</v>
      </c>
      <c r="I186" s="73">
        <v>0</v>
      </c>
      <c r="J186" s="73">
        <v>0</v>
      </c>
      <c r="K186" s="73">
        <v>0</v>
      </c>
      <c r="L186" s="74">
        <v>0</v>
      </c>
      <c r="M186" s="73">
        <v>0</v>
      </c>
      <c r="N186" s="74">
        <v>0</v>
      </c>
    </row>
    <row r="187" spans="2:14" x14ac:dyDescent="0.25">
      <c r="B187" s="69">
        <v>44970</v>
      </c>
      <c r="C187" s="69">
        <v>44971</v>
      </c>
      <c r="D187" s="70" t="s">
        <v>1680</v>
      </c>
      <c r="E187" s="70" t="s">
        <v>1681</v>
      </c>
      <c r="F187" s="71">
        <v>50.884143000000002</v>
      </c>
      <c r="G187" s="72">
        <v>50.884143296702</v>
      </c>
      <c r="H187" s="71">
        <v>48</v>
      </c>
      <c r="I187" s="73">
        <v>3.9118430000000002</v>
      </c>
      <c r="J187" s="73">
        <v>105.203</v>
      </c>
      <c r="K187" s="73">
        <v>105.203</v>
      </c>
      <c r="L187" s="74">
        <v>100</v>
      </c>
      <c r="M187" s="73">
        <v>105.203</v>
      </c>
      <c r="N187" s="74">
        <v>0</v>
      </c>
    </row>
    <row r="188" spans="2:14" x14ac:dyDescent="0.25">
      <c r="B188" s="69">
        <v>44970</v>
      </c>
      <c r="C188" s="69">
        <v>44971</v>
      </c>
      <c r="D188" s="70" t="s">
        <v>1682</v>
      </c>
      <c r="E188" s="70" t="s">
        <v>1683</v>
      </c>
      <c r="F188" s="71">
        <v>9.3723449999999993</v>
      </c>
      <c r="G188" s="72">
        <v>9.3723455801100002</v>
      </c>
      <c r="H188" s="71">
        <v>15</v>
      </c>
      <c r="I188" s="73">
        <v>3.9017019999999998</v>
      </c>
      <c r="J188" s="73">
        <v>62.387</v>
      </c>
      <c r="K188" s="73">
        <v>62.387</v>
      </c>
      <c r="L188" s="74">
        <v>100</v>
      </c>
      <c r="M188" s="73">
        <v>62.387</v>
      </c>
      <c r="N188" s="74">
        <v>0</v>
      </c>
    </row>
    <row r="189" spans="2:14" x14ac:dyDescent="0.25">
      <c r="B189" s="69">
        <v>44970</v>
      </c>
      <c r="C189" s="69">
        <v>44971</v>
      </c>
      <c r="D189" s="70" t="s">
        <v>1684</v>
      </c>
      <c r="E189" s="70" t="s">
        <v>1685</v>
      </c>
      <c r="F189" s="71">
        <v>0</v>
      </c>
      <c r="G189" s="72">
        <v>0</v>
      </c>
      <c r="H189" s="71">
        <v>0</v>
      </c>
      <c r="I189" s="73">
        <v>0</v>
      </c>
      <c r="J189" s="73">
        <v>0</v>
      </c>
      <c r="K189" s="73">
        <v>0</v>
      </c>
      <c r="L189" s="74">
        <v>0</v>
      </c>
      <c r="M189" s="73">
        <v>0</v>
      </c>
      <c r="N189" s="74">
        <v>0</v>
      </c>
    </row>
    <row r="190" spans="2:14" x14ac:dyDescent="0.25">
      <c r="B190" s="69">
        <v>44970</v>
      </c>
      <c r="C190" s="69">
        <v>44971</v>
      </c>
      <c r="D190" s="70" t="s">
        <v>1686</v>
      </c>
      <c r="E190" s="70" t="s">
        <v>1687</v>
      </c>
      <c r="F190" s="71">
        <v>277.59974899999997</v>
      </c>
      <c r="G190" s="72">
        <v>263.92856703296701</v>
      </c>
      <c r="H190" s="71">
        <v>248</v>
      </c>
      <c r="I190" s="73">
        <v>3.9096679999999999</v>
      </c>
      <c r="J190" s="73">
        <v>105.617732</v>
      </c>
      <c r="K190" s="73">
        <v>105.922</v>
      </c>
      <c r="L190" s="74">
        <v>100</v>
      </c>
      <c r="M190" s="73">
        <v>105.294</v>
      </c>
      <c r="N190" s="74">
        <v>0.32373200000000002</v>
      </c>
    </row>
    <row r="191" spans="2:14" x14ac:dyDescent="0.25">
      <c r="B191" s="69">
        <v>44970</v>
      </c>
      <c r="C191" s="69">
        <v>44971</v>
      </c>
      <c r="D191" s="70" t="s">
        <v>1688</v>
      </c>
      <c r="E191" s="70" t="s">
        <v>1689</v>
      </c>
      <c r="F191" s="71">
        <v>4.6034449999999998</v>
      </c>
      <c r="G191" s="72">
        <v>4.6034458791209998</v>
      </c>
      <c r="H191" s="71">
        <v>10</v>
      </c>
      <c r="I191" s="73">
        <v>3.807321</v>
      </c>
      <c r="J191" s="73">
        <v>45.837000000000003</v>
      </c>
      <c r="K191" s="73">
        <v>45.837000000000003</v>
      </c>
      <c r="L191" s="74">
        <v>100</v>
      </c>
      <c r="M191" s="73">
        <v>45.837000000000003</v>
      </c>
      <c r="N191" s="74">
        <v>0</v>
      </c>
    </row>
    <row r="192" spans="2:14" x14ac:dyDescent="0.25">
      <c r="B192" s="69">
        <v>44970</v>
      </c>
      <c r="C192" s="69">
        <v>44971</v>
      </c>
      <c r="D192" s="70" t="s">
        <v>1690</v>
      </c>
      <c r="E192" s="70" t="s">
        <v>1691</v>
      </c>
      <c r="F192" s="71">
        <v>152.86394100000001</v>
      </c>
      <c r="G192" s="72">
        <v>152.86394198895999</v>
      </c>
      <c r="H192" s="71">
        <v>275</v>
      </c>
      <c r="I192" s="73">
        <v>3.828306</v>
      </c>
      <c r="J192" s="73">
        <v>55.538639000000003</v>
      </c>
      <c r="K192" s="73">
        <v>55.603000000000002</v>
      </c>
      <c r="L192" s="74">
        <v>100</v>
      </c>
      <c r="M192" s="73">
        <v>55.4</v>
      </c>
      <c r="N192" s="74">
        <v>0.13863900000000001</v>
      </c>
    </row>
    <row r="193" spans="2:14" x14ac:dyDescent="0.25">
      <c r="B193" s="69">
        <v>44970</v>
      </c>
      <c r="C193" s="69">
        <v>44971</v>
      </c>
      <c r="D193" s="70" t="s">
        <v>1692</v>
      </c>
      <c r="E193" s="70" t="s">
        <v>1693</v>
      </c>
      <c r="F193" s="71">
        <v>0</v>
      </c>
      <c r="G193" s="72">
        <v>0</v>
      </c>
      <c r="H193" s="71">
        <v>0</v>
      </c>
      <c r="I193" s="73">
        <v>0</v>
      </c>
      <c r="J193" s="73">
        <v>0</v>
      </c>
      <c r="K193" s="73">
        <v>0</v>
      </c>
      <c r="L193" s="74">
        <v>0</v>
      </c>
      <c r="M193" s="73">
        <v>0</v>
      </c>
      <c r="N193" s="74">
        <v>0</v>
      </c>
    </row>
    <row r="194" spans="2:14" x14ac:dyDescent="0.25">
      <c r="B194" s="69">
        <v>44970</v>
      </c>
      <c r="C194" s="69">
        <v>44971</v>
      </c>
      <c r="D194" s="70" t="s">
        <v>1696</v>
      </c>
      <c r="E194" s="70" t="s">
        <v>1697</v>
      </c>
      <c r="F194" s="71">
        <v>9.0981579999999997</v>
      </c>
      <c r="G194" s="72">
        <v>9.0981589285709994</v>
      </c>
      <c r="H194" s="71">
        <v>15</v>
      </c>
      <c r="I194" s="73">
        <v>3.79895</v>
      </c>
      <c r="J194" s="73">
        <v>60.140999999999998</v>
      </c>
      <c r="K194" s="73">
        <v>60.140999999999998</v>
      </c>
      <c r="L194" s="74">
        <v>100</v>
      </c>
      <c r="M194" s="73">
        <v>60.140999999999998</v>
      </c>
      <c r="N194" s="74">
        <v>0</v>
      </c>
    </row>
    <row r="195" spans="2:14" x14ac:dyDescent="0.25">
      <c r="B195" s="69">
        <v>44970</v>
      </c>
      <c r="C195" s="69">
        <v>44971</v>
      </c>
      <c r="D195" s="70" t="s">
        <v>1698</v>
      </c>
      <c r="E195" s="70" t="s">
        <v>1699</v>
      </c>
      <c r="F195" s="71">
        <v>27.161407000000001</v>
      </c>
      <c r="G195" s="72">
        <v>27.161407967033</v>
      </c>
      <c r="H195" s="71">
        <v>25</v>
      </c>
      <c r="I195" s="73">
        <v>3.828112</v>
      </c>
      <c r="J195" s="73">
        <v>107.84</v>
      </c>
      <c r="K195" s="73">
        <v>107.84</v>
      </c>
      <c r="L195" s="74">
        <v>100</v>
      </c>
      <c r="M195" s="73">
        <v>107.84</v>
      </c>
      <c r="N195" s="74">
        <v>0</v>
      </c>
    </row>
    <row r="196" spans="2:14" x14ac:dyDescent="0.25">
      <c r="B196" s="69">
        <v>44970</v>
      </c>
      <c r="C196" s="69">
        <v>44971</v>
      </c>
      <c r="D196" s="70" t="s">
        <v>1700</v>
      </c>
      <c r="E196" s="70" t="s">
        <v>1701</v>
      </c>
      <c r="F196" s="71">
        <v>0</v>
      </c>
      <c r="G196" s="72">
        <v>0</v>
      </c>
      <c r="H196" s="71">
        <v>0</v>
      </c>
      <c r="I196" s="73">
        <v>0</v>
      </c>
      <c r="J196" s="73">
        <v>0</v>
      </c>
      <c r="K196" s="73">
        <v>0</v>
      </c>
      <c r="L196" s="74">
        <v>0</v>
      </c>
      <c r="M196" s="73">
        <v>0</v>
      </c>
      <c r="N196" s="74">
        <v>0</v>
      </c>
    </row>
    <row r="197" spans="2:14" x14ac:dyDescent="0.25">
      <c r="B197" s="69">
        <v>44970</v>
      </c>
      <c r="C197" s="69">
        <v>44971</v>
      </c>
      <c r="D197" s="70" t="s">
        <v>1702</v>
      </c>
      <c r="E197" s="70" t="s">
        <v>1703</v>
      </c>
      <c r="F197" s="71">
        <v>47.581364000000001</v>
      </c>
      <c r="G197" s="72">
        <v>42.333657458563998</v>
      </c>
      <c r="H197" s="71">
        <v>40</v>
      </c>
      <c r="I197" s="73">
        <v>3.720755</v>
      </c>
      <c r="J197" s="73">
        <v>105.58</v>
      </c>
      <c r="K197" s="73">
        <v>105.58</v>
      </c>
      <c r="L197" s="74">
        <v>100</v>
      </c>
      <c r="M197" s="73">
        <v>105.58</v>
      </c>
      <c r="N197" s="74">
        <v>0</v>
      </c>
    </row>
    <row r="198" spans="2:14" x14ac:dyDescent="0.25">
      <c r="B198" s="69">
        <v>44970</v>
      </c>
      <c r="C198" s="69">
        <v>44971</v>
      </c>
      <c r="D198" s="70" t="s">
        <v>1704</v>
      </c>
      <c r="E198" s="70" t="s">
        <v>1705</v>
      </c>
      <c r="F198" s="71">
        <v>3.6007959999999999</v>
      </c>
      <c r="G198" s="72">
        <v>3.6007967032970001</v>
      </c>
      <c r="H198" s="71">
        <v>10</v>
      </c>
      <c r="I198" s="73">
        <v>3.5728680000000002</v>
      </c>
      <c r="J198" s="73">
        <v>35.85</v>
      </c>
      <c r="K198" s="73">
        <v>35.85</v>
      </c>
      <c r="L198" s="74">
        <v>100</v>
      </c>
      <c r="M198" s="73">
        <v>35.85</v>
      </c>
      <c r="N198" s="74">
        <v>0</v>
      </c>
    </row>
    <row r="199" spans="2:14" x14ac:dyDescent="0.25">
      <c r="B199" s="69">
        <v>44970</v>
      </c>
      <c r="C199" s="69">
        <v>44971</v>
      </c>
      <c r="D199" s="70" t="s">
        <v>1706</v>
      </c>
      <c r="E199" s="70" t="s">
        <v>1707</v>
      </c>
      <c r="F199" s="71">
        <v>0</v>
      </c>
      <c r="G199" s="72">
        <v>0</v>
      </c>
      <c r="H199" s="71">
        <v>0</v>
      </c>
      <c r="I199" s="73">
        <v>0</v>
      </c>
      <c r="J199" s="73">
        <v>0</v>
      </c>
      <c r="K199" s="73">
        <v>0</v>
      </c>
      <c r="L199" s="74">
        <v>0</v>
      </c>
      <c r="M199" s="73">
        <v>0</v>
      </c>
      <c r="N199" s="74">
        <v>0</v>
      </c>
    </row>
    <row r="200" spans="2:14" x14ac:dyDescent="0.25">
      <c r="B200" s="69">
        <v>44970</v>
      </c>
      <c r="C200" s="69">
        <v>44971</v>
      </c>
      <c r="D200" s="70" t="s">
        <v>1708</v>
      </c>
      <c r="E200" s="70" t="s">
        <v>1709</v>
      </c>
      <c r="F200" s="71">
        <v>0</v>
      </c>
      <c r="G200" s="72">
        <v>0</v>
      </c>
      <c r="H200" s="71">
        <v>0</v>
      </c>
      <c r="I200" s="73">
        <v>0</v>
      </c>
      <c r="J200" s="73">
        <v>0</v>
      </c>
      <c r="K200" s="73">
        <v>0</v>
      </c>
      <c r="L200" s="74">
        <v>0</v>
      </c>
      <c r="M200" s="73">
        <v>0</v>
      </c>
      <c r="N200" s="74">
        <v>0</v>
      </c>
    </row>
    <row r="201" spans="2:14" x14ac:dyDescent="0.25">
      <c r="B201" s="69">
        <v>44970</v>
      </c>
      <c r="C201" s="69">
        <v>44971</v>
      </c>
      <c r="D201" s="70" t="s">
        <v>1710</v>
      </c>
      <c r="E201" s="70" t="s">
        <v>1711</v>
      </c>
      <c r="F201" s="71">
        <v>226.93661</v>
      </c>
      <c r="G201" s="72">
        <v>36.088456142855001</v>
      </c>
      <c r="H201" s="71">
        <v>65.2</v>
      </c>
      <c r="I201" s="73">
        <v>3.597191</v>
      </c>
      <c r="J201" s="73">
        <v>54.837000000000003</v>
      </c>
      <c r="K201" s="73">
        <v>54.837000000000003</v>
      </c>
      <c r="L201" s="74">
        <v>15.902438999999999</v>
      </c>
      <c r="M201" s="73">
        <v>54.837000000000003</v>
      </c>
      <c r="N201" s="74">
        <v>0</v>
      </c>
    </row>
    <row r="202" spans="2:14" x14ac:dyDescent="0.25">
      <c r="B202" s="75">
        <v>44977</v>
      </c>
      <c r="C202" s="75">
        <v>44978</v>
      </c>
      <c r="D202" s="76" t="s">
        <v>1642</v>
      </c>
      <c r="E202" s="76" t="s">
        <v>1643</v>
      </c>
      <c r="F202" s="77">
        <v>0</v>
      </c>
      <c r="G202" s="78">
        <v>0</v>
      </c>
      <c r="H202" s="77">
        <v>0</v>
      </c>
      <c r="I202" s="79">
        <v>0</v>
      </c>
      <c r="J202" s="79">
        <v>0</v>
      </c>
      <c r="K202" s="79">
        <v>0</v>
      </c>
      <c r="L202" s="80">
        <v>0</v>
      </c>
      <c r="M202" s="79">
        <v>0</v>
      </c>
      <c r="N202" s="80">
        <v>0</v>
      </c>
    </row>
    <row r="203" spans="2:14" x14ac:dyDescent="0.25">
      <c r="B203" s="75">
        <v>44977</v>
      </c>
      <c r="C203" s="75">
        <v>44978</v>
      </c>
      <c r="D203" s="76" t="s">
        <v>1644</v>
      </c>
      <c r="E203" s="76" t="s">
        <v>1645</v>
      </c>
      <c r="F203" s="77">
        <v>93.513993999999997</v>
      </c>
      <c r="G203" s="78">
        <v>27.522439560439999</v>
      </c>
      <c r="H203" s="77">
        <v>25</v>
      </c>
      <c r="I203" s="79">
        <v>3.4097189999999999</v>
      </c>
      <c r="J203" s="79">
        <v>109.098</v>
      </c>
      <c r="K203" s="79">
        <v>109.098</v>
      </c>
      <c r="L203" s="80">
        <v>100</v>
      </c>
      <c r="M203" s="79">
        <v>109.098</v>
      </c>
      <c r="N203" s="80">
        <v>0</v>
      </c>
    </row>
    <row r="204" spans="2:14" x14ac:dyDescent="0.25">
      <c r="B204" s="75">
        <v>44977</v>
      </c>
      <c r="C204" s="75">
        <v>44978</v>
      </c>
      <c r="D204" s="76" t="s">
        <v>1646</v>
      </c>
      <c r="E204" s="76" t="s">
        <v>1647</v>
      </c>
      <c r="F204" s="77">
        <v>0</v>
      </c>
      <c r="G204" s="78">
        <v>0</v>
      </c>
      <c r="H204" s="77">
        <v>0</v>
      </c>
      <c r="I204" s="79">
        <v>0</v>
      </c>
      <c r="J204" s="79">
        <v>0</v>
      </c>
      <c r="K204" s="79">
        <v>0</v>
      </c>
      <c r="L204" s="80">
        <v>0</v>
      </c>
      <c r="M204" s="79">
        <v>0</v>
      </c>
      <c r="N204" s="80">
        <v>0</v>
      </c>
    </row>
    <row r="205" spans="2:14" x14ac:dyDescent="0.25">
      <c r="B205" s="75">
        <v>44977</v>
      </c>
      <c r="C205" s="75">
        <v>44978</v>
      </c>
      <c r="D205" s="76" t="s">
        <v>1648</v>
      </c>
      <c r="E205" s="76" t="s">
        <v>1649</v>
      </c>
      <c r="F205" s="77">
        <v>563.13846100000001</v>
      </c>
      <c r="G205" s="78">
        <v>18.187851648351</v>
      </c>
      <c r="H205" s="77">
        <v>17</v>
      </c>
      <c r="I205" s="79">
        <v>3.4755609999999999</v>
      </c>
      <c r="J205" s="79">
        <v>106.1</v>
      </c>
      <c r="K205" s="79">
        <v>106.1</v>
      </c>
      <c r="L205" s="80">
        <v>68</v>
      </c>
      <c r="M205" s="79">
        <v>106.1</v>
      </c>
      <c r="N205" s="80">
        <v>0</v>
      </c>
    </row>
    <row r="206" spans="2:14" x14ac:dyDescent="0.25">
      <c r="B206" s="75">
        <v>44977</v>
      </c>
      <c r="C206" s="75">
        <v>44978</v>
      </c>
      <c r="D206" s="76" t="s">
        <v>1670</v>
      </c>
      <c r="E206" s="76" t="s">
        <v>1671</v>
      </c>
      <c r="F206" s="77">
        <v>15.288551</v>
      </c>
      <c r="G206" s="78">
        <v>15.288551933701999</v>
      </c>
      <c r="H206" s="77">
        <v>20</v>
      </c>
      <c r="I206" s="79">
        <v>3.6085660000000002</v>
      </c>
      <c r="J206" s="79">
        <v>76.391999999999996</v>
      </c>
      <c r="K206" s="79">
        <v>76.391999999999996</v>
      </c>
      <c r="L206" s="80">
        <v>100</v>
      </c>
      <c r="M206" s="79">
        <v>76.391999999999996</v>
      </c>
      <c r="N206" s="80">
        <v>0</v>
      </c>
    </row>
    <row r="207" spans="2:14" x14ac:dyDescent="0.25">
      <c r="B207" s="75">
        <v>44977</v>
      </c>
      <c r="C207" s="75">
        <v>44978</v>
      </c>
      <c r="D207" s="76" t="s">
        <v>1650</v>
      </c>
      <c r="E207" s="76" t="s">
        <v>1651</v>
      </c>
      <c r="F207" s="77">
        <v>836.05334800000003</v>
      </c>
      <c r="G207" s="78">
        <v>275.38241712707497</v>
      </c>
      <c r="H207" s="77">
        <v>250</v>
      </c>
      <c r="I207" s="79">
        <v>3.6364969999999999</v>
      </c>
      <c r="J207" s="79">
        <v>108.077003</v>
      </c>
      <c r="K207" s="79">
        <v>108.11</v>
      </c>
      <c r="L207" s="80">
        <v>100</v>
      </c>
      <c r="M207" s="79">
        <v>108.05</v>
      </c>
      <c r="N207" s="80">
        <v>2.7002999999999999E-2</v>
      </c>
    </row>
    <row r="208" spans="2:14" x14ac:dyDescent="0.25">
      <c r="B208" s="75">
        <v>44977</v>
      </c>
      <c r="C208" s="75">
        <v>44978</v>
      </c>
      <c r="D208" s="76" t="s">
        <v>1652</v>
      </c>
      <c r="E208" s="76" t="s">
        <v>1653</v>
      </c>
      <c r="F208" s="77">
        <v>0</v>
      </c>
      <c r="G208" s="78">
        <v>0</v>
      </c>
      <c r="H208" s="77">
        <v>0</v>
      </c>
      <c r="I208" s="79">
        <v>0</v>
      </c>
      <c r="J208" s="79">
        <v>0</v>
      </c>
      <c r="K208" s="79">
        <v>0</v>
      </c>
      <c r="L208" s="80">
        <v>0</v>
      </c>
      <c r="M208" s="79">
        <v>0</v>
      </c>
      <c r="N208" s="80">
        <v>0</v>
      </c>
    </row>
    <row r="209" spans="2:14" x14ac:dyDescent="0.25">
      <c r="B209" s="75">
        <v>44977</v>
      </c>
      <c r="C209" s="75">
        <v>44978</v>
      </c>
      <c r="D209" s="76" t="s">
        <v>1654</v>
      </c>
      <c r="E209" s="76" t="s">
        <v>1655</v>
      </c>
      <c r="F209" s="77">
        <v>16.041094999999999</v>
      </c>
      <c r="G209" s="78">
        <v>16.041095303868001</v>
      </c>
      <c r="H209" s="77">
        <v>15</v>
      </c>
      <c r="I209" s="79">
        <v>3.7630759999999999</v>
      </c>
      <c r="J209" s="79">
        <v>104.98</v>
      </c>
      <c r="K209" s="79">
        <v>104.98</v>
      </c>
      <c r="L209" s="80">
        <v>100</v>
      </c>
      <c r="M209" s="79">
        <v>104.98</v>
      </c>
      <c r="N209" s="80">
        <v>0</v>
      </c>
    </row>
    <row r="210" spans="2:14" x14ac:dyDescent="0.25">
      <c r="B210" s="75">
        <v>44977</v>
      </c>
      <c r="C210" s="75">
        <v>44978</v>
      </c>
      <c r="D210" s="76" t="s">
        <v>1656</v>
      </c>
      <c r="E210" s="76" t="s">
        <v>1657</v>
      </c>
      <c r="F210" s="77">
        <v>27.134912</v>
      </c>
      <c r="G210" s="78">
        <v>0</v>
      </c>
      <c r="H210" s="77">
        <v>0</v>
      </c>
      <c r="I210" s="79">
        <v>0</v>
      </c>
      <c r="J210" s="79">
        <v>0</v>
      </c>
      <c r="K210" s="79">
        <v>0</v>
      </c>
      <c r="L210" s="80">
        <v>0</v>
      </c>
      <c r="M210" s="79">
        <v>0</v>
      </c>
      <c r="N210" s="80">
        <v>0</v>
      </c>
    </row>
    <row r="211" spans="2:14" x14ac:dyDescent="0.25">
      <c r="B211" s="75">
        <v>44977</v>
      </c>
      <c r="C211" s="75">
        <v>44978</v>
      </c>
      <c r="D211" s="76" t="s">
        <v>1658</v>
      </c>
      <c r="E211" s="76" t="s">
        <v>1659</v>
      </c>
      <c r="F211" s="77">
        <v>27.838839</v>
      </c>
      <c r="G211" s="78">
        <v>16.709663736264002</v>
      </c>
      <c r="H211" s="77">
        <v>15</v>
      </c>
      <c r="I211" s="79">
        <v>3.8630949999999999</v>
      </c>
      <c r="J211" s="79">
        <v>110.40600000000001</v>
      </c>
      <c r="K211" s="79">
        <v>110.40600000000001</v>
      </c>
      <c r="L211" s="80">
        <v>100</v>
      </c>
      <c r="M211" s="79">
        <v>110.40600000000001</v>
      </c>
      <c r="N211" s="80">
        <v>0</v>
      </c>
    </row>
    <row r="212" spans="2:14" x14ac:dyDescent="0.25">
      <c r="B212" s="75">
        <v>44977</v>
      </c>
      <c r="C212" s="75">
        <v>44978</v>
      </c>
      <c r="D212" s="76" t="s">
        <v>1662</v>
      </c>
      <c r="E212" s="76" t="s">
        <v>1663</v>
      </c>
      <c r="F212" s="77">
        <v>322.906631</v>
      </c>
      <c r="G212" s="78">
        <v>269.92731381216498</v>
      </c>
      <c r="H212" s="77">
        <v>254</v>
      </c>
      <c r="I212" s="79">
        <v>3.8939759999999999</v>
      </c>
      <c r="J212" s="79">
        <v>104.309969</v>
      </c>
      <c r="K212" s="79">
        <v>104.32</v>
      </c>
      <c r="L212" s="80">
        <v>100</v>
      </c>
      <c r="M212" s="79">
        <v>104.218</v>
      </c>
      <c r="N212" s="80">
        <v>9.1968999999999995E-2</v>
      </c>
    </row>
    <row r="213" spans="2:14" x14ac:dyDescent="0.25">
      <c r="B213" s="75">
        <v>44977</v>
      </c>
      <c r="C213" s="75">
        <v>44978</v>
      </c>
      <c r="D213" s="76" t="s">
        <v>1664</v>
      </c>
      <c r="E213" s="76" t="s">
        <v>1665</v>
      </c>
      <c r="F213" s="77">
        <v>5.2418680000000002</v>
      </c>
      <c r="G213" s="78">
        <v>0</v>
      </c>
      <c r="H213" s="77">
        <v>0</v>
      </c>
      <c r="I213" s="79">
        <v>0</v>
      </c>
      <c r="J213" s="79">
        <v>0</v>
      </c>
      <c r="K213" s="79">
        <v>0</v>
      </c>
      <c r="L213" s="80">
        <v>0</v>
      </c>
      <c r="M213" s="79">
        <v>0</v>
      </c>
      <c r="N213" s="80">
        <v>0</v>
      </c>
    </row>
    <row r="214" spans="2:14" x14ac:dyDescent="0.25">
      <c r="B214" s="75">
        <v>44977</v>
      </c>
      <c r="C214" s="75">
        <v>44978</v>
      </c>
      <c r="D214" s="76" t="s">
        <v>1666</v>
      </c>
      <c r="E214" s="76" t="s">
        <v>1667</v>
      </c>
      <c r="F214" s="77">
        <v>0</v>
      </c>
      <c r="G214" s="78">
        <v>0</v>
      </c>
      <c r="H214" s="77">
        <v>0</v>
      </c>
      <c r="I214" s="79">
        <v>0</v>
      </c>
      <c r="J214" s="79">
        <v>0</v>
      </c>
      <c r="K214" s="79">
        <v>0</v>
      </c>
      <c r="L214" s="80">
        <v>0</v>
      </c>
      <c r="M214" s="79">
        <v>0</v>
      </c>
      <c r="N214" s="80">
        <v>0</v>
      </c>
    </row>
    <row r="215" spans="2:14" x14ac:dyDescent="0.25">
      <c r="B215" s="75">
        <v>44977</v>
      </c>
      <c r="C215" s="75">
        <v>44978</v>
      </c>
      <c r="D215" s="76" t="s">
        <v>1672</v>
      </c>
      <c r="E215" s="76" t="s">
        <v>1673</v>
      </c>
      <c r="F215" s="77">
        <v>43.434823999999999</v>
      </c>
      <c r="G215" s="78">
        <v>10.884956043956</v>
      </c>
      <c r="H215" s="77">
        <v>10</v>
      </c>
      <c r="I215" s="79">
        <v>3.9212739999999999</v>
      </c>
      <c r="J215" s="79">
        <v>107.91</v>
      </c>
      <c r="K215" s="79">
        <v>107.91</v>
      </c>
      <c r="L215" s="80">
        <v>100</v>
      </c>
      <c r="M215" s="79">
        <v>107.91</v>
      </c>
      <c r="N215" s="80">
        <v>0</v>
      </c>
    </row>
    <row r="216" spans="2:14" x14ac:dyDescent="0.25">
      <c r="B216" s="63">
        <v>44980</v>
      </c>
      <c r="C216" s="63">
        <v>44981</v>
      </c>
      <c r="D216" s="64" t="s">
        <v>1626</v>
      </c>
      <c r="E216" s="64" t="s">
        <v>1627</v>
      </c>
      <c r="F216" s="65">
        <v>356.04599000000002</v>
      </c>
      <c r="G216" s="66">
        <v>271.99467436463601</v>
      </c>
      <c r="H216" s="65">
        <v>291</v>
      </c>
      <c r="I216" s="67">
        <v>3.5955409999999999</v>
      </c>
      <c r="J216" s="67">
        <v>93.332223999999997</v>
      </c>
      <c r="K216" s="67">
        <v>93.356999999999999</v>
      </c>
      <c r="L216" s="68">
        <v>100</v>
      </c>
      <c r="M216" s="67">
        <v>93.28</v>
      </c>
      <c r="N216" s="68">
        <v>5.2224E-2</v>
      </c>
    </row>
    <row r="217" spans="2:14" x14ac:dyDescent="0.25">
      <c r="B217" s="63">
        <v>44980</v>
      </c>
      <c r="C217" s="63">
        <v>44981</v>
      </c>
      <c r="D217" s="64" t="s">
        <v>1628</v>
      </c>
      <c r="E217" s="64" t="s">
        <v>1629</v>
      </c>
      <c r="F217" s="65">
        <v>488.54327599999999</v>
      </c>
      <c r="G217" s="66">
        <v>111.144471840663</v>
      </c>
      <c r="H217" s="65">
        <v>125</v>
      </c>
      <c r="I217" s="67">
        <v>3.6805289999999999</v>
      </c>
      <c r="J217" s="67">
        <v>88.786799999999999</v>
      </c>
      <c r="K217" s="67">
        <v>88.790999999999997</v>
      </c>
      <c r="L217" s="68">
        <v>100</v>
      </c>
      <c r="M217" s="67">
        <v>88.77</v>
      </c>
      <c r="N217" s="68">
        <v>1.6799999999999999E-2</v>
      </c>
    </row>
    <row r="218" spans="2:14" x14ac:dyDescent="0.25">
      <c r="B218" s="63">
        <v>44980</v>
      </c>
      <c r="C218" s="63">
        <v>44981</v>
      </c>
      <c r="D218" s="64" t="s">
        <v>1630</v>
      </c>
      <c r="E218" s="64" t="s">
        <v>1631</v>
      </c>
      <c r="F218" s="65">
        <v>363.73473999999999</v>
      </c>
      <c r="G218" s="66">
        <v>75.334182629831005</v>
      </c>
      <c r="H218" s="65">
        <v>83.2</v>
      </c>
      <c r="I218" s="67">
        <v>3.6171600000000002</v>
      </c>
      <c r="J218" s="67">
        <v>90.431942000000006</v>
      </c>
      <c r="K218" s="67">
        <v>90.433000000000007</v>
      </c>
      <c r="L218" s="68">
        <v>2.7160489999999999</v>
      </c>
      <c r="M218" s="67">
        <v>90.393000000000001</v>
      </c>
      <c r="N218" s="68">
        <v>3.8941999999999997E-2</v>
      </c>
    </row>
    <row r="219" spans="2:14" x14ac:dyDescent="0.25">
      <c r="B219" s="63">
        <v>44980</v>
      </c>
      <c r="C219" s="63">
        <v>44981</v>
      </c>
      <c r="D219" s="64" t="s">
        <v>1632</v>
      </c>
      <c r="E219" s="64" t="s">
        <v>1633</v>
      </c>
      <c r="F219" s="65">
        <v>134.717107</v>
      </c>
      <c r="G219" s="66">
        <v>67.404053571429003</v>
      </c>
      <c r="H219" s="65">
        <v>65</v>
      </c>
      <c r="I219" s="67">
        <v>3.6117140000000001</v>
      </c>
      <c r="J219" s="67">
        <v>102.77615400000001</v>
      </c>
      <c r="K219" s="67">
        <v>102.78100000000001</v>
      </c>
      <c r="L219" s="68">
        <v>100</v>
      </c>
      <c r="M219" s="67">
        <v>102.76</v>
      </c>
      <c r="N219" s="68">
        <v>1.6154000000000002E-2</v>
      </c>
    </row>
    <row r="220" spans="2:14" x14ac:dyDescent="0.25">
      <c r="B220" s="63">
        <v>44980</v>
      </c>
      <c r="C220" s="63">
        <v>44981</v>
      </c>
      <c r="D220" s="64" t="s">
        <v>1634</v>
      </c>
      <c r="E220" s="64" t="s">
        <v>1635</v>
      </c>
      <c r="F220" s="65">
        <v>84.381287</v>
      </c>
      <c r="G220" s="66">
        <v>84.381287292820005</v>
      </c>
      <c r="H220" s="65">
        <v>100</v>
      </c>
      <c r="I220" s="67">
        <v>3.61137</v>
      </c>
      <c r="J220" s="67">
        <v>84.373000000000005</v>
      </c>
      <c r="K220" s="67">
        <v>84.373000000000005</v>
      </c>
      <c r="L220" s="68">
        <v>100</v>
      </c>
      <c r="M220" s="67">
        <v>84.373000000000005</v>
      </c>
      <c r="N220" s="68">
        <v>0</v>
      </c>
    </row>
    <row r="221" spans="2:14" x14ac:dyDescent="0.25">
      <c r="B221" s="63">
        <v>44980</v>
      </c>
      <c r="C221" s="63">
        <v>44981</v>
      </c>
      <c r="D221" s="64" t="s">
        <v>1636</v>
      </c>
      <c r="E221" s="64" t="s">
        <v>1637</v>
      </c>
      <c r="F221" s="65">
        <v>22.647008</v>
      </c>
      <c r="G221" s="66">
        <v>22.647008928573001</v>
      </c>
      <c r="H221" s="65">
        <v>25</v>
      </c>
      <c r="I221" s="67">
        <v>3.587847</v>
      </c>
      <c r="J221" s="67">
        <v>90.03</v>
      </c>
      <c r="K221" s="67">
        <v>90.03</v>
      </c>
      <c r="L221" s="68">
        <v>100</v>
      </c>
      <c r="M221" s="67">
        <v>90.03</v>
      </c>
      <c r="N221" s="68">
        <v>0</v>
      </c>
    </row>
    <row r="222" spans="2:14" x14ac:dyDescent="0.25">
      <c r="B222" s="63">
        <v>44980</v>
      </c>
      <c r="C222" s="63">
        <v>44981</v>
      </c>
      <c r="D222" s="64" t="s">
        <v>1638</v>
      </c>
      <c r="E222" s="64" t="s">
        <v>1639</v>
      </c>
      <c r="F222" s="65">
        <v>17.017329</v>
      </c>
      <c r="G222" s="66">
        <v>17.01732967033</v>
      </c>
      <c r="H222" s="65">
        <v>15</v>
      </c>
      <c r="I222" s="67">
        <v>3.6497959999999998</v>
      </c>
      <c r="J222" s="67">
        <v>112.146669</v>
      </c>
      <c r="K222" s="67">
        <v>112.16</v>
      </c>
      <c r="L222" s="68">
        <v>100</v>
      </c>
      <c r="M222" s="67">
        <v>112.12</v>
      </c>
      <c r="N222" s="68">
        <v>2.6669000000000002E-2</v>
      </c>
    </row>
    <row r="223" spans="2:14" x14ac:dyDescent="0.25">
      <c r="B223" s="63">
        <v>44980</v>
      </c>
      <c r="C223" s="63">
        <v>44981</v>
      </c>
      <c r="D223" s="64" t="s">
        <v>1640</v>
      </c>
      <c r="E223" s="64" t="s">
        <v>1641</v>
      </c>
      <c r="F223" s="65">
        <v>14.297181</v>
      </c>
      <c r="G223" s="66">
        <v>0</v>
      </c>
      <c r="H223" s="65">
        <v>0</v>
      </c>
      <c r="I223" s="67">
        <v>0</v>
      </c>
      <c r="J223" s="67">
        <v>0</v>
      </c>
      <c r="K223" s="67">
        <v>0</v>
      </c>
      <c r="L223" s="68">
        <v>0</v>
      </c>
      <c r="M223" s="67">
        <v>0</v>
      </c>
      <c r="N223" s="68">
        <v>0</v>
      </c>
    </row>
    <row r="224" spans="2:14" x14ac:dyDescent="0.25">
      <c r="B224" s="63">
        <v>44984</v>
      </c>
      <c r="C224" s="63">
        <v>44985</v>
      </c>
      <c r="D224" s="64" t="s">
        <v>1674</v>
      </c>
      <c r="E224" s="64" t="s">
        <v>1675</v>
      </c>
      <c r="F224" s="65">
        <v>113.048237</v>
      </c>
      <c r="G224" s="66">
        <v>0</v>
      </c>
      <c r="H224" s="65">
        <v>0</v>
      </c>
      <c r="I224" s="67">
        <v>0</v>
      </c>
      <c r="J224" s="67">
        <v>0</v>
      </c>
      <c r="K224" s="67">
        <v>0</v>
      </c>
      <c r="L224" s="68">
        <v>0</v>
      </c>
      <c r="M224" s="67">
        <v>0</v>
      </c>
      <c r="N224" s="68">
        <v>0</v>
      </c>
    </row>
    <row r="225" spans="2:14" x14ac:dyDescent="0.25">
      <c r="B225" s="63">
        <v>44984</v>
      </c>
      <c r="C225" s="63">
        <v>44985</v>
      </c>
      <c r="D225" s="64" t="s">
        <v>1676</v>
      </c>
      <c r="E225" s="64" t="s">
        <v>1677</v>
      </c>
      <c r="F225" s="65">
        <v>0</v>
      </c>
      <c r="G225" s="66">
        <v>0</v>
      </c>
      <c r="H225" s="65">
        <v>0</v>
      </c>
      <c r="I225" s="67">
        <v>0</v>
      </c>
      <c r="J225" s="67">
        <v>0</v>
      </c>
      <c r="K225" s="67">
        <v>0</v>
      </c>
      <c r="L225" s="68">
        <v>0</v>
      </c>
      <c r="M225" s="67">
        <v>0</v>
      </c>
      <c r="N225" s="68">
        <v>0</v>
      </c>
    </row>
    <row r="226" spans="2:14" x14ac:dyDescent="0.25">
      <c r="B226" s="63">
        <v>44984</v>
      </c>
      <c r="C226" s="63">
        <v>44985</v>
      </c>
      <c r="D226" s="64" t="s">
        <v>1678</v>
      </c>
      <c r="E226" s="64" t="s">
        <v>1679</v>
      </c>
      <c r="F226" s="65">
        <v>51.432679</v>
      </c>
      <c r="G226" s="66">
        <v>0</v>
      </c>
      <c r="H226" s="65">
        <v>0</v>
      </c>
      <c r="I226" s="67">
        <v>0</v>
      </c>
      <c r="J226" s="67">
        <v>0</v>
      </c>
      <c r="K226" s="67">
        <v>0</v>
      </c>
      <c r="L226" s="68">
        <v>0</v>
      </c>
      <c r="M226" s="67">
        <v>0</v>
      </c>
      <c r="N226" s="68">
        <v>0</v>
      </c>
    </row>
    <row r="227" spans="2:14" x14ac:dyDescent="0.25">
      <c r="B227" s="63">
        <v>44984</v>
      </c>
      <c r="C227" s="63">
        <v>44985</v>
      </c>
      <c r="D227" s="64" t="s">
        <v>1680</v>
      </c>
      <c r="E227" s="64" t="s">
        <v>1681</v>
      </c>
      <c r="F227" s="65">
        <v>49.669355000000003</v>
      </c>
      <c r="G227" s="66">
        <v>0</v>
      </c>
      <c r="H227" s="65">
        <v>0</v>
      </c>
      <c r="I227" s="67">
        <v>0</v>
      </c>
      <c r="J227" s="67">
        <v>0</v>
      </c>
      <c r="K227" s="67">
        <v>0</v>
      </c>
      <c r="L227" s="68">
        <v>0</v>
      </c>
      <c r="M227" s="67">
        <v>0</v>
      </c>
      <c r="N227" s="68">
        <v>0</v>
      </c>
    </row>
    <row r="228" spans="2:14" x14ac:dyDescent="0.25">
      <c r="B228" s="63">
        <v>44984</v>
      </c>
      <c r="C228" s="63">
        <v>44985</v>
      </c>
      <c r="D228" s="64" t="s">
        <v>1682</v>
      </c>
      <c r="E228" s="64" t="s">
        <v>1683</v>
      </c>
      <c r="F228" s="65">
        <v>55.848695999999997</v>
      </c>
      <c r="G228" s="66">
        <v>28.563651160222999</v>
      </c>
      <c r="H228" s="65">
        <v>48</v>
      </c>
      <c r="I228" s="67">
        <v>4.1707140000000003</v>
      </c>
      <c r="J228" s="67">
        <v>59.354396000000001</v>
      </c>
      <c r="K228" s="67">
        <v>59.43</v>
      </c>
      <c r="L228" s="68">
        <v>100</v>
      </c>
      <c r="M228" s="67">
        <v>59.271999999999998</v>
      </c>
      <c r="N228" s="68">
        <v>8.2395999999999997E-2</v>
      </c>
    </row>
    <row r="229" spans="2:14" x14ac:dyDescent="0.25">
      <c r="B229" s="63">
        <v>44984</v>
      </c>
      <c r="C229" s="63">
        <v>44985</v>
      </c>
      <c r="D229" s="64" t="s">
        <v>1684</v>
      </c>
      <c r="E229" s="64" t="s">
        <v>1685</v>
      </c>
      <c r="F229" s="65">
        <v>0</v>
      </c>
      <c r="G229" s="66">
        <v>0</v>
      </c>
      <c r="H229" s="65">
        <v>0</v>
      </c>
      <c r="I229" s="67">
        <v>0</v>
      </c>
      <c r="J229" s="67">
        <v>0</v>
      </c>
      <c r="K229" s="67">
        <v>0</v>
      </c>
      <c r="L229" s="68">
        <v>0</v>
      </c>
      <c r="M229" s="67">
        <v>0</v>
      </c>
      <c r="N229" s="68">
        <v>0</v>
      </c>
    </row>
    <row r="230" spans="2:14" x14ac:dyDescent="0.25">
      <c r="B230" s="63">
        <v>44984</v>
      </c>
      <c r="C230" s="63">
        <v>44985</v>
      </c>
      <c r="D230" s="64" t="s">
        <v>1686</v>
      </c>
      <c r="E230" s="64" t="s">
        <v>1687</v>
      </c>
      <c r="F230" s="65">
        <v>96.723138000000006</v>
      </c>
      <c r="G230" s="66">
        <v>0</v>
      </c>
      <c r="H230" s="65">
        <v>0</v>
      </c>
      <c r="I230" s="67">
        <v>0</v>
      </c>
      <c r="J230" s="67">
        <v>0</v>
      </c>
      <c r="K230" s="67">
        <v>0</v>
      </c>
      <c r="L230" s="68">
        <v>0</v>
      </c>
      <c r="M230" s="67">
        <v>0</v>
      </c>
      <c r="N230" s="68">
        <v>0</v>
      </c>
    </row>
    <row r="231" spans="2:14" x14ac:dyDescent="0.25">
      <c r="B231" s="63">
        <v>44984</v>
      </c>
      <c r="C231" s="63">
        <v>44985</v>
      </c>
      <c r="D231" s="64" t="s">
        <v>1688</v>
      </c>
      <c r="E231" s="64" t="s">
        <v>1689</v>
      </c>
      <c r="F231" s="65">
        <v>531.08471599999996</v>
      </c>
      <c r="G231" s="66">
        <v>484.39268668959301</v>
      </c>
      <c r="H231" s="65">
        <v>1121.5</v>
      </c>
      <c r="I231" s="67">
        <v>4.0871940000000002</v>
      </c>
      <c r="J231" s="67">
        <v>42.970092999999999</v>
      </c>
      <c r="K231" s="67">
        <v>43.063000000000002</v>
      </c>
      <c r="L231" s="68">
        <v>76.666666000000006</v>
      </c>
      <c r="M231" s="67">
        <v>42.832999999999998</v>
      </c>
      <c r="N231" s="68">
        <v>0.13709299999999999</v>
      </c>
    </row>
    <row r="232" spans="2:14" x14ac:dyDescent="0.25">
      <c r="B232" s="63">
        <v>44984</v>
      </c>
      <c r="C232" s="63">
        <v>44985</v>
      </c>
      <c r="D232" s="64" t="s">
        <v>1690</v>
      </c>
      <c r="E232" s="64" t="s">
        <v>1691</v>
      </c>
      <c r="F232" s="65">
        <v>101.93604499999999</v>
      </c>
      <c r="G232" s="66">
        <v>62.861022099444</v>
      </c>
      <c r="H232" s="65">
        <v>120</v>
      </c>
      <c r="I232" s="67">
        <v>4.1117749999999997</v>
      </c>
      <c r="J232" s="67">
        <v>52.287596000000001</v>
      </c>
      <c r="K232" s="67">
        <v>52.37</v>
      </c>
      <c r="L232" s="68">
        <v>100</v>
      </c>
      <c r="M232" s="67">
        <v>52.2</v>
      </c>
      <c r="N232" s="68">
        <v>8.7595999999999993E-2</v>
      </c>
    </row>
    <row r="233" spans="2:14" x14ac:dyDescent="0.25">
      <c r="B233" s="63">
        <v>44984</v>
      </c>
      <c r="C233" s="63">
        <v>44985</v>
      </c>
      <c r="D233" s="64" t="s">
        <v>1692</v>
      </c>
      <c r="E233" s="64" t="s">
        <v>1693</v>
      </c>
      <c r="F233" s="65">
        <v>73.194564</v>
      </c>
      <c r="G233" s="66">
        <v>9.3971287292820005</v>
      </c>
      <c r="H233" s="65">
        <v>10</v>
      </c>
      <c r="I233" s="67">
        <v>4.128412</v>
      </c>
      <c r="J233" s="67">
        <v>93.587999999999994</v>
      </c>
      <c r="K233" s="67">
        <v>93.587999999999994</v>
      </c>
      <c r="L233" s="68">
        <v>100</v>
      </c>
      <c r="M233" s="67">
        <v>93.587999999999994</v>
      </c>
      <c r="N233" s="68">
        <v>0</v>
      </c>
    </row>
    <row r="234" spans="2:14" x14ac:dyDescent="0.25">
      <c r="B234" s="63">
        <v>44984</v>
      </c>
      <c r="C234" s="63">
        <v>44985</v>
      </c>
      <c r="D234" s="64" t="s">
        <v>1696</v>
      </c>
      <c r="E234" s="64" t="s">
        <v>1697</v>
      </c>
      <c r="F234" s="65">
        <v>0</v>
      </c>
      <c r="G234" s="66">
        <v>0</v>
      </c>
      <c r="H234" s="65">
        <v>0</v>
      </c>
      <c r="I234" s="67">
        <v>0</v>
      </c>
      <c r="J234" s="67">
        <v>0</v>
      </c>
      <c r="K234" s="67">
        <v>0</v>
      </c>
      <c r="L234" s="68">
        <v>0</v>
      </c>
      <c r="M234" s="67">
        <v>0</v>
      </c>
      <c r="N234" s="68">
        <v>0</v>
      </c>
    </row>
    <row r="235" spans="2:14" x14ac:dyDescent="0.25">
      <c r="B235" s="63">
        <v>44984</v>
      </c>
      <c r="C235" s="63">
        <v>44985</v>
      </c>
      <c r="D235" s="64" t="s">
        <v>1698</v>
      </c>
      <c r="E235" s="64" t="s">
        <v>1699</v>
      </c>
      <c r="F235" s="65">
        <v>17.691745000000001</v>
      </c>
      <c r="G235" s="66">
        <v>17.691745879119999</v>
      </c>
      <c r="H235" s="65">
        <v>17</v>
      </c>
      <c r="I235" s="67">
        <v>4.077407</v>
      </c>
      <c r="J235" s="67">
        <v>103.1</v>
      </c>
      <c r="K235" s="67">
        <v>103.1</v>
      </c>
      <c r="L235" s="68">
        <v>100</v>
      </c>
      <c r="M235" s="67">
        <v>103.1</v>
      </c>
      <c r="N235" s="68">
        <v>0</v>
      </c>
    </row>
    <row r="236" spans="2:14" x14ac:dyDescent="0.25">
      <c r="B236" s="63">
        <v>44984</v>
      </c>
      <c r="C236" s="63">
        <v>44985</v>
      </c>
      <c r="D236" s="64" t="s">
        <v>1700</v>
      </c>
      <c r="E236" s="64" t="s">
        <v>1701</v>
      </c>
      <c r="F236" s="65">
        <v>2.9119429999999999</v>
      </c>
      <c r="G236" s="66">
        <v>2.911943370166</v>
      </c>
      <c r="H236" s="65">
        <v>5</v>
      </c>
      <c r="I236" s="67">
        <v>4.0070959999999998</v>
      </c>
      <c r="J236" s="67">
        <v>58.06</v>
      </c>
      <c r="K236" s="67">
        <v>58.06</v>
      </c>
      <c r="L236" s="68">
        <v>100</v>
      </c>
      <c r="M236" s="67">
        <v>58.06</v>
      </c>
      <c r="N236" s="68">
        <v>0</v>
      </c>
    </row>
    <row r="237" spans="2:14" x14ac:dyDescent="0.25">
      <c r="B237" s="63">
        <v>44984</v>
      </c>
      <c r="C237" s="63">
        <v>44985</v>
      </c>
      <c r="D237" s="64" t="s">
        <v>1702</v>
      </c>
      <c r="E237" s="64" t="s">
        <v>1703</v>
      </c>
      <c r="F237" s="65">
        <v>0</v>
      </c>
      <c r="G237" s="66">
        <v>0</v>
      </c>
      <c r="H237" s="65">
        <v>0</v>
      </c>
      <c r="I237" s="67">
        <v>0</v>
      </c>
      <c r="J237" s="67">
        <v>0</v>
      </c>
      <c r="K237" s="67">
        <v>0</v>
      </c>
      <c r="L237" s="68">
        <v>0</v>
      </c>
      <c r="M237" s="67">
        <v>0</v>
      </c>
      <c r="N237" s="68">
        <v>0</v>
      </c>
    </row>
    <row r="238" spans="2:14" x14ac:dyDescent="0.25">
      <c r="B238" s="63">
        <v>44984</v>
      </c>
      <c r="C238" s="63">
        <v>44985</v>
      </c>
      <c r="D238" s="64" t="s">
        <v>1706</v>
      </c>
      <c r="E238" s="64" t="s">
        <v>1707</v>
      </c>
      <c r="F238" s="65">
        <v>14.181103999999999</v>
      </c>
      <c r="G238" s="66">
        <v>14.181104972376</v>
      </c>
      <c r="H238" s="65">
        <v>20</v>
      </c>
      <c r="I238" s="67">
        <v>3.9267989999999999</v>
      </c>
      <c r="J238" s="67">
        <v>70.650000000000006</v>
      </c>
      <c r="K238" s="67">
        <v>70.650000000000006</v>
      </c>
      <c r="L238" s="68">
        <v>100</v>
      </c>
      <c r="M238" s="67">
        <v>70.650000000000006</v>
      </c>
      <c r="N238" s="68">
        <v>0</v>
      </c>
    </row>
    <row r="239" spans="2:14" x14ac:dyDescent="0.25">
      <c r="B239" s="63">
        <v>44984</v>
      </c>
      <c r="C239" s="63">
        <v>44985</v>
      </c>
      <c r="D239" s="64" t="s">
        <v>1708</v>
      </c>
      <c r="E239" s="64" t="s">
        <v>1709</v>
      </c>
      <c r="F239" s="65">
        <v>108.174324</v>
      </c>
      <c r="G239" s="66">
        <v>6.4069414364639998</v>
      </c>
      <c r="H239" s="65">
        <v>7</v>
      </c>
      <c r="I239" s="67">
        <v>3.9175580000000001</v>
      </c>
      <c r="J239" s="67">
        <v>91.17</v>
      </c>
      <c r="K239" s="67">
        <v>91.17</v>
      </c>
      <c r="L239" s="68">
        <v>100</v>
      </c>
      <c r="M239" s="67">
        <v>91.17</v>
      </c>
      <c r="N239" s="68">
        <v>0</v>
      </c>
    </row>
    <row r="240" spans="2:14" x14ac:dyDescent="0.25">
      <c r="B240" s="63">
        <v>44984</v>
      </c>
      <c r="C240" s="63">
        <v>44985</v>
      </c>
      <c r="D240" s="64" t="s">
        <v>1710</v>
      </c>
      <c r="E240" s="64" t="s">
        <v>1711</v>
      </c>
      <c r="F240" s="65">
        <v>75.463594000000001</v>
      </c>
      <c r="G240" s="66">
        <v>23.551151785712999</v>
      </c>
      <c r="H240" s="65">
        <v>45</v>
      </c>
      <c r="I240" s="67">
        <v>3.8124820000000001</v>
      </c>
      <c r="J240" s="67">
        <v>51.760057000000003</v>
      </c>
      <c r="K240" s="67">
        <v>51.82</v>
      </c>
      <c r="L240" s="68">
        <v>100</v>
      </c>
      <c r="M240" s="67">
        <v>51.68</v>
      </c>
      <c r="N240" s="68">
        <v>8.0057000000000003E-2</v>
      </c>
    </row>
    <row r="241" spans="2:14" x14ac:dyDescent="0.25">
      <c r="B241" s="69">
        <v>44991</v>
      </c>
      <c r="C241" s="69">
        <v>44992</v>
      </c>
      <c r="D241" s="70" t="s">
        <v>1642</v>
      </c>
      <c r="E241" s="70" t="s">
        <v>1643</v>
      </c>
      <c r="F241" s="71">
        <v>15.584021</v>
      </c>
      <c r="G241" s="72">
        <v>0</v>
      </c>
      <c r="H241" s="71">
        <v>0</v>
      </c>
      <c r="I241" s="73">
        <v>0</v>
      </c>
      <c r="J241" s="73">
        <v>0</v>
      </c>
      <c r="K241" s="73">
        <v>0</v>
      </c>
      <c r="L241" s="74">
        <v>0</v>
      </c>
      <c r="M241" s="73">
        <v>0</v>
      </c>
      <c r="N241" s="74">
        <v>0</v>
      </c>
    </row>
    <row r="242" spans="2:14" x14ac:dyDescent="0.25">
      <c r="B242" s="69">
        <v>44991</v>
      </c>
      <c r="C242" s="69">
        <v>44992</v>
      </c>
      <c r="D242" s="70" t="s">
        <v>1644</v>
      </c>
      <c r="E242" s="70" t="s">
        <v>1645</v>
      </c>
      <c r="F242" s="71">
        <v>108.28145000000001</v>
      </c>
      <c r="G242" s="72">
        <v>108.28145054945</v>
      </c>
      <c r="H242" s="71">
        <v>100</v>
      </c>
      <c r="I242" s="73">
        <v>3.6868690000000002</v>
      </c>
      <c r="J242" s="73">
        <v>107.10700199999999</v>
      </c>
      <c r="K242" s="73">
        <v>107.122</v>
      </c>
      <c r="L242" s="74">
        <v>100</v>
      </c>
      <c r="M242" s="73">
        <v>107.092</v>
      </c>
      <c r="N242" s="74">
        <v>1.5002E-2</v>
      </c>
    </row>
    <row r="243" spans="2:14" x14ac:dyDescent="0.25">
      <c r="B243" s="69">
        <v>44991</v>
      </c>
      <c r="C243" s="69">
        <v>44992</v>
      </c>
      <c r="D243" s="70" t="s">
        <v>1646</v>
      </c>
      <c r="E243" s="70" t="s">
        <v>1647</v>
      </c>
      <c r="F243" s="71">
        <v>662.69336499999997</v>
      </c>
      <c r="G243" s="72">
        <v>356.10031353592098</v>
      </c>
      <c r="H243" s="71">
        <v>475</v>
      </c>
      <c r="I243" s="73">
        <v>3.754311</v>
      </c>
      <c r="J243" s="73">
        <v>74.944316999999998</v>
      </c>
      <c r="K243" s="73">
        <v>74.959999999999994</v>
      </c>
      <c r="L243" s="74">
        <v>100</v>
      </c>
      <c r="M243" s="73">
        <v>74.930000000000007</v>
      </c>
      <c r="N243" s="74">
        <v>1.4317E-2</v>
      </c>
    </row>
    <row r="244" spans="2:14" x14ac:dyDescent="0.25">
      <c r="B244" s="69">
        <v>44991</v>
      </c>
      <c r="C244" s="69">
        <v>44992</v>
      </c>
      <c r="D244" s="70" t="s">
        <v>1648</v>
      </c>
      <c r="E244" s="70" t="s">
        <v>1649</v>
      </c>
      <c r="F244" s="71">
        <v>283.02522499999998</v>
      </c>
      <c r="G244" s="72">
        <v>0</v>
      </c>
      <c r="H244" s="71">
        <v>0</v>
      </c>
      <c r="I244" s="73">
        <v>0</v>
      </c>
      <c r="J244" s="73">
        <v>0</v>
      </c>
      <c r="K244" s="73">
        <v>0</v>
      </c>
      <c r="L244" s="74">
        <v>0</v>
      </c>
      <c r="M244" s="73">
        <v>0</v>
      </c>
      <c r="N244" s="74">
        <v>0</v>
      </c>
    </row>
    <row r="245" spans="2:14" x14ac:dyDescent="0.25">
      <c r="B245" s="69">
        <v>44991</v>
      </c>
      <c r="C245" s="69">
        <v>44992</v>
      </c>
      <c r="D245" s="70" t="s">
        <v>1670</v>
      </c>
      <c r="E245" s="70" t="s">
        <v>1671</v>
      </c>
      <c r="F245" s="71">
        <v>0</v>
      </c>
      <c r="G245" s="72">
        <v>0</v>
      </c>
      <c r="H245" s="71">
        <v>0</v>
      </c>
      <c r="I245" s="73">
        <v>0</v>
      </c>
      <c r="J245" s="73">
        <v>0</v>
      </c>
      <c r="K245" s="73">
        <v>0</v>
      </c>
      <c r="L245" s="74">
        <v>0</v>
      </c>
      <c r="M245" s="73">
        <v>0</v>
      </c>
      <c r="N245" s="74">
        <v>0</v>
      </c>
    </row>
    <row r="246" spans="2:14" x14ac:dyDescent="0.25">
      <c r="B246" s="69">
        <v>44991</v>
      </c>
      <c r="C246" s="69">
        <v>44992</v>
      </c>
      <c r="D246" s="70" t="s">
        <v>1650</v>
      </c>
      <c r="E246" s="70" t="s">
        <v>1651</v>
      </c>
      <c r="F246" s="71">
        <v>26.36525</v>
      </c>
      <c r="G246" s="72">
        <v>0</v>
      </c>
      <c r="H246" s="71">
        <v>0</v>
      </c>
      <c r="I246" s="73">
        <v>0</v>
      </c>
      <c r="J246" s="73">
        <v>0</v>
      </c>
      <c r="K246" s="73">
        <v>0</v>
      </c>
      <c r="L246" s="74">
        <v>0</v>
      </c>
      <c r="M246" s="73">
        <v>0</v>
      </c>
      <c r="N246" s="74">
        <v>0</v>
      </c>
    </row>
    <row r="247" spans="2:14" x14ac:dyDescent="0.25">
      <c r="B247" s="69">
        <v>44991</v>
      </c>
      <c r="C247" s="69">
        <v>44992</v>
      </c>
      <c r="D247" s="70" t="s">
        <v>1652</v>
      </c>
      <c r="E247" s="70" t="s">
        <v>1653</v>
      </c>
      <c r="F247" s="71">
        <v>94.587198999999998</v>
      </c>
      <c r="G247" s="72">
        <v>60.835585359120003</v>
      </c>
      <c r="H247" s="71">
        <v>90</v>
      </c>
      <c r="I247" s="73">
        <v>3.963686</v>
      </c>
      <c r="J247" s="73">
        <v>67.534670000000006</v>
      </c>
      <c r="K247" s="73">
        <v>67.552999999999997</v>
      </c>
      <c r="L247" s="74">
        <v>100</v>
      </c>
      <c r="M247" s="73">
        <v>67.52</v>
      </c>
      <c r="N247" s="74">
        <v>1.4670000000000001E-2</v>
      </c>
    </row>
    <row r="248" spans="2:14" x14ac:dyDescent="0.25">
      <c r="B248" s="69">
        <v>44991</v>
      </c>
      <c r="C248" s="69">
        <v>44992</v>
      </c>
      <c r="D248" s="70" t="s">
        <v>1654</v>
      </c>
      <c r="E248" s="70" t="s">
        <v>1655</v>
      </c>
      <c r="F248" s="71">
        <v>728.09469999999999</v>
      </c>
      <c r="G248" s="72">
        <v>31.8277</v>
      </c>
      <c r="H248" s="71">
        <v>31</v>
      </c>
      <c r="I248" s="73">
        <v>3.9848499999999998</v>
      </c>
      <c r="J248" s="73">
        <v>102.67</v>
      </c>
      <c r="K248" s="73">
        <v>102.67</v>
      </c>
      <c r="L248" s="74">
        <v>62</v>
      </c>
      <c r="M248" s="73">
        <v>102.67</v>
      </c>
      <c r="N248" s="74">
        <v>0</v>
      </c>
    </row>
    <row r="249" spans="2:14" x14ac:dyDescent="0.25">
      <c r="B249" s="69">
        <v>44991</v>
      </c>
      <c r="C249" s="69">
        <v>44992</v>
      </c>
      <c r="D249" s="70" t="s">
        <v>1656</v>
      </c>
      <c r="E249" s="70" t="s">
        <v>1657</v>
      </c>
      <c r="F249" s="71">
        <v>0</v>
      </c>
      <c r="G249" s="72">
        <v>0</v>
      </c>
      <c r="H249" s="71">
        <v>0</v>
      </c>
      <c r="I249" s="73">
        <v>0</v>
      </c>
      <c r="J249" s="73">
        <v>0</v>
      </c>
      <c r="K249" s="73">
        <v>0</v>
      </c>
      <c r="L249" s="74">
        <v>0</v>
      </c>
      <c r="M249" s="73">
        <v>0</v>
      </c>
      <c r="N249" s="74">
        <v>0</v>
      </c>
    </row>
    <row r="250" spans="2:14" x14ac:dyDescent="0.25">
      <c r="B250" s="69">
        <v>44991</v>
      </c>
      <c r="C250" s="69">
        <v>44992</v>
      </c>
      <c r="D250" s="70" t="s">
        <v>1658</v>
      </c>
      <c r="E250" s="70" t="s">
        <v>1659</v>
      </c>
      <c r="F250" s="71">
        <v>0</v>
      </c>
      <c r="G250" s="72">
        <v>0</v>
      </c>
      <c r="H250" s="71">
        <v>0</v>
      </c>
      <c r="I250" s="73">
        <v>0</v>
      </c>
      <c r="J250" s="73">
        <v>0</v>
      </c>
      <c r="K250" s="73">
        <v>0</v>
      </c>
      <c r="L250" s="74">
        <v>0</v>
      </c>
      <c r="M250" s="73">
        <v>0</v>
      </c>
      <c r="N250" s="74">
        <v>0</v>
      </c>
    </row>
    <row r="251" spans="2:14" x14ac:dyDescent="0.25">
      <c r="B251" s="69">
        <v>44991</v>
      </c>
      <c r="C251" s="69">
        <v>44992</v>
      </c>
      <c r="D251" s="70" t="s">
        <v>1660</v>
      </c>
      <c r="E251" s="70" t="s">
        <v>1661</v>
      </c>
      <c r="F251" s="71">
        <v>0</v>
      </c>
      <c r="G251" s="72">
        <v>0</v>
      </c>
      <c r="H251" s="71">
        <v>0</v>
      </c>
      <c r="I251" s="73">
        <v>0</v>
      </c>
      <c r="J251" s="73">
        <v>0</v>
      </c>
      <c r="K251" s="73">
        <v>0</v>
      </c>
      <c r="L251" s="74">
        <v>0</v>
      </c>
      <c r="M251" s="73">
        <v>0</v>
      </c>
      <c r="N251" s="74">
        <v>0</v>
      </c>
    </row>
    <row r="252" spans="2:14" x14ac:dyDescent="0.25">
      <c r="B252" s="69">
        <v>44991</v>
      </c>
      <c r="C252" s="69">
        <v>44992</v>
      </c>
      <c r="D252" s="70" t="s">
        <v>1662</v>
      </c>
      <c r="E252" s="70" t="s">
        <v>1663</v>
      </c>
      <c r="F252" s="71">
        <v>60.63</v>
      </c>
      <c r="G252" s="72">
        <v>35.380000000000003</v>
      </c>
      <c r="H252" s="71">
        <v>35</v>
      </c>
      <c r="I252" s="73">
        <v>4.1584070000000004</v>
      </c>
      <c r="J252" s="73">
        <v>101.085719</v>
      </c>
      <c r="K252" s="73">
        <v>101.1</v>
      </c>
      <c r="L252" s="74">
        <v>100</v>
      </c>
      <c r="M252" s="73">
        <v>101.05</v>
      </c>
      <c r="N252" s="74">
        <v>3.5719000000000001E-2</v>
      </c>
    </row>
    <row r="253" spans="2:14" x14ac:dyDescent="0.25">
      <c r="B253" s="69">
        <v>44991</v>
      </c>
      <c r="C253" s="69">
        <v>44992</v>
      </c>
      <c r="D253" s="70" t="s">
        <v>1664</v>
      </c>
      <c r="E253" s="70" t="s">
        <v>1665</v>
      </c>
      <c r="F253" s="71">
        <v>10.155082</v>
      </c>
      <c r="G253" s="72">
        <v>0</v>
      </c>
      <c r="H253" s="71">
        <v>0</v>
      </c>
      <c r="I253" s="73">
        <v>0</v>
      </c>
      <c r="J253" s="73">
        <v>0</v>
      </c>
      <c r="K253" s="73">
        <v>0</v>
      </c>
      <c r="L253" s="74">
        <v>0</v>
      </c>
      <c r="M253" s="73">
        <v>0</v>
      </c>
      <c r="N253" s="74">
        <v>0</v>
      </c>
    </row>
    <row r="254" spans="2:14" x14ac:dyDescent="0.25">
      <c r="B254" s="69">
        <v>44991</v>
      </c>
      <c r="C254" s="69">
        <v>44992</v>
      </c>
      <c r="D254" s="70" t="s">
        <v>1666</v>
      </c>
      <c r="E254" s="70" t="s">
        <v>1667</v>
      </c>
      <c r="F254" s="71">
        <v>128.45641699999999</v>
      </c>
      <c r="G254" s="72">
        <v>47.065274725272999</v>
      </c>
      <c r="H254" s="71">
        <v>75</v>
      </c>
      <c r="I254" s="73">
        <v>4.185486</v>
      </c>
      <c r="J254" s="73">
        <v>62.286672000000003</v>
      </c>
      <c r="K254" s="73">
        <v>62.3</v>
      </c>
      <c r="L254" s="74">
        <v>100</v>
      </c>
      <c r="M254" s="73">
        <v>62.26</v>
      </c>
      <c r="N254" s="74">
        <v>2.6672000000000001E-2</v>
      </c>
    </row>
    <row r="255" spans="2:14" x14ac:dyDescent="0.25">
      <c r="B255" s="69">
        <v>44991</v>
      </c>
      <c r="C255" s="69">
        <v>44992</v>
      </c>
      <c r="D255" s="70" t="s">
        <v>1672</v>
      </c>
      <c r="E255" s="70" t="s">
        <v>1673</v>
      </c>
      <c r="F255" s="71">
        <v>20.989526999999999</v>
      </c>
      <c r="G255" s="72">
        <v>10.503263736264</v>
      </c>
      <c r="H255" s="71">
        <v>10</v>
      </c>
      <c r="I255" s="73">
        <v>4.2054330000000002</v>
      </c>
      <c r="J255" s="73">
        <v>103.92</v>
      </c>
      <c r="K255" s="73">
        <v>103.92</v>
      </c>
      <c r="L255" s="74">
        <v>100</v>
      </c>
      <c r="M255" s="73">
        <v>103.92</v>
      </c>
      <c r="N255" s="74">
        <v>0</v>
      </c>
    </row>
    <row r="256" spans="2:14" x14ac:dyDescent="0.25">
      <c r="B256" s="63">
        <v>44994</v>
      </c>
      <c r="C256" s="63">
        <v>44995</v>
      </c>
      <c r="D256" s="64" t="s">
        <v>1626</v>
      </c>
      <c r="E256" s="64" t="s">
        <v>1627</v>
      </c>
      <c r="F256" s="65">
        <v>211.004785</v>
      </c>
      <c r="G256" s="66">
        <v>111.586701657464</v>
      </c>
      <c r="H256" s="65">
        <v>120</v>
      </c>
      <c r="I256" s="67">
        <v>3.797644</v>
      </c>
      <c r="J256" s="67">
        <v>92.794167000000002</v>
      </c>
      <c r="K256" s="67">
        <v>92.814999999999998</v>
      </c>
      <c r="L256" s="68">
        <v>100</v>
      </c>
      <c r="M256" s="67">
        <v>92.79</v>
      </c>
      <c r="N256" s="68">
        <v>4.1669999999999997E-3</v>
      </c>
    </row>
    <row r="257" spans="2:14" x14ac:dyDescent="0.25">
      <c r="B257" s="63">
        <v>44994</v>
      </c>
      <c r="C257" s="63">
        <v>44995</v>
      </c>
      <c r="D257" s="64" t="s">
        <v>1628</v>
      </c>
      <c r="E257" s="64" t="s">
        <v>1629</v>
      </c>
      <c r="F257" s="65">
        <v>176.04738900000001</v>
      </c>
      <c r="G257" s="66">
        <v>126.523676785714</v>
      </c>
      <c r="H257" s="65">
        <v>143</v>
      </c>
      <c r="I257" s="67">
        <v>3.8603320000000001</v>
      </c>
      <c r="J257" s="67">
        <v>88.334896000000001</v>
      </c>
      <c r="K257" s="67">
        <v>88.352000000000004</v>
      </c>
      <c r="L257" s="68">
        <v>100</v>
      </c>
      <c r="M257" s="67">
        <v>88.322000000000003</v>
      </c>
      <c r="N257" s="68">
        <v>1.2895999999999999E-2</v>
      </c>
    </row>
    <row r="258" spans="2:14" x14ac:dyDescent="0.25">
      <c r="B258" s="63">
        <v>44994</v>
      </c>
      <c r="C258" s="63">
        <v>44995</v>
      </c>
      <c r="D258" s="64" t="s">
        <v>1630</v>
      </c>
      <c r="E258" s="64" t="s">
        <v>1631</v>
      </c>
      <c r="F258" s="65">
        <v>421.06320699999998</v>
      </c>
      <c r="G258" s="66">
        <v>40.039580011049999</v>
      </c>
      <c r="H258" s="65">
        <v>44.4</v>
      </c>
      <c r="I258" s="67">
        <v>3.7475390000000002</v>
      </c>
      <c r="J258" s="67">
        <v>90.016941000000003</v>
      </c>
      <c r="K258" s="67">
        <v>90.02</v>
      </c>
      <c r="L258" s="68">
        <v>19.399999999999999</v>
      </c>
      <c r="M258" s="67">
        <v>90.013000000000005</v>
      </c>
      <c r="N258" s="68">
        <v>3.9410000000000001E-3</v>
      </c>
    </row>
    <row r="259" spans="2:14" x14ac:dyDescent="0.25">
      <c r="B259" s="63">
        <v>44994</v>
      </c>
      <c r="C259" s="63">
        <v>44995</v>
      </c>
      <c r="D259" s="64" t="s">
        <v>1632</v>
      </c>
      <c r="E259" s="64" t="s">
        <v>1633</v>
      </c>
      <c r="F259" s="65">
        <v>299.52916900000002</v>
      </c>
      <c r="G259" s="66">
        <v>144.70939230769</v>
      </c>
      <c r="H259" s="65">
        <v>140</v>
      </c>
      <c r="I259" s="67">
        <v>3.7206640000000002</v>
      </c>
      <c r="J259" s="67">
        <v>102.278007</v>
      </c>
      <c r="K259" s="67">
        <v>102.31</v>
      </c>
      <c r="L259" s="68">
        <v>100</v>
      </c>
      <c r="M259" s="67">
        <v>102.22799999999999</v>
      </c>
      <c r="N259" s="68">
        <v>5.0007000000000003E-2</v>
      </c>
    </row>
    <row r="260" spans="2:14" x14ac:dyDescent="0.25">
      <c r="B260" s="63">
        <v>44994</v>
      </c>
      <c r="C260" s="63">
        <v>44995</v>
      </c>
      <c r="D260" s="64" t="s">
        <v>1634</v>
      </c>
      <c r="E260" s="64" t="s">
        <v>1635</v>
      </c>
      <c r="F260" s="65">
        <v>16.816624000000001</v>
      </c>
      <c r="G260" s="66">
        <v>16.816624309392001</v>
      </c>
      <c r="H260" s="65">
        <v>20</v>
      </c>
      <c r="I260" s="67">
        <v>3.7141329999999999</v>
      </c>
      <c r="J260" s="67">
        <v>84.07</v>
      </c>
      <c r="K260" s="67">
        <v>84.07</v>
      </c>
      <c r="L260" s="68">
        <v>100</v>
      </c>
      <c r="M260" s="67">
        <v>84.07</v>
      </c>
      <c r="N260" s="68">
        <v>0</v>
      </c>
    </row>
    <row r="261" spans="2:14" x14ac:dyDescent="0.25">
      <c r="B261" s="63">
        <v>44994</v>
      </c>
      <c r="C261" s="63">
        <v>44995</v>
      </c>
      <c r="D261" s="64" t="s">
        <v>1636</v>
      </c>
      <c r="E261" s="64" t="s">
        <v>1637</v>
      </c>
      <c r="F261" s="65">
        <v>399.75112300000001</v>
      </c>
      <c r="G261" s="66">
        <v>185.063498214296</v>
      </c>
      <c r="H261" s="65">
        <v>205</v>
      </c>
      <c r="I261" s="67">
        <v>3.6799520000000001</v>
      </c>
      <c r="J261" s="67">
        <v>89.654347000000001</v>
      </c>
      <c r="K261" s="67">
        <v>89.7</v>
      </c>
      <c r="L261" s="68">
        <v>100</v>
      </c>
      <c r="M261" s="67">
        <v>89.623000000000005</v>
      </c>
      <c r="N261" s="68">
        <v>3.1347E-2</v>
      </c>
    </row>
    <row r="262" spans="2:14" x14ac:dyDescent="0.25">
      <c r="B262" s="63">
        <v>44994</v>
      </c>
      <c r="C262" s="63">
        <v>44995</v>
      </c>
      <c r="D262" s="64" t="s">
        <v>1638</v>
      </c>
      <c r="E262" s="64" t="s">
        <v>1639</v>
      </c>
      <c r="F262" s="65">
        <v>0</v>
      </c>
      <c r="G262" s="66">
        <v>0</v>
      </c>
      <c r="H262" s="65">
        <v>0</v>
      </c>
      <c r="I262" s="67">
        <v>0</v>
      </c>
      <c r="J262" s="67">
        <v>0</v>
      </c>
      <c r="K262" s="67">
        <v>0</v>
      </c>
      <c r="L262" s="68">
        <v>0</v>
      </c>
      <c r="M262" s="67">
        <v>0</v>
      </c>
      <c r="N262" s="68">
        <v>0</v>
      </c>
    </row>
    <row r="263" spans="2:14" x14ac:dyDescent="0.25">
      <c r="B263" s="63">
        <v>44994</v>
      </c>
      <c r="C263" s="63">
        <v>44995</v>
      </c>
      <c r="D263" s="64" t="s">
        <v>1668</v>
      </c>
      <c r="E263" s="64" t="s">
        <v>1669</v>
      </c>
      <c r="F263" s="65">
        <v>0</v>
      </c>
      <c r="G263" s="66">
        <v>0</v>
      </c>
      <c r="H263" s="65">
        <v>0</v>
      </c>
      <c r="I263" s="67">
        <v>0</v>
      </c>
      <c r="J263" s="67">
        <v>0</v>
      </c>
      <c r="K263" s="67">
        <v>0</v>
      </c>
      <c r="L263" s="68">
        <v>0</v>
      </c>
      <c r="M263" s="67">
        <v>0</v>
      </c>
      <c r="N263" s="68">
        <v>0</v>
      </c>
    </row>
    <row r="264" spans="2:14" x14ac:dyDescent="0.25">
      <c r="B264" s="63">
        <v>44994</v>
      </c>
      <c r="C264" s="63">
        <v>44995</v>
      </c>
      <c r="D264" s="64" t="s">
        <v>1640</v>
      </c>
      <c r="E264" s="64" t="s">
        <v>1641</v>
      </c>
      <c r="F264" s="65">
        <v>145.95279400000001</v>
      </c>
      <c r="G264" s="66">
        <v>25.207240384614</v>
      </c>
      <c r="H264" s="65">
        <v>30</v>
      </c>
      <c r="I264" s="67">
        <v>3.67347</v>
      </c>
      <c r="J264" s="67">
        <v>83.69</v>
      </c>
      <c r="K264" s="67">
        <v>83.69</v>
      </c>
      <c r="L264" s="68">
        <v>100</v>
      </c>
      <c r="M264" s="67">
        <v>83.69</v>
      </c>
      <c r="N264" s="68">
        <v>0</v>
      </c>
    </row>
    <row r="265" spans="2:14" x14ac:dyDescent="0.25">
      <c r="B265" s="63">
        <v>44998</v>
      </c>
      <c r="C265" s="63">
        <v>44999</v>
      </c>
      <c r="D265" s="64" t="s">
        <v>1674</v>
      </c>
      <c r="E265" s="64" t="s">
        <v>1675</v>
      </c>
      <c r="F265" s="65">
        <v>170.409764</v>
      </c>
      <c r="G265" s="66">
        <v>129.78304508287701</v>
      </c>
      <c r="H265" s="65">
        <v>140.80000000000001</v>
      </c>
      <c r="I265" s="67">
        <v>3.829942</v>
      </c>
      <c r="J265" s="67">
        <v>91.717686</v>
      </c>
      <c r="K265" s="67">
        <v>91.841999999999999</v>
      </c>
      <c r="L265" s="68">
        <v>7.9999989999999999</v>
      </c>
      <c r="M265" s="67">
        <v>91.52</v>
      </c>
      <c r="N265" s="68">
        <v>0.197686</v>
      </c>
    </row>
    <row r="266" spans="2:14" x14ac:dyDescent="0.25">
      <c r="B266" s="63">
        <v>44998</v>
      </c>
      <c r="C266" s="63">
        <v>44999</v>
      </c>
      <c r="D266" s="64" t="s">
        <v>1676</v>
      </c>
      <c r="E266" s="64" t="s">
        <v>1677</v>
      </c>
      <c r="F266" s="65">
        <v>0</v>
      </c>
      <c r="G266" s="66">
        <v>0</v>
      </c>
      <c r="H266" s="65">
        <v>0</v>
      </c>
      <c r="I266" s="67">
        <v>0</v>
      </c>
      <c r="J266" s="67">
        <v>0</v>
      </c>
      <c r="K266" s="67">
        <v>0</v>
      </c>
      <c r="L266" s="68">
        <v>0</v>
      </c>
      <c r="M266" s="67">
        <v>0</v>
      </c>
      <c r="N266" s="68">
        <v>0</v>
      </c>
    </row>
    <row r="267" spans="2:14" x14ac:dyDescent="0.25">
      <c r="B267" s="63">
        <v>44998</v>
      </c>
      <c r="C267" s="63">
        <v>44999</v>
      </c>
      <c r="D267" s="64" t="s">
        <v>1678</v>
      </c>
      <c r="E267" s="64" t="s">
        <v>1679</v>
      </c>
      <c r="F267" s="65">
        <v>0</v>
      </c>
      <c r="G267" s="66">
        <v>0</v>
      </c>
      <c r="H267" s="65">
        <v>0</v>
      </c>
      <c r="I267" s="67">
        <v>0</v>
      </c>
      <c r="J267" s="67">
        <v>0</v>
      </c>
      <c r="K267" s="67">
        <v>0</v>
      </c>
      <c r="L267" s="68">
        <v>0</v>
      </c>
      <c r="M267" s="67">
        <v>0</v>
      </c>
      <c r="N267" s="68">
        <v>0</v>
      </c>
    </row>
    <row r="268" spans="2:14" x14ac:dyDescent="0.25">
      <c r="B268" s="63">
        <v>44998</v>
      </c>
      <c r="C268" s="63">
        <v>44999</v>
      </c>
      <c r="D268" s="64" t="s">
        <v>1680</v>
      </c>
      <c r="E268" s="64" t="s">
        <v>1681</v>
      </c>
      <c r="F268" s="65">
        <v>174.93866399999999</v>
      </c>
      <c r="G268" s="66">
        <v>121.42238708790801</v>
      </c>
      <c r="H268" s="65">
        <v>113</v>
      </c>
      <c r="I268" s="67">
        <v>3.841364</v>
      </c>
      <c r="J268" s="67">
        <v>106.320941</v>
      </c>
      <c r="K268" s="67">
        <v>106.416</v>
      </c>
      <c r="L268" s="68">
        <v>100</v>
      </c>
      <c r="M268" s="67">
        <v>106.15</v>
      </c>
      <c r="N268" s="68">
        <v>0.17094100000000001</v>
      </c>
    </row>
    <row r="269" spans="2:14" x14ac:dyDescent="0.25">
      <c r="B269" s="63">
        <v>44998</v>
      </c>
      <c r="C269" s="63">
        <v>44999</v>
      </c>
      <c r="D269" s="64" t="s">
        <v>1682</v>
      </c>
      <c r="E269" s="64" t="s">
        <v>1683</v>
      </c>
      <c r="F269" s="65">
        <v>0</v>
      </c>
      <c r="G269" s="66">
        <v>0</v>
      </c>
      <c r="H269" s="65">
        <v>0</v>
      </c>
      <c r="I269" s="67">
        <v>0</v>
      </c>
      <c r="J269" s="67">
        <v>0</v>
      </c>
      <c r="K269" s="67">
        <v>0</v>
      </c>
      <c r="L269" s="68">
        <v>0</v>
      </c>
      <c r="M269" s="67">
        <v>0</v>
      </c>
      <c r="N269" s="68">
        <v>0</v>
      </c>
    </row>
    <row r="270" spans="2:14" x14ac:dyDescent="0.25">
      <c r="B270" s="63">
        <v>44998</v>
      </c>
      <c r="C270" s="63">
        <v>44999</v>
      </c>
      <c r="D270" s="64" t="s">
        <v>1684</v>
      </c>
      <c r="E270" s="64" t="s">
        <v>1685</v>
      </c>
      <c r="F270" s="65">
        <v>0</v>
      </c>
      <c r="G270" s="66">
        <v>0</v>
      </c>
      <c r="H270" s="65">
        <v>0</v>
      </c>
      <c r="I270" s="67">
        <v>0</v>
      </c>
      <c r="J270" s="67">
        <v>0</v>
      </c>
      <c r="K270" s="67">
        <v>0</v>
      </c>
      <c r="L270" s="68">
        <v>0</v>
      </c>
      <c r="M270" s="67">
        <v>0</v>
      </c>
      <c r="N270" s="68">
        <v>0</v>
      </c>
    </row>
    <row r="271" spans="2:14" x14ac:dyDescent="0.25">
      <c r="B271" s="63">
        <v>44998</v>
      </c>
      <c r="C271" s="63">
        <v>44999</v>
      </c>
      <c r="D271" s="64" t="s">
        <v>1686</v>
      </c>
      <c r="E271" s="64" t="s">
        <v>1687</v>
      </c>
      <c r="F271" s="65">
        <v>0</v>
      </c>
      <c r="G271" s="66">
        <v>0</v>
      </c>
      <c r="H271" s="65">
        <v>0</v>
      </c>
      <c r="I271" s="67">
        <v>0</v>
      </c>
      <c r="J271" s="67">
        <v>0</v>
      </c>
      <c r="K271" s="67">
        <v>0</v>
      </c>
      <c r="L271" s="68">
        <v>0</v>
      </c>
      <c r="M271" s="67">
        <v>0</v>
      </c>
      <c r="N271" s="68">
        <v>0</v>
      </c>
    </row>
    <row r="272" spans="2:14" x14ac:dyDescent="0.25">
      <c r="B272" s="63">
        <v>44998</v>
      </c>
      <c r="C272" s="63">
        <v>44999</v>
      </c>
      <c r="D272" s="64" t="s">
        <v>1688</v>
      </c>
      <c r="E272" s="64" t="s">
        <v>1689</v>
      </c>
      <c r="F272" s="65">
        <v>185.95414199999999</v>
      </c>
      <c r="G272" s="66">
        <v>74.717657142863999</v>
      </c>
      <c r="H272" s="65">
        <v>160</v>
      </c>
      <c r="I272" s="67">
        <v>3.7584559999999998</v>
      </c>
      <c r="J272" s="67">
        <v>46.453052999999997</v>
      </c>
      <c r="K272" s="67">
        <v>46.503</v>
      </c>
      <c r="L272" s="68">
        <v>100</v>
      </c>
      <c r="M272" s="67">
        <v>46.402999999999999</v>
      </c>
      <c r="N272" s="68">
        <v>5.0053E-2</v>
      </c>
    </row>
    <row r="273" spans="2:14" x14ac:dyDescent="0.25">
      <c r="B273" s="63">
        <v>44998</v>
      </c>
      <c r="C273" s="63">
        <v>44999</v>
      </c>
      <c r="D273" s="64" t="s">
        <v>1690</v>
      </c>
      <c r="E273" s="64" t="s">
        <v>1691</v>
      </c>
      <c r="F273" s="65">
        <v>269.93033500000001</v>
      </c>
      <c r="G273" s="66">
        <v>28.097513812155</v>
      </c>
      <c r="H273" s="65">
        <v>50</v>
      </c>
      <c r="I273" s="67">
        <v>3.7914629999999998</v>
      </c>
      <c r="J273" s="67">
        <v>56.05</v>
      </c>
      <c r="K273" s="67">
        <v>56.05</v>
      </c>
      <c r="L273" s="68">
        <v>100</v>
      </c>
      <c r="M273" s="67">
        <v>56.05</v>
      </c>
      <c r="N273" s="68">
        <v>0</v>
      </c>
    </row>
    <row r="274" spans="2:14" x14ac:dyDescent="0.25">
      <c r="B274" s="63">
        <v>44998</v>
      </c>
      <c r="C274" s="63">
        <v>44999</v>
      </c>
      <c r="D274" s="64" t="s">
        <v>1692</v>
      </c>
      <c r="E274" s="64" t="s">
        <v>1693</v>
      </c>
      <c r="F274" s="65">
        <v>0</v>
      </c>
      <c r="G274" s="66">
        <v>0</v>
      </c>
      <c r="H274" s="65">
        <v>0</v>
      </c>
      <c r="I274" s="67">
        <v>0</v>
      </c>
      <c r="J274" s="67">
        <v>0</v>
      </c>
      <c r="K274" s="67">
        <v>0</v>
      </c>
      <c r="L274" s="68">
        <v>0</v>
      </c>
      <c r="M274" s="67">
        <v>0</v>
      </c>
      <c r="N274" s="68">
        <v>0</v>
      </c>
    </row>
    <row r="275" spans="2:14" x14ac:dyDescent="0.25">
      <c r="B275" s="63">
        <v>44998</v>
      </c>
      <c r="C275" s="63">
        <v>44999</v>
      </c>
      <c r="D275" s="64" t="s">
        <v>1694</v>
      </c>
      <c r="E275" s="64" t="s">
        <v>1695</v>
      </c>
      <c r="F275" s="65">
        <v>0</v>
      </c>
      <c r="G275" s="66">
        <v>0</v>
      </c>
      <c r="H275" s="65">
        <v>0</v>
      </c>
      <c r="I275" s="67">
        <v>0</v>
      </c>
      <c r="J275" s="67">
        <v>0</v>
      </c>
      <c r="K275" s="67">
        <v>0</v>
      </c>
      <c r="L275" s="68">
        <v>0</v>
      </c>
      <c r="M275" s="67">
        <v>0</v>
      </c>
      <c r="N275" s="68">
        <v>0</v>
      </c>
    </row>
    <row r="276" spans="2:14" x14ac:dyDescent="0.25">
      <c r="B276" s="63">
        <v>44998</v>
      </c>
      <c r="C276" s="63">
        <v>44999</v>
      </c>
      <c r="D276" s="64" t="s">
        <v>1696</v>
      </c>
      <c r="E276" s="64" t="s">
        <v>1697</v>
      </c>
      <c r="F276" s="65">
        <v>0</v>
      </c>
      <c r="G276" s="66">
        <v>0</v>
      </c>
      <c r="H276" s="65">
        <v>0</v>
      </c>
      <c r="I276" s="67">
        <v>0</v>
      </c>
      <c r="J276" s="67">
        <v>0</v>
      </c>
      <c r="K276" s="67">
        <v>0</v>
      </c>
      <c r="L276" s="68">
        <v>0</v>
      </c>
      <c r="M276" s="67">
        <v>0</v>
      </c>
      <c r="N276" s="68">
        <v>0</v>
      </c>
    </row>
    <row r="277" spans="2:14" x14ac:dyDescent="0.25">
      <c r="B277" s="63">
        <v>44998</v>
      </c>
      <c r="C277" s="63">
        <v>44999</v>
      </c>
      <c r="D277" s="64" t="s">
        <v>1698</v>
      </c>
      <c r="E277" s="64" t="s">
        <v>1699</v>
      </c>
      <c r="F277" s="65">
        <v>11.028255</v>
      </c>
      <c r="G277" s="66">
        <v>11.028255494505</v>
      </c>
      <c r="H277" s="65">
        <v>10</v>
      </c>
      <c r="I277" s="67">
        <v>3.761358</v>
      </c>
      <c r="J277" s="67">
        <v>109.15</v>
      </c>
      <c r="K277" s="67">
        <v>109.15</v>
      </c>
      <c r="L277" s="68">
        <v>100</v>
      </c>
      <c r="M277" s="67">
        <v>109.15</v>
      </c>
      <c r="N277" s="68">
        <v>0</v>
      </c>
    </row>
    <row r="278" spans="2:14" x14ac:dyDescent="0.25">
      <c r="B278" s="63">
        <v>44998</v>
      </c>
      <c r="C278" s="63">
        <v>44999</v>
      </c>
      <c r="D278" s="64" t="s">
        <v>1700</v>
      </c>
      <c r="E278" s="64" t="s">
        <v>1701</v>
      </c>
      <c r="F278" s="65">
        <v>0</v>
      </c>
      <c r="G278" s="66">
        <v>0</v>
      </c>
      <c r="H278" s="65">
        <v>0</v>
      </c>
      <c r="I278" s="67">
        <v>0</v>
      </c>
      <c r="J278" s="67">
        <v>0</v>
      </c>
      <c r="K278" s="67">
        <v>0</v>
      </c>
      <c r="L278" s="68">
        <v>0</v>
      </c>
      <c r="M278" s="67">
        <v>0</v>
      </c>
      <c r="N278" s="68">
        <v>0</v>
      </c>
    </row>
    <row r="279" spans="2:14" x14ac:dyDescent="0.25">
      <c r="B279" s="63">
        <v>44998</v>
      </c>
      <c r="C279" s="63">
        <v>44999</v>
      </c>
      <c r="D279" s="64" t="s">
        <v>1702</v>
      </c>
      <c r="E279" s="64" t="s">
        <v>1703</v>
      </c>
      <c r="F279" s="65">
        <v>127.086793</v>
      </c>
      <c r="G279" s="66">
        <v>0</v>
      </c>
      <c r="H279" s="65">
        <v>0</v>
      </c>
      <c r="I279" s="67">
        <v>0</v>
      </c>
      <c r="J279" s="67">
        <v>0</v>
      </c>
      <c r="K279" s="67">
        <v>0</v>
      </c>
      <c r="L279" s="68">
        <v>0</v>
      </c>
      <c r="M279" s="67">
        <v>0</v>
      </c>
      <c r="N279" s="68">
        <v>0</v>
      </c>
    </row>
    <row r="280" spans="2:14" x14ac:dyDescent="0.25">
      <c r="B280" s="63">
        <v>44998</v>
      </c>
      <c r="C280" s="63">
        <v>44999</v>
      </c>
      <c r="D280" s="64" t="s">
        <v>1706</v>
      </c>
      <c r="E280" s="64" t="s">
        <v>1707</v>
      </c>
      <c r="F280" s="65">
        <v>0</v>
      </c>
      <c r="G280" s="66">
        <v>0</v>
      </c>
      <c r="H280" s="65">
        <v>0</v>
      </c>
      <c r="I280" s="67">
        <v>0</v>
      </c>
      <c r="J280" s="67">
        <v>0</v>
      </c>
      <c r="K280" s="67">
        <v>0</v>
      </c>
      <c r="L280" s="68">
        <v>0</v>
      </c>
      <c r="M280" s="67">
        <v>0</v>
      </c>
      <c r="N280" s="68">
        <v>0</v>
      </c>
    </row>
    <row r="281" spans="2:14" x14ac:dyDescent="0.25">
      <c r="B281" s="63">
        <v>44998</v>
      </c>
      <c r="C281" s="63">
        <v>44999</v>
      </c>
      <c r="D281" s="64" t="s">
        <v>1708</v>
      </c>
      <c r="E281" s="64" t="s">
        <v>1709</v>
      </c>
      <c r="F281" s="65">
        <v>72.570819999999998</v>
      </c>
      <c r="G281" s="66">
        <v>0</v>
      </c>
      <c r="H281" s="65">
        <v>0</v>
      </c>
      <c r="I281" s="67">
        <v>0</v>
      </c>
      <c r="J281" s="67">
        <v>0</v>
      </c>
      <c r="K281" s="67">
        <v>0</v>
      </c>
      <c r="L281" s="68">
        <v>0</v>
      </c>
      <c r="M281" s="67">
        <v>0</v>
      </c>
      <c r="N281" s="68">
        <v>0</v>
      </c>
    </row>
    <row r="282" spans="2:14" x14ac:dyDescent="0.25">
      <c r="B282" s="63">
        <v>44998</v>
      </c>
      <c r="C282" s="63">
        <v>44999</v>
      </c>
      <c r="D282" s="64" t="s">
        <v>1710</v>
      </c>
      <c r="E282" s="64" t="s">
        <v>1711</v>
      </c>
      <c r="F282" s="65">
        <v>284.89196399999997</v>
      </c>
      <c r="G282" s="66">
        <v>284.8919642857</v>
      </c>
      <c r="H282" s="65">
        <v>500</v>
      </c>
      <c r="I282" s="67">
        <v>3.5004279999999999</v>
      </c>
      <c r="J282" s="67">
        <v>56.34</v>
      </c>
      <c r="K282" s="67">
        <v>56.34</v>
      </c>
      <c r="L282" s="68">
        <v>100</v>
      </c>
      <c r="M282" s="67">
        <v>56.34</v>
      </c>
      <c r="N282" s="68">
        <v>0</v>
      </c>
    </row>
    <row r="283" spans="2:14" x14ac:dyDescent="0.25">
      <c r="B283" s="81">
        <v>45012</v>
      </c>
      <c r="C283" s="81">
        <v>45013</v>
      </c>
      <c r="D283" s="81" t="s">
        <v>1674</v>
      </c>
      <c r="E283" s="81" t="s">
        <v>1675</v>
      </c>
      <c r="F283" s="82">
        <v>255.03481199999999</v>
      </c>
      <c r="G283" s="82">
        <v>101.64869899999999</v>
      </c>
      <c r="H283" s="83">
        <v>110.9</v>
      </c>
      <c r="I283" s="84">
        <v>3.8785029999999998</v>
      </c>
      <c r="J283" s="84">
        <v>91.074421999999998</v>
      </c>
      <c r="K283" s="84">
        <v>91.082999999999998</v>
      </c>
      <c r="L283" s="85">
        <v>47.6</v>
      </c>
      <c r="M283" s="84">
        <v>91.003</v>
      </c>
      <c r="N283" s="85">
        <v>7.1421999999999999E-2</v>
      </c>
    </row>
    <row r="284" spans="2:14" x14ac:dyDescent="0.25">
      <c r="B284" s="81">
        <v>45012</v>
      </c>
      <c r="C284" s="81">
        <v>45013</v>
      </c>
      <c r="D284" s="81" t="s">
        <v>1676</v>
      </c>
      <c r="E284" s="81" t="s">
        <v>1677</v>
      </c>
      <c r="F284" s="82">
        <v>0</v>
      </c>
      <c r="G284" s="82">
        <v>0</v>
      </c>
      <c r="H284" s="83">
        <v>0</v>
      </c>
      <c r="I284" s="84">
        <v>0</v>
      </c>
      <c r="J284" s="84">
        <v>0</v>
      </c>
      <c r="K284" s="84">
        <v>0</v>
      </c>
      <c r="L284" s="85">
        <v>0</v>
      </c>
      <c r="M284" s="84">
        <v>0</v>
      </c>
      <c r="N284" s="85">
        <v>0</v>
      </c>
    </row>
    <row r="285" spans="2:14" x14ac:dyDescent="0.25">
      <c r="B285" s="81">
        <v>45012</v>
      </c>
      <c r="C285" s="81">
        <v>45013</v>
      </c>
      <c r="D285" s="81" t="s">
        <v>1678</v>
      </c>
      <c r="E285" s="81" t="s">
        <v>1679</v>
      </c>
      <c r="F285" s="82">
        <v>0</v>
      </c>
      <c r="G285" s="82">
        <v>0</v>
      </c>
      <c r="H285" s="83">
        <v>0</v>
      </c>
      <c r="I285" s="84">
        <v>0</v>
      </c>
      <c r="J285" s="84">
        <v>0</v>
      </c>
      <c r="K285" s="84">
        <v>0</v>
      </c>
      <c r="L285" s="85">
        <v>0</v>
      </c>
      <c r="M285" s="84">
        <v>0</v>
      </c>
      <c r="N285" s="85">
        <v>0</v>
      </c>
    </row>
    <row r="286" spans="2:14" x14ac:dyDescent="0.25">
      <c r="B286" s="81">
        <v>45012</v>
      </c>
      <c r="C286" s="81">
        <v>45013</v>
      </c>
      <c r="D286" s="81" t="s">
        <v>1680</v>
      </c>
      <c r="E286" s="81" t="s">
        <v>1681</v>
      </c>
      <c r="F286" s="82">
        <v>90.538914000000005</v>
      </c>
      <c r="G286" s="82">
        <v>0</v>
      </c>
      <c r="H286" s="83">
        <v>0</v>
      </c>
      <c r="I286" s="84">
        <v>0</v>
      </c>
      <c r="J286" s="84">
        <v>0</v>
      </c>
      <c r="K286" s="84">
        <v>0</v>
      </c>
      <c r="L286" s="85">
        <v>0</v>
      </c>
      <c r="M286" s="84">
        <v>0</v>
      </c>
      <c r="N286" s="85">
        <v>0</v>
      </c>
    </row>
    <row r="287" spans="2:14" x14ac:dyDescent="0.25">
      <c r="B287" s="81">
        <v>45012</v>
      </c>
      <c r="C287" s="81">
        <v>45013</v>
      </c>
      <c r="D287" s="81" t="s">
        <v>1682</v>
      </c>
      <c r="E287" s="81" t="s">
        <v>1683</v>
      </c>
      <c r="F287" s="82">
        <v>0</v>
      </c>
      <c r="G287" s="82">
        <v>0</v>
      </c>
      <c r="H287" s="83">
        <v>0</v>
      </c>
      <c r="I287" s="84">
        <v>0</v>
      </c>
      <c r="J287" s="84">
        <v>0</v>
      </c>
      <c r="K287" s="84">
        <v>0</v>
      </c>
      <c r="L287" s="85">
        <v>0</v>
      </c>
      <c r="M287" s="84">
        <v>0</v>
      </c>
      <c r="N287" s="85">
        <v>0</v>
      </c>
    </row>
    <row r="288" spans="2:14" x14ac:dyDescent="0.25">
      <c r="B288" s="81">
        <v>45012</v>
      </c>
      <c r="C288" s="81">
        <v>45013</v>
      </c>
      <c r="D288" s="81" t="s">
        <v>1684</v>
      </c>
      <c r="E288" s="81" t="s">
        <v>1685</v>
      </c>
      <c r="F288" s="82">
        <v>0</v>
      </c>
      <c r="G288" s="82">
        <v>0</v>
      </c>
      <c r="H288" s="83">
        <v>0</v>
      </c>
      <c r="I288" s="84">
        <v>0</v>
      </c>
      <c r="J288" s="84">
        <v>0</v>
      </c>
      <c r="K288" s="84">
        <v>0</v>
      </c>
      <c r="L288" s="85">
        <v>0</v>
      </c>
      <c r="M288" s="84">
        <v>0</v>
      </c>
      <c r="N288" s="85">
        <v>0</v>
      </c>
    </row>
    <row r="289" spans="2:14" x14ac:dyDescent="0.25">
      <c r="B289" s="81">
        <v>45012</v>
      </c>
      <c r="C289" s="81">
        <v>45013</v>
      </c>
      <c r="D289" s="81" t="s">
        <v>1686</v>
      </c>
      <c r="E289" s="81" t="s">
        <v>1687</v>
      </c>
      <c r="F289" s="82">
        <v>10.699901000000001</v>
      </c>
      <c r="G289" s="82">
        <v>0</v>
      </c>
      <c r="H289" s="83">
        <v>0</v>
      </c>
      <c r="I289" s="84">
        <v>0</v>
      </c>
      <c r="J289" s="84">
        <v>0</v>
      </c>
      <c r="K289" s="84">
        <v>0</v>
      </c>
      <c r="L289" s="85">
        <v>0</v>
      </c>
      <c r="M289" s="84">
        <v>0</v>
      </c>
      <c r="N289" s="85">
        <v>0</v>
      </c>
    </row>
    <row r="290" spans="2:14" x14ac:dyDescent="0.25">
      <c r="B290" s="81">
        <v>45012</v>
      </c>
      <c r="C290" s="81">
        <v>45013</v>
      </c>
      <c r="D290" s="81" t="s">
        <v>1688</v>
      </c>
      <c r="E290" s="81" t="s">
        <v>1689</v>
      </c>
      <c r="F290" s="82">
        <v>465.625902</v>
      </c>
      <c r="G290" s="82">
        <v>456.53698700000001</v>
      </c>
      <c r="H290" s="83">
        <v>994</v>
      </c>
      <c r="I290" s="84">
        <v>3.835804</v>
      </c>
      <c r="J290" s="84">
        <v>45.659703</v>
      </c>
      <c r="K290" s="84">
        <v>45.683</v>
      </c>
      <c r="L290" s="85">
        <v>100</v>
      </c>
      <c r="M290" s="84">
        <v>45.652999999999999</v>
      </c>
      <c r="N290" s="85">
        <v>6.7029999999999998E-3</v>
      </c>
    </row>
    <row r="291" spans="2:14" x14ac:dyDescent="0.25">
      <c r="B291" s="81">
        <v>45012</v>
      </c>
      <c r="C291" s="81">
        <v>45013</v>
      </c>
      <c r="D291" s="81" t="s">
        <v>1690</v>
      </c>
      <c r="E291" s="81" t="s">
        <v>1691</v>
      </c>
      <c r="F291" s="82">
        <v>105.502403</v>
      </c>
      <c r="G291" s="82">
        <v>22.245348</v>
      </c>
      <c r="H291" s="83">
        <v>40</v>
      </c>
      <c r="I291" s="84">
        <v>3.8465530000000001</v>
      </c>
      <c r="J291" s="84">
        <v>55.42</v>
      </c>
      <c r="K291" s="84">
        <v>55.42</v>
      </c>
      <c r="L291" s="85">
        <v>100</v>
      </c>
      <c r="M291" s="84">
        <v>55.42</v>
      </c>
      <c r="N291" s="85">
        <v>0</v>
      </c>
    </row>
    <row r="292" spans="2:14" x14ac:dyDescent="0.25">
      <c r="B292" s="81">
        <v>45012</v>
      </c>
      <c r="C292" s="81">
        <v>45013</v>
      </c>
      <c r="D292" s="81" t="s">
        <v>1692</v>
      </c>
      <c r="E292" s="81" t="s">
        <v>1693</v>
      </c>
      <c r="F292" s="82">
        <v>0</v>
      </c>
      <c r="G292" s="82">
        <v>0</v>
      </c>
      <c r="H292" s="83">
        <v>0</v>
      </c>
      <c r="I292" s="84">
        <v>0</v>
      </c>
      <c r="J292" s="84">
        <v>0</v>
      </c>
      <c r="K292" s="84">
        <v>0</v>
      </c>
      <c r="L292" s="85">
        <v>0</v>
      </c>
      <c r="M292" s="84">
        <v>0</v>
      </c>
      <c r="N292" s="85">
        <v>0</v>
      </c>
    </row>
    <row r="293" spans="2:14" x14ac:dyDescent="0.25">
      <c r="B293" s="81">
        <v>45012</v>
      </c>
      <c r="C293" s="81">
        <v>45013</v>
      </c>
      <c r="D293" s="81" t="s">
        <v>1694</v>
      </c>
      <c r="E293" s="81" t="s">
        <v>1695</v>
      </c>
      <c r="F293" s="82">
        <v>0</v>
      </c>
      <c r="G293" s="82">
        <v>0</v>
      </c>
      <c r="H293" s="83">
        <v>0</v>
      </c>
      <c r="I293" s="84">
        <v>0</v>
      </c>
      <c r="J293" s="84">
        <v>0</v>
      </c>
      <c r="K293" s="84">
        <v>0</v>
      </c>
      <c r="L293" s="85">
        <v>0</v>
      </c>
      <c r="M293" s="84">
        <v>0</v>
      </c>
      <c r="N293" s="85">
        <v>0</v>
      </c>
    </row>
    <row r="294" spans="2:14" x14ac:dyDescent="0.25">
      <c r="B294" s="81">
        <v>45012</v>
      </c>
      <c r="C294" s="81">
        <v>45013</v>
      </c>
      <c r="D294" s="81" t="s">
        <v>1696</v>
      </c>
      <c r="E294" s="81" t="s">
        <v>1697</v>
      </c>
      <c r="F294" s="82">
        <v>0</v>
      </c>
      <c r="G294" s="82">
        <v>0</v>
      </c>
      <c r="H294" s="83">
        <v>0</v>
      </c>
      <c r="I294" s="84">
        <v>0</v>
      </c>
      <c r="J294" s="84">
        <v>0</v>
      </c>
      <c r="K294" s="84">
        <v>0</v>
      </c>
      <c r="L294" s="85">
        <v>0</v>
      </c>
      <c r="M294" s="84">
        <v>0</v>
      </c>
      <c r="N294" s="85">
        <v>0</v>
      </c>
    </row>
    <row r="295" spans="2:14" x14ac:dyDescent="0.25">
      <c r="B295" s="81">
        <v>45012</v>
      </c>
      <c r="C295" s="81">
        <v>45013</v>
      </c>
      <c r="D295" s="81" t="s">
        <v>1698</v>
      </c>
      <c r="E295" s="81" t="s">
        <v>1699</v>
      </c>
      <c r="F295" s="82">
        <v>6.5211600000000001</v>
      </c>
      <c r="G295" s="82">
        <v>0</v>
      </c>
      <c r="H295" s="83">
        <v>0</v>
      </c>
      <c r="I295" s="84">
        <v>0</v>
      </c>
      <c r="J295" s="84">
        <v>0</v>
      </c>
      <c r="K295" s="84">
        <v>0</v>
      </c>
      <c r="L295" s="85">
        <v>0</v>
      </c>
      <c r="M295" s="84">
        <v>0</v>
      </c>
      <c r="N295" s="85">
        <v>0</v>
      </c>
    </row>
    <row r="296" spans="2:14" x14ac:dyDescent="0.25">
      <c r="B296" s="81">
        <v>45012</v>
      </c>
      <c r="C296" s="81">
        <v>45013</v>
      </c>
      <c r="D296" s="81" t="s">
        <v>1700</v>
      </c>
      <c r="E296" s="81" t="s">
        <v>1701</v>
      </c>
      <c r="F296" s="82">
        <v>131.729737</v>
      </c>
      <c r="G296" s="82">
        <v>0</v>
      </c>
      <c r="H296" s="83">
        <v>0</v>
      </c>
      <c r="I296" s="84">
        <v>0</v>
      </c>
      <c r="J296" s="84">
        <v>0</v>
      </c>
      <c r="K296" s="84">
        <v>0</v>
      </c>
      <c r="L296" s="85">
        <v>0</v>
      </c>
      <c r="M296" s="84">
        <v>0</v>
      </c>
      <c r="N296" s="85">
        <v>0</v>
      </c>
    </row>
    <row r="297" spans="2:14" x14ac:dyDescent="0.25">
      <c r="B297" s="81">
        <v>45012</v>
      </c>
      <c r="C297" s="81">
        <v>45013</v>
      </c>
      <c r="D297" s="81" t="s">
        <v>1702</v>
      </c>
      <c r="E297" s="81" t="s">
        <v>1703</v>
      </c>
      <c r="F297" s="82">
        <v>108.045998</v>
      </c>
      <c r="G297" s="82">
        <v>55.691682999999998</v>
      </c>
      <c r="H297" s="83">
        <v>53</v>
      </c>
      <c r="I297" s="84">
        <v>3.7794829999999999</v>
      </c>
      <c r="J297" s="84">
        <v>104.360421</v>
      </c>
      <c r="K297" s="84">
        <v>104.384</v>
      </c>
      <c r="L297" s="85">
        <v>100</v>
      </c>
      <c r="M297" s="84">
        <v>104.334</v>
      </c>
      <c r="N297" s="85">
        <v>2.6421E-2</v>
      </c>
    </row>
    <row r="298" spans="2:14" x14ac:dyDescent="0.25">
      <c r="B298" s="81">
        <v>45012</v>
      </c>
      <c r="C298" s="81">
        <v>45013</v>
      </c>
      <c r="D298" s="81" t="s">
        <v>1704</v>
      </c>
      <c r="E298" s="81" t="s">
        <v>1705</v>
      </c>
      <c r="F298" s="82">
        <v>0</v>
      </c>
      <c r="G298" s="82">
        <v>0</v>
      </c>
      <c r="H298" s="83">
        <v>0</v>
      </c>
      <c r="I298" s="84">
        <v>0</v>
      </c>
      <c r="J298" s="84">
        <v>0</v>
      </c>
      <c r="K298" s="84">
        <v>0</v>
      </c>
      <c r="L298" s="85">
        <v>0</v>
      </c>
      <c r="M298" s="84">
        <v>0</v>
      </c>
      <c r="N298" s="85">
        <v>0</v>
      </c>
    </row>
    <row r="299" spans="2:14" x14ac:dyDescent="0.25">
      <c r="B299" s="81">
        <v>45012</v>
      </c>
      <c r="C299" s="81">
        <v>45013</v>
      </c>
      <c r="D299" s="81" t="s">
        <v>1706</v>
      </c>
      <c r="E299" s="81" t="s">
        <v>1707</v>
      </c>
      <c r="F299" s="82">
        <v>7.4208889999999998</v>
      </c>
      <c r="G299" s="82">
        <v>0</v>
      </c>
      <c r="H299" s="83">
        <v>0</v>
      </c>
      <c r="I299" s="84">
        <v>0</v>
      </c>
      <c r="J299" s="84">
        <v>0</v>
      </c>
      <c r="K299" s="84">
        <v>0</v>
      </c>
      <c r="L299" s="85">
        <v>0</v>
      </c>
      <c r="M299" s="84">
        <v>0</v>
      </c>
      <c r="N299" s="85">
        <v>0</v>
      </c>
    </row>
    <row r="300" spans="2:14" x14ac:dyDescent="0.25">
      <c r="B300" s="81">
        <v>45012</v>
      </c>
      <c r="C300" s="81">
        <v>45013</v>
      </c>
      <c r="D300" s="81" t="s">
        <v>1708</v>
      </c>
      <c r="E300" s="81" t="s">
        <v>1709</v>
      </c>
      <c r="F300" s="82">
        <v>0</v>
      </c>
      <c r="G300" s="82">
        <v>0</v>
      </c>
      <c r="H300" s="83">
        <v>0</v>
      </c>
      <c r="I300" s="84">
        <v>0</v>
      </c>
      <c r="J300" s="84">
        <v>0</v>
      </c>
      <c r="K300" s="84">
        <v>0</v>
      </c>
      <c r="L300" s="85">
        <v>0</v>
      </c>
      <c r="M300" s="84">
        <v>0</v>
      </c>
      <c r="N300" s="85">
        <v>0</v>
      </c>
    </row>
    <row r="301" spans="2:14" x14ac:dyDescent="0.25">
      <c r="B301" s="63">
        <v>45012</v>
      </c>
      <c r="C301" s="63">
        <v>45013</v>
      </c>
      <c r="D301" s="64" t="s">
        <v>1710</v>
      </c>
      <c r="E301" s="64" t="s">
        <v>1711</v>
      </c>
      <c r="F301" s="65">
        <v>41.024360000000001</v>
      </c>
      <c r="G301" s="66">
        <v>13.873223214285</v>
      </c>
      <c r="H301" s="65">
        <v>25</v>
      </c>
      <c r="I301" s="67">
        <v>3.602922</v>
      </c>
      <c r="J301" s="67">
        <v>54.792003000000001</v>
      </c>
      <c r="K301" s="67">
        <v>54.81</v>
      </c>
      <c r="L301" s="68">
        <v>100</v>
      </c>
      <c r="M301" s="67">
        <v>54.78</v>
      </c>
      <c r="N301" s="68">
        <v>1.2003E-2</v>
      </c>
    </row>
    <row r="302" spans="2:14" x14ac:dyDescent="0.25">
      <c r="B302" s="63">
        <v>45019</v>
      </c>
      <c r="C302" s="63">
        <v>45020</v>
      </c>
      <c r="D302" s="63" t="s">
        <v>1626</v>
      </c>
      <c r="E302" s="63" t="s">
        <v>1627</v>
      </c>
      <c r="F302" s="66">
        <v>302.00588900000002</v>
      </c>
      <c r="G302" s="66">
        <v>75.301674000000006</v>
      </c>
      <c r="H302" s="65">
        <v>80</v>
      </c>
      <c r="I302" s="67">
        <v>3.495136</v>
      </c>
      <c r="J302" s="67">
        <v>93.828751999999994</v>
      </c>
      <c r="K302" s="67">
        <v>93.84</v>
      </c>
      <c r="L302" s="68">
        <v>100</v>
      </c>
      <c r="M302" s="67">
        <v>93.81</v>
      </c>
      <c r="N302" s="68">
        <v>1.8752000000000001E-2</v>
      </c>
    </row>
    <row r="303" spans="2:14" x14ac:dyDescent="0.25">
      <c r="B303" s="63">
        <v>45019</v>
      </c>
      <c r="C303" s="63">
        <v>45020</v>
      </c>
      <c r="D303" s="63" t="s">
        <v>1628</v>
      </c>
      <c r="E303" s="63" t="s">
        <v>1629</v>
      </c>
      <c r="F303" s="66">
        <v>174.34161399999999</v>
      </c>
      <c r="G303" s="66">
        <v>88.789863999999994</v>
      </c>
      <c r="H303" s="65">
        <v>99.3</v>
      </c>
      <c r="I303" s="67">
        <v>3.6313040000000001</v>
      </c>
      <c r="J303" s="67">
        <v>89.246819000000002</v>
      </c>
      <c r="K303" s="67">
        <v>89.251999999999995</v>
      </c>
      <c r="L303" s="68">
        <v>52.76923</v>
      </c>
      <c r="M303" s="67">
        <v>89.236999999999995</v>
      </c>
      <c r="N303" s="68">
        <v>9.8189999999999996E-3</v>
      </c>
    </row>
    <row r="304" spans="2:14" x14ac:dyDescent="0.25">
      <c r="B304" s="63">
        <v>45019</v>
      </c>
      <c r="C304" s="63">
        <v>45020</v>
      </c>
      <c r="D304" s="63" t="s">
        <v>1630</v>
      </c>
      <c r="E304" s="63" t="s">
        <v>1631</v>
      </c>
      <c r="F304" s="66">
        <v>621.28962100000001</v>
      </c>
      <c r="G304" s="66">
        <v>137.35167799999999</v>
      </c>
      <c r="H304" s="65">
        <v>150</v>
      </c>
      <c r="I304" s="67">
        <v>3.4381309999999998</v>
      </c>
      <c r="J304" s="67">
        <v>91.319169000000002</v>
      </c>
      <c r="K304" s="67">
        <v>91.334000000000003</v>
      </c>
      <c r="L304" s="68">
        <v>100</v>
      </c>
      <c r="M304" s="67">
        <v>91.3</v>
      </c>
      <c r="N304" s="68">
        <v>1.9168999999999999E-2</v>
      </c>
    </row>
    <row r="305" spans="2:14" x14ac:dyDescent="0.25">
      <c r="B305" s="63">
        <v>45019</v>
      </c>
      <c r="C305" s="63">
        <v>45020</v>
      </c>
      <c r="D305" s="63" t="s">
        <v>1632</v>
      </c>
      <c r="E305" s="63" t="s">
        <v>1633</v>
      </c>
      <c r="F305" s="66">
        <v>0</v>
      </c>
      <c r="G305" s="66">
        <v>0</v>
      </c>
      <c r="H305" s="65">
        <v>0</v>
      </c>
      <c r="I305" s="67">
        <v>0</v>
      </c>
      <c r="J305" s="67">
        <v>0</v>
      </c>
      <c r="K305" s="67">
        <v>0</v>
      </c>
      <c r="L305" s="68">
        <v>0</v>
      </c>
      <c r="M305" s="67">
        <v>0</v>
      </c>
      <c r="N305" s="68">
        <v>0</v>
      </c>
    </row>
    <row r="306" spans="2:14" x14ac:dyDescent="0.25">
      <c r="B306" s="63">
        <v>45019</v>
      </c>
      <c r="C306" s="63">
        <v>45020</v>
      </c>
      <c r="D306" s="63" t="s">
        <v>1634</v>
      </c>
      <c r="E306" s="63" t="s">
        <v>1635</v>
      </c>
      <c r="F306" s="66">
        <v>505.36030399999999</v>
      </c>
      <c r="G306" s="66">
        <v>316.91301800000002</v>
      </c>
      <c r="H306" s="65">
        <v>371</v>
      </c>
      <c r="I306" s="67">
        <v>3.4338009999999999</v>
      </c>
      <c r="J306" s="67">
        <v>85.399548999999993</v>
      </c>
      <c r="K306" s="67">
        <v>85.423000000000002</v>
      </c>
      <c r="L306" s="68">
        <v>100</v>
      </c>
      <c r="M306" s="67">
        <v>85.361000000000004</v>
      </c>
      <c r="N306" s="68">
        <v>3.8549E-2</v>
      </c>
    </row>
    <row r="307" spans="2:14" x14ac:dyDescent="0.25">
      <c r="B307" s="63">
        <v>45019</v>
      </c>
      <c r="C307" s="63">
        <v>45020</v>
      </c>
      <c r="D307" s="63" t="s">
        <v>1636</v>
      </c>
      <c r="E307" s="63" t="s">
        <v>1637</v>
      </c>
      <c r="F307" s="66">
        <v>289.33994899999999</v>
      </c>
      <c r="G307" s="66">
        <v>151.63333600000001</v>
      </c>
      <c r="H307" s="65">
        <v>165</v>
      </c>
      <c r="I307" s="67">
        <v>3.3841220000000001</v>
      </c>
      <c r="J307" s="67">
        <v>91.166849999999997</v>
      </c>
      <c r="K307" s="67">
        <v>91.18</v>
      </c>
      <c r="L307" s="68">
        <v>100</v>
      </c>
      <c r="M307" s="67">
        <v>91.15</v>
      </c>
      <c r="N307" s="68">
        <v>1.685E-2</v>
      </c>
    </row>
    <row r="308" spans="2:14" x14ac:dyDescent="0.25">
      <c r="B308" s="63">
        <v>45019</v>
      </c>
      <c r="C308" s="63">
        <v>45020</v>
      </c>
      <c r="D308" s="63" t="s">
        <v>1638</v>
      </c>
      <c r="E308" s="63" t="s">
        <v>1639</v>
      </c>
      <c r="F308" s="66">
        <v>34.471815999999997</v>
      </c>
      <c r="G308" s="66">
        <v>0</v>
      </c>
      <c r="H308" s="65">
        <v>0</v>
      </c>
      <c r="I308" s="67">
        <v>0</v>
      </c>
      <c r="J308" s="67">
        <v>0</v>
      </c>
      <c r="K308" s="67">
        <v>0</v>
      </c>
      <c r="L308" s="68">
        <v>0</v>
      </c>
      <c r="M308" s="67">
        <v>0</v>
      </c>
      <c r="N308" s="68">
        <v>0</v>
      </c>
    </row>
    <row r="309" spans="2:14" x14ac:dyDescent="0.25">
      <c r="B309" s="63">
        <v>45019</v>
      </c>
      <c r="C309" s="63">
        <v>45020</v>
      </c>
      <c r="D309" s="63" t="s">
        <v>1640</v>
      </c>
      <c r="E309" s="63" t="s">
        <v>1641</v>
      </c>
      <c r="F309" s="66">
        <v>34.216442000000001</v>
      </c>
      <c r="G309" s="66">
        <v>0</v>
      </c>
      <c r="H309" s="65">
        <v>0</v>
      </c>
      <c r="I309" s="67">
        <v>0</v>
      </c>
      <c r="J309" s="67">
        <v>0</v>
      </c>
      <c r="K309" s="67">
        <v>0</v>
      </c>
      <c r="L309" s="68">
        <v>0</v>
      </c>
      <c r="M309" s="67">
        <v>0</v>
      </c>
      <c r="N309" s="68">
        <v>0</v>
      </c>
    </row>
    <row r="310" spans="2:14" x14ac:dyDescent="0.25">
      <c r="B310" s="63">
        <v>45033</v>
      </c>
      <c r="C310" s="63">
        <v>45034</v>
      </c>
      <c r="D310" s="63" t="s">
        <v>1642</v>
      </c>
      <c r="E310" s="63" t="s">
        <v>1643</v>
      </c>
      <c r="F310" s="66">
        <v>513.68605500000001</v>
      </c>
      <c r="G310" s="66">
        <v>237.59663699999999</v>
      </c>
      <c r="H310" s="65">
        <v>300</v>
      </c>
      <c r="I310" s="67">
        <v>3.5542859999999998</v>
      </c>
      <c r="J310" s="67">
        <v>79.203000000000003</v>
      </c>
      <c r="K310" s="67">
        <v>79.203000000000003</v>
      </c>
      <c r="L310" s="68">
        <v>100</v>
      </c>
      <c r="M310" s="67">
        <v>79.203000000000003</v>
      </c>
      <c r="N310" s="68">
        <v>0</v>
      </c>
    </row>
    <row r="311" spans="2:14" x14ac:dyDescent="0.25">
      <c r="B311" s="63">
        <v>45033</v>
      </c>
      <c r="C311" s="63">
        <v>45034</v>
      </c>
      <c r="D311" s="63" t="s">
        <v>1644</v>
      </c>
      <c r="E311" s="63" t="s">
        <v>1645</v>
      </c>
      <c r="F311" s="66">
        <v>164.62549100000001</v>
      </c>
      <c r="G311" s="66">
        <v>38.432285</v>
      </c>
      <c r="H311" s="65">
        <v>35</v>
      </c>
      <c r="I311" s="67">
        <v>3.5324369999999998</v>
      </c>
      <c r="J311" s="67">
        <v>108.084</v>
      </c>
      <c r="K311" s="67">
        <v>108.084</v>
      </c>
      <c r="L311" s="68">
        <v>100</v>
      </c>
      <c r="M311" s="67">
        <v>108.084</v>
      </c>
      <c r="N311" s="68">
        <v>0</v>
      </c>
    </row>
    <row r="312" spans="2:14" x14ac:dyDescent="0.25">
      <c r="B312" s="63">
        <v>45033</v>
      </c>
      <c r="C312" s="63">
        <v>45034</v>
      </c>
      <c r="D312" s="63" t="s">
        <v>1646</v>
      </c>
      <c r="E312" s="63" t="s">
        <v>1647</v>
      </c>
      <c r="F312" s="66">
        <v>110.551306</v>
      </c>
      <c r="G312" s="66">
        <v>30.503271000000002</v>
      </c>
      <c r="H312" s="65">
        <v>40</v>
      </c>
      <c r="I312" s="67">
        <v>3.5957970000000001</v>
      </c>
      <c r="J312" s="67">
        <v>76.204999999999998</v>
      </c>
      <c r="K312" s="67">
        <v>76.204999999999998</v>
      </c>
      <c r="L312" s="68">
        <v>100</v>
      </c>
      <c r="M312" s="67">
        <v>76.204999999999998</v>
      </c>
      <c r="N312" s="68">
        <v>0</v>
      </c>
    </row>
    <row r="313" spans="2:14" x14ac:dyDescent="0.25">
      <c r="B313" s="63">
        <v>45033</v>
      </c>
      <c r="C313" s="63">
        <v>45034</v>
      </c>
      <c r="D313" s="63" t="s">
        <v>1648</v>
      </c>
      <c r="E313" s="63" t="s">
        <v>1649</v>
      </c>
      <c r="F313" s="66">
        <v>1000.810726</v>
      </c>
      <c r="G313" s="66">
        <v>306.89636899999999</v>
      </c>
      <c r="H313" s="65">
        <v>287</v>
      </c>
      <c r="I313" s="67">
        <v>3.5533459999999999</v>
      </c>
      <c r="J313" s="67">
        <v>105.391324</v>
      </c>
      <c r="K313" s="67">
        <v>105.393</v>
      </c>
      <c r="L313" s="68">
        <v>100</v>
      </c>
      <c r="M313" s="67">
        <v>105.38</v>
      </c>
      <c r="N313" s="68">
        <v>1.1324000000000001E-2</v>
      </c>
    </row>
    <row r="314" spans="2:14" x14ac:dyDescent="0.25">
      <c r="B314" s="63">
        <v>45033</v>
      </c>
      <c r="C314" s="63">
        <v>45034</v>
      </c>
      <c r="D314" s="63" t="s">
        <v>1670</v>
      </c>
      <c r="E314" s="63" t="s">
        <v>1671</v>
      </c>
      <c r="F314" s="66">
        <v>0</v>
      </c>
      <c r="G314" s="66">
        <v>0</v>
      </c>
      <c r="H314" s="65">
        <v>0</v>
      </c>
      <c r="I314" s="67">
        <v>0</v>
      </c>
      <c r="J314" s="67">
        <v>0</v>
      </c>
      <c r="K314" s="67">
        <v>0</v>
      </c>
      <c r="L314" s="68">
        <v>0</v>
      </c>
      <c r="M314" s="67">
        <v>0</v>
      </c>
      <c r="N314" s="68">
        <v>0</v>
      </c>
    </row>
    <row r="315" spans="2:14" x14ac:dyDescent="0.25">
      <c r="B315" s="63">
        <v>45033</v>
      </c>
      <c r="C315" s="63">
        <v>45034</v>
      </c>
      <c r="D315" s="63" t="s">
        <v>1650</v>
      </c>
      <c r="E315" s="63" t="s">
        <v>1651</v>
      </c>
      <c r="F315" s="66">
        <v>139.592163</v>
      </c>
      <c r="G315" s="66">
        <v>0</v>
      </c>
      <c r="H315" s="65">
        <v>0</v>
      </c>
      <c r="I315" s="67">
        <v>0</v>
      </c>
      <c r="J315" s="67">
        <v>0</v>
      </c>
      <c r="K315" s="67">
        <v>0</v>
      </c>
      <c r="L315" s="68">
        <v>0</v>
      </c>
      <c r="M315" s="67">
        <v>0</v>
      </c>
      <c r="N315" s="68">
        <v>0</v>
      </c>
    </row>
    <row r="316" spans="2:14" x14ac:dyDescent="0.25">
      <c r="B316" s="63">
        <v>45033</v>
      </c>
      <c r="C316" s="63">
        <v>45034</v>
      </c>
      <c r="D316" s="63" t="s">
        <v>1652</v>
      </c>
      <c r="E316" s="63" t="s">
        <v>1653</v>
      </c>
      <c r="F316" s="66">
        <v>89.797324000000003</v>
      </c>
      <c r="G316" s="66">
        <v>48.393059000000001</v>
      </c>
      <c r="H316" s="65">
        <v>70</v>
      </c>
      <c r="I316" s="67">
        <v>3.8073549999999998</v>
      </c>
      <c r="J316" s="67">
        <v>69</v>
      </c>
      <c r="K316" s="67">
        <v>69</v>
      </c>
      <c r="L316" s="68">
        <v>100</v>
      </c>
      <c r="M316" s="67">
        <v>69</v>
      </c>
      <c r="N316" s="68">
        <v>0</v>
      </c>
    </row>
    <row r="317" spans="2:14" x14ac:dyDescent="0.25">
      <c r="B317" s="63">
        <v>45033</v>
      </c>
      <c r="C317" s="63">
        <v>45034</v>
      </c>
      <c r="D317" s="63" t="s">
        <v>1654</v>
      </c>
      <c r="E317" s="63" t="s">
        <v>1655</v>
      </c>
      <c r="F317" s="66">
        <v>178.38534200000001</v>
      </c>
      <c r="G317" s="66">
        <v>0</v>
      </c>
      <c r="H317" s="65">
        <v>0</v>
      </c>
      <c r="I317" s="67">
        <v>0</v>
      </c>
      <c r="J317" s="67">
        <v>0</v>
      </c>
      <c r="K317" s="67">
        <v>0</v>
      </c>
      <c r="L317" s="68">
        <v>0</v>
      </c>
      <c r="M317" s="67">
        <v>0</v>
      </c>
      <c r="N317" s="68">
        <v>0</v>
      </c>
    </row>
    <row r="318" spans="2:14" x14ac:dyDescent="0.25">
      <c r="B318" s="63">
        <v>45033</v>
      </c>
      <c r="C318" s="63">
        <v>45034</v>
      </c>
      <c r="D318" s="63" t="s">
        <v>1656</v>
      </c>
      <c r="E318" s="63" t="s">
        <v>1657</v>
      </c>
      <c r="F318" s="66">
        <v>0</v>
      </c>
      <c r="G318" s="66">
        <v>0</v>
      </c>
      <c r="H318" s="65">
        <v>0</v>
      </c>
      <c r="I318" s="67">
        <v>0</v>
      </c>
      <c r="J318" s="67">
        <v>0</v>
      </c>
      <c r="K318" s="67">
        <v>0</v>
      </c>
      <c r="L318" s="68">
        <v>0</v>
      </c>
      <c r="M318" s="67">
        <v>0</v>
      </c>
      <c r="N318" s="68">
        <v>0</v>
      </c>
    </row>
    <row r="319" spans="2:14" x14ac:dyDescent="0.25">
      <c r="B319" s="63">
        <v>45033</v>
      </c>
      <c r="C319" s="63">
        <v>45034</v>
      </c>
      <c r="D319" s="63" t="s">
        <v>1658</v>
      </c>
      <c r="E319" s="63" t="s">
        <v>1659</v>
      </c>
      <c r="F319" s="66">
        <v>38.920434</v>
      </c>
      <c r="G319" s="66">
        <v>0</v>
      </c>
      <c r="H319" s="65">
        <v>0</v>
      </c>
      <c r="I319" s="67">
        <v>0</v>
      </c>
      <c r="J319" s="67">
        <v>0</v>
      </c>
      <c r="K319" s="67">
        <v>0</v>
      </c>
      <c r="L319" s="68">
        <v>0</v>
      </c>
      <c r="M319" s="67">
        <v>0</v>
      </c>
      <c r="N319" s="68">
        <v>0</v>
      </c>
    </row>
    <row r="320" spans="2:14" x14ac:dyDescent="0.25">
      <c r="B320" s="63">
        <v>45033</v>
      </c>
      <c r="C320" s="63">
        <v>45034</v>
      </c>
      <c r="D320" s="63" t="s">
        <v>1662</v>
      </c>
      <c r="E320" s="63" t="s">
        <v>1663</v>
      </c>
      <c r="F320" s="66">
        <v>15.525907999999999</v>
      </c>
      <c r="G320" s="66">
        <v>0</v>
      </c>
      <c r="H320" s="65">
        <v>0</v>
      </c>
      <c r="I320" s="67">
        <v>0</v>
      </c>
      <c r="J320" s="67">
        <v>0</v>
      </c>
      <c r="K320" s="67">
        <v>0</v>
      </c>
      <c r="L320" s="68">
        <v>0</v>
      </c>
      <c r="M320" s="67">
        <v>0</v>
      </c>
      <c r="N320" s="68">
        <v>0</v>
      </c>
    </row>
    <row r="321" spans="2:14" x14ac:dyDescent="0.25">
      <c r="B321" s="63">
        <v>45033</v>
      </c>
      <c r="C321" s="63">
        <v>45034</v>
      </c>
      <c r="D321" s="63" t="s">
        <v>1664</v>
      </c>
      <c r="E321" s="63" t="s">
        <v>1665</v>
      </c>
      <c r="F321" s="66">
        <v>0</v>
      </c>
      <c r="G321" s="66">
        <v>0</v>
      </c>
      <c r="H321" s="65">
        <v>0</v>
      </c>
      <c r="I321" s="67">
        <v>0</v>
      </c>
      <c r="J321" s="67">
        <v>0</v>
      </c>
      <c r="K321" s="67">
        <v>0</v>
      </c>
      <c r="L321" s="68">
        <v>0</v>
      </c>
      <c r="M321" s="67">
        <v>0</v>
      </c>
      <c r="N321" s="68">
        <v>0</v>
      </c>
    </row>
    <row r="322" spans="2:14" x14ac:dyDescent="0.25">
      <c r="B322" s="63">
        <v>45033</v>
      </c>
      <c r="C322" s="63">
        <v>45034</v>
      </c>
      <c r="D322" s="63" t="s">
        <v>1666</v>
      </c>
      <c r="E322" s="63" t="s">
        <v>1667</v>
      </c>
      <c r="F322" s="66">
        <v>247.19636499999999</v>
      </c>
      <c r="G322" s="66">
        <v>108.13266400000001</v>
      </c>
      <c r="H322" s="65">
        <v>168.4</v>
      </c>
      <c r="I322" s="67">
        <v>4.0051969999999999</v>
      </c>
      <c r="J322" s="67">
        <v>64.225532000000001</v>
      </c>
      <c r="K322" s="67">
        <v>64.23</v>
      </c>
      <c r="L322" s="68">
        <v>24.872727000000001</v>
      </c>
      <c r="M322" s="67">
        <v>64.218999999999994</v>
      </c>
      <c r="N322" s="68">
        <v>6.5319999999999996E-3</v>
      </c>
    </row>
    <row r="323" spans="2:14" x14ac:dyDescent="0.25">
      <c r="B323" s="63">
        <v>45033</v>
      </c>
      <c r="C323" s="63">
        <v>45034</v>
      </c>
      <c r="D323" s="63" t="s">
        <v>1672</v>
      </c>
      <c r="E323" s="63" t="s">
        <v>1673</v>
      </c>
      <c r="F323" s="66">
        <v>0</v>
      </c>
      <c r="G323" s="66">
        <v>0</v>
      </c>
      <c r="H323" s="65">
        <v>0</v>
      </c>
      <c r="I323" s="67">
        <v>0</v>
      </c>
      <c r="J323" s="67">
        <v>0</v>
      </c>
      <c r="K323" s="67">
        <v>0</v>
      </c>
      <c r="L323" s="68">
        <v>0</v>
      </c>
      <c r="M323" s="67">
        <v>0</v>
      </c>
      <c r="N323" s="68">
        <v>0</v>
      </c>
    </row>
    <row r="324" spans="2:14" x14ac:dyDescent="0.25">
      <c r="B324" s="63">
        <v>45040</v>
      </c>
      <c r="C324" s="63">
        <v>45041</v>
      </c>
      <c r="D324" s="64" t="s">
        <v>1626</v>
      </c>
      <c r="E324" s="64" t="s">
        <v>1627</v>
      </c>
      <c r="F324" s="65">
        <v>303.70241700000003</v>
      </c>
      <c r="G324" s="66">
        <v>0</v>
      </c>
      <c r="H324" s="65">
        <v>0</v>
      </c>
      <c r="I324" s="67">
        <v>0</v>
      </c>
      <c r="J324" s="67">
        <v>0</v>
      </c>
      <c r="K324" s="67">
        <v>0</v>
      </c>
      <c r="L324" s="68">
        <v>0</v>
      </c>
      <c r="M324" s="67">
        <v>0</v>
      </c>
      <c r="N324" s="68">
        <v>0</v>
      </c>
    </row>
    <row r="325" spans="2:14" x14ac:dyDescent="0.25">
      <c r="B325" s="63">
        <v>45040</v>
      </c>
      <c r="C325" s="63">
        <v>45041</v>
      </c>
      <c r="D325" s="64" t="s">
        <v>1628</v>
      </c>
      <c r="E325" s="64" t="s">
        <v>1629</v>
      </c>
      <c r="F325" s="65">
        <v>665.46360300000003</v>
      </c>
      <c r="G325" s="66">
        <v>375.20803990163301</v>
      </c>
      <c r="H325" s="65">
        <v>422.8</v>
      </c>
      <c r="I325" s="67">
        <v>3.852163</v>
      </c>
      <c r="J325" s="67">
        <v>88.740549999999999</v>
      </c>
      <c r="K325" s="67">
        <v>88.754999999999995</v>
      </c>
      <c r="L325" s="68">
        <v>7.7575750000000001</v>
      </c>
      <c r="M325" s="67">
        <v>88.722999999999999</v>
      </c>
      <c r="N325" s="68">
        <v>1.755E-2</v>
      </c>
    </row>
    <row r="326" spans="2:14" x14ac:dyDescent="0.25">
      <c r="B326" s="63">
        <v>45040</v>
      </c>
      <c r="C326" s="63">
        <v>45041</v>
      </c>
      <c r="D326" s="64" t="s">
        <v>1630</v>
      </c>
      <c r="E326" s="64" t="s">
        <v>1631</v>
      </c>
      <c r="F326" s="65">
        <v>646.36131399999999</v>
      </c>
      <c r="G326" s="66">
        <v>90.827132596690006</v>
      </c>
      <c r="H326" s="65">
        <v>100</v>
      </c>
      <c r="I326" s="67">
        <v>3.6872699999999998</v>
      </c>
      <c r="J326" s="67">
        <v>90.506</v>
      </c>
      <c r="K326" s="67">
        <v>90.506</v>
      </c>
      <c r="L326" s="68">
        <v>100</v>
      </c>
      <c r="M326" s="67">
        <v>90.506</v>
      </c>
      <c r="N326" s="68">
        <v>0</v>
      </c>
    </row>
    <row r="327" spans="2:14" x14ac:dyDescent="0.25">
      <c r="B327" s="63">
        <v>45040</v>
      </c>
      <c r="C327" s="63">
        <v>45041</v>
      </c>
      <c r="D327" s="64" t="s">
        <v>1632</v>
      </c>
      <c r="E327" s="64" t="s">
        <v>1633</v>
      </c>
      <c r="F327" s="65">
        <v>0</v>
      </c>
      <c r="G327" s="66">
        <v>0</v>
      </c>
      <c r="H327" s="65">
        <v>0</v>
      </c>
      <c r="I327" s="67">
        <v>0</v>
      </c>
      <c r="J327" s="67">
        <v>0</v>
      </c>
      <c r="K327" s="67">
        <v>0</v>
      </c>
      <c r="L327" s="68">
        <v>0</v>
      </c>
      <c r="M327" s="67">
        <v>0</v>
      </c>
      <c r="N327" s="68">
        <v>0</v>
      </c>
    </row>
    <row r="328" spans="2:14" x14ac:dyDescent="0.25">
      <c r="B328" s="63">
        <v>45040</v>
      </c>
      <c r="C328" s="63">
        <v>45041</v>
      </c>
      <c r="D328" s="64" t="s">
        <v>1634</v>
      </c>
      <c r="E328" s="64" t="s">
        <v>1635</v>
      </c>
      <c r="F328" s="65">
        <v>21.157501</v>
      </c>
      <c r="G328" s="66">
        <v>21.157501381214999</v>
      </c>
      <c r="H328" s="65">
        <v>25</v>
      </c>
      <c r="I328" s="67">
        <v>3.6754129999999998</v>
      </c>
      <c r="J328" s="67">
        <v>84.600999999999999</v>
      </c>
      <c r="K328" s="67">
        <v>84.600999999999999</v>
      </c>
      <c r="L328" s="68">
        <v>100</v>
      </c>
      <c r="M328" s="67">
        <v>84.600999999999999</v>
      </c>
      <c r="N328" s="68">
        <v>0</v>
      </c>
    </row>
    <row r="329" spans="2:14" x14ac:dyDescent="0.25">
      <c r="B329" s="63">
        <v>45040</v>
      </c>
      <c r="C329" s="63">
        <v>45041</v>
      </c>
      <c r="D329" s="64" t="s">
        <v>1636</v>
      </c>
      <c r="E329" s="64" t="s">
        <v>1637</v>
      </c>
      <c r="F329" s="65">
        <v>265.631843</v>
      </c>
      <c r="G329" s="66">
        <v>49.557375819671996</v>
      </c>
      <c r="H329" s="65">
        <v>55</v>
      </c>
      <c r="I329" s="67">
        <v>3.6314769999999998</v>
      </c>
      <c r="J329" s="67">
        <v>90.090999999999994</v>
      </c>
      <c r="K329" s="67">
        <v>90.090999999999994</v>
      </c>
      <c r="L329" s="68">
        <v>100</v>
      </c>
      <c r="M329" s="67">
        <v>90.090999999999994</v>
      </c>
      <c r="N329" s="68">
        <v>0</v>
      </c>
    </row>
    <row r="330" spans="2:14" x14ac:dyDescent="0.25">
      <c r="B330" s="63">
        <v>45040</v>
      </c>
      <c r="C330" s="63">
        <v>45041</v>
      </c>
      <c r="D330" s="64" t="s">
        <v>1638</v>
      </c>
      <c r="E330" s="64" t="s">
        <v>1639</v>
      </c>
      <c r="F330" s="65">
        <v>34.165162000000002</v>
      </c>
      <c r="G330" s="66">
        <v>11.395720879121001</v>
      </c>
      <c r="H330" s="65">
        <v>10</v>
      </c>
      <c r="I330" s="67">
        <v>3.6814070000000001</v>
      </c>
      <c r="J330" s="67">
        <v>111.666</v>
      </c>
      <c r="K330" s="67">
        <v>111.666</v>
      </c>
      <c r="L330" s="68">
        <v>100</v>
      </c>
      <c r="M330" s="67">
        <v>111.666</v>
      </c>
      <c r="N330" s="68">
        <v>0</v>
      </c>
    </row>
    <row r="331" spans="2:14" x14ac:dyDescent="0.25">
      <c r="B331" s="63">
        <v>45040</v>
      </c>
      <c r="C331" s="63">
        <v>45041</v>
      </c>
      <c r="D331" s="64" t="s">
        <v>1668</v>
      </c>
      <c r="E331" s="64" t="s">
        <v>1669</v>
      </c>
      <c r="F331" s="65">
        <v>166.78429399999999</v>
      </c>
      <c r="G331" s="66">
        <v>145.94303867403801</v>
      </c>
      <c r="H331" s="65">
        <v>175</v>
      </c>
      <c r="I331" s="67">
        <v>3.750489</v>
      </c>
      <c r="J331" s="67">
        <v>83.28</v>
      </c>
      <c r="K331" s="67">
        <v>83.28</v>
      </c>
      <c r="L331" s="68">
        <v>100</v>
      </c>
      <c r="M331" s="67">
        <v>83.28</v>
      </c>
      <c r="N331" s="68">
        <v>0</v>
      </c>
    </row>
    <row r="332" spans="2:14" x14ac:dyDescent="0.25">
      <c r="B332" s="63">
        <v>45040</v>
      </c>
      <c r="C332" s="63">
        <v>45041</v>
      </c>
      <c r="D332" s="64" t="s">
        <v>1640</v>
      </c>
      <c r="E332" s="64" t="s">
        <v>1641</v>
      </c>
      <c r="F332" s="65">
        <v>165.08040700000001</v>
      </c>
      <c r="G332" s="66">
        <v>75.871954918035001</v>
      </c>
      <c r="H332" s="65">
        <v>90</v>
      </c>
      <c r="I332" s="67">
        <v>3.6104400000000001</v>
      </c>
      <c r="J332" s="67">
        <v>84.295004000000006</v>
      </c>
      <c r="K332" s="67">
        <v>84.32</v>
      </c>
      <c r="L332" s="68">
        <v>100</v>
      </c>
      <c r="M332" s="67">
        <v>84.27</v>
      </c>
      <c r="N332" s="68">
        <v>2.5003999999999998E-2</v>
      </c>
    </row>
    <row r="333" spans="2:14" x14ac:dyDescent="0.25">
      <c r="B333" s="86">
        <v>45050</v>
      </c>
      <c r="C333" s="86">
        <v>45051</v>
      </c>
      <c r="D333" s="87" t="s">
        <v>1674</v>
      </c>
      <c r="E333" s="87" t="s">
        <v>1675</v>
      </c>
      <c r="F333" s="88">
        <v>517.86703299999999</v>
      </c>
      <c r="G333" s="89">
        <v>331.59999046962798</v>
      </c>
      <c r="H333" s="88">
        <v>374.5</v>
      </c>
      <c r="I333" s="90">
        <v>4.1460710000000001</v>
      </c>
      <c r="J333" s="90">
        <v>87.62</v>
      </c>
      <c r="K333" s="90">
        <v>87.62</v>
      </c>
      <c r="L333" s="91">
        <v>74.900000000000006</v>
      </c>
      <c r="M333" s="90">
        <v>87.62</v>
      </c>
      <c r="N333" s="91">
        <v>0</v>
      </c>
    </row>
    <row r="334" spans="2:14" x14ac:dyDescent="0.25">
      <c r="B334" s="86">
        <v>45050</v>
      </c>
      <c r="C334" s="86">
        <v>45051</v>
      </c>
      <c r="D334" s="87" t="s">
        <v>1676</v>
      </c>
      <c r="E334" s="87" t="s">
        <v>1677</v>
      </c>
      <c r="F334" s="88">
        <v>0</v>
      </c>
      <c r="G334" s="89">
        <v>0</v>
      </c>
      <c r="H334" s="88">
        <v>0</v>
      </c>
      <c r="I334" s="90">
        <v>0</v>
      </c>
      <c r="J334" s="90">
        <v>0</v>
      </c>
      <c r="K334" s="90">
        <v>0</v>
      </c>
      <c r="L334" s="91">
        <v>0</v>
      </c>
      <c r="M334" s="90">
        <v>0</v>
      </c>
      <c r="N334" s="91">
        <v>0</v>
      </c>
    </row>
    <row r="335" spans="2:14" x14ac:dyDescent="0.25">
      <c r="B335" s="86">
        <v>45050</v>
      </c>
      <c r="C335" s="86">
        <v>45051</v>
      </c>
      <c r="D335" s="87" t="s">
        <v>1678</v>
      </c>
      <c r="E335" s="87" t="s">
        <v>1679</v>
      </c>
      <c r="F335" s="88">
        <v>184.17073400000001</v>
      </c>
      <c r="G335" s="89">
        <v>184.170734806626</v>
      </c>
      <c r="H335" s="88">
        <v>350</v>
      </c>
      <c r="I335" s="90">
        <v>4.1201090000000002</v>
      </c>
      <c r="J335" s="90">
        <v>52.393000999999998</v>
      </c>
      <c r="K335" s="90">
        <v>52.402999999999999</v>
      </c>
      <c r="L335" s="91">
        <v>100</v>
      </c>
      <c r="M335" s="90">
        <v>52.383000000000003</v>
      </c>
      <c r="N335" s="91">
        <v>1.0000999999999999E-2</v>
      </c>
    </row>
    <row r="336" spans="2:14" x14ac:dyDescent="0.25">
      <c r="B336" s="86">
        <v>45050</v>
      </c>
      <c r="C336" s="86">
        <v>45051</v>
      </c>
      <c r="D336" s="87" t="s">
        <v>1680</v>
      </c>
      <c r="E336" s="87" t="s">
        <v>1681</v>
      </c>
      <c r="F336" s="88">
        <v>0</v>
      </c>
      <c r="G336" s="89">
        <v>0</v>
      </c>
      <c r="H336" s="88">
        <v>0</v>
      </c>
      <c r="I336" s="90">
        <v>0</v>
      </c>
      <c r="J336" s="90">
        <v>0</v>
      </c>
      <c r="K336" s="90">
        <v>0</v>
      </c>
      <c r="L336" s="91">
        <v>0</v>
      </c>
      <c r="M336" s="90">
        <v>0</v>
      </c>
      <c r="N336" s="91">
        <v>0</v>
      </c>
    </row>
    <row r="337" spans="2:14" x14ac:dyDescent="0.25">
      <c r="B337" s="86">
        <v>45050</v>
      </c>
      <c r="C337" s="86">
        <v>45051</v>
      </c>
      <c r="D337" s="87" t="s">
        <v>1682</v>
      </c>
      <c r="E337" s="87" t="s">
        <v>1683</v>
      </c>
      <c r="F337" s="88">
        <v>0</v>
      </c>
      <c r="G337" s="89">
        <v>0</v>
      </c>
      <c r="H337" s="88">
        <v>0</v>
      </c>
      <c r="I337" s="90">
        <v>0</v>
      </c>
      <c r="J337" s="90">
        <v>0</v>
      </c>
      <c r="K337" s="90">
        <v>0</v>
      </c>
      <c r="L337" s="91">
        <v>0</v>
      </c>
      <c r="M337" s="90">
        <v>0</v>
      </c>
      <c r="N337" s="91">
        <v>0</v>
      </c>
    </row>
    <row r="338" spans="2:14" x14ac:dyDescent="0.25">
      <c r="B338" s="86">
        <v>45050</v>
      </c>
      <c r="C338" s="86">
        <v>45051</v>
      </c>
      <c r="D338" s="87" t="s">
        <v>1684</v>
      </c>
      <c r="E338" s="87" t="s">
        <v>1685</v>
      </c>
      <c r="F338" s="88">
        <v>0</v>
      </c>
      <c r="G338" s="89">
        <v>0</v>
      </c>
      <c r="H338" s="88">
        <v>0</v>
      </c>
      <c r="I338" s="90">
        <v>0</v>
      </c>
      <c r="J338" s="90">
        <v>0</v>
      </c>
      <c r="K338" s="90">
        <v>0</v>
      </c>
      <c r="L338" s="91">
        <v>0</v>
      </c>
      <c r="M338" s="90">
        <v>0</v>
      </c>
      <c r="N338" s="91">
        <v>0</v>
      </c>
    </row>
    <row r="339" spans="2:14" x14ac:dyDescent="0.25">
      <c r="B339" s="86">
        <v>45050</v>
      </c>
      <c r="C339" s="86">
        <v>45051</v>
      </c>
      <c r="D339" s="87" t="s">
        <v>1686</v>
      </c>
      <c r="E339" s="87" t="s">
        <v>1687</v>
      </c>
      <c r="F339" s="88">
        <v>0</v>
      </c>
      <c r="G339" s="89">
        <v>0</v>
      </c>
      <c r="H339" s="88">
        <v>0</v>
      </c>
      <c r="I339" s="90">
        <v>0</v>
      </c>
      <c r="J339" s="90">
        <v>0</v>
      </c>
      <c r="K339" s="90">
        <v>0</v>
      </c>
      <c r="L339" s="91">
        <v>0</v>
      </c>
      <c r="M339" s="90">
        <v>0</v>
      </c>
      <c r="N339" s="91">
        <v>0</v>
      </c>
    </row>
    <row r="340" spans="2:14" x14ac:dyDescent="0.25">
      <c r="B340" s="86">
        <v>45050</v>
      </c>
      <c r="C340" s="86">
        <v>45051</v>
      </c>
      <c r="D340" s="87" t="s">
        <v>1688</v>
      </c>
      <c r="E340" s="87" t="s">
        <v>1689</v>
      </c>
      <c r="F340" s="88">
        <v>60.739300999999998</v>
      </c>
      <c r="G340" s="89">
        <v>0</v>
      </c>
      <c r="H340" s="88">
        <v>0</v>
      </c>
      <c r="I340" s="90">
        <v>0</v>
      </c>
      <c r="J340" s="90">
        <v>0</v>
      </c>
      <c r="K340" s="90">
        <v>0</v>
      </c>
      <c r="L340" s="91">
        <v>0</v>
      </c>
      <c r="M340" s="90">
        <v>0</v>
      </c>
      <c r="N340" s="91">
        <v>0</v>
      </c>
    </row>
    <row r="341" spans="2:14" x14ac:dyDescent="0.25">
      <c r="B341" s="86">
        <v>45050</v>
      </c>
      <c r="C341" s="86">
        <v>45051</v>
      </c>
      <c r="D341" s="87" t="s">
        <v>1690</v>
      </c>
      <c r="E341" s="87" t="s">
        <v>1691</v>
      </c>
      <c r="F341" s="88">
        <v>70.954089999999994</v>
      </c>
      <c r="G341" s="89">
        <v>0</v>
      </c>
      <c r="H341" s="88">
        <v>0</v>
      </c>
      <c r="I341" s="90">
        <v>0</v>
      </c>
      <c r="J341" s="90">
        <v>0</v>
      </c>
      <c r="K341" s="90">
        <v>0</v>
      </c>
      <c r="L341" s="91">
        <v>0</v>
      </c>
      <c r="M341" s="90">
        <v>0</v>
      </c>
      <c r="N341" s="91">
        <v>0</v>
      </c>
    </row>
    <row r="342" spans="2:14" x14ac:dyDescent="0.25">
      <c r="B342" s="86">
        <v>45050</v>
      </c>
      <c r="C342" s="86">
        <v>45051</v>
      </c>
      <c r="D342" s="87" t="s">
        <v>1692</v>
      </c>
      <c r="E342" s="87" t="s">
        <v>1693</v>
      </c>
      <c r="F342" s="88">
        <v>9.4766980000000007</v>
      </c>
      <c r="G342" s="89">
        <v>0</v>
      </c>
      <c r="H342" s="88">
        <v>0</v>
      </c>
      <c r="I342" s="90">
        <v>0</v>
      </c>
      <c r="J342" s="90">
        <v>0</v>
      </c>
      <c r="K342" s="90">
        <v>0</v>
      </c>
      <c r="L342" s="91">
        <v>0</v>
      </c>
      <c r="M342" s="90">
        <v>0</v>
      </c>
      <c r="N342" s="91">
        <v>0</v>
      </c>
    </row>
    <row r="343" spans="2:14" x14ac:dyDescent="0.25">
      <c r="B343" s="86">
        <v>45050</v>
      </c>
      <c r="C343" s="86">
        <v>45051</v>
      </c>
      <c r="D343" s="87" t="s">
        <v>1694</v>
      </c>
      <c r="E343" s="87" t="s">
        <v>1695</v>
      </c>
      <c r="F343" s="88">
        <v>0</v>
      </c>
      <c r="G343" s="89">
        <v>0</v>
      </c>
      <c r="H343" s="88">
        <v>0</v>
      </c>
      <c r="I343" s="90">
        <v>0</v>
      </c>
      <c r="J343" s="90">
        <v>0</v>
      </c>
      <c r="K343" s="90">
        <v>0</v>
      </c>
      <c r="L343" s="91">
        <v>0</v>
      </c>
      <c r="M343" s="90">
        <v>0</v>
      </c>
      <c r="N343" s="91">
        <v>0</v>
      </c>
    </row>
    <row r="344" spans="2:14" x14ac:dyDescent="0.25">
      <c r="B344" s="86">
        <v>45050</v>
      </c>
      <c r="C344" s="86">
        <v>45051</v>
      </c>
      <c r="D344" s="87" t="s">
        <v>1696</v>
      </c>
      <c r="E344" s="87" t="s">
        <v>1697</v>
      </c>
      <c r="F344" s="88">
        <v>0</v>
      </c>
      <c r="G344" s="89">
        <v>0</v>
      </c>
      <c r="H344" s="88">
        <v>0</v>
      </c>
      <c r="I344" s="90">
        <v>0</v>
      </c>
      <c r="J344" s="90">
        <v>0</v>
      </c>
      <c r="K344" s="90">
        <v>0</v>
      </c>
      <c r="L344" s="91">
        <v>0</v>
      </c>
      <c r="M344" s="90">
        <v>0</v>
      </c>
      <c r="N344" s="91">
        <v>0</v>
      </c>
    </row>
    <row r="345" spans="2:14" x14ac:dyDescent="0.25">
      <c r="B345" s="86">
        <v>45050</v>
      </c>
      <c r="C345" s="86">
        <v>45051</v>
      </c>
      <c r="D345" s="87" t="s">
        <v>1698</v>
      </c>
      <c r="E345" s="87" t="s">
        <v>1699</v>
      </c>
      <c r="F345" s="88">
        <v>36.577494000000002</v>
      </c>
      <c r="G345" s="89">
        <v>0</v>
      </c>
      <c r="H345" s="88">
        <v>0</v>
      </c>
      <c r="I345" s="90">
        <v>0</v>
      </c>
      <c r="J345" s="90">
        <v>0</v>
      </c>
      <c r="K345" s="90">
        <v>0</v>
      </c>
      <c r="L345" s="91">
        <v>0</v>
      </c>
      <c r="M345" s="90">
        <v>0</v>
      </c>
      <c r="N345" s="91">
        <v>0</v>
      </c>
    </row>
    <row r="346" spans="2:14" x14ac:dyDescent="0.25">
      <c r="B346" s="86">
        <v>45050</v>
      </c>
      <c r="C346" s="86">
        <v>45051</v>
      </c>
      <c r="D346" s="87" t="s">
        <v>1700</v>
      </c>
      <c r="E346" s="87" t="s">
        <v>1701</v>
      </c>
      <c r="F346" s="88">
        <v>12.242564</v>
      </c>
      <c r="G346" s="89">
        <v>0</v>
      </c>
      <c r="H346" s="88">
        <v>0</v>
      </c>
      <c r="I346" s="90">
        <v>0</v>
      </c>
      <c r="J346" s="90">
        <v>0</v>
      </c>
      <c r="K346" s="90">
        <v>0</v>
      </c>
      <c r="L346" s="91">
        <v>0</v>
      </c>
      <c r="M346" s="90">
        <v>0</v>
      </c>
      <c r="N346" s="91">
        <v>0</v>
      </c>
    </row>
    <row r="347" spans="2:14" x14ac:dyDescent="0.25">
      <c r="B347" s="86">
        <v>45050</v>
      </c>
      <c r="C347" s="86">
        <v>45051</v>
      </c>
      <c r="D347" s="87" t="s">
        <v>1702</v>
      </c>
      <c r="E347" s="87" t="s">
        <v>1703</v>
      </c>
      <c r="F347" s="88">
        <v>0</v>
      </c>
      <c r="G347" s="89">
        <v>0</v>
      </c>
      <c r="H347" s="88">
        <v>0</v>
      </c>
      <c r="I347" s="90">
        <v>0</v>
      </c>
      <c r="J347" s="90">
        <v>0</v>
      </c>
      <c r="K347" s="90">
        <v>0</v>
      </c>
      <c r="L347" s="91">
        <v>0</v>
      </c>
      <c r="M347" s="90">
        <v>0</v>
      </c>
      <c r="N347" s="91">
        <v>0</v>
      </c>
    </row>
    <row r="348" spans="2:14" x14ac:dyDescent="0.25">
      <c r="B348" s="86">
        <v>45050</v>
      </c>
      <c r="C348" s="86">
        <v>45051</v>
      </c>
      <c r="D348" s="87" t="s">
        <v>1704</v>
      </c>
      <c r="E348" s="87" t="s">
        <v>1705</v>
      </c>
      <c r="F348" s="88">
        <v>264.02879100000001</v>
      </c>
      <c r="G348" s="89">
        <v>254.225463825124</v>
      </c>
      <c r="H348" s="88">
        <v>772</v>
      </c>
      <c r="I348" s="90">
        <v>3.8642249999999998</v>
      </c>
      <c r="J348" s="90">
        <v>32.913003000000003</v>
      </c>
      <c r="K348" s="90">
        <v>32.923000000000002</v>
      </c>
      <c r="L348" s="91">
        <v>100</v>
      </c>
      <c r="M348" s="90">
        <v>32.902999999999999</v>
      </c>
      <c r="N348" s="91">
        <v>1.0003E-2</v>
      </c>
    </row>
    <row r="349" spans="2:14" x14ac:dyDescent="0.25">
      <c r="B349" s="86">
        <v>45050</v>
      </c>
      <c r="C349" s="86">
        <v>45051</v>
      </c>
      <c r="D349" s="87" t="s">
        <v>1706</v>
      </c>
      <c r="E349" s="87" t="s">
        <v>1707</v>
      </c>
      <c r="F349" s="88">
        <v>63.824193000000001</v>
      </c>
      <c r="G349" s="89">
        <v>0</v>
      </c>
      <c r="H349" s="88">
        <v>0</v>
      </c>
      <c r="I349" s="90">
        <v>0</v>
      </c>
      <c r="J349" s="90">
        <v>0</v>
      </c>
      <c r="K349" s="90">
        <v>0</v>
      </c>
      <c r="L349" s="91">
        <v>0</v>
      </c>
      <c r="M349" s="90">
        <v>0</v>
      </c>
      <c r="N349" s="91">
        <v>0</v>
      </c>
    </row>
    <row r="350" spans="2:14" x14ac:dyDescent="0.25">
      <c r="B350" s="86">
        <v>45050</v>
      </c>
      <c r="C350" s="86">
        <v>45051</v>
      </c>
      <c r="D350" s="87" t="s">
        <v>1708</v>
      </c>
      <c r="E350" s="87" t="s">
        <v>1709</v>
      </c>
      <c r="F350" s="88">
        <v>68.247392000000005</v>
      </c>
      <c r="G350" s="89">
        <v>0</v>
      </c>
      <c r="H350" s="88">
        <v>0</v>
      </c>
      <c r="I350" s="90">
        <v>0</v>
      </c>
      <c r="J350" s="90">
        <v>0</v>
      </c>
      <c r="K350" s="90">
        <v>0</v>
      </c>
      <c r="L350" s="91">
        <v>0</v>
      </c>
      <c r="M350" s="90">
        <v>0</v>
      </c>
      <c r="N350" s="91">
        <v>0</v>
      </c>
    </row>
    <row r="351" spans="2:14" x14ac:dyDescent="0.25">
      <c r="B351" s="86">
        <v>45050</v>
      </c>
      <c r="C351" s="86">
        <v>45051</v>
      </c>
      <c r="D351" s="87" t="s">
        <v>1710</v>
      </c>
      <c r="E351" s="87" t="s">
        <v>1711</v>
      </c>
      <c r="F351" s="88">
        <v>23.164973</v>
      </c>
      <c r="G351" s="89">
        <v>0</v>
      </c>
      <c r="H351" s="88">
        <v>0</v>
      </c>
      <c r="I351" s="90">
        <v>0</v>
      </c>
      <c r="J351" s="90">
        <v>0</v>
      </c>
      <c r="K351" s="90">
        <v>0</v>
      </c>
      <c r="L351" s="91">
        <v>0</v>
      </c>
      <c r="M351" s="90">
        <v>0</v>
      </c>
      <c r="N351" s="91">
        <v>0</v>
      </c>
    </row>
    <row r="352" spans="2:14" x14ac:dyDescent="0.25">
      <c r="B352" s="63">
        <v>45061</v>
      </c>
      <c r="C352" s="63">
        <v>45062</v>
      </c>
      <c r="D352" s="63" t="s">
        <v>1642</v>
      </c>
      <c r="E352" s="63" t="s">
        <v>1643</v>
      </c>
      <c r="F352" s="66">
        <v>416.53218099999998</v>
      </c>
      <c r="G352" s="66">
        <v>393.73795100000001</v>
      </c>
      <c r="H352" s="65">
        <v>500</v>
      </c>
      <c r="I352" s="67">
        <v>3.671265</v>
      </c>
      <c r="J352" s="67">
        <v>78.722999999999999</v>
      </c>
      <c r="K352" s="67">
        <v>78.722999999999999</v>
      </c>
      <c r="L352" s="68">
        <v>100</v>
      </c>
      <c r="M352" s="67">
        <v>78.722999999999999</v>
      </c>
      <c r="N352" s="68">
        <v>0</v>
      </c>
    </row>
    <row r="353" spans="2:14" x14ac:dyDescent="0.25">
      <c r="B353" s="63">
        <v>45061</v>
      </c>
      <c r="C353" s="63">
        <v>45062</v>
      </c>
      <c r="D353" s="63" t="s">
        <v>1644</v>
      </c>
      <c r="E353" s="63" t="s">
        <v>1645</v>
      </c>
      <c r="F353" s="66">
        <v>163.87836799999999</v>
      </c>
      <c r="G353" s="66">
        <v>163.87836799999999</v>
      </c>
      <c r="H353" s="65">
        <v>150</v>
      </c>
      <c r="I353" s="67">
        <v>3.656453</v>
      </c>
      <c r="J353" s="67">
        <v>107.164334</v>
      </c>
      <c r="K353" s="67">
        <v>107.178</v>
      </c>
      <c r="L353" s="68">
        <v>100</v>
      </c>
      <c r="M353" s="67">
        <v>107.151</v>
      </c>
      <c r="N353" s="68">
        <v>1.3334E-2</v>
      </c>
    </row>
    <row r="354" spans="2:14" x14ac:dyDescent="0.25">
      <c r="B354" s="63">
        <v>45061</v>
      </c>
      <c r="C354" s="63">
        <v>45062</v>
      </c>
      <c r="D354" s="63" t="s">
        <v>1646</v>
      </c>
      <c r="E354" s="63" t="s">
        <v>1647</v>
      </c>
      <c r="F354" s="66">
        <v>102.224643</v>
      </c>
      <c r="G354" s="66">
        <v>94.654392000000001</v>
      </c>
      <c r="H354" s="65">
        <v>125</v>
      </c>
      <c r="I354" s="67">
        <v>3.7187749999999999</v>
      </c>
      <c r="J354" s="67">
        <v>75.650999999999996</v>
      </c>
      <c r="K354" s="67">
        <v>75.650999999999996</v>
      </c>
      <c r="L354" s="68">
        <v>100</v>
      </c>
      <c r="M354" s="67">
        <v>75.650999999999996</v>
      </c>
      <c r="N354" s="68">
        <v>0</v>
      </c>
    </row>
    <row r="355" spans="2:14" x14ac:dyDescent="0.25">
      <c r="B355" s="63">
        <v>45061</v>
      </c>
      <c r="C355" s="63">
        <v>45062</v>
      </c>
      <c r="D355" s="63" t="s">
        <v>1648</v>
      </c>
      <c r="E355" s="63" t="s">
        <v>1649</v>
      </c>
      <c r="F355" s="66">
        <v>635.50679100000002</v>
      </c>
      <c r="G355" s="66">
        <v>85.028948</v>
      </c>
      <c r="H355" s="65">
        <v>80.2</v>
      </c>
      <c r="I355" s="67">
        <v>3.7059150000000001</v>
      </c>
      <c r="J355" s="67">
        <v>104.15300000000001</v>
      </c>
      <c r="K355" s="67">
        <v>104.15300000000001</v>
      </c>
      <c r="L355" s="68">
        <v>80.2</v>
      </c>
      <c r="M355" s="67">
        <v>104.15300000000001</v>
      </c>
      <c r="N355" s="68">
        <v>0</v>
      </c>
    </row>
    <row r="356" spans="2:14" x14ac:dyDescent="0.25">
      <c r="B356" s="63">
        <v>45061</v>
      </c>
      <c r="C356" s="63">
        <v>45062</v>
      </c>
      <c r="D356" s="63" t="s">
        <v>1650</v>
      </c>
      <c r="E356" s="63" t="s">
        <v>1651</v>
      </c>
      <c r="F356" s="66">
        <v>0</v>
      </c>
      <c r="G356" s="66">
        <v>0</v>
      </c>
      <c r="H356" s="65">
        <v>0</v>
      </c>
      <c r="I356" s="67">
        <v>0</v>
      </c>
      <c r="J356" s="67">
        <v>0</v>
      </c>
      <c r="K356" s="67">
        <v>0</v>
      </c>
      <c r="L356" s="68">
        <v>0</v>
      </c>
      <c r="M356" s="67">
        <v>0</v>
      </c>
      <c r="N356" s="68">
        <v>0</v>
      </c>
    </row>
    <row r="357" spans="2:14" x14ac:dyDescent="0.25">
      <c r="B357" s="63">
        <v>45061</v>
      </c>
      <c r="C357" s="63">
        <v>45062</v>
      </c>
      <c r="D357" s="63" t="s">
        <v>1652</v>
      </c>
      <c r="E357" s="63" t="s">
        <v>1653</v>
      </c>
      <c r="F357" s="66">
        <v>34.090642000000003</v>
      </c>
      <c r="G357" s="66">
        <v>0</v>
      </c>
      <c r="H357" s="65">
        <v>0</v>
      </c>
      <c r="I357" s="67">
        <v>0</v>
      </c>
      <c r="J357" s="67">
        <v>0</v>
      </c>
      <c r="K357" s="67">
        <v>0</v>
      </c>
      <c r="L357" s="68">
        <v>0</v>
      </c>
      <c r="M357" s="67">
        <v>0</v>
      </c>
      <c r="N357" s="68">
        <v>0</v>
      </c>
    </row>
    <row r="358" spans="2:14" x14ac:dyDescent="0.25">
      <c r="B358" s="63">
        <v>45061</v>
      </c>
      <c r="C358" s="63">
        <v>45062</v>
      </c>
      <c r="D358" s="63" t="s">
        <v>1654</v>
      </c>
      <c r="E358" s="63" t="s">
        <v>1655</v>
      </c>
      <c r="F358" s="66">
        <v>93.281081</v>
      </c>
      <c r="G358" s="66">
        <v>0</v>
      </c>
      <c r="H358" s="65">
        <v>0</v>
      </c>
      <c r="I358" s="67">
        <v>0</v>
      </c>
      <c r="J358" s="67">
        <v>0</v>
      </c>
      <c r="K358" s="67">
        <v>0</v>
      </c>
      <c r="L358" s="68">
        <v>0</v>
      </c>
      <c r="M358" s="67">
        <v>0</v>
      </c>
      <c r="N358" s="68">
        <v>0</v>
      </c>
    </row>
    <row r="359" spans="2:14" x14ac:dyDescent="0.25">
      <c r="B359" s="63">
        <v>45061</v>
      </c>
      <c r="C359" s="63">
        <v>45062</v>
      </c>
      <c r="D359" s="63" t="s">
        <v>1656</v>
      </c>
      <c r="E359" s="63" t="s">
        <v>1657</v>
      </c>
      <c r="F359" s="66">
        <v>37.671439999999997</v>
      </c>
      <c r="G359" s="66">
        <v>0</v>
      </c>
      <c r="H359" s="65">
        <v>0</v>
      </c>
      <c r="I359" s="67">
        <v>0</v>
      </c>
      <c r="J359" s="67">
        <v>0</v>
      </c>
      <c r="K359" s="67">
        <v>0</v>
      </c>
      <c r="L359" s="68">
        <v>0</v>
      </c>
      <c r="M359" s="67">
        <v>0</v>
      </c>
      <c r="N359" s="68">
        <v>0</v>
      </c>
    </row>
    <row r="360" spans="2:14" x14ac:dyDescent="0.25">
      <c r="B360" s="63">
        <v>45061</v>
      </c>
      <c r="C360" s="63">
        <v>45062</v>
      </c>
      <c r="D360" s="63" t="s">
        <v>1658</v>
      </c>
      <c r="E360" s="63" t="s">
        <v>1659</v>
      </c>
      <c r="F360" s="66">
        <v>0</v>
      </c>
      <c r="G360" s="66">
        <v>0</v>
      </c>
      <c r="H360" s="65">
        <v>0</v>
      </c>
      <c r="I360" s="67">
        <v>0</v>
      </c>
      <c r="J360" s="67">
        <v>0</v>
      </c>
      <c r="K360" s="67">
        <v>0</v>
      </c>
      <c r="L360" s="68">
        <v>0</v>
      </c>
      <c r="M360" s="67">
        <v>0</v>
      </c>
      <c r="N360" s="68">
        <v>0</v>
      </c>
    </row>
    <row r="361" spans="2:14" x14ac:dyDescent="0.25">
      <c r="B361" s="63">
        <v>45061</v>
      </c>
      <c r="C361" s="63">
        <v>45062</v>
      </c>
      <c r="D361" s="63" t="s">
        <v>1660</v>
      </c>
      <c r="E361" s="63" t="s">
        <v>1661</v>
      </c>
      <c r="F361" s="66">
        <v>57.924754</v>
      </c>
      <c r="G361" s="66">
        <v>26.342524999999998</v>
      </c>
      <c r="H361" s="65">
        <v>40</v>
      </c>
      <c r="I361" s="67">
        <v>4.1288320000000001</v>
      </c>
      <c r="J361" s="67">
        <v>65.530006</v>
      </c>
      <c r="K361" s="67">
        <v>65.55</v>
      </c>
      <c r="L361" s="68">
        <v>100</v>
      </c>
      <c r="M361" s="67">
        <v>65.510000000000005</v>
      </c>
      <c r="N361" s="68">
        <v>2.0005999999999999E-2</v>
      </c>
    </row>
    <row r="362" spans="2:14" x14ac:dyDescent="0.25">
      <c r="B362" s="63">
        <v>45061</v>
      </c>
      <c r="C362" s="63">
        <v>45062</v>
      </c>
      <c r="D362" s="63" t="s">
        <v>1662</v>
      </c>
      <c r="E362" s="63" t="s">
        <v>1663</v>
      </c>
      <c r="F362" s="66">
        <v>0</v>
      </c>
      <c r="G362" s="66">
        <v>0</v>
      </c>
      <c r="H362" s="65">
        <v>0</v>
      </c>
      <c r="I362" s="67">
        <v>0</v>
      </c>
      <c r="J362" s="67">
        <v>0</v>
      </c>
      <c r="K362" s="67">
        <v>0</v>
      </c>
      <c r="L362" s="68">
        <v>0</v>
      </c>
      <c r="M362" s="67">
        <v>0</v>
      </c>
      <c r="N362" s="68">
        <v>0</v>
      </c>
    </row>
    <row r="363" spans="2:14" x14ac:dyDescent="0.25">
      <c r="B363" s="63">
        <v>45061</v>
      </c>
      <c r="C363" s="63">
        <v>45062</v>
      </c>
      <c r="D363" s="63" t="s">
        <v>1664</v>
      </c>
      <c r="E363" s="63" t="s">
        <v>1665</v>
      </c>
      <c r="F363" s="66">
        <v>0</v>
      </c>
      <c r="G363" s="66">
        <v>0</v>
      </c>
      <c r="H363" s="65">
        <v>0</v>
      </c>
      <c r="I363" s="67">
        <v>0</v>
      </c>
      <c r="J363" s="67">
        <v>0</v>
      </c>
      <c r="K363" s="67">
        <v>0</v>
      </c>
      <c r="L363" s="68">
        <v>0</v>
      </c>
      <c r="M363" s="67">
        <v>0</v>
      </c>
      <c r="N363" s="68">
        <v>0</v>
      </c>
    </row>
    <row r="364" spans="2:14" x14ac:dyDescent="0.25">
      <c r="B364" s="63">
        <v>45061</v>
      </c>
      <c r="C364" s="63">
        <v>45062</v>
      </c>
      <c r="D364" s="63" t="s">
        <v>1666</v>
      </c>
      <c r="E364" s="63" t="s">
        <v>1667</v>
      </c>
      <c r="F364" s="66">
        <v>125.26273399999999</v>
      </c>
      <c r="G364" s="66">
        <v>6.282197</v>
      </c>
      <c r="H364" s="65">
        <v>10</v>
      </c>
      <c r="I364" s="67">
        <v>4.1655439999999997</v>
      </c>
      <c r="J364" s="67">
        <v>62.74</v>
      </c>
      <c r="K364" s="67">
        <v>62.74</v>
      </c>
      <c r="L364" s="68">
        <v>100</v>
      </c>
      <c r="M364" s="67">
        <v>62.74</v>
      </c>
      <c r="N364" s="68">
        <v>0</v>
      </c>
    </row>
    <row r="365" spans="2:14" x14ac:dyDescent="0.25">
      <c r="B365" s="63">
        <v>45061</v>
      </c>
      <c r="C365" s="63">
        <v>45062</v>
      </c>
      <c r="D365" s="63" t="s">
        <v>1672</v>
      </c>
      <c r="E365" s="63" t="s">
        <v>1673</v>
      </c>
      <c r="F365" s="66">
        <v>0</v>
      </c>
      <c r="G365" s="66">
        <v>0</v>
      </c>
      <c r="H365" s="65">
        <v>0</v>
      </c>
      <c r="I365" s="67">
        <v>0</v>
      </c>
      <c r="J365" s="67">
        <v>0</v>
      </c>
      <c r="K365" s="67">
        <v>0</v>
      </c>
      <c r="L365" s="68">
        <v>0</v>
      </c>
      <c r="M365" s="67">
        <v>0</v>
      </c>
      <c r="N365" s="68">
        <v>0</v>
      </c>
    </row>
    <row r="366" spans="2:14" x14ac:dyDescent="0.25">
      <c r="B366" s="92">
        <v>45068</v>
      </c>
      <c r="C366" s="92">
        <v>45069</v>
      </c>
      <c r="D366" s="92" t="s">
        <v>1626</v>
      </c>
      <c r="E366" s="92" t="s">
        <v>1627</v>
      </c>
      <c r="F366" s="93">
        <v>186.248762</v>
      </c>
      <c r="G366" s="93">
        <v>93.153380999999996</v>
      </c>
      <c r="H366" s="94">
        <v>100</v>
      </c>
      <c r="I366" s="95">
        <v>3.9934120000000002</v>
      </c>
      <c r="J366" s="95">
        <v>92.652000000000001</v>
      </c>
      <c r="K366" s="95">
        <v>92.652000000000001</v>
      </c>
      <c r="L366" s="96">
        <v>100</v>
      </c>
      <c r="M366" s="95">
        <v>92.652000000000001</v>
      </c>
      <c r="N366" s="96">
        <v>0</v>
      </c>
    </row>
    <row r="367" spans="2:14" x14ac:dyDescent="0.25">
      <c r="B367" s="92">
        <v>45068</v>
      </c>
      <c r="C367" s="92">
        <v>45069</v>
      </c>
      <c r="D367" s="92" t="s">
        <v>1628</v>
      </c>
      <c r="E367" s="92" t="s">
        <v>1629</v>
      </c>
      <c r="F367" s="93">
        <v>247.03313399999999</v>
      </c>
      <c r="G367" s="93">
        <v>158.82937200000001</v>
      </c>
      <c r="H367" s="94">
        <v>180</v>
      </c>
      <c r="I367" s="95">
        <v>4.111389</v>
      </c>
      <c r="J367" s="95">
        <v>88.206777000000002</v>
      </c>
      <c r="K367" s="95">
        <v>88.212000000000003</v>
      </c>
      <c r="L367" s="96">
        <v>100</v>
      </c>
      <c r="M367" s="95">
        <v>88.201999999999998</v>
      </c>
      <c r="N367" s="96">
        <v>4.777E-3</v>
      </c>
    </row>
    <row r="368" spans="2:14" x14ac:dyDescent="0.25">
      <c r="B368" s="92">
        <v>45068</v>
      </c>
      <c r="C368" s="92">
        <v>45069</v>
      </c>
      <c r="D368" s="92" t="s">
        <v>1630</v>
      </c>
      <c r="E368" s="92" t="s">
        <v>1631</v>
      </c>
      <c r="F368" s="93">
        <v>923.45648100000005</v>
      </c>
      <c r="G368" s="93">
        <v>51.505808999999999</v>
      </c>
      <c r="H368" s="94">
        <v>57.1</v>
      </c>
      <c r="I368" s="95">
        <v>3.9320710000000001</v>
      </c>
      <c r="J368" s="95">
        <v>89.784999999999997</v>
      </c>
      <c r="K368" s="95">
        <v>89.784999999999997</v>
      </c>
      <c r="L368" s="96">
        <v>25.377776999999998</v>
      </c>
      <c r="M368" s="95">
        <v>89.784999999999997</v>
      </c>
      <c r="N368" s="96">
        <v>0</v>
      </c>
    </row>
    <row r="369" spans="2:15" x14ac:dyDescent="0.25">
      <c r="B369" s="92">
        <v>45068</v>
      </c>
      <c r="C369" s="92">
        <v>45069</v>
      </c>
      <c r="D369" s="92" t="s">
        <v>1632</v>
      </c>
      <c r="E369" s="92" t="s">
        <v>1633</v>
      </c>
      <c r="F369" s="93">
        <v>8.2511890000000001</v>
      </c>
      <c r="G369" s="93">
        <v>0</v>
      </c>
      <c r="H369" s="94">
        <v>0</v>
      </c>
      <c r="I369" s="95">
        <v>0</v>
      </c>
      <c r="J369" s="95">
        <v>0</v>
      </c>
      <c r="K369" s="95">
        <v>0</v>
      </c>
      <c r="L369" s="96">
        <v>0</v>
      </c>
      <c r="M369" s="95">
        <v>0</v>
      </c>
      <c r="N369" s="96">
        <v>0</v>
      </c>
    </row>
    <row r="370" spans="2:15" x14ac:dyDescent="0.25">
      <c r="B370" s="92">
        <v>45068</v>
      </c>
      <c r="C370" s="92">
        <v>45069</v>
      </c>
      <c r="D370" s="92" t="s">
        <v>1634</v>
      </c>
      <c r="E370" s="92" t="s">
        <v>1635</v>
      </c>
      <c r="F370" s="93">
        <v>229.87983600000001</v>
      </c>
      <c r="G370" s="93">
        <v>139.285079</v>
      </c>
      <c r="H370" s="94">
        <v>166</v>
      </c>
      <c r="I370" s="95">
        <v>3.923921</v>
      </c>
      <c r="J370" s="95">
        <v>83.867999999999995</v>
      </c>
      <c r="K370" s="95">
        <v>83.873000000000005</v>
      </c>
      <c r="L370" s="96">
        <v>100</v>
      </c>
      <c r="M370" s="95">
        <v>83.863</v>
      </c>
      <c r="N370" s="96">
        <v>5.0000000000000001E-3</v>
      </c>
    </row>
    <row r="371" spans="2:15" x14ac:dyDescent="0.25">
      <c r="B371" s="92">
        <v>45068</v>
      </c>
      <c r="C371" s="92">
        <v>45069</v>
      </c>
      <c r="D371" s="92" t="s">
        <v>1636</v>
      </c>
      <c r="E371" s="92" t="s">
        <v>1637</v>
      </c>
      <c r="F371" s="93">
        <v>187.315686</v>
      </c>
      <c r="G371" s="93">
        <v>44.639817999999998</v>
      </c>
      <c r="H371" s="94">
        <v>50</v>
      </c>
      <c r="I371" s="95">
        <v>3.8663029999999998</v>
      </c>
      <c r="J371" s="95">
        <v>89.141999999999996</v>
      </c>
      <c r="K371" s="95">
        <v>89.141999999999996</v>
      </c>
      <c r="L371" s="96">
        <v>100</v>
      </c>
      <c r="M371" s="95">
        <v>89.141999999999996</v>
      </c>
      <c r="N371" s="96">
        <v>0</v>
      </c>
    </row>
    <row r="372" spans="2:15" x14ac:dyDescent="0.25">
      <c r="B372" s="92">
        <v>45068</v>
      </c>
      <c r="C372" s="92">
        <v>45069</v>
      </c>
      <c r="D372" s="92" t="s">
        <v>1638</v>
      </c>
      <c r="E372" s="92" t="s">
        <v>1639</v>
      </c>
      <c r="F372" s="93">
        <v>22.570549</v>
      </c>
      <c r="G372" s="93">
        <v>0</v>
      </c>
      <c r="H372" s="94">
        <v>0</v>
      </c>
      <c r="I372" s="95">
        <v>0</v>
      </c>
      <c r="J372" s="95">
        <v>0</v>
      </c>
      <c r="K372" s="95">
        <v>0</v>
      </c>
      <c r="L372" s="96">
        <v>0</v>
      </c>
      <c r="M372" s="95">
        <v>0</v>
      </c>
      <c r="N372" s="96">
        <v>0</v>
      </c>
    </row>
    <row r="373" spans="2:15" x14ac:dyDescent="0.25">
      <c r="B373" s="92">
        <v>45068</v>
      </c>
      <c r="C373" s="92">
        <v>45069</v>
      </c>
      <c r="D373" s="92" t="s">
        <v>1668</v>
      </c>
      <c r="E373" s="92" t="s">
        <v>1669</v>
      </c>
      <c r="F373" s="93">
        <v>201.218658</v>
      </c>
      <c r="G373" s="93">
        <v>74.275926999999996</v>
      </c>
      <c r="H373" s="94">
        <v>90</v>
      </c>
      <c r="I373" s="95">
        <v>3.993169</v>
      </c>
      <c r="J373" s="95">
        <v>82.374110999999999</v>
      </c>
      <c r="K373" s="95">
        <v>82.376999999999995</v>
      </c>
      <c r="L373" s="96">
        <v>100</v>
      </c>
      <c r="M373" s="95">
        <v>82.373000000000005</v>
      </c>
      <c r="N373" s="96">
        <v>1.111E-3</v>
      </c>
    </row>
    <row r="374" spans="2:15" x14ac:dyDescent="0.25">
      <c r="B374" s="92">
        <v>45068</v>
      </c>
      <c r="C374" s="92">
        <v>45069</v>
      </c>
      <c r="D374" s="92" t="s">
        <v>1640</v>
      </c>
      <c r="E374" s="92" t="s">
        <v>1641</v>
      </c>
      <c r="F374" s="93">
        <v>279.01592499999998</v>
      </c>
      <c r="G374" s="93">
        <v>208.26152999999999</v>
      </c>
      <c r="H374" s="94">
        <v>250</v>
      </c>
      <c r="I374" s="95">
        <v>3.8499140000000001</v>
      </c>
      <c r="J374" s="95">
        <v>83.230500000000006</v>
      </c>
      <c r="K374" s="95">
        <v>83.238</v>
      </c>
      <c r="L374" s="96">
        <v>100</v>
      </c>
      <c r="M374" s="95">
        <v>83.222999999999999</v>
      </c>
      <c r="N374" s="96">
        <v>7.4999999999999997E-3</v>
      </c>
    </row>
    <row r="375" spans="2:15" x14ac:dyDescent="0.25">
      <c r="B375" s="92">
        <v>45078</v>
      </c>
      <c r="C375" s="92">
        <v>45079</v>
      </c>
      <c r="D375" s="92" t="s">
        <v>1674</v>
      </c>
      <c r="E375" s="92" t="s">
        <v>1675</v>
      </c>
      <c r="F375" s="93">
        <v>38.267246999999998</v>
      </c>
      <c r="G375" s="93">
        <v>29.789636999999999</v>
      </c>
      <c r="H375" s="94">
        <v>35</v>
      </c>
      <c r="I375" s="95">
        <v>4.4471410000000002</v>
      </c>
      <c r="J375" s="95">
        <v>83.937171000000006</v>
      </c>
      <c r="K375" s="95">
        <v>83.98</v>
      </c>
      <c r="L375" s="96">
        <v>100</v>
      </c>
      <c r="M375" s="95">
        <v>83.88</v>
      </c>
      <c r="N375" s="96">
        <v>5.7171E-2</v>
      </c>
      <c r="O375" s="92"/>
    </row>
    <row r="376" spans="2:15" x14ac:dyDescent="0.25">
      <c r="B376" s="92">
        <v>45078</v>
      </c>
      <c r="C376" s="92">
        <v>45079</v>
      </c>
      <c r="D376" s="92" t="s">
        <v>1676</v>
      </c>
      <c r="E376" s="92" t="s">
        <v>1677</v>
      </c>
      <c r="F376" s="93">
        <v>8.8216570000000001</v>
      </c>
      <c r="G376" s="93">
        <v>8.8216570000000001</v>
      </c>
      <c r="H376" s="94">
        <v>10</v>
      </c>
      <c r="I376" s="95">
        <v>4.4448270000000001</v>
      </c>
      <c r="J376" s="95">
        <v>86.95</v>
      </c>
      <c r="K376" s="95">
        <v>86.95</v>
      </c>
      <c r="L376" s="96">
        <v>100</v>
      </c>
      <c r="M376" s="95">
        <v>86.95</v>
      </c>
      <c r="N376" s="96">
        <v>0</v>
      </c>
      <c r="O376" s="92"/>
    </row>
    <row r="377" spans="2:15" x14ac:dyDescent="0.25">
      <c r="B377" s="92">
        <v>45078</v>
      </c>
      <c r="C377" s="92">
        <v>45079</v>
      </c>
      <c r="D377" s="92" t="s">
        <v>1678</v>
      </c>
      <c r="E377" s="92" t="s">
        <v>1679</v>
      </c>
      <c r="F377" s="93">
        <v>0</v>
      </c>
      <c r="G377" s="93">
        <v>0</v>
      </c>
      <c r="H377" s="94">
        <v>0</v>
      </c>
      <c r="I377" s="95">
        <v>0</v>
      </c>
      <c r="J377" s="95">
        <v>0</v>
      </c>
      <c r="K377" s="95">
        <v>0</v>
      </c>
      <c r="L377" s="96">
        <v>0</v>
      </c>
      <c r="M377" s="95">
        <v>0</v>
      </c>
      <c r="N377" s="96">
        <v>0</v>
      </c>
      <c r="O377" s="92"/>
    </row>
    <row r="378" spans="2:15" x14ac:dyDescent="0.25">
      <c r="B378" s="92">
        <v>45078</v>
      </c>
      <c r="C378" s="92">
        <v>45079</v>
      </c>
      <c r="D378" s="92" t="s">
        <v>1680</v>
      </c>
      <c r="E378" s="92" t="s">
        <v>1681</v>
      </c>
      <c r="F378" s="93">
        <v>0</v>
      </c>
      <c r="G378" s="93">
        <v>0</v>
      </c>
      <c r="H378" s="94">
        <v>0</v>
      </c>
      <c r="I378" s="95">
        <v>0</v>
      </c>
      <c r="J378" s="95">
        <v>0</v>
      </c>
      <c r="K378" s="95">
        <v>0</v>
      </c>
      <c r="L378" s="96">
        <v>0</v>
      </c>
      <c r="M378" s="95">
        <v>0</v>
      </c>
      <c r="N378" s="96">
        <v>0</v>
      </c>
      <c r="O378" s="92"/>
    </row>
    <row r="379" spans="2:15" x14ac:dyDescent="0.25">
      <c r="B379" s="92">
        <v>45078</v>
      </c>
      <c r="C379" s="92">
        <v>45079</v>
      </c>
      <c r="D379" s="92" t="s">
        <v>1682</v>
      </c>
      <c r="E379" s="92" t="s">
        <v>1683</v>
      </c>
      <c r="F379" s="93">
        <v>0</v>
      </c>
      <c r="G379" s="93">
        <v>0</v>
      </c>
      <c r="H379" s="94">
        <v>0</v>
      </c>
      <c r="I379" s="95">
        <v>0</v>
      </c>
      <c r="J379" s="95">
        <v>0</v>
      </c>
      <c r="K379" s="95">
        <v>0</v>
      </c>
      <c r="L379" s="96">
        <v>0</v>
      </c>
      <c r="M379" s="95">
        <v>0</v>
      </c>
      <c r="N379" s="96">
        <v>0</v>
      </c>
      <c r="O379" s="92"/>
    </row>
    <row r="380" spans="2:15" x14ac:dyDescent="0.25">
      <c r="B380" s="92">
        <v>45078</v>
      </c>
      <c r="C380" s="92">
        <v>45079</v>
      </c>
      <c r="D380" s="92" t="s">
        <v>1684</v>
      </c>
      <c r="E380" s="92" t="s">
        <v>1685</v>
      </c>
      <c r="F380" s="93">
        <v>0</v>
      </c>
      <c r="G380" s="93">
        <v>0</v>
      </c>
      <c r="H380" s="94">
        <v>0</v>
      </c>
      <c r="I380" s="95">
        <v>0</v>
      </c>
      <c r="J380" s="95">
        <v>0</v>
      </c>
      <c r="K380" s="95">
        <v>0</v>
      </c>
      <c r="L380" s="96">
        <v>0</v>
      </c>
      <c r="M380" s="95">
        <v>0</v>
      </c>
      <c r="N380" s="96">
        <v>0</v>
      </c>
      <c r="O380" s="92"/>
    </row>
    <row r="381" spans="2:15" x14ac:dyDescent="0.25">
      <c r="B381" s="92">
        <v>45078</v>
      </c>
      <c r="C381" s="92">
        <v>45079</v>
      </c>
      <c r="D381" s="92" t="s">
        <v>1686</v>
      </c>
      <c r="E381" s="92" t="s">
        <v>1687</v>
      </c>
      <c r="F381" s="93">
        <v>0</v>
      </c>
      <c r="G381" s="93">
        <v>0</v>
      </c>
      <c r="H381" s="94">
        <v>0</v>
      </c>
      <c r="I381" s="95">
        <v>0</v>
      </c>
      <c r="J381" s="95">
        <v>0</v>
      </c>
      <c r="K381" s="95">
        <v>0</v>
      </c>
      <c r="L381" s="96">
        <v>0</v>
      </c>
      <c r="M381" s="95">
        <v>0</v>
      </c>
      <c r="N381" s="96">
        <v>0</v>
      </c>
      <c r="O381" s="92"/>
    </row>
    <row r="382" spans="2:15" x14ac:dyDescent="0.25">
      <c r="B382" s="92">
        <v>45078</v>
      </c>
      <c r="C382" s="92">
        <v>45079</v>
      </c>
      <c r="D382" s="92" t="s">
        <v>1688</v>
      </c>
      <c r="E382" s="92" t="s">
        <v>1689</v>
      </c>
      <c r="F382" s="93">
        <v>452.30055199999998</v>
      </c>
      <c r="G382" s="93">
        <v>432.46899500000001</v>
      </c>
      <c r="H382" s="94">
        <v>1065.9000000000001</v>
      </c>
      <c r="I382" s="95">
        <v>4.3729089999999999</v>
      </c>
      <c r="J382" s="95">
        <v>40.503619</v>
      </c>
      <c r="K382" s="95">
        <v>40.628999999999998</v>
      </c>
      <c r="L382" s="96">
        <v>95.081631999999999</v>
      </c>
      <c r="M382" s="95">
        <v>40.341000000000001</v>
      </c>
      <c r="N382" s="96">
        <v>0.16261900000000001</v>
      </c>
      <c r="O382" s="92"/>
    </row>
    <row r="383" spans="2:15" x14ac:dyDescent="0.25">
      <c r="B383" s="92">
        <v>45078</v>
      </c>
      <c r="C383" s="92">
        <v>45079</v>
      </c>
      <c r="D383" s="92" t="s">
        <v>1690</v>
      </c>
      <c r="E383" s="92" t="s">
        <v>1691</v>
      </c>
      <c r="F383" s="93">
        <v>224.41743099999999</v>
      </c>
      <c r="G383" s="93">
        <v>24.978135000000002</v>
      </c>
      <c r="H383" s="94">
        <v>50</v>
      </c>
      <c r="I383" s="95">
        <v>4.3891460000000002</v>
      </c>
      <c r="J383" s="95">
        <v>49.534999999999997</v>
      </c>
      <c r="K383" s="95">
        <v>49.534999999999997</v>
      </c>
      <c r="L383" s="96">
        <v>100</v>
      </c>
      <c r="M383" s="95">
        <v>49.534999999999997</v>
      </c>
      <c r="N383" s="96">
        <v>0</v>
      </c>
      <c r="O383" s="92"/>
    </row>
    <row r="384" spans="2:15" x14ac:dyDescent="0.25">
      <c r="B384" s="92">
        <v>45078</v>
      </c>
      <c r="C384" s="92">
        <v>45079</v>
      </c>
      <c r="D384" s="92" t="s">
        <v>1692</v>
      </c>
      <c r="E384" s="92" t="s">
        <v>1693</v>
      </c>
      <c r="F384" s="93">
        <v>0</v>
      </c>
      <c r="G384" s="93">
        <v>0</v>
      </c>
      <c r="H384" s="94">
        <v>0</v>
      </c>
      <c r="I384" s="95">
        <v>0</v>
      </c>
      <c r="J384" s="95">
        <v>0</v>
      </c>
      <c r="K384" s="95">
        <v>0</v>
      </c>
      <c r="L384" s="96">
        <v>0</v>
      </c>
      <c r="M384" s="95">
        <v>0</v>
      </c>
      <c r="N384" s="96">
        <v>0</v>
      </c>
      <c r="O384" s="92"/>
    </row>
    <row r="385" spans="2:15" x14ac:dyDescent="0.25">
      <c r="B385" s="92">
        <v>45078</v>
      </c>
      <c r="C385" s="92">
        <v>45079</v>
      </c>
      <c r="D385" s="92" t="s">
        <v>1694</v>
      </c>
      <c r="E385" s="92" t="s">
        <v>1695</v>
      </c>
      <c r="F385" s="93">
        <v>0</v>
      </c>
      <c r="G385" s="93">
        <v>0</v>
      </c>
      <c r="H385" s="94">
        <v>0</v>
      </c>
      <c r="I385" s="95">
        <v>0</v>
      </c>
      <c r="J385" s="95">
        <v>0</v>
      </c>
      <c r="K385" s="95">
        <v>0</v>
      </c>
      <c r="L385" s="96">
        <v>0</v>
      </c>
      <c r="M385" s="95">
        <v>0</v>
      </c>
      <c r="N385" s="96">
        <v>0</v>
      </c>
      <c r="O385" s="92"/>
    </row>
    <row r="386" spans="2:15" x14ac:dyDescent="0.25">
      <c r="B386" s="92">
        <v>45078</v>
      </c>
      <c r="C386" s="92">
        <v>45079</v>
      </c>
      <c r="D386" s="92" t="s">
        <v>1696</v>
      </c>
      <c r="E386" s="92" t="s">
        <v>1697</v>
      </c>
      <c r="F386" s="93">
        <v>0</v>
      </c>
      <c r="G386" s="93">
        <v>0</v>
      </c>
      <c r="H386" s="94">
        <v>0</v>
      </c>
      <c r="I386" s="95">
        <v>0</v>
      </c>
      <c r="J386" s="95">
        <v>0</v>
      </c>
      <c r="K386" s="95">
        <v>0</v>
      </c>
      <c r="L386" s="96">
        <v>0</v>
      </c>
      <c r="M386" s="95">
        <v>0</v>
      </c>
      <c r="N386" s="96">
        <v>0</v>
      </c>
      <c r="O386" s="92"/>
    </row>
    <row r="387" spans="2:15" x14ac:dyDescent="0.25">
      <c r="B387" s="92">
        <v>45078</v>
      </c>
      <c r="C387" s="92">
        <v>45079</v>
      </c>
      <c r="D387" s="92" t="s">
        <v>1698</v>
      </c>
      <c r="E387" s="92" t="s">
        <v>1699</v>
      </c>
      <c r="F387" s="93">
        <v>0</v>
      </c>
      <c r="G387" s="93">
        <v>0</v>
      </c>
      <c r="H387" s="94">
        <v>0</v>
      </c>
      <c r="I387" s="95">
        <v>0</v>
      </c>
      <c r="J387" s="95">
        <v>0</v>
      </c>
      <c r="K387" s="95">
        <v>0</v>
      </c>
      <c r="L387" s="96">
        <v>0</v>
      </c>
      <c r="M387" s="95">
        <v>0</v>
      </c>
      <c r="N387" s="96">
        <v>0</v>
      </c>
      <c r="O387" s="92"/>
    </row>
    <row r="388" spans="2:15" x14ac:dyDescent="0.25">
      <c r="B388" s="92">
        <v>45078</v>
      </c>
      <c r="C388" s="92">
        <v>45079</v>
      </c>
      <c r="D388" s="92" t="s">
        <v>1700</v>
      </c>
      <c r="E388" s="92" t="s">
        <v>1701</v>
      </c>
      <c r="F388" s="93">
        <v>172.223354</v>
      </c>
      <c r="G388" s="93">
        <v>145.906711</v>
      </c>
      <c r="H388" s="94">
        <v>265</v>
      </c>
      <c r="I388" s="95">
        <v>4.3124200000000004</v>
      </c>
      <c r="J388" s="95">
        <v>54.426012999999998</v>
      </c>
      <c r="K388" s="95">
        <v>54.47</v>
      </c>
      <c r="L388" s="96">
        <v>100</v>
      </c>
      <c r="M388" s="95">
        <v>54.15</v>
      </c>
      <c r="N388" s="96">
        <v>0.27601300000000001</v>
      </c>
      <c r="O388" s="92"/>
    </row>
    <row r="389" spans="2:15" x14ac:dyDescent="0.25">
      <c r="B389" s="92">
        <v>45078</v>
      </c>
      <c r="C389" s="92">
        <v>45079</v>
      </c>
      <c r="D389" s="92" t="s">
        <v>1702</v>
      </c>
      <c r="E389" s="92" t="s">
        <v>1703</v>
      </c>
      <c r="F389" s="93">
        <v>138.36264499999999</v>
      </c>
      <c r="G389" s="93">
        <v>119.423142</v>
      </c>
      <c r="H389" s="94">
        <v>125</v>
      </c>
      <c r="I389" s="95">
        <v>4.3225530000000001</v>
      </c>
      <c r="J389" s="95">
        <v>94.090999999999994</v>
      </c>
      <c r="K389" s="95">
        <v>94.090999999999994</v>
      </c>
      <c r="L389" s="96">
        <v>100</v>
      </c>
      <c r="M389" s="95">
        <v>94.090999999999994</v>
      </c>
      <c r="N389" s="96">
        <v>0</v>
      </c>
      <c r="O389" s="92"/>
    </row>
    <row r="390" spans="2:15" x14ac:dyDescent="0.25">
      <c r="B390" s="92">
        <v>45078</v>
      </c>
      <c r="C390" s="92">
        <v>45079</v>
      </c>
      <c r="D390" s="92" t="s">
        <v>1704</v>
      </c>
      <c r="E390" s="92" t="s">
        <v>1705</v>
      </c>
      <c r="F390" s="93">
        <v>0</v>
      </c>
      <c r="G390" s="93">
        <v>0</v>
      </c>
      <c r="H390" s="94">
        <v>0</v>
      </c>
      <c r="I390" s="95">
        <v>0</v>
      </c>
      <c r="J390" s="95">
        <v>0</v>
      </c>
      <c r="K390" s="95">
        <v>0</v>
      </c>
      <c r="L390" s="96">
        <v>0</v>
      </c>
      <c r="M390" s="95">
        <v>0</v>
      </c>
      <c r="N390" s="96">
        <v>0</v>
      </c>
      <c r="O390" s="92"/>
    </row>
    <row r="391" spans="2:15" x14ac:dyDescent="0.25">
      <c r="B391" s="92">
        <v>45078</v>
      </c>
      <c r="C391" s="92">
        <v>45079</v>
      </c>
      <c r="D391" s="92" t="s">
        <v>1706</v>
      </c>
      <c r="E391" s="92" t="s">
        <v>1707</v>
      </c>
      <c r="F391" s="93">
        <v>0</v>
      </c>
      <c r="G391" s="93">
        <v>0</v>
      </c>
      <c r="H391" s="94">
        <v>0</v>
      </c>
      <c r="I391" s="95">
        <v>0</v>
      </c>
      <c r="J391" s="95">
        <v>0</v>
      </c>
      <c r="K391" s="95">
        <v>0</v>
      </c>
      <c r="L391" s="96">
        <v>0</v>
      </c>
      <c r="M391" s="95">
        <v>0</v>
      </c>
      <c r="N391" s="96">
        <v>0</v>
      </c>
      <c r="O391" s="92"/>
    </row>
    <row r="392" spans="2:15" x14ac:dyDescent="0.25">
      <c r="B392" s="92">
        <v>45078</v>
      </c>
      <c r="C392" s="92">
        <v>45079</v>
      </c>
      <c r="D392" s="92" t="s">
        <v>1708</v>
      </c>
      <c r="E392" s="92" t="s">
        <v>1709</v>
      </c>
      <c r="F392" s="93">
        <v>8.584657</v>
      </c>
      <c r="G392" s="93">
        <v>8.584657</v>
      </c>
      <c r="H392" s="94">
        <v>10</v>
      </c>
      <c r="I392" s="95">
        <v>4.2735120000000002</v>
      </c>
      <c r="J392" s="95">
        <v>84.58</v>
      </c>
      <c r="K392" s="95">
        <v>84.58</v>
      </c>
      <c r="L392" s="96">
        <v>100</v>
      </c>
      <c r="M392" s="95">
        <v>84.58</v>
      </c>
      <c r="N392" s="96">
        <v>0</v>
      </c>
      <c r="O392" s="92"/>
    </row>
    <row r="393" spans="2:15" x14ac:dyDescent="0.25">
      <c r="B393" s="92">
        <v>45078</v>
      </c>
      <c r="C393" s="92">
        <v>45079</v>
      </c>
      <c r="D393" s="92" t="s">
        <v>1710</v>
      </c>
      <c r="E393" s="92" t="s">
        <v>1711</v>
      </c>
      <c r="F393" s="93">
        <v>0</v>
      </c>
      <c r="G393" s="93">
        <v>0</v>
      </c>
      <c r="H393" s="94">
        <v>0</v>
      </c>
      <c r="I393" s="95">
        <v>0</v>
      </c>
      <c r="J393" s="95">
        <v>0</v>
      </c>
      <c r="K393" s="95">
        <v>0</v>
      </c>
      <c r="L393" s="96">
        <v>0</v>
      </c>
      <c r="M393" s="95">
        <v>0</v>
      </c>
      <c r="N393" s="96">
        <v>0</v>
      </c>
      <c r="O393" s="92"/>
    </row>
    <row r="394" spans="2:15" x14ac:dyDescent="0.25">
      <c r="B394" s="63">
        <v>45082</v>
      </c>
      <c r="C394" s="63">
        <v>45083</v>
      </c>
      <c r="D394" s="64" t="s">
        <v>1642</v>
      </c>
      <c r="E394" s="64" t="s">
        <v>1643</v>
      </c>
      <c r="F394" s="65">
        <v>382.14453200000003</v>
      </c>
      <c r="G394" s="66">
        <v>305.91842600000001</v>
      </c>
      <c r="H394" s="65">
        <v>400</v>
      </c>
      <c r="I394" s="67">
        <v>4.1108190000000002</v>
      </c>
      <c r="J394" s="67">
        <v>76.433499999999995</v>
      </c>
      <c r="K394" s="67">
        <v>76.441999999999993</v>
      </c>
      <c r="L394" s="68">
        <v>100</v>
      </c>
      <c r="M394" s="67">
        <v>76.424999999999997</v>
      </c>
      <c r="N394" s="68">
        <v>8.5000000000000006E-3</v>
      </c>
    </row>
    <row r="395" spans="2:15" x14ac:dyDescent="0.25">
      <c r="B395" s="63">
        <v>45082</v>
      </c>
      <c r="C395" s="63">
        <v>45083</v>
      </c>
      <c r="D395" s="64" t="s">
        <v>1644</v>
      </c>
      <c r="E395" s="64" t="s">
        <v>1645</v>
      </c>
      <c r="F395" s="65">
        <v>209.44793000000001</v>
      </c>
      <c r="G395" s="66">
        <v>209.44793100000001</v>
      </c>
      <c r="H395" s="65">
        <v>201</v>
      </c>
      <c r="I395" s="67">
        <v>4.0917479999999999</v>
      </c>
      <c r="J395" s="67">
        <v>104.21600100000001</v>
      </c>
      <c r="K395" s="67">
        <v>104.233</v>
      </c>
      <c r="L395" s="68">
        <v>100</v>
      </c>
      <c r="M395" s="67">
        <v>104.202</v>
      </c>
      <c r="N395" s="68">
        <v>1.4001E-2</v>
      </c>
    </row>
    <row r="396" spans="2:15" x14ac:dyDescent="0.25">
      <c r="B396" s="63">
        <v>45082</v>
      </c>
      <c r="C396" s="63">
        <v>45083</v>
      </c>
      <c r="D396" s="64" t="s">
        <v>1646</v>
      </c>
      <c r="E396" s="64" t="s">
        <v>1647</v>
      </c>
      <c r="F396" s="65">
        <v>14.667403</v>
      </c>
      <c r="G396" s="66">
        <v>0</v>
      </c>
      <c r="H396" s="65">
        <v>0</v>
      </c>
      <c r="I396" s="67">
        <v>0</v>
      </c>
      <c r="J396" s="67">
        <v>0</v>
      </c>
      <c r="K396" s="67">
        <v>0</v>
      </c>
      <c r="L396" s="68">
        <v>0</v>
      </c>
      <c r="M396" s="67">
        <v>0</v>
      </c>
      <c r="N396" s="68">
        <v>0</v>
      </c>
    </row>
    <row r="397" spans="2:15" x14ac:dyDescent="0.25">
      <c r="B397" s="63">
        <v>45082</v>
      </c>
      <c r="C397" s="63">
        <v>45083</v>
      </c>
      <c r="D397" s="64" t="s">
        <v>1648</v>
      </c>
      <c r="E397" s="64" t="s">
        <v>1649</v>
      </c>
      <c r="F397" s="65">
        <v>669.64672900000005</v>
      </c>
      <c r="G397" s="66">
        <v>209.470035</v>
      </c>
      <c r="H397" s="65">
        <v>207.3</v>
      </c>
      <c r="I397" s="67">
        <v>4.1081719999999997</v>
      </c>
      <c r="J397" s="67">
        <v>101.058487</v>
      </c>
      <c r="K397" s="67">
        <v>101.07299999999999</v>
      </c>
      <c r="L397" s="68">
        <v>93.738316999999995</v>
      </c>
      <c r="M397" s="67">
        <v>101.04300000000001</v>
      </c>
      <c r="N397" s="68">
        <v>1.5487000000000001E-2</v>
      </c>
    </row>
    <row r="398" spans="2:15" x14ac:dyDescent="0.25">
      <c r="B398" s="63">
        <v>45082</v>
      </c>
      <c r="C398" s="63">
        <v>45083</v>
      </c>
      <c r="D398" s="64" t="s">
        <v>1650</v>
      </c>
      <c r="E398" s="64" t="s">
        <v>1651</v>
      </c>
      <c r="F398" s="65">
        <v>0</v>
      </c>
      <c r="G398" s="66">
        <v>0</v>
      </c>
      <c r="H398" s="65">
        <v>0</v>
      </c>
      <c r="I398" s="67">
        <v>0</v>
      </c>
      <c r="J398" s="67">
        <v>0</v>
      </c>
      <c r="K398" s="67">
        <v>0</v>
      </c>
      <c r="L398" s="68">
        <v>0</v>
      </c>
      <c r="M398" s="67">
        <v>0</v>
      </c>
      <c r="N398" s="68">
        <v>0</v>
      </c>
    </row>
    <row r="399" spans="2:15" x14ac:dyDescent="0.25">
      <c r="B399" s="63">
        <v>45082</v>
      </c>
      <c r="C399" s="63">
        <v>45083</v>
      </c>
      <c r="D399" s="64" t="s">
        <v>1652</v>
      </c>
      <c r="E399" s="64" t="s">
        <v>1653</v>
      </c>
      <c r="F399" s="65">
        <v>425.34001899999998</v>
      </c>
      <c r="G399" s="66">
        <v>0</v>
      </c>
      <c r="H399" s="65">
        <v>0</v>
      </c>
      <c r="I399" s="67">
        <v>0</v>
      </c>
      <c r="J399" s="67">
        <v>0</v>
      </c>
      <c r="K399" s="67">
        <v>0</v>
      </c>
      <c r="L399" s="68">
        <v>0</v>
      </c>
      <c r="M399" s="67">
        <v>0</v>
      </c>
      <c r="N399" s="68">
        <v>0</v>
      </c>
    </row>
    <row r="400" spans="2:15" x14ac:dyDescent="0.25">
      <c r="B400" s="63">
        <v>45082</v>
      </c>
      <c r="C400" s="63">
        <v>45083</v>
      </c>
      <c r="D400" s="64" t="s">
        <v>1654</v>
      </c>
      <c r="E400" s="64" t="s">
        <v>1655</v>
      </c>
      <c r="F400" s="65">
        <v>0</v>
      </c>
      <c r="G400" s="66">
        <v>0</v>
      </c>
      <c r="H400" s="65">
        <v>0</v>
      </c>
      <c r="I400" s="67">
        <v>0</v>
      </c>
      <c r="J400" s="67">
        <v>0</v>
      </c>
      <c r="K400" s="67">
        <v>0</v>
      </c>
      <c r="L400" s="68">
        <v>0</v>
      </c>
      <c r="M400" s="67">
        <v>0</v>
      </c>
      <c r="N400" s="68">
        <v>0</v>
      </c>
    </row>
    <row r="401" spans="2:14" x14ac:dyDescent="0.25">
      <c r="B401" s="63">
        <v>45082</v>
      </c>
      <c r="C401" s="63">
        <v>45083</v>
      </c>
      <c r="D401" s="64" t="s">
        <v>1656</v>
      </c>
      <c r="E401" s="64" t="s">
        <v>1657</v>
      </c>
      <c r="F401" s="65">
        <v>10.849911000000001</v>
      </c>
      <c r="G401" s="66">
        <v>0</v>
      </c>
      <c r="H401" s="65">
        <v>0</v>
      </c>
      <c r="I401" s="67">
        <v>0</v>
      </c>
      <c r="J401" s="67">
        <v>0</v>
      </c>
      <c r="K401" s="67">
        <v>0</v>
      </c>
      <c r="L401" s="68">
        <v>0</v>
      </c>
      <c r="M401" s="67">
        <v>0</v>
      </c>
      <c r="N401" s="68">
        <v>0</v>
      </c>
    </row>
    <row r="402" spans="2:14" x14ac:dyDescent="0.25">
      <c r="B402" s="63">
        <v>45082</v>
      </c>
      <c r="C402" s="63">
        <v>45083</v>
      </c>
      <c r="D402" s="64" t="s">
        <v>1658</v>
      </c>
      <c r="E402" s="64" t="s">
        <v>1659</v>
      </c>
      <c r="F402" s="65">
        <v>65.182878000000002</v>
      </c>
      <c r="G402" s="66">
        <v>0</v>
      </c>
      <c r="H402" s="65">
        <v>0</v>
      </c>
      <c r="I402" s="67">
        <v>0</v>
      </c>
      <c r="J402" s="67">
        <v>0</v>
      </c>
      <c r="K402" s="67">
        <v>0</v>
      </c>
      <c r="L402" s="68">
        <v>0</v>
      </c>
      <c r="M402" s="67">
        <v>0</v>
      </c>
      <c r="N402" s="68">
        <v>0</v>
      </c>
    </row>
    <row r="403" spans="2:14" x14ac:dyDescent="0.25">
      <c r="B403" s="63">
        <v>45082</v>
      </c>
      <c r="C403" s="63">
        <v>45083</v>
      </c>
      <c r="D403" s="64" t="s">
        <v>1660</v>
      </c>
      <c r="E403" s="64" t="s">
        <v>1661</v>
      </c>
      <c r="F403" s="65">
        <v>0</v>
      </c>
      <c r="G403" s="66">
        <v>0</v>
      </c>
      <c r="H403" s="65">
        <v>0</v>
      </c>
      <c r="I403" s="67">
        <v>0</v>
      </c>
      <c r="J403" s="67">
        <v>0</v>
      </c>
      <c r="K403" s="67">
        <v>0</v>
      </c>
      <c r="L403" s="68">
        <v>0</v>
      </c>
      <c r="M403" s="67">
        <v>0</v>
      </c>
      <c r="N403" s="68">
        <v>0</v>
      </c>
    </row>
    <row r="404" spans="2:14" x14ac:dyDescent="0.25">
      <c r="B404" s="63">
        <v>45082</v>
      </c>
      <c r="C404" s="63">
        <v>45083</v>
      </c>
      <c r="D404" s="64" t="s">
        <v>1662</v>
      </c>
      <c r="E404" s="64" t="s">
        <v>1663</v>
      </c>
      <c r="F404" s="65">
        <v>19.722390000000001</v>
      </c>
      <c r="G404" s="66">
        <v>0</v>
      </c>
      <c r="H404" s="65">
        <v>0</v>
      </c>
      <c r="I404" s="67">
        <v>0</v>
      </c>
      <c r="J404" s="67">
        <v>0</v>
      </c>
      <c r="K404" s="67">
        <v>0</v>
      </c>
      <c r="L404" s="68">
        <v>0</v>
      </c>
      <c r="M404" s="67">
        <v>0</v>
      </c>
      <c r="N404" s="68">
        <v>0</v>
      </c>
    </row>
    <row r="405" spans="2:14" x14ac:dyDescent="0.25">
      <c r="B405" s="63">
        <v>45082</v>
      </c>
      <c r="C405" s="63">
        <v>45083</v>
      </c>
      <c r="D405" s="64" t="s">
        <v>1664</v>
      </c>
      <c r="E405" s="64" t="s">
        <v>1665</v>
      </c>
      <c r="F405" s="65">
        <v>0</v>
      </c>
      <c r="G405" s="66">
        <v>0</v>
      </c>
      <c r="H405" s="65">
        <v>0</v>
      </c>
      <c r="I405" s="67">
        <v>0</v>
      </c>
      <c r="J405" s="67">
        <v>0</v>
      </c>
      <c r="K405" s="67">
        <v>0</v>
      </c>
      <c r="L405" s="68">
        <v>0</v>
      </c>
      <c r="M405" s="67">
        <v>0</v>
      </c>
      <c r="N405" s="68">
        <v>0</v>
      </c>
    </row>
    <row r="406" spans="2:14" x14ac:dyDescent="0.25">
      <c r="B406" s="63">
        <v>45082</v>
      </c>
      <c r="C406" s="63">
        <v>45083</v>
      </c>
      <c r="D406" s="64" t="s">
        <v>1666</v>
      </c>
      <c r="E406" s="64" t="s">
        <v>1667</v>
      </c>
      <c r="F406" s="65">
        <v>66.025557000000006</v>
      </c>
      <c r="G406" s="66">
        <v>0</v>
      </c>
      <c r="H406" s="65">
        <v>0</v>
      </c>
      <c r="I406" s="67">
        <v>0</v>
      </c>
      <c r="J406" s="67">
        <v>0</v>
      </c>
      <c r="K406" s="67">
        <v>0</v>
      </c>
      <c r="L406" s="68">
        <v>0</v>
      </c>
      <c r="M406" s="67">
        <v>0</v>
      </c>
      <c r="N406" s="68">
        <v>0</v>
      </c>
    </row>
    <row r="407" spans="2:14" x14ac:dyDescent="0.25">
      <c r="B407" s="63">
        <v>45082</v>
      </c>
      <c r="C407" s="63">
        <v>45083</v>
      </c>
      <c r="D407" s="64" t="s">
        <v>1672</v>
      </c>
      <c r="E407" s="64" t="s">
        <v>1673</v>
      </c>
      <c r="F407" s="65">
        <v>57.088352999999998</v>
      </c>
      <c r="G407" s="66">
        <v>45.075437000000001</v>
      </c>
      <c r="H407" s="65">
        <v>45</v>
      </c>
      <c r="I407" s="67">
        <v>4.486065</v>
      </c>
      <c r="J407" s="67">
        <v>100.180007</v>
      </c>
      <c r="K407" s="67">
        <v>100.23</v>
      </c>
      <c r="L407" s="68">
        <v>100</v>
      </c>
      <c r="M407" s="67">
        <v>100.16</v>
      </c>
      <c r="N407" s="68">
        <v>2.0007E-2</v>
      </c>
    </row>
    <row r="408" spans="2:14" x14ac:dyDescent="0.25">
      <c r="B408" s="63">
        <v>45089</v>
      </c>
      <c r="C408" s="63">
        <v>45090</v>
      </c>
      <c r="D408" s="64" t="s">
        <v>1674</v>
      </c>
      <c r="E408" s="64" t="s">
        <v>1675</v>
      </c>
      <c r="F408" s="65">
        <v>0</v>
      </c>
      <c r="G408" s="66">
        <v>0</v>
      </c>
      <c r="H408" s="65">
        <v>0</v>
      </c>
      <c r="I408" s="67">
        <v>0</v>
      </c>
      <c r="J408" s="67">
        <v>0</v>
      </c>
      <c r="K408" s="67">
        <v>0</v>
      </c>
      <c r="L408" s="68">
        <v>0</v>
      </c>
      <c r="M408" s="67">
        <v>0</v>
      </c>
      <c r="N408" s="68">
        <v>0</v>
      </c>
    </row>
    <row r="409" spans="2:14" x14ac:dyDescent="0.25">
      <c r="B409" s="63">
        <v>45089</v>
      </c>
      <c r="C409" s="63">
        <v>45090</v>
      </c>
      <c r="D409" s="64" t="s">
        <v>1676</v>
      </c>
      <c r="E409" s="64" t="s">
        <v>1677</v>
      </c>
      <c r="F409" s="65">
        <v>0</v>
      </c>
      <c r="G409" s="66">
        <v>0</v>
      </c>
      <c r="H409" s="65">
        <v>0</v>
      </c>
      <c r="I409" s="67">
        <v>0</v>
      </c>
      <c r="J409" s="67">
        <v>0</v>
      </c>
      <c r="K409" s="67">
        <v>0</v>
      </c>
      <c r="L409" s="68">
        <v>0</v>
      </c>
      <c r="M409" s="67">
        <v>0</v>
      </c>
      <c r="N409" s="68">
        <v>0</v>
      </c>
    </row>
    <row r="410" spans="2:14" x14ac:dyDescent="0.25">
      <c r="B410" s="63">
        <v>45089</v>
      </c>
      <c r="C410" s="63">
        <v>45090</v>
      </c>
      <c r="D410" s="64" t="s">
        <v>1678</v>
      </c>
      <c r="E410" s="64" t="s">
        <v>1679</v>
      </c>
      <c r="F410" s="65">
        <v>0</v>
      </c>
      <c r="G410" s="66">
        <v>0</v>
      </c>
      <c r="H410" s="65">
        <v>0</v>
      </c>
      <c r="I410" s="67">
        <v>0</v>
      </c>
      <c r="J410" s="67">
        <v>0</v>
      </c>
      <c r="K410" s="67">
        <v>0</v>
      </c>
      <c r="L410" s="68">
        <v>0</v>
      </c>
      <c r="M410" s="67">
        <v>0</v>
      </c>
      <c r="N410" s="68">
        <v>0</v>
      </c>
    </row>
    <row r="411" spans="2:14" x14ac:dyDescent="0.25">
      <c r="B411" s="63">
        <v>45089</v>
      </c>
      <c r="C411" s="63">
        <v>45090</v>
      </c>
      <c r="D411" s="64" t="s">
        <v>1680</v>
      </c>
      <c r="E411" s="64" t="s">
        <v>1681</v>
      </c>
      <c r="F411" s="65">
        <v>0</v>
      </c>
      <c r="G411" s="66">
        <v>0</v>
      </c>
      <c r="H411" s="65">
        <v>0</v>
      </c>
      <c r="I411" s="67">
        <v>0</v>
      </c>
      <c r="J411" s="67">
        <v>0</v>
      </c>
      <c r="K411" s="67">
        <v>0</v>
      </c>
      <c r="L411" s="68">
        <v>0</v>
      </c>
      <c r="M411" s="67">
        <v>0</v>
      </c>
      <c r="N411" s="68">
        <v>0</v>
      </c>
    </row>
    <row r="412" spans="2:14" x14ac:dyDescent="0.25">
      <c r="B412" s="63">
        <v>45089</v>
      </c>
      <c r="C412" s="63">
        <v>45090</v>
      </c>
      <c r="D412" s="64" t="s">
        <v>1682</v>
      </c>
      <c r="E412" s="64" t="s">
        <v>1683</v>
      </c>
      <c r="F412" s="65">
        <v>103.25590099999999</v>
      </c>
      <c r="G412" s="66">
        <v>5.0749560000000002</v>
      </c>
      <c r="H412" s="65">
        <v>9</v>
      </c>
      <c r="I412" s="67">
        <v>4.5327679999999999</v>
      </c>
      <c r="J412" s="67">
        <v>55.8</v>
      </c>
      <c r="K412" s="67">
        <v>55.8</v>
      </c>
      <c r="L412" s="68">
        <v>100</v>
      </c>
      <c r="M412" s="67">
        <v>55.8</v>
      </c>
      <c r="N412" s="68">
        <v>0</v>
      </c>
    </row>
    <row r="413" spans="2:14" x14ac:dyDescent="0.25">
      <c r="B413" s="63">
        <v>45089</v>
      </c>
      <c r="C413" s="63">
        <v>45090</v>
      </c>
      <c r="D413" s="64" t="s">
        <v>1684</v>
      </c>
      <c r="E413" s="64" t="s">
        <v>1685</v>
      </c>
      <c r="F413" s="65">
        <v>0</v>
      </c>
      <c r="G413" s="66">
        <v>0</v>
      </c>
      <c r="H413" s="65">
        <v>0</v>
      </c>
      <c r="I413" s="67">
        <v>0</v>
      </c>
      <c r="J413" s="67">
        <v>0</v>
      </c>
      <c r="K413" s="67">
        <v>0</v>
      </c>
      <c r="L413" s="68">
        <v>0</v>
      </c>
      <c r="M413" s="67">
        <v>0</v>
      </c>
      <c r="N413" s="68">
        <v>0</v>
      </c>
    </row>
    <row r="414" spans="2:14" x14ac:dyDescent="0.25">
      <c r="B414" s="63">
        <v>45089</v>
      </c>
      <c r="C414" s="63">
        <v>45090</v>
      </c>
      <c r="D414" s="64" t="s">
        <v>1686</v>
      </c>
      <c r="E414" s="64" t="s">
        <v>1687</v>
      </c>
      <c r="F414" s="65">
        <v>0</v>
      </c>
      <c r="G414" s="66">
        <v>0</v>
      </c>
      <c r="H414" s="65">
        <v>0</v>
      </c>
      <c r="I414" s="67">
        <v>0</v>
      </c>
      <c r="J414" s="67">
        <v>0</v>
      </c>
      <c r="K414" s="67">
        <v>0</v>
      </c>
      <c r="L414" s="68">
        <v>0</v>
      </c>
      <c r="M414" s="67">
        <v>0</v>
      </c>
      <c r="N414" s="68">
        <v>0</v>
      </c>
    </row>
    <row r="415" spans="2:14" x14ac:dyDescent="0.25">
      <c r="B415" s="63">
        <v>45089</v>
      </c>
      <c r="C415" s="63">
        <v>45090</v>
      </c>
      <c r="D415" s="64" t="s">
        <v>1688</v>
      </c>
      <c r="E415" s="64" t="s">
        <v>1689</v>
      </c>
      <c r="F415" s="65">
        <v>7.8277590000000004</v>
      </c>
      <c r="G415" s="66">
        <v>0</v>
      </c>
      <c r="H415" s="65">
        <v>0</v>
      </c>
      <c r="I415" s="67">
        <v>0</v>
      </c>
      <c r="J415" s="67">
        <v>0</v>
      </c>
      <c r="K415" s="67">
        <v>0</v>
      </c>
      <c r="L415" s="68">
        <v>0</v>
      </c>
      <c r="M415" s="67">
        <v>0</v>
      </c>
      <c r="N415" s="68">
        <v>0</v>
      </c>
    </row>
    <row r="416" spans="2:14" x14ac:dyDescent="0.25">
      <c r="B416" s="63">
        <v>45089</v>
      </c>
      <c r="C416" s="63">
        <v>45090</v>
      </c>
      <c r="D416" s="64" t="s">
        <v>1690</v>
      </c>
      <c r="E416" s="64" t="s">
        <v>1691</v>
      </c>
      <c r="F416" s="65">
        <v>280.25543299999998</v>
      </c>
      <c r="G416" s="66">
        <v>44.625551000000002</v>
      </c>
      <c r="H416" s="65">
        <v>91</v>
      </c>
      <c r="I416" s="67">
        <v>4.4850250000000003</v>
      </c>
      <c r="J416" s="67">
        <v>48.579839</v>
      </c>
      <c r="K416" s="67">
        <v>48.610999999999997</v>
      </c>
      <c r="L416" s="68">
        <v>100</v>
      </c>
      <c r="M416" s="67">
        <v>48.523000000000003</v>
      </c>
      <c r="N416" s="68">
        <v>5.6839000000000001E-2</v>
      </c>
    </row>
    <row r="417" spans="2:14" x14ac:dyDescent="0.25">
      <c r="B417" s="63">
        <v>45089</v>
      </c>
      <c r="C417" s="63">
        <v>45090</v>
      </c>
      <c r="D417" s="64" t="s">
        <v>1692</v>
      </c>
      <c r="E417" s="64" t="s">
        <v>1693</v>
      </c>
      <c r="F417" s="65">
        <v>44.595996999999997</v>
      </c>
      <c r="G417" s="66">
        <v>44.595996999999997</v>
      </c>
      <c r="H417" s="65">
        <v>50</v>
      </c>
      <c r="I417" s="67">
        <v>4.5116959999999997</v>
      </c>
      <c r="J417" s="67">
        <v>87.721000000000004</v>
      </c>
      <c r="K417" s="67">
        <v>87.721000000000004</v>
      </c>
      <c r="L417" s="68">
        <v>100</v>
      </c>
      <c r="M417" s="67">
        <v>87.721000000000004</v>
      </c>
      <c r="N417" s="68">
        <v>0</v>
      </c>
    </row>
    <row r="418" spans="2:14" x14ac:dyDescent="0.25">
      <c r="B418" s="63">
        <v>45089</v>
      </c>
      <c r="C418" s="63">
        <v>45090</v>
      </c>
      <c r="D418" s="64" t="s">
        <v>1694</v>
      </c>
      <c r="E418" s="64" t="s">
        <v>1695</v>
      </c>
      <c r="F418" s="65">
        <v>435.964428</v>
      </c>
      <c r="G418" s="66">
        <v>435.964428</v>
      </c>
      <c r="H418" s="65">
        <v>846</v>
      </c>
      <c r="I418" s="67">
        <v>4.4802949999999999</v>
      </c>
      <c r="J418" s="67">
        <v>50.981338999999998</v>
      </c>
      <c r="K418" s="67">
        <v>51.003</v>
      </c>
      <c r="L418" s="68">
        <v>100</v>
      </c>
      <c r="M418" s="67">
        <v>50.96</v>
      </c>
      <c r="N418" s="68">
        <v>2.1339E-2</v>
      </c>
    </row>
    <row r="419" spans="2:14" x14ac:dyDescent="0.25">
      <c r="B419" s="63">
        <v>45089</v>
      </c>
      <c r="C419" s="63">
        <v>45090</v>
      </c>
      <c r="D419" s="64" t="s">
        <v>1696</v>
      </c>
      <c r="E419" s="64" t="s">
        <v>1697</v>
      </c>
      <c r="F419" s="65">
        <v>2.6280429999999999</v>
      </c>
      <c r="G419" s="66">
        <v>2.628044</v>
      </c>
      <c r="H419" s="65">
        <v>5</v>
      </c>
      <c r="I419" s="67">
        <v>4.4639709999999999</v>
      </c>
      <c r="J419" s="67">
        <v>52.33</v>
      </c>
      <c r="K419" s="67">
        <v>52.33</v>
      </c>
      <c r="L419" s="68">
        <v>100</v>
      </c>
      <c r="M419" s="67">
        <v>52.33</v>
      </c>
      <c r="N419" s="68">
        <v>0</v>
      </c>
    </row>
    <row r="420" spans="2:14" x14ac:dyDescent="0.25">
      <c r="B420" s="63">
        <v>45089</v>
      </c>
      <c r="C420" s="63">
        <v>45090</v>
      </c>
      <c r="D420" s="64" t="s">
        <v>1698</v>
      </c>
      <c r="E420" s="64" t="s">
        <v>1699</v>
      </c>
      <c r="F420" s="65">
        <v>191.251724</v>
      </c>
      <c r="G420" s="66">
        <v>71.281727000000004</v>
      </c>
      <c r="H420" s="65">
        <v>74</v>
      </c>
      <c r="I420" s="67">
        <v>4.4694739999999999</v>
      </c>
      <c r="J420" s="67">
        <v>96.257007000000002</v>
      </c>
      <c r="K420" s="67">
        <v>96.290999999999997</v>
      </c>
      <c r="L420" s="68">
        <v>100</v>
      </c>
      <c r="M420" s="67">
        <v>96.183000000000007</v>
      </c>
      <c r="N420" s="68">
        <v>7.4007000000000003E-2</v>
      </c>
    </row>
    <row r="421" spans="2:14" x14ac:dyDescent="0.25">
      <c r="B421" s="63">
        <v>45089</v>
      </c>
      <c r="C421" s="63">
        <v>45090</v>
      </c>
      <c r="D421" s="64" t="s">
        <v>1700</v>
      </c>
      <c r="E421" s="64" t="s">
        <v>1701</v>
      </c>
      <c r="F421" s="65">
        <v>0</v>
      </c>
      <c r="G421" s="66">
        <v>0</v>
      </c>
      <c r="H421" s="65">
        <v>0</v>
      </c>
      <c r="I421" s="67">
        <v>0</v>
      </c>
      <c r="J421" s="67">
        <v>0</v>
      </c>
      <c r="K421" s="67">
        <v>0</v>
      </c>
      <c r="L421" s="68">
        <v>0</v>
      </c>
      <c r="M421" s="67">
        <v>0</v>
      </c>
      <c r="N421" s="68">
        <v>0</v>
      </c>
    </row>
    <row r="422" spans="2:14" x14ac:dyDescent="0.25">
      <c r="B422" s="63">
        <v>45089</v>
      </c>
      <c r="C422" s="63">
        <v>45090</v>
      </c>
      <c r="D422" s="64" t="s">
        <v>1702</v>
      </c>
      <c r="E422" s="64" t="s">
        <v>1703</v>
      </c>
      <c r="F422" s="65">
        <v>18.885012</v>
      </c>
      <c r="G422" s="66">
        <v>18.885012</v>
      </c>
      <c r="H422" s="65">
        <v>20</v>
      </c>
      <c r="I422" s="67">
        <v>4.3940020000000004</v>
      </c>
      <c r="J422" s="67">
        <v>92.855999999999995</v>
      </c>
      <c r="K422" s="67">
        <v>92.855999999999995</v>
      </c>
      <c r="L422" s="68">
        <v>100</v>
      </c>
      <c r="M422" s="67">
        <v>92.855999999999995</v>
      </c>
      <c r="N422" s="68">
        <v>0</v>
      </c>
    </row>
    <row r="423" spans="2:14" x14ac:dyDescent="0.25">
      <c r="B423" s="63">
        <v>45089</v>
      </c>
      <c r="C423" s="63">
        <v>45090</v>
      </c>
      <c r="D423" s="64" t="s">
        <v>1704</v>
      </c>
      <c r="E423" s="64" t="s">
        <v>1705</v>
      </c>
      <c r="F423" s="65">
        <v>173.494944</v>
      </c>
      <c r="G423" s="66">
        <v>100.774066</v>
      </c>
      <c r="H423" s="65">
        <v>340.4</v>
      </c>
      <c r="I423" s="67">
        <v>4.228828</v>
      </c>
      <c r="J423" s="67">
        <v>29.533657999999999</v>
      </c>
      <c r="K423" s="67">
        <v>29.593</v>
      </c>
      <c r="L423" s="68">
        <v>18.636362999999999</v>
      </c>
      <c r="M423" s="67">
        <v>29.413</v>
      </c>
      <c r="N423" s="68">
        <v>0.120658</v>
      </c>
    </row>
    <row r="424" spans="2:14" x14ac:dyDescent="0.25">
      <c r="B424" s="63">
        <v>45089</v>
      </c>
      <c r="C424" s="63">
        <v>45090</v>
      </c>
      <c r="D424" s="64" t="s">
        <v>1706</v>
      </c>
      <c r="E424" s="64" t="s">
        <v>1707</v>
      </c>
      <c r="F424" s="65">
        <v>3.2845330000000001</v>
      </c>
      <c r="G424" s="66">
        <v>3.2845330000000001</v>
      </c>
      <c r="H424" s="65">
        <v>5</v>
      </c>
      <c r="I424" s="67">
        <v>4.3288549999999999</v>
      </c>
      <c r="J424" s="67">
        <v>64.709999999999994</v>
      </c>
      <c r="K424" s="67">
        <v>64.709999999999994</v>
      </c>
      <c r="L424" s="68">
        <v>100</v>
      </c>
      <c r="M424" s="67">
        <v>64.709999999999994</v>
      </c>
      <c r="N424" s="68">
        <v>0</v>
      </c>
    </row>
    <row r="425" spans="2:14" x14ac:dyDescent="0.25">
      <c r="B425" s="63">
        <v>45089</v>
      </c>
      <c r="C425" s="63">
        <v>45090</v>
      </c>
      <c r="D425" s="64" t="s">
        <v>1708</v>
      </c>
      <c r="E425" s="64" t="s">
        <v>1709</v>
      </c>
      <c r="F425" s="65">
        <v>16.987584999999999</v>
      </c>
      <c r="G425" s="66">
        <v>16.987586</v>
      </c>
      <c r="H425" s="65">
        <v>20</v>
      </c>
      <c r="I425" s="67">
        <v>4.3322719999999997</v>
      </c>
      <c r="J425" s="67">
        <v>83.565084999999996</v>
      </c>
      <c r="K425" s="67">
        <v>83.65</v>
      </c>
      <c r="L425" s="68">
        <v>100</v>
      </c>
      <c r="M425" s="67">
        <v>83.48</v>
      </c>
      <c r="N425" s="68">
        <v>8.5084999999999994E-2</v>
      </c>
    </row>
    <row r="426" spans="2:14" x14ac:dyDescent="0.25">
      <c r="B426" s="63">
        <v>45089</v>
      </c>
      <c r="C426" s="63">
        <v>45090</v>
      </c>
      <c r="D426" s="64" t="s">
        <v>1710</v>
      </c>
      <c r="E426" s="64" t="s">
        <v>1711</v>
      </c>
      <c r="F426" s="65">
        <v>25.869980000000002</v>
      </c>
      <c r="G426" s="66">
        <v>25.869980999999999</v>
      </c>
      <c r="H426" s="65">
        <v>55</v>
      </c>
      <c r="I426" s="67">
        <v>4.2082750000000004</v>
      </c>
      <c r="J426" s="67">
        <v>46.805506999999999</v>
      </c>
      <c r="K426" s="67">
        <v>46.86</v>
      </c>
      <c r="L426" s="68">
        <v>100</v>
      </c>
      <c r="M426" s="67">
        <v>46.76</v>
      </c>
      <c r="N426" s="68">
        <v>4.5506999999999999E-2</v>
      </c>
    </row>
    <row r="427" spans="2:14" x14ac:dyDescent="0.25">
      <c r="B427" s="63">
        <v>45092</v>
      </c>
      <c r="C427" s="63">
        <v>45093</v>
      </c>
      <c r="D427" s="64" t="s">
        <v>1626</v>
      </c>
      <c r="E427" s="64" t="s">
        <v>1627</v>
      </c>
      <c r="F427" s="65">
        <v>356.21923199999998</v>
      </c>
      <c r="G427" s="66">
        <v>333.40652499999999</v>
      </c>
      <c r="H427" s="65">
        <v>365</v>
      </c>
      <c r="I427" s="67">
        <v>4.7463249999999997</v>
      </c>
      <c r="J427" s="67">
        <v>90.743425999999999</v>
      </c>
      <c r="K427" s="67">
        <v>90.76</v>
      </c>
      <c r="L427" s="68">
        <v>100</v>
      </c>
      <c r="M427" s="67">
        <v>90.72</v>
      </c>
      <c r="N427" s="68">
        <v>2.3425999999999999E-2</v>
      </c>
    </row>
    <row r="428" spans="2:14" x14ac:dyDescent="0.25">
      <c r="B428" s="63">
        <v>45092</v>
      </c>
      <c r="C428" s="63">
        <v>45093</v>
      </c>
      <c r="D428" s="64" t="s">
        <v>1628</v>
      </c>
      <c r="E428" s="64" t="s">
        <v>1629</v>
      </c>
      <c r="F428" s="65">
        <v>207.132845</v>
      </c>
      <c r="G428" s="66">
        <v>207.132846</v>
      </c>
      <c r="H428" s="65">
        <v>240</v>
      </c>
      <c r="I428" s="67">
        <v>4.873882</v>
      </c>
      <c r="J428" s="67">
        <v>86.249008000000003</v>
      </c>
      <c r="K428" s="67">
        <v>86.29</v>
      </c>
      <c r="L428" s="68">
        <v>100</v>
      </c>
      <c r="M428" s="67">
        <v>86.203999999999994</v>
      </c>
      <c r="N428" s="68">
        <v>4.5007999999999999E-2</v>
      </c>
    </row>
    <row r="429" spans="2:14" x14ac:dyDescent="0.25">
      <c r="B429" s="63">
        <v>45092</v>
      </c>
      <c r="C429" s="63">
        <v>45093</v>
      </c>
      <c r="D429" s="64" t="s">
        <v>1630</v>
      </c>
      <c r="E429" s="64" t="s">
        <v>1631</v>
      </c>
      <c r="F429" s="65">
        <v>231.890523</v>
      </c>
      <c r="G429" s="66">
        <v>12.313796999999999</v>
      </c>
      <c r="H429" s="65">
        <v>14</v>
      </c>
      <c r="I429" s="67">
        <v>4.6458110000000001</v>
      </c>
      <c r="J429" s="67">
        <v>87.455001999999993</v>
      </c>
      <c r="K429" s="67">
        <v>87.47</v>
      </c>
      <c r="L429" s="68">
        <v>100</v>
      </c>
      <c r="M429" s="67">
        <v>87.44</v>
      </c>
      <c r="N429" s="68">
        <v>1.5002E-2</v>
      </c>
    </row>
    <row r="430" spans="2:14" x14ac:dyDescent="0.25">
      <c r="B430" s="63">
        <v>45092</v>
      </c>
      <c r="C430" s="63">
        <v>45093</v>
      </c>
      <c r="D430" s="64" t="s">
        <v>1632</v>
      </c>
      <c r="E430" s="64" t="s">
        <v>1633</v>
      </c>
      <c r="F430" s="65">
        <v>0</v>
      </c>
      <c r="G430" s="66">
        <v>0</v>
      </c>
      <c r="H430" s="65">
        <v>0</v>
      </c>
      <c r="I430" s="67">
        <v>0</v>
      </c>
      <c r="J430" s="67">
        <v>0</v>
      </c>
      <c r="K430" s="67">
        <v>0</v>
      </c>
      <c r="L430" s="68">
        <v>0</v>
      </c>
      <c r="M430" s="67">
        <v>0</v>
      </c>
      <c r="N430" s="68">
        <v>0</v>
      </c>
    </row>
    <row r="431" spans="2:14" x14ac:dyDescent="0.25">
      <c r="B431" s="63">
        <v>45092</v>
      </c>
      <c r="C431" s="63">
        <v>45093</v>
      </c>
      <c r="D431" s="64" t="s">
        <v>1634</v>
      </c>
      <c r="E431" s="64" t="s">
        <v>1635</v>
      </c>
      <c r="F431" s="65">
        <v>40.793480000000002</v>
      </c>
      <c r="G431" s="66">
        <v>40.793481</v>
      </c>
      <c r="H431" s="65">
        <v>50</v>
      </c>
      <c r="I431" s="67">
        <v>4.6023550000000002</v>
      </c>
      <c r="J431" s="67">
        <v>81.540000000000006</v>
      </c>
      <c r="K431" s="67">
        <v>81.540000000000006</v>
      </c>
      <c r="L431" s="68">
        <v>100</v>
      </c>
      <c r="M431" s="67">
        <v>81.540000000000006</v>
      </c>
      <c r="N431" s="68">
        <v>0</v>
      </c>
    </row>
    <row r="432" spans="2:14" x14ac:dyDescent="0.25">
      <c r="B432" s="63">
        <v>45092</v>
      </c>
      <c r="C432" s="63">
        <v>45093</v>
      </c>
      <c r="D432" s="64" t="s">
        <v>1636</v>
      </c>
      <c r="E432" s="64" t="s">
        <v>1637</v>
      </c>
      <c r="F432" s="65">
        <v>534.14438600000005</v>
      </c>
      <c r="G432" s="66">
        <v>176.33834899999999</v>
      </c>
      <c r="H432" s="65">
        <v>203.6</v>
      </c>
      <c r="I432" s="67">
        <v>4.5224159999999998</v>
      </c>
      <c r="J432" s="67">
        <v>86.366004000000004</v>
      </c>
      <c r="K432" s="67">
        <v>86.44</v>
      </c>
      <c r="L432" s="68">
        <v>84.599998999999997</v>
      </c>
      <c r="M432" s="67">
        <v>86.35</v>
      </c>
      <c r="N432" s="68">
        <v>1.6004000000000001E-2</v>
      </c>
    </row>
    <row r="433" spans="2:14" x14ac:dyDescent="0.25">
      <c r="B433" s="63">
        <v>45092</v>
      </c>
      <c r="C433" s="63">
        <v>45093</v>
      </c>
      <c r="D433" s="64" t="s">
        <v>1638</v>
      </c>
      <c r="E433" s="64" t="s">
        <v>1639</v>
      </c>
      <c r="F433" s="65">
        <v>0</v>
      </c>
      <c r="G433" s="66">
        <v>0</v>
      </c>
      <c r="H433" s="65">
        <v>0</v>
      </c>
      <c r="I433" s="67">
        <v>0</v>
      </c>
      <c r="J433" s="67">
        <v>0</v>
      </c>
      <c r="K433" s="67">
        <v>0</v>
      </c>
      <c r="L433" s="68">
        <v>0</v>
      </c>
      <c r="M433" s="67">
        <v>0</v>
      </c>
      <c r="N433" s="68">
        <v>0</v>
      </c>
    </row>
    <row r="434" spans="2:14" x14ac:dyDescent="0.25">
      <c r="B434" s="63">
        <v>45092</v>
      </c>
      <c r="C434" s="63">
        <v>45093</v>
      </c>
      <c r="D434" s="64" t="s">
        <v>1668</v>
      </c>
      <c r="E434" s="64" t="s">
        <v>1669</v>
      </c>
      <c r="F434" s="65">
        <v>277.15745800000002</v>
      </c>
      <c r="G434" s="66">
        <v>0</v>
      </c>
      <c r="H434" s="65">
        <v>0</v>
      </c>
      <c r="I434" s="67">
        <v>0</v>
      </c>
      <c r="J434" s="67">
        <v>0</v>
      </c>
      <c r="K434" s="67">
        <v>0</v>
      </c>
      <c r="L434" s="68">
        <v>0</v>
      </c>
      <c r="M434" s="67">
        <v>0</v>
      </c>
      <c r="N434" s="68">
        <v>0</v>
      </c>
    </row>
    <row r="435" spans="2:14" x14ac:dyDescent="0.25">
      <c r="B435" s="63">
        <v>45092</v>
      </c>
      <c r="C435" s="63">
        <v>45093</v>
      </c>
      <c r="D435" s="64" t="s">
        <v>1640</v>
      </c>
      <c r="E435" s="64" t="s">
        <v>1641</v>
      </c>
      <c r="F435" s="65">
        <v>0</v>
      </c>
      <c r="G435" s="66">
        <v>0</v>
      </c>
      <c r="H435" s="65">
        <v>0</v>
      </c>
      <c r="I435" s="67">
        <v>0</v>
      </c>
      <c r="J435" s="67">
        <v>0</v>
      </c>
      <c r="K435" s="67">
        <v>0</v>
      </c>
      <c r="L435" s="68">
        <v>0</v>
      </c>
      <c r="M435" s="67">
        <v>0</v>
      </c>
      <c r="N435" s="68">
        <v>0</v>
      </c>
    </row>
    <row r="436" spans="2:14" x14ac:dyDescent="0.25">
      <c r="B436" s="63">
        <v>45096</v>
      </c>
      <c r="C436" s="63">
        <v>45097</v>
      </c>
      <c r="D436" s="64" t="s">
        <v>1642</v>
      </c>
      <c r="E436" s="64" t="s">
        <v>1643</v>
      </c>
      <c r="F436" s="65">
        <v>0</v>
      </c>
      <c r="G436" s="66">
        <v>0</v>
      </c>
      <c r="H436" s="65">
        <v>0</v>
      </c>
      <c r="I436" s="67">
        <v>0</v>
      </c>
      <c r="J436" s="67">
        <v>0</v>
      </c>
      <c r="K436" s="67">
        <v>0</v>
      </c>
      <c r="L436" s="68">
        <v>0</v>
      </c>
      <c r="M436" s="67">
        <v>0</v>
      </c>
      <c r="N436" s="68">
        <v>0</v>
      </c>
    </row>
    <row r="437" spans="2:14" x14ac:dyDescent="0.25">
      <c r="B437" s="63">
        <v>45096</v>
      </c>
      <c r="C437" s="63">
        <v>45097</v>
      </c>
      <c r="D437" s="64" t="s">
        <v>1644</v>
      </c>
      <c r="E437" s="64" t="s">
        <v>1645</v>
      </c>
      <c r="F437" s="65">
        <v>204.3</v>
      </c>
      <c r="G437" s="66">
        <v>204.3</v>
      </c>
      <c r="H437" s="65">
        <v>200</v>
      </c>
      <c r="I437" s="67">
        <v>4.4379999999999997</v>
      </c>
      <c r="J437" s="67">
        <v>101.962</v>
      </c>
      <c r="K437" s="67">
        <v>101.98099999999999</v>
      </c>
      <c r="L437" s="68">
        <v>100</v>
      </c>
      <c r="M437" s="67">
        <v>101.93300000000001</v>
      </c>
      <c r="N437" s="68">
        <v>0.03</v>
      </c>
    </row>
    <row r="438" spans="2:14" x14ac:dyDescent="0.25">
      <c r="B438" s="63">
        <v>45096</v>
      </c>
      <c r="C438" s="63">
        <v>45097</v>
      </c>
      <c r="D438" s="64" t="s">
        <v>1646</v>
      </c>
      <c r="E438" s="64" t="s">
        <v>1647</v>
      </c>
      <c r="F438" s="65">
        <v>17.899999999999999</v>
      </c>
      <c r="G438" s="66">
        <v>0</v>
      </c>
      <c r="H438" s="65">
        <v>0</v>
      </c>
      <c r="I438" s="67">
        <v>0</v>
      </c>
      <c r="J438" s="67">
        <v>0</v>
      </c>
      <c r="K438" s="67">
        <v>0</v>
      </c>
      <c r="L438" s="68">
        <v>0</v>
      </c>
      <c r="M438" s="67">
        <v>0</v>
      </c>
      <c r="N438" s="68">
        <v>0</v>
      </c>
    </row>
    <row r="439" spans="2:14" x14ac:dyDescent="0.25">
      <c r="B439" s="63">
        <v>45096</v>
      </c>
      <c r="C439" s="63">
        <v>45097</v>
      </c>
      <c r="D439" s="64" t="s">
        <v>1648</v>
      </c>
      <c r="E439" s="64" t="s">
        <v>1649</v>
      </c>
      <c r="F439" s="65">
        <v>692.9</v>
      </c>
      <c r="G439" s="66">
        <v>336.8</v>
      </c>
      <c r="H439" s="65">
        <v>339.6</v>
      </c>
      <c r="I439" s="67">
        <v>4.3819999999999997</v>
      </c>
      <c r="J439" s="67">
        <v>99.027000000000001</v>
      </c>
      <c r="K439" s="67">
        <v>99.063000000000002</v>
      </c>
      <c r="L439" s="68">
        <v>29.6</v>
      </c>
      <c r="M439" s="67">
        <v>98.962999999999994</v>
      </c>
      <c r="N439" s="68">
        <v>0.06</v>
      </c>
    </row>
    <row r="440" spans="2:14" x14ac:dyDescent="0.25">
      <c r="B440" s="63">
        <v>45096</v>
      </c>
      <c r="C440" s="63">
        <v>45097</v>
      </c>
      <c r="D440" s="64" t="s">
        <v>1670</v>
      </c>
      <c r="E440" s="64" t="s">
        <v>1671</v>
      </c>
      <c r="F440" s="65">
        <v>82</v>
      </c>
      <c r="G440" s="66">
        <v>0</v>
      </c>
      <c r="H440" s="65">
        <v>0</v>
      </c>
      <c r="I440" s="67">
        <v>0</v>
      </c>
      <c r="J440" s="67">
        <v>0</v>
      </c>
      <c r="K440" s="67">
        <v>0</v>
      </c>
      <c r="L440" s="68">
        <v>0</v>
      </c>
      <c r="M440" s="67">
        <v>0</v>
      </c>
      <c r="N440" s="68">
        <v>0</v>
      </c>
    </row>
    <row r="441" spans="2:14" x14ac:dyDescent="0.25">
      <c r="B441" s="63">
        <v>45096</v>
      </c>
      <c r="C441" s="63">
        <v>45097</v>
      </c>
      <c r="D441" s="64" t="s">
        <v>1650</v>
      </c>
      <c r="E441" s="64" t="s">
        <v>1651</v>
      </c>
      <c r="F441" s="65">
        <v>150.69999999999999</v>
      </c>
      <c r="G441" s="66">
        <v>0</v>
      </c>
      <c r="H441" s="65">
        <v>0</v>
      </c>
      <c r="I441" s="67">
        <v>0</v>
      </c>
      <c r="J441" s="67">
        <v>0</v>
      </c>
      <c r="K441" s="67">
        <v>0</v>
      </c>
      <c r="L441" s="68">
        <v>0</v>
      </c>
      <c r="M441" s="67">
        <v>0</v>
      </c>
      <c r="N441" s="68">
        <v>0</v>
      </c>
    </row>
    <row r="442" spans="2:14" x14ac:dyDescent="0.25">
      <c r="B442" s="63">
        <v>45096</v>
      </c>
      <c r="C442" s="63">
        <v>45097</v>
      </c>
      <c r="D442" s="64" t="s">
        <v>1652</v>
      </c>
      <c r="E442" s="64" t="s">
        <v>1653</v>
      </c>
      <c r="F442" s="65">
        <v>258.5</v>
      </c>
      <c r="G442" s="66">
        <v>0</v>
      </c>
      <c r="H442" s="65">
        <v>0</v>
      </c>
      <c r="I442" s="67">
        <v>0</v>
      </c>
      <c r="J442" s="67">
        <v>0</v>
      </c>
      <c r="K442" s="67">
        <v>0</v>
      </c>
      <c r="L442" s="68">
        <v>0</v>
      </c>
      <c r="M442" s="67">
        <v>0</v>
      </c>
      <c r="N442" s="68">
        <v>0</v>
      </c>
    </row>
    <row r="443" spans="2:14" x14ac:dyDescent="0.25">
      <c r="B443" s="63">
        <v>45096</v>
      </c>
      <c r="C443" s="63">
        <v>45097</v>
      </c>
      <c r="D443" s="64" t="s">
        <v>1654</v>
      </c>
      <c r="E443" s="64" t="s">
        <v>1655</v>
      </c>
      <c r="F443" s="65">
        <v>0</v>
      </c>
      <c r="G443" s="66">
        <v>0</v>
      </c>
      <c r="H443" s="65">
        <v>0</v>
      </c>
      <c r="I443" s="67">
        <v>0</v>
      </c>
      <c r="J443" s="67">
        <v>0</v>
      </c>
      <c r="K443" s="67">
        <v>0</v>
      </c>
      <c r="L443" s="68">
        <v>0</v>
      </c>
      <c r="M443" s="67">
        <v>0</v>
      </c>
      <c r="N443" s="68">
        <v>0</v>
      </c>
    </row>
    <row r="444" spans="2:14" x14ac:dyDescent="0.25">
      <c r="B444" s="63">
        <v>45096</v>
      </c>
      <c r="C444" s="63">
        <v>45097</v>
      </c>
      <c r="D444" s="64" t="s">
        <v>1656</v>
      </c>
      <c r="E444" s="64" t="s">
        <v>1657</v>
      </c>
      <c r="F444" s="65">
        <v>21.3</v>
      </c>
      <c r="G444" s="66">
        <v>0</v>
      </c>
      <c r="H444" s="65">
        <v>0</v>
      </c>
      <c r="I444" s="67">
        <v>0</v>
      </c>
      <c r="J444" s="67">
        <v>0</v>
      </c>
      <c r="K444" s="67">
        <v>0</v>
      </c>
      <c r="L444" s="68">
        <v>0</v>
      </c>
      <c r="M444" s="67">
        <v>0</v>
      </c>
      <c r="N444" s="68">
        <v>0</v>
      </c>
    </row>
    <row r="445" spans="2:14" x14ac:dyDescent="0.25">
      <c r="B445" s="63">
        <v>45096</v>
      </c>
      <c r="C445" s="63">
        <v>45097</v>
      </c>
      <c r="D445" s="64" t="s">
        <v>1658</v>
      </c>
      <c r="E445" s="64" t="s">
        <v>1659</v>
      </c>
      <c r="F445" s="65">
        <v>51.9</v>
      </c>
      <c r="G445" s="66">
        <v>0</v>
      </c>
      <c r="H445" s="65">
        <v>0</v>
      </c>
      <c r="I445" s="67">
        <v>0</v>
      </c>
      <c r="J445" s="67">
        <v>0</v>
      </c>
      <c r="K445" s="67">
        <v>0</v>
      </c>
      <c r="L445" s="68">
        <v>0</v>
      </c>
      <c r="M445" s="67">
        <v>0</v>
      </c>
      <c r="N445" s="68">
        <v>0</v>
      </c>
    </row>
    <row r="446" spans="2:14" x14ac:dyDescent="0.25">
      <c r="B446" s="63">
        <v>45096</v>
      </c>
      <c r="C446" s="63">
        <v>45097</v>
      </c>
      <c r="D446" s="64" t="s">
        <v>1660</v>
      </c>
      <c r="E446" s="64" t="s">
        <v>1661</v>
      </c>
      <c r="F446" s="65">
        <v>0</v>
      </c>
      <c r="G446" s="66">
        <v>0</v>
      </c>
      <c r="H446" s="65">
        <v>0</v>
      </c>
      <c r="I446" s="67">
        <v>0</v>
      </c>
      <c r="J446" s="67">
        <v>0</v>
      </c>
      <c r="K446" s="67">
        <v>0</v>
      </c>
      <c r="L446" s="68">
        <v>0</v>
      </c>
      <c r="M446" s="67">
        <v>0</v>
      </c>
      <c r="N446" s="68">
        <v>0</v>
      </c>
    </row>
    <row r="447" spans="2:14" x14ac:dyDescent="0.25">
      <c r="B447" s="63">
        <v>45096</v>
      </c>
      <c r="C447" s="63">
        <v>45097</v>
      </c>
      <c r="D447" s="64" t="s">
        <v>1662</v>
      </c>
      <c r="E447" s="64" t="s">
        <v>1663</v>
      </c>
      <c r="F447" s="65">
        <v>0</v>
      </c>
      <c r="G447" s="66">
        <v>0</v>
      </c>
      <c r="H447" s="65">
        <v>0</v>
      </c>
      <c r="I447" s="67">
        <v>0</v>
      </c>
      <c r="J447" s="67">
        <v>0</v>
      </c>
      <c r="K447" s="67">
        <v>0</v>
      </c>
      <c r="L447" s="68">
        <v>0</v>
      </c>
      <c r="M447" s="67">
        <v>0</v>
      </c>
      <c r="N447" s="68">
        <v>0</v>
      </c>
    </row>
    <row r="448" spans="2:14" x14ac:dyDescent="0.25">
      <c r="B448" s="63">
        <v>45096</v>
      </c>
      <c r="C448" s="63">
        <v>45097</v>
      </c>
      <c r="D448" s="64" t="s">
        <v>1664</v>
      </c>
      <c r="E448" s="64" t="s">
        <v>1665</v>
      </c>
      <c r="F448" s="65">
        <v>0</v>
      </c>
      <c r="G448" s="66">
        <v>0</v>
      </c>
      <c r="H448" s="65">
        <v>0</v>
      </c>
      <c r="I448" s="67">
        <v>0</v>
      </c>
      <c r="J448" s="67">
        <v>0</v>
      </c>
      <c r="K448" s="67">
        <v>0</v>
      </c>
      <c r="L448" s="68">
        <v>0</v>
      </c>
      <c r="M448" s="67">
        <v>0</v>
      </c>
      <c r="N448" s="68">
        <v>0</v>
      </c>
    </row>
    <row r="449" spans="2:14" x14ac:dyDescent="0.25">
      <c r="B449" s="63">
        <v>45096</v>
      </c>
      <c r="C449" s="63">
        <v>45097</v>
      </c>
      <c r="D449" s="64" t="s">
        <v>1666</v>
      </c>
      <c r="E449" s="64" t="s">
        <v>1667</v>
      </c>
      <c r="F449" s="65">
        <v>224.8</v>
      </c>
      <c r="G449" s="66">
        <v>198.2</v>
      </c>
      <c r="H449" s="65">
        <v>334</v>
      </c>
      <c r="I449" s="67">
        <v>4.5640000000000001</v>
      </c>
      <c r="J449" s="67">
        <v>59.13</v>
      </c>
      <c r="K449" s="67">
        <v>59.18</v>
      </c>
      <c r="L449" s="68">
        <v>100</v>
      </c>
      <c r="M449" s="67">
        <v>59.040999999999997</v>
      </c>
      <c r="N449" s="68">
        <v>0.09</v>
      </c>
    </row>
    <row r="450" spans="2:14" x14ac:dyDescent="0.25">
      <c r="B450" s="63">
        <v>45096</v>
      </c>
      <c r="C450" s="63">
        <v>45097</v>
      </c>
      <c r="D450" s="64" t="s">
        <v>1672</v>
      </c>
      <c r="E450" s="64" t="s">
        <v>1673</v>
      </c>
      <c r="F450" s="65">
        <v>50.5</v>
      </c>
      <c r="G450" s="66">
        <v>30.7</v>
      </c>
      <c r="H450" s="65">
        <v>31</v>
      </c>
      <c r="I450" s="67">
        <v>4.5949999999999998</v>
      </c>
      <c r="J450" s="67">
        <v>98.79</v>
      </c>
      <c r="K450" s="67">
        <v>98.79</v>
      </c>
      <c r="L450" s="68">
        <v>100</v>
      </c>
      <c r="M450" s="67">
        <v>98.79</v>
      </c>
      <c r="N450" s="68">
        <v>0</v>
      </c>
    </row>
    <row r="451" spans="2:14" x14ac:dyDescent="0.25">
      <c r="B451" s="97">
        <v>45103</v>
      </c>
      <c r="C451" s="97">
        <v>45104</v>
      </c>
      <c r="D451" s="97" t="s">
        <v>1674</v>
      </c>
      <c r="E451" s="97" t="s">
        <v>1675</v>
      </c>
      <c r="F451" s="98">
        <v>17.01191</v>
      </c>
      <c r="G451" s="98">
        <v>0</v>
      </c>
      <c r="H451" s="99">
        <v>0</v>
      </c>
      <c r="I451" s="100">
        <v>0</v>
      </c>
      <c r="J451" s="100">
        <v>0</v>
      </c>
      <c r="K451" s="100">
        <v>0</v>
      </c>
      <c r="L451" s="101">
        <v>0</v>
      </c>
      <c r="M451" s="100">
        <v>0</v>
      </c>
      <c r="N451" s="101">
        <v>0</v>
      </c>
    </row>
    <row r="452" spans="2:14" x14ac:dyDescent="0.25">
      <c r="B452" s="97">
        <v>45103</v>
      </c>
      <c r="C452" s="97">
        <v>45104</v>
      </c>
      <c r="D452" s="97" t="s">
        <v>1676</v>
      </c>
      <c r="E452" s="97" t="s">
        <v>1677</v>
      </c>
      <c r="F452" s="98">
        <v>459.440136</v>
      </c>
      <c r="G452" s="98">
        <v>459.44013699999999</v>
      </c>
      <c r="H452" s="99">
        <v>521</v>
      </c>
      <c r="I452" s="100">
        <v>4.46875</v>
      </c>
      <c r="J452" s="100">
        <v>86.676000000000002</v>
      </c>
      <c r="K452" s="100">
        <v>86.676000000000002</v>
      </c>
      <c r="L452" s="101">
        <v>100</v>
      </c>
      <c r="M452" s="100">
        <v>86.676000000000002</v>
      </c>
      <c r="N452" s="101">
        <v>0</v>
      </c>
    </row>
    <row r="453" spans="2:14" x14ac:dyDescent="0.25">
      <c r="B453" s="97">
        <v>45103</v>
      </c>
      <c r="C453" s="97">
        <v>45104</v>
      </c>
      <c r="D453" s="97" t="s">
        <v>1678</v>
      </c>
      <c r="E453" s="97" t="s">
        <v>1679</v>
      </c>
      <c r="F453" s="98">
        <v>0</v>
      </c>
      <c r="G453" s="98">
        <v>0</v>
      </c>
      <c r="H453" s="99">
        <v>0</v>
      </c>
      <c r="I453" s="100">
        <v>0</v>
      </c>
      <c r="J453" s="100">
        <v>0</v>
      </c>
      <c r="K453" s="100">
        <v>0</v>
      </c>
      <c r="L453" s="101">
        <v>0</v>
      </c>
      <c r="M453" s="100">
        <v>0</v>
      </c>
      <c r="N453" s="101">
        <v>0</v>
      </c>
    </row>
    <row r="454" spans="2:14" x14ac:dyDescent="0.25">
      <c r="B454" s="97">
        <v>45103</v>
      </c>
      <c r="C454" s="97">
        <v>45104</v>
      </c>
      <c r="D454" s="97" t="s">
        <v>1680</v>
      </c>
      <c r="E454" s="97" t="s">
        <v>1681</v>
      </c>
      <c r="F454" s="98">
        <v>0</v>
      </c>
      <c r="G454" s="98">
        <v>0</v>
      </c>
      <c r="H454" s="99">
        <v>0</v>
      </c>
      <c r="I454" s="100">
        <v>0</v>
      </c>
      <c r="J454" s="100">
        <v>0</v>
      </c>
      <c r="K454" s="100">
        <v>0</v>
      </c>
      <c r="L454" s="101">
        <v>0</v>
      </c>
      <c r="M454" s="100">
        <v>0</v>
      </c>
      <c r="N454" s="101">
        <v>0</v>
      </c>
    </row>
    <row r="455" spans="2:14" x14ac:dyDescent="0.25">
      <c r="B455" s="97">
        <v>45103</v>
      </c>
      <c r="C455" s="97">
        <v>45104</v>
      </c>
      <c r="D455" s="97" t="s">
        <v>1682</v>
      </c>
      <c r="E455" s="97" t="s">
        <v>1683</v>
      </c>
      <c r="F455" s="98">
        <v>0</v>
      </c>
      <c r="G455" s="98">
        <v>0</v>
      </c>
      <c r="H455" s="99">
        <v>0</v>
      </c>
      <c r="I455" s="100">
        <v>0</v>
      </c>
      <c r="J455" s="100">
        <v>0</v>
      </c>
      <c r="K455" s="100">
        <v>0</v>
      </c>
      <c r="L455" s="101">
        <v>0</v>
      </c>
      <c r="M455" s="100">
        <v>0</v>
      </c>
      <c r="N455" s="101">
        <v>0</v>
      </c>
    </row>
    <row r="456" spans="2:14" x14ac:dyDescent="0.25">
      <c r="B456" s="97">
        <v>45103</v>
      </c>
      <c r="C456" s="97">
        <v>45104</v>
      </c>
      <c r="D456" s="97" t="s">
        <v>1684</v>
      </c>
      <c r="E456" s="97" t="s">
        <v>1685</v>
      </c>
      <c r="F456" s="98">
        <v>0</v>
      </c>
      <c r="G456" s="98">
        <v>0</v>
      </c>
      <c r="H456" s="99">
        <v>0</v>
      </c>
      <c r="I456" s="100">
        <v>0</v>
      </c>
      <c r="J456" s="100">
        <v>0</v>
      </c>
      <c r="K456" s="100">
        <v>0</v>
      </c>
      <c r="L456" s="101">
        <v>0</v>
      </c>
      <c r="M456" s="100">
        <v>0</v>
      </c>
      <c r="N456" s="101">
        <v>0</v>
      </c>
    </row>
    <row r="457" spans="2:14" x14ac:dyDescent="0.25">
      <c r="B457" s="97">
        <v>45103</v>
      </c>
      <c r="C457" s="97">
        <v>45104</v>
      </c>
      <c r="D457" s="97" t="s">
        <v>1686</v>
      </c>
      <c r="E457" s="97" t="s">
        <v>1687</v>
      </c>
      <c r="F457" s="98">
        <v>0</v>
      </c>
      <c r="G457" s="98">
        <v>0</v>
      </c>
      <c r="H457" s="99">
        <v>0</v>
      </c>
      <c r="I457" s="100">
        <v>0</v>
      </c>
      <c r="J457" s="100">
        <v>0</v>
      </c>
      <c r="K457" s="100">
        <v>0</v>
      </c>
      <c r="L457" s="101">
        <v>0</v>
      </c>
      <c r="M457" s="100">
        <v>0</v>
      </c>
      <c r="N457" s="101">
        <v>0</v>
      </c>
    </row>
    <row r="458" spans="2:14" x14ac:dyDescent="0.25">
      <c r="B458" s="97">
        <v>45103</v>
      </c>
      <c r="C458" s="97">
        <v>45104</v>
      </c>
      <c r="D458" s="97" t="s">
        <v>1688</v>
      </c>
      <c r="E458" s="97" t="s">
        <v>1689</v>
      </c>
      <c r="F458" s="98">
        <v>193.77269799999999</v>
      </c>
      <c r="G458" s="98">
        <v>104.462548</v>
      </c>
      <c r="H458" s="99">
        <v>255</v>
      </c>
      <c r="I458" s="100">
        <v>4.3437210000000004</v>
      </c>
      <c r="J458" s="100">
        <v>40.853050000000003</v>
      </c>
      <c r="K458" s="100">
        <v>40.902999999999999</v>
      </c>
      <c r="L458" s="101">
        <v>100</v>
      </c>
      <c r="M458" s="100">
        <v>40.792999999999999</v>
      </c>
      <c r="N458" s="101">
        <v>6.0049999999999999E-2</v>
      </c>
    </row>
    <row r="459" spans="2:14" x14ac:dyDescent="0.25">
      <c r="B459" s="97">
        <v>45103</v>
      </c>
      <c r="C459" s="97">
        <v>45104</v>
      </c>
      <c r="D459" s="97" t="s">
        <v>1690</v>
      </c>
      <c r="E459" s="97" t="s">
        <v>1691</v>
      </c>
      <c r="F459" s="98">
        <v>48.667468</v>
      </c>
      <c r="G459" s="98">
        <v>23.658670000000001</v>
      </c>
      <c r="H459" s="99">
        <v>47</v>
      </c>
      <c r="I459" s="100">
        <v>4.3669219999999997</v>
      </c>
      <c r="J459" s="100">
        <v>49.83</v>
      </c>
      <c r="K459" s="100">
        <v>49.83</v>
      </c>
      <c r="L459" s="101">
        <v>100</v>
      </c>
      <c r="M459" s="100">
        <v>49.83</v>
      </c>
      <c r="N459" s="101">
        <v>0</v>
      </c>
    </row>
    <row r="460" spans="2:14" x14ac:dyDescent="0.25">
      <c r="B460" s="97">
        <v>45103</v>
      </c>
      <c r="C460" s="97">
        <v>45104</v>
      </c>
      <c r="D460" s="97" t="s">
        <v>1692</v>
      </c>
      <c r="E460" s="97" t="s">
        <v>1693</v>
      </c>
      <c r="F460" s="98">
        <v>0</v>
      </c>
      <c r="G460" s="98">
        <v>0</v>
      </c>
      <c r="H460" s="99">
        <v>0</v>
      </c>
      <c r="I460" s="100">
        <v>0</v>
      </c>
      <c r="J460" s="100">
        <v>0</v>
      </c>
      <c r="K460" s="100">
        <v>0</v>
      </c>
      <c r="L460" s="101">
        <v>0</v>
      </c>
      <c r="M460" s="100">
        <v>0</v>
      </c>
      <c r="N460" s="101">
        <v>0</v>
      </c>
    </row>
    <row r="461" spans="2:14" x14ac:dyDescent="0.25">
      <c r="B461" s="97">
        <v>45103</v>
      </c>
      <c r="C461" s="97">
        <v>45104</v>
      </c>
      <c r="D461" s="97" t="s">
        <v>1696</v>
      </c>
      <c r="E461" s="97" t="s">
        <v>1697</v>
      </c>
      <c r="F461" s="98">
        <v>35.166970999999997</v>
      </c>
      <c r="G461" s="98">
        <v>24.418365000000001</v>
      </c>
      <c r="H461" s="99">
        <v>45</v>
      </c>
      <c r="I461" s="100">
        <v>4.3201390000000002</v>
      </c>
      <c r="J461" s="100">
        <v>53.970011</v>
      </c>
      <c r="K461" s="100">
        <v>54</v>
      </c>
      <c r="L461" s="101">
        <v>100</v>
      </c>
      <c r="M461" s="100">
        <v>53.94</v>
      </c>
      <c r="N461" s="101">
        <v>3.0010999999999999E-2</v>
      </c>
    </row>
    <row r="462" spans="2:14" x14ac:dyDescent="0.25">
      <c r="B462" s="97">
        <v>45103</v>
      </c>
      <c r="C462" s="97">
        <v>45104</v>
      </c>
      <c r="D462" s="97" t="s">
        <v>1698</v>
      </c>
      <c r="E462" s="97" t="s">
        <v>1699</v>
      </c>
      <c r="F462" s="98">
        <v>24.612909999999999</v>
      </c>
      <c r="G462" s="98">
        <v>9.8633240000000004</v>
      </c>
      <c r="H462" s="99">
        <v>10</v>
      </c>
      <c r="I462" s="100">
        <v>4.3422179999999999</v>
      </c>
      <c r="J462" s="100">
        <v>98.400999999999996</v>
      </c>
      <c r="K462" s="100">
        <v>98.400999999999996</v>
      </c>
      <c r="L462" s="101">
        <v>100</v>
      </c>
      <c r="M462" s="100">
        <v>98.400999999999996</v>
      </c>
      <c r="N462" s="101">
        <v>0</v>
      </c>
    </row>
    <row r="463" spans="2:14" x14ac:dyDescent="0.25">
      <c r="B463" s="97">
        <v>45103</v>
      </c>
      <c r="C463" s="97">
        <v>45104</v>
      </c>
      <c r="D463" s="97" t="s">
        <v>1700</v>
      </c>
      <c r="E463" s="97" t="s">
        <v>1701</v>
      </c>
      <c r="F463" s="98">
        <v>199.971192</v>
      </c>
      <c r="G463" s="98">
        <v>97.995427000000007</v>
      </c>
      <c r="H463" s="99">
        <v>174.4</v>
      </c>
      <c r="I463" s="100">
        <v>4.2316060000000002</v>
      </c>
      <c r="J463" s="100">
        <v>55.435937000000003</v>
      </c>
      <c r="K463" s="100">
        <v>55.52</v>
      </c>
      <c r="L463" s="101">
        <v>9.6</v>
      </c>
      <c r="M463" s="100">
        <v>55.35</v>
      </c>
      <c r="N463" s="101">
        <v>8.5936999999999999E-2</v>
      </c>
    </row>
    <row r="464" spans="2:14" x14ac:dyDescent="0.25">
      <c r="B464" s="97">
        <v>45103</v>
      </c>
      <c r="C464" s="97">
        <v>45104</v>
      </c>
      <c r="D464" s="97" t="s">
        <v>1702</v>
      </c>
      <c r="E464" s="97" t="s">
        <v>1703</v>
      </c>
      <c r="F464" s="98">
        <v>96.504756</v>
      </c>
      <c r="G464" s="98">
        <v>0</v>
      </c>
      <c r="H464" s="99">
        <v>0</v>
      </c>
      <c r="I464" s="100">
        <v>0</v>
      </c>
      <c r="J464" s="100">
        <v>0</v>
      </c>
      <c r="K464" s="100">
        <v>0</v>
      </c>
      <c r="L464" s="101">
        <v>0</v>
      </c>
      <c r="M464" s="100">
        <v>0</v>
      </c>
      <c r="N464" s="101">
        <v>0</v>
      </c>
    </row>
    <row r="465" spans="2:14" x14ac:dyDescent="0.25">
      <c r="B465" s="97">
        <v>45103</v>
      </c>
      <c r="C465" s="97">
        <v>45104</v>
      </c>
      <c r="D465" s="97" t="s">
        <v>1704</v>
      </c>
      <c r="E465" s="97" t="s">
        <v>1705</v>
      </c>
      <c r="F465" s="98">
        <v>57.935302999999998</v>
      </c>
      <c r="G465" s="98">
        <v>50.132762</v>
      </c>
      <c r="H465" s="99">
        <v>160</v>
      </c>
      <c r="I465" s="100">
        <v>4.0458530000000001</v>
      </c>
      <c r="J465" s="100">
        <v>31.242834999999999</v>
      </c>
      <c r="K465" s="100">
        <v>31.26</v>
      </c>
      <c r="L465" s="101">
        <v>100</v>
      </c>
      <c r="M465" s="100">
        <v>31.19</v>
      </c>
      <c r="N465" s="101">
        <v>5.2835E-2</v>
      </c>
    </row>
    <row r="466" spans="2:14" x14ac:dyDescent="0.25">
      <c r="B466" s="97">
        <v>45103</v>
      </c>
      <c r="C466" s="97">
        <v>45104</v>
      </c>
      <c r="D466" s="97" t="s">
        <v>1706</v>
      </c>
      <c r="E466" s="97" t="s">
        <v>1707</v>
      </c>
      <c r="F466" s="98">
        <v>0</v>
      </c>
      <c r="G466" s="98">
        <v>0</v>
      </c>
      <c r="H466" s="99">
        <v>0</v>
      </c>
      <c r="I466" s="100">
        <v>0</v>
      </c>
      <c r="J466" s="100">
        <v>0</v>
      </c>
      <c r="K466" s="100">
        <v>0</v>
      </c>
      <c r="L466" s="101">
        <v>0</v>
      </c>
      <c r="M466" s="100">
        <v>0</v>
      </c>
      <c r="N466" s="101">
        <v>0</v>
      </c>
    </row>
    <row r="467" spans="2:14" x14ac:dyDescent="0.25">
      <c r="B467" s="97">
        <v>45103</v>
      </c>
      <c r="C467" s="97">
        <v>45104</v>
      </c>
      <c r="D467" s="97" t="s">
        <v>1708</v>
      </c>
      <c r="E467" s="97" t="s">
        <v>1709</v>
      </c>
      <c r="F467" s="98">
        <v>21.954571000000001</v>
      </c>
      <c r="G467" s="98">
        <v>0</v>
      </c>
      <c r="H467" s="99">
        <v>0</v>
      </c>
      <c r="I467" s="100">
        <v>0</v>
      </c>
      <c r="J467" s="100">
        <v>0</v>
      </c>
      <c r="K467" s="100">
        <v>0</v>
      </c>
      <c r="L467" s="101">
        <v>0</v>
      </c>
      <c r="M467" s="100">
        <v>0</v>
      </c>
      <c r="N467" s="101">
        <v>0</v>
      </c>
    </row>
    <row r="468" spans="2:14" x14ac:dyDescent="0.25">
      <c r="B468" s="97">
        <v>45103</v>
      </c>
      <c r="C468" s="97">
        <v>45104</v>
      </c>
      <c r="D468" s="97" t="s">
        <v>1710</v>
      </c>
      <c r="E468" s="97" t="s">
        <v>1711</v>
      </c>
      <c r="F468" s="98">
        <v>0</v>
      </c>
      <c r="G468" s="98">
        <v>0</v>
      </c>
      <c r="H468" s="99">
        <v>0</v>
      </c>
      <c r="I468" s="100">
        <v>0</v>
      </c>
      <c r="J468" s="100">
        <v>0</v>
      </c>
      <c r="K468" s="100">
        <v>0</v>
      </c>
      <c r="L468" s="101">
        <v>0</v>
      </c>
      <c r="M468" s="100">
        <v>0</v>
      </c>
      <c r="N468" s="101">
        <v>0</v>
      </c>
    </row>
    <row r="469" spans="2:14" x14ac:dyDescent="0.25">
      <c r="B469" s="97">
        <v>45110</v>
      </c>
      <c r="C469" s="97">
        <v>45111</v>
      </c>
      <c r="D469" s="97" t="s">
        <v>1626</v>
      </c>
      <c r="E469" s="97" t="s">
        <v>1627</v>
      </c>
      <c r="F469" s="98">
        <v>203.616682</v>
      </c>
      <c r="G469" s="98">
        <v>131.24585099999999</v>
      </c>
      <c r="H469" s="99">
        <v>145</v>
      </c>
      <c r="I469" s="100">
        <v>5.1421159999999997</v>
      </c>
      <c r="J469" s="100">
        <v>89.838965999999999</v>
      </c>
      <c r="K469" s="100">
        <v>89.844999999999999</v>
      </c>
      <c r="L469" s="101">
        <v>100</v>
      </c>
      <c r="M469" s="100">
        <v>89.825000000000003</v>
      </c>
      <c r="N469" s="101">
        <v>1.3965999999999999E-2</v>
      </c>
    </row>
    <row r="470" spans="2:14" x14ac:dyDescent="0.25">
      <c r="B470" s="97">
        <v>45110</v>
      </c>
      <c r="C470" s="97">
        <v>45111</v>
      </c>
      <c r="D470" s="97" t="s">
        <v>1628</v>
      </c>
      <c r="E470" s="97" t="s">
        <v>1629</v>
      </c>
      <c r="F470" s="98">
        <v>535.00132699999995</v>
      </c>
      <c r="G470" s="98">
        <v>205.18215799999999</v>
      </c>
      <c r="H470" s="99">
        <v>240</v>
      </c>
      <c r="I470" s="100">
        <v>5.2438149999999997</v>
      </c>
      <c r="J470" s="100">
        <v>85.417771000000002</v>
      </c>
      <c r="K470" s="100">
        <v>85.427999999999997</v>
      </c>
      <c r="L470" s="101">
        <v>100</v>
      </c>
      <c r="M470" s="100">
        <v>85.411000000000001</v>
      </c>
      <c r="N470" s="101">
        <v>6.7710000000000001E-3</v>
      </c>
    </row>
    <row r="471" spans="2:14" x14ac:dyDescent="0.25">
      <c r="B471" s="97">
        <v>45110</v>
      </c>
      <c r="C471" s="97">
        <v>45111</v>
      </c>
      <c r="D471" s="97" t="s">
        <v>1630</v>
      </c>
      <c r="E471" s="97" t="s">
        <v>1631</v>
      </c>
      <c r="F471" s="98">
        <v>18.270596999999999</v>
      </c>
      <c r="G471" s="98">
        <v>0</v>
      </c>
      <c r="H471" s="99">
        <v>0</v>
      </c>
      <c r="I471" s="100">
        <v>0</v>
      </c>
      <c r="J471" s="100">
        <v>0</v>
      </c>
      <c r="K471" s="100">
        <v>0</v>
      </c>
      <c r="L471" s="101">
        <v>0</v>
      </c>
      <c r="M471" s="100">
        <v>0</v>
      </c>
      <c r="N471" s="101">
        <v>0</v>
      </c>
    </row>
    <row r="472" spans="2:14" x14ac:dyDescent="0.25">
      <c r="B472" s="97">
        <v>45110</v>
      </c>
      <c r="C472" s="97">
        <v>45111</v>
      </c>
      <c r="D472" s="97" t="s">
        <v>1632</v>
      </c>
      <c r="E472" s="97" t="s">
        <v>1633</v>
      </c>
      <c r="F472" s="98">
        <v>0</v>
      </c>
      <c r="G472" s="98">
        <v>0</v>
      </c>
      <c r="H472" s="99">
        <v>0</v>
      </c>
      <c r="I472" s="100">
        <v>0</v>
      </c>
      <c r="J472" s="100">
        <v>0</v>
      </c>
      <c r="K472" s="100">
        <v>0</v>
      </c>
      <c r="L472" s="101">
        <v>0</v>
      </c>
      <c r="M472" s="100">
        <v>0</v>
      </c>
      <c r="N472" s="101">
        <v>0</v>
      </c>
    </row>
    <row r="473" spans="2:14" x14ac:dyDescent="0.25">
      <c r="B473" s="97">
        <v>45110</v>
      </c>
      <c r="C473" s="97">
        <v>45111</v>
      </c>
      <c r="D473" s="97" t="s">
        <v>1634</v>
      </c>
      <c r="E473" s="97" t="s">
        <v>1635</v>
      </c>
      <c r="F473" s="98">
        <v>32.245269999999998</v>
      </c>
      <c r="G473" s="98">
        <v>0</v>
      </c>
      <c r="H473" s="99">
        <v>0</v>
      </c>
      <c r="I473" s="100">
        <v>0</v>
      </c>
      <c r="J473" s="100">
        <v>0</v>
      </c>
      <c r="K473" s="100">
        <v>0</v>
      </c>
      <c r="L473" s="101">
        <v>0</v>
      </c>
      <c r="M473" s="100">
        <v>0</v>
      </c>
      <c r="N473" s="101">
        <v>0</v>
      </c>
    </row>
    <row r="474" spans="2:14" x14ac:dyDescent="0.25">
      <c r="B474" s="97">
        <v>45110</v>
      </c>
      <c r="C474" s="97">
        <v>45111</v>
      </c>
      <c r="D474" s="97" t="s">
        <v>1636</v>
      </c>
      <c r="E474" s="97" t="s">
        <v>1637</v>
      </c>
      <c r="F474" s="98">
        <v>1055.4125770000001</v>
      </c>
      <c r="G474" s="98">
        <v>389.469607</v>
      </c>
      <c r="H474" s="99">
        <v>453.7</v>
      </c>
      <c r="I474" s="100">
        <v>4.7467269999999999</v>
      </c>
      <c r="J474" s="100">
        <v>85.518870000000007</v>
      </c>
      <c r="K474" s="100">
        <v>85.533000000000001</v>
      </c>
      <c r="L474" s="101">
        <v>78.083332999999996</v>
      </c>
      <c r="M474" s="100">
        <v>85.503</v>
      </c>
      <c r="N474" s="101">
        <v>1.5869999999999999E-2</v>
      </c>
    </row>
    <row r="475" spans="2:14" x14ac:dyDescent="0.25">
      <c r="B475" s="97">
        <v>45110</v>
      </c>
      <c r="C475" s="97">
        <v>45111</v>
      </c>
      <c r="D475" s="97" t="s">
        <v>1638</v>
      </c>
      <c r="E475" s="97" t="s">
        <v>1639</v>
      </c>
      <c r="F475" s="98">
        <v>0</v>
      </c>
      <c r="G475" s="98">
        <v>0</v>
      </c>
      <c r="H475" s="99">
        <v>0</v>
      </c>
      <c r="I475" s="100">
        <v>0</v>
      </c>
      <c r="J475" s="100">
        <v>0</v>
      </c>
      <c r="K475" s="100">
        <v>0</v>
      </c>
      <c r="L475" s="101">
        <v>0</v>
      </c>
      <c r="M475" s="100">
        <v>0</v>
      </c>
      <c r="N475" s="101">
        <v>0</v>
      </c>
    </row>
    <row r="476" spans="2:14" x14ac:dyDescent="0.25">
      <c r="B476" s="97">
        <v>45110</v>
      </c>
      <c r="C476" s="97">
        <v>45111</v>
      </c>
      <c r="D476" s="97" t="s">
        <v>1668</v>
      </c>
      <c r="E476" s="97" t="s">
        <v>1669</v>
      </c>
      <c r="F476" s="98">
        <v>39.717353000000003</v>
      </c>
      <c r="G476" s="98">
        <v>0</v>
      </c>
      <c r="H476" s="99">
        <v>0</v>
      </c>
      <c r="I476" s="100">
        <v>0</v>
      </c>
      <c r="J476" s="100">
        <v>0</v>
      </c>
      <c r="K476" s="100">
        <v>0</v>
      </c>
      <c r="L476" s="101">
        <v>0</v>
      </c>
      <c r="M476" s="100">
        <v>0</v>
      </c>
      <c r="N476" s="101">
        <v>0</v>
      </c>
    </row>
    <row r="477" spans="2:14" x14ac:dyDescent="0.25">
      <c r="B477" s="97">
        <v>45110</v>
      </c>
      <c r="C477" s="97">
        <v>45111</v>
      </c>
      <c r="D477" s="97" t="s">
        <v>1640</v>
      </c>
      <c r="E477" s="97" t="s">
        <v>1641</v>
      </c>
      <c r="F477" s="98">
        <v>240.52266</v>
      </c>
      <c r="G477" s="98">
        <v>64.035617000000002</v>
      </c>
      <c r="H477" s="99">
        <v>80</v>
      </c>
      <c r="I477" s="100">
        <v>4.5902649999999996</v>
      </c>
      <c r="J477" s="100">
        <v>79.87</v>
      </c>
      <c r="K477" s="100">
        <v>79.87</v>
      </c>
      <c r="L477" s="101">
        <v>100</v>
      </c>
      <c r="M477" s="100">
        <v>79.87</v>
      </c>
      <c r="N477" s="101">
        <v>0</v>
      </c>
    </row>
    <row r="478" spans="2:14" x14ac:dyDescent="0.25">
      <c r="B478" s="63">
        <v>45124</v>
      </c>
      <c r="C478" s="63">
        <v>45125</v>
      </c>
      <c r="D478" s="63" t="s">
        <v>1642</v>
      </c>
      <c r="E478" s="63" t="s">
        <v>1643</v>
      </c>
      <c r="F478" s="66">
        <v>514.97495400000003</v>
      </c>
      <c r="G478" s="66">
        <v>458.69035000000002</v>
      </c>
      <c r="H478" s="65">
        <v>610</v>
      </c>
      <c r="I478" s="67">
        <v>4.4196710000000001</v>
      </c>
      <c r="J478" s="67">
        <v>75.105999999999995</v>
      </c>
      <c r="K478" s="67">
        <v>75.105999999999995</v>
      </c>
      <c r="L478" s="68">
        <v>100</v>
      </c>
      <c r="M478" s="67">
        <v>75.105999999999995</v>
      </c>
      <c r="N478" s="68">
        <v>0</v>
      </c>
    </row>
    <row r="479" spans="2:14" x14ac:dyDescent="0.25">
      <c r="B479" s="63">
        <v>45124</v>
      </c>
      <c r="C479" s="63">
        <v>45125</v>
      </c>
      <c r="D479" s="63" t="s">
        <v>1644</v>
      </c>
      <c r="E479" s="63" t="s">
        <v>1645</v>
      </c>
      <c r="F479" s="66">
        <v>205.289207</v>
      </c>
      <c r="G479" s="66">
        <v>153.98665600000001</v>
      </c>
      <c r="H479" s="65">
        <v>150</v>
      </c>
      <c r="I479" s="67">
        <v>4.4090280000000002</v>
      </c>
      <c r="J479" s="67">
        <v>102.125668</v>
      </c>
      <c r="K479" s="67">
        <v>102.136</v>
      </c>
      <c r="L479" s="68">
        <v>100</v>
      </c>
      <c r="M479" s="67">
        <v>102.105</v>
      </c>
      <c r="N479" s="68">
        <v>2.0667999999999999E-2</v>
      </c>
    </row>
    <row r="480" spans="2:14" x14ac:dyDescent="0.25">
      <c r="B480" s="63">
        <v>45124</v>
      </c>
      <c r="C480" s="63">
        <v>45125</v>
      </c>
      <c r="D480" s="63" t="s">
        <v>1646</v>
      </c>
      <c r="E480" s="63" t="s">
        <v>1647</v>
      </c>
      <c r="F480" s="66">
        <v>368.36801200000002</v>
      </c>
      <c r="G480" s="66">
        <v>177.30516</v>
      </c>
      <c r="H480" s="65">
        <v>245.4</v>
      </c>
      <c r="I480" s="67">
        <v>4.4049899999999997</v>
      </c>
      <c r="J480" s="67">
        <v>72.135469999999998</v>
      </c>
      <c r="K480" s="67">
        <v>72.143000000000001</v>
      </c>
      <c r="L480" s="68">
        <v>40.588234999999997</v>
      </c>
      <c r="M480" s="67">
        <v>72.123000000000005</v>
      </c>
      <c r="N480" s="68">
        <v>1.247E-2</v>
      </c>
    </row>
    <row r="481" spans="2:14" x14ac:dyDescent="0.25">
      <c r="B481" s="63">
        <v>45124</v>
      </c>
      <c r="C481" s="63">
        <v>45125</v>
      </c>
      <c r="D481" s="63" t="s">
        <v>1648</v>
      </c>
      <c r="E481" s="63" t="s">
        <v>1649</v>
      </c>
      <c r="F481" s="66">
        <v>39.792836999999999</v>
      </c>
      <c r="G481" s="66">
        <v>0</v>
      </c>
      <c r="H481" s="65">
        <v>0</v>
      </c>
      <c r="I481" s="67">
        <v>0</v>
      </c>
      <c r="J481" s="67">
        <v>0</v>
      </c>
      <c r="K481" s="67">
        <v>0</v>
      </c>
      <c r="L481" s="68">
        <v>0</v>
      </c>
      <c r="M481" s="67">
        <v>0</v>
      </c>
      <c r="N481" s="68">
        <v>0</v>
      </c>
    </row>
    <row r="482" spans="2:14" x14ac:dyDescent="0.25">
      <c r="B482" s="63">
        <v>45124</v>
      </c>
      <c r="C482" s="63">
        <v>45125</v>
      </c>
      <c r="D482" s="63" t="s">
        <v>1670</v>
      </c>
      <c r="E482" s="63" t="s">
        <v>1671</v>
      </c>
      <c r="F482" s="66">
        <v>50.370254000000003</v>
      </c>
      <c r="G482" s="66">
        <v>0</v>
      </c>
      <c r="H482" s="65">
        <v>0</v>
      </c>
      <c r="I482" s="67">
        <v>0</v>
      </c>
      <c r="J482" s="67">
        <v>0</v>
      </c>
      <c r="K482" s="67">
        <v>0</v>
      </c>
      <c r="L482" s="68">
        <v>0</v>
      </c>
      <c r="M482" s="67">
        <v>0</v>
      </c>
      <c r="N482" s="68">
        <v>0</v>
      </c>
    </row>
    <row r="483" spans="2:14" x14ac:dyDescent="0.25">
      <c r="B483" s="63">
        <v>45124</v>
      </c>
      <c r="C483" s="63">
        <v>45125</v>
      </c>
      <c r="D483" s="63" t="s">
        <v>1650</v>
      </c>
      <c r="E483" s="63" t="s">
        <v>1651</v>
      </c>
      <c r="F483" s="66">
        <v>0</v>
      </c>
      <c r="G483" s="66">
        <v>0</v>
      </c>
      <c r="H483" s="65">
        <v>0</v>
      </c>
      <c r="I483" s="67">
        <v>0</v>
      </c>
      <c r="J483" s="67">
        <v>0</v>
      </c>
      <c r="K483" s="67">
        <v>0</v>
      </c>
      <c r="L483" s="68">
        <v>0</v>
      </c>
      <c r="M483" s="67">
        <v>0</v>
      </c>
      <c r="N483" s="68">
        <v>0</v>
      </c>
    </row>
    <row r="484" spans="2:14" x14ac:dyDescent="0.25">
      <c r="B484" s="63">
        <v>45124</v>
      </c>
      <c r="C484" s="63">
        <v>45125</v>
      </c>
      <c r="D484" s="63" t="s">
        <v>1652</v>
      </c>
      <c r="E484" s="63" t="s">
        <v>1653</v>
      </c>
      <c r="F484" s="66">
        <v>32.335026999999997</v>
      </c>
      <c r="G484" s="66">
        <v>0</v>
      </c>
      <c r="H484" s="65">
        <v>0</v>
      </c>
      <c r="I484" s="67">
        <v>0</v>
      </c>
      <c r="J484" s="67">
        <v>0</v>
      </c>
      <c r="K484" s="67">
        <v>0</v>
      </c>
      <c r="L484" s="68">
        <v>0</v>
      </c>
      <c r="M484" s="67">
        <v>0</v>
      </c>
      <c r="N484" s="68">
        <v>0</v>
      </c>
    </row>
    <row r="485" spans="2:14" x14ac:dyDescent="0.25">
      <c r="B485" s="63">
        <v>45124</v>
      </c>
      <c r="C485" s="63">
        <v>45125</v>
      </c>
      <c r="D485" s="63" t="s">
        <v>1654</v>
      </c>
      <c r="E485" s="63" t="s">
        <v>1655</v>
      </c>
      <c r="F485" s="66">
        <v>187.72646</v>
      </c>
      <c r="G485" s="66">
        <v>0</v>
      </c>
      <c r="H485" s="65">
        <v>0</v>
      </c>
      <c r="I485" s="67">
        <v>0</v>
      </c>
      <c r="J485" s="67">
        <v>0</v>
      </c>
      <c r="K485" s="67">
        <v>0</v>
      </c>
      <c r="L485" s="68">
        <v>0</v>
      </c>
      <c r="M485" s="67">
        <v>0</v>
      </c>
      <c r="N485" s="68">
        <v>0</v>
      </c>
    </row>
    <row r="486" spans="2:14" x14ac:dyDescent="0.25">
      <c r="B486" s="63">
        <v>45124</v>
      </c>
      <c r="C486" s="63">
        <v>45125</v>
      </c>
      <c r="D486" s="63" t="s">
        <v>1656</v>
      </c>
      <c r="E486" s="63" t="s">
        <v>1657</v>
      </c>
      <c r="F486" s="66">
        <v>0</v>
      </c>
      <c r="G486" s="66">
        <v>0</v>
      </c>
      <c r="H486" s="65">
        <v>0</v>
      </c>
      <c r="I486" s="67">
        <v>0</v>
      </c>
      <c r="J486" s="67">
        <v>0</v>
      </c>
      <c r="K486" s="67">
        <v>0</v>
      </c>
      <c r="L486" s="68">
        <v>0</v>
      </c>
      <c r="M486" s="67">
        <v>0</v>
      </c>
      <c r="N486" s="68">
        <v>0</v>
      </c>
    </row>
    <row r="487" spans="2:14" x14ac:dyDescent="0.25">
      <c r="B487" s="63">
        <v>45124</v>
      </c>
      <c r="C487" s="63">
        <v>45125</v>
      </c>
      <c r="D487" s="63" t="s">
        <v>1658</v>
      </c>
      <c r="E487" s="63" t="s">
        <v>1659</v>
      </c>
      <c r="F487" s="66">
        <v>23.508783000000001</v>
      </c>
      <c r="G487" s="66">
        <v>0</v>
      </c>
      <c r="H487" s="65">
        <v>0</v>
      </c>
      <c r="I487" s="67">
        <v>0</v>
      </c>
      <c r="J487" s="67">
        <v>0</v>
      </c>
      <c r="K487" s="67">
        <v>0</v>
      </c>
      <c r="L487" s="68">
        <v>0</v>
      </c>
      <c r="M487" s="67">
        <v>0</v>
      </c>
      <c r="N487" s="68">
        <v>0</v>
      </c>
    </row>
    <row r="488" spans="2:14" x14ac:dyDescent="0.25">
      <c r="B488" s="63">
        <v>45124</v>
      </c>
      <c r="C488" s="63">
        <v>45125</v>
      </c>
      <c r="D488" s="63" t="s">
        <v>1660</v>
      </c>
      <c r="E488" s="63" t="s">
        <v>1661</v>
      </c>
      <c r="F488" s="66">
        <v>18.678629000000001</v>
      </c>
      <c r="G488" s="66">
        <v>0</v>
      </c>
      <c r="H488" s="65">
        <v>0</v>
      </c>
      <c r="I488" s="67">
        <v>0</v>
      </c>
      <c r="J488" s="67">
        <v>0</v>
      </c>
      <c r="K488" s="67">
        <v>0</v>
      </c>
      <c r="L488" s="68">
        <v>0</v>
      </c>
      <c r="M488" s="67">
        <v>0</v>
      </c>
      <c r="N488" s="68">
        <v>0</v>
      </c>
    </row>
    <row r="489" spans="2:14" x14ac:dyDescent="0.25">
      <c r="B489" s="63">
        <v>45124</v>
      </c>
      <c r="C489" s="63">
        <v>45125</v>
      </c>
      <c r="D489" s="63" t="s">
        <v>1662</v>
      </c>
      <c r="E489" s="63" t="s">
        <v>1663</v>
      </c>
      <c r="F489" s="66">
        <v>0</v>
      </c>
      <c r="G489" s="66">
        <v>0</v>
      </c>
      <c r="H489" s="65">
        <v>0</v>
      </c>
      <c r="I489" s="67">
        <v>0</v>
      </c>
      <c r="J489" s="67">
        <v>0</v>
      </c>
      <c r="K489" s="67">
        <v>0</v>
      </c>
      <c r="L489" s="68">
        <v>0</v>
      </c>
      <c r="M489" s="67">
        <v>0</v>
      </c>
      <c r="N489" s="68">
        <v>0</v>
      </c>
    </row>
    <row r="490" spans="2:14" x14ac:dyDescent="0.25">
      <c r="B490" s="63">
        <v>45124</v>
      </c>
      <c r="C490" s="63">
        <v>45125</v>
      </c>
      <c r="D490" s="63" t="s">
        <v>1664</v>
      </c>
      <c r="E490" s="63" t="s">
        <v>1665</v>
      </c>
      <c r="F490" s="66">
        <v>28.824327</v>
      </c>
      <c r="G490" s="66">
        <v>0</v>
      </c>
      <c r="H490" s="65">
        <v>0</v>
      </c>
      <c r="I490" s="67">
        <v>0</v>
      </c>
      <c r="J490" s="67">
        <v>0</v>
      </c>
      <c r="K490" s="67">
        <v>0</v>
      </c>
      <c r="L490" s="68">
        <v>0</v>
      </c>
      <c r="M490" s="67">
        <v>0</v>
      </c>
      <c r="N490" s="68">
        <v>0</v>
      </c>
    </row>
    <row r="491" spans="2:14" x14ac:dyDescent="0.25">
      <c r="B491" s="63">
        <v>45124</v>
      </c>
      <c r="C491" s="63">
        <v>45125</v>
      </c>
      <c r="D491" s="63" t="s">
        <v>1666</v>
      </c>
      <c r="E491" s="63" t="s">
        <v>1667</v>
      </c>
      <c r="F491" s="66">
        <v>8.8860690000000009</v>
      </c>
      <c r="G491" s="66">
        <v>0</v>
      </c>
      <c r="H491" s="65">
        <v>0</v>
      </c>
      <c r="I491" s="67">
        <v>0</v>
      </c>
      <c r="J491" s="67">
        <v>0</v>
      </c>
      <c r="K491" s="67">
        <v>0</v>
      </c>
      <c r="L491" s="68">
        <v>0</v>
      </c>
      <c r="M491" s="67">
        <v>0</v>
      </c>
      <c r="N491" s="68">
        <v>0</v>
      </c>
    </row>
    <row r="492" spans="2:14" x14ac:dyDescent="0.25">
      <c r="B492" s="63">
        <v>45124</v>
      </c>
      <c r="C492" s="63">
        <v>45125</v>
      </c>
      <c r="D492" s="63" t="s">
        <v>1672</v>
      </c>
      <c r="E492" s="63" t="s">
        <v>1673</v>
      </c>
      <c r="F492" s="66">
        <v>0</v>
      </c>
      <c r="G492" s="66">
        <v>0</v>
      </c>
      <c r="H492" s="65">
        <v>0</v>
      </c>
      <c r="I492" s="67">
        <v>0</v>
      </c>
      <c r="J492" s="67">
        <v>0</v>
      </c>
      <c r="K492" s="67">
        <v>0</v>
      </c>
      <c r="L492" s="68">
        <v>0</v>
      </c>
      <c r="M492" s="67">
        <v>0</v>
      </c>
      <c r="N492" s="68">
        <v>0</v>
      </c>
    </row>
    <row r="493" spans="2:14" x14ac:dyDescent="0.25">
      <c r="B493" s="63">
        <v>45131</v>
      </c>
      <c r="C493" s="63">
        <v>45132</v>
      </c>
      <c r="D493" s="63" t="s">
        <v>1674</v>
      </c>
      <c r="E493" s="63" t="s">
        <v>1675</v>
      </c>
      <c r="F493" s="66">
        <v>0</v>
      </c>
      <c r="G493" s="66">
        <v>0</v>
      </c>
      <c r="H493" s="65">
        <v>0</v>
      </c>
      <c r="I493" s="67">
        <v>0</v>
      </c>
      <c r="J493" s="67">
        <v>0</v>
      </c>
      <c r="K493" s="67">
        <v>0</v>
      </c>
      <c r="L493" s="68">
        <v>0</v>
      </c>
      <c r="M493" s="67">
        <v>0</v>
      </c>
      <c r="N493" s="68">
        <v>0</v>
      </c>
    </row>
    <row r="494" spans="2:14" x14ac:dyDescent="0.25">
      <c r="B494" s="63">
        <v>45131</v>
      </c>
      <c r="C494" s="63">
        <v>45132</v>
      </c>
      <c r="D494" s="63" t="s">
        <v>1676</v>
      </c>
      <c r="E494" s="63" t="s">
        <v>1677</v>
      </c>
      <c r="F494" s="66">
        <v>0</v>
      </c>
      <c r="G494" s="66">
        <v>0</v>
      </c>
      <c r="H494" s="65">
        <v>0</v>
      </c>
      <c r="I494" s="67">
        <v>0</v>
      </c>
      <c r="J494" s="67">
        <v>0</v>
      </c>
      <c r="K494" s="67">
        <v>0</v>
      </c>
      <c r="L494" s="68">
        <v>0</v>
      </c>
      <c r="M494" s="67">
        <v>0</v>
      </c>
      <c r="N494" s="68">
        <v>0</v>
      </c>
    </row>
    <row r="495" spans="2:14" x14ac:dyDescent="0.25">
      <c r="B495" s="63">
        <v>45131</v>
      </c>
      <c r="C495" s="63">
        <v>45132</v>
      </c>
      <c r="D495" s="63" t="s">
        <v>1678</v>
      </c>
      <c r="E495" s="63" t="s">
        <v>1679</v>
      </c>
      <c r="F495" s="66">
        <v>27.170023</v>
      </c>
      <c r="G495" s="66">
        <v>0</v>
      </c>
      <c r="H495" s="65">
        <v>0</v>
      </c>
      <c r="I495" s="67">
        <v>0</v>
      </c>
      <c r="J495" s="67">
        <v>0</v>
      </c>
      <c r="K495" s="67">
        <v>0</v>
      </c>
      <c r="L495" s="68">
        <v>0</v>
      </c>
      <c r="M495" s="67">
        <v>0</v>
      </c>
      <c r="N495" s="68">
        <v>0</v>
      </c>
    </row>
    <row r="496" spans="2:14" x14ac:dyDescent="0.25">
      <c r="B496" s="63">
        <v>45131</v>
      </c>
      <c r="C496" s="63">
        <v>45132</v>
      </c>
      <c r="D496" s="63" t="s">
        <v>1680</v>
      </c>
      <c r="E496" s="63" t="s">
        <v>1681</v>
      </c>
      <c r="F496" s="66">
        <v>0</v>
      </c>
      <c r="G496" s="66">
        <v>0</v>
      </c>
      <c r="H496" s="65">
        <v>0</v>
      </c>
      <c r="I496" s="67">
        <v>0</v>
      </c>
      <c r="J496" s="67">
        <v>0</v>
      </c>
      <c r="K496" s="67">
        <v>0</v>
      </c>
      <c r="L496" s="68">
        <v>0</v>
      </c>
      <c r="M496" s="67">
        <v>0</v>
      </c>
      <c r="N496" s="68">
        <v>0</v>
      </c>
    </row>
    <row r="497" spans="2:15" x14ac:dyDescent="0.25">
      <c r="B497" s="63">
        <v>45131</v>
      </c>
      <c r="C497" s="63">
        <v>45132</v>
      </c>
      <c r="D497" s="63" t="s">
        <v>1682</v>
      </c>
      <c r="E497" s="63" t="s">
        <v>1683</v>
      </c>
      <c r="F497" s="66">
        <v>0</v>
      </c>
      <c r="G497" s="66">
        <v>0</v>
      </c>
      <c r="H497" s="65">
        <v>0</v>
      </c>
      <c r="I497" s="67">
        <v>0</v>
      </c>
      <c r="J497" s="67">
        <v>0</v>
      </c>
      <c r="K497" s="67">
        <v>0</v>
      </c>
      <c r="L497" s="68">
        <v>0</v>
      </c>
      <c r="M497" s="67">
        <v>0</v>
      </c>
      <c r="N497" s="68">
        <v>0</v>
      </c>
    </row>
    <row r="498" spans="2:15" x14ac:dyDescent="0.25">
      <c r="B498" s="63">
        <v>45131</v>
      </c>
      <c r="C498" s="63">
        <v>45132</v>
      </c>
      <c r="D498" s="63" t="s">
        <v>1684</v>
      </c>
      <c r="E498" s="63" t="s">
        <v>1685</v>
      </c>
      <c r="F498" s="66">
        <v>0</v>
      </c>
      <c r="G498" s="66">
        <v>0</v>
      </c>
      <c r="H498" s="65">
        <v>0</v>
      </c>
      <c r="I498" s="67">
        <v>0</v>
      </c>
      <c r="J498" s="67">
        <v>0</v>
      </c>
      <c r="K498" s="67">
        <v>0</v>
      </c>
      <c r="L498" s="68">
        <v>0</v>
      </c>
      <c r="M498" s="67">
        <v>0</v>
      </c>
      <c r="N498" s="68">
        <v>0</v>
      </c>
    </row>
    <row r="499" spans="2:15" x14ac:dyDescent="0.25">
      <c r="B499" s="63">
        <v>45131</v>
      </c>
      <c r="C499" s="63">
        <v>45132</v>
      </c>
      <c r="D499" s="63" t="s">
        <v>1686</v>
      </c>
      <c r="E499" s="63" t="s">
        <v>1687</v>
      </c>
      <c r="F499" s="66">
        <v>0</v>
      </c>
      <c r="G499" s="66">
        <v>0</v>
      </c>
      <c r="H499" s="65">
        <v>0</v>
      </c>
      <c r="I499" s="67">
        <v>0</v>
      </c>
      <c r="J499" s="67">
        <v>0</v>
      </c>
      <c r="K499" s="67">
        <v>0</v>
      </c>
      <c r="L499" s="68">
        <v>0</v>
      </c>
      <c r="M499" s="67">
        <v>0</v>
      </c>
      <c r="N499" s="68">
        <v>0</v>
      </c>
    </row>
    <row r="500" spans="2:15" x14ac:dyDescent="0.25">
      <c r="B500" s="63">
        <v>45131</v>
      </c>
      <c r="C500" s="63">
        <v>45132</v>
      </c>
      <c r="D500" s="63" t="s">
        <v>1688</v>
      </c>
      <c r="E500" s="63" t="s">
        <v>1689</v>
      </c>
      <c r="F500" s="66">
        <v>707.33732799999996</v>
      </c>
      <c r="G500" s="66">
        <v>465.887631</v>
      </c>
      <c r="H500" s="65">
        <v>1129</v>
      </c>
      <c r="I500" s="67">
        <v>4.3261539999999998</v>
      </c>
      <c r="J500" s="67">
        <v>41.105007000000001</v>
      </c>
      <c r="K500" s="67">
        <v>41.133000000000003</v>
      </c>
      <c r="L500" s="68">
        <v>100</v>
      </c>
      <c r="M500" s="67">
        <v>41.033000000000001</v>
      </c>
      <c r="N500" s="68">
        <v>7.2007000000000002E-2</v>
      </c>
    </row>
    <row r="501" spans="2:15" x14ac:dyDescent="0.25">
      <c r="B501" s="63">
        <v>45131</v>
      </c>
      <c r="C501" s="63">
        <v>45132</v>
      </c>
      <c r="D501" s="63" t="s">
        <v>1690</v>
      </c>
      <c r="E501" s="63" t="s">
        <v>1691</v>
      </c>
      <c r="F501" s="66">
        <v>608.33339699999999</v>
      </c>
      <c r="G501" s="66">
        <v>229.25855000000001</v>
      </c>
      <c r="H501" s="65">
        <v>458</v>
      </c>
      <c r="I501" s="67">
        <v>4.350193</v>
      </c>
      <c r="J501" s="67">
        <v>50.077196999999998</v>
      </c>
      <c r="K501" s="67">
        <v>50.124000000000002</v>
      </c>
      <c r="L501" s="68">
        <v>100</v>
      </c>
      <c r="M501" s="67">
        <v>49.951000000000001</v>
      </c>
      <c r="N501" s="68">
        <v>0.126197</v>
      </c>
    </row>
    <row r="502" spans="2:15" x14ac:dyDescent="0.25">
      <c r="B502" s="63">
        <v>45131</v>
      </c>
      <c r="C502" s="63">
        <v>45132</v>
      </c>
      <c r="D502" s="63" t="s">
        <v>1692</v>
      </c>
      <c r="E502" s="63" t="s">
        <v>1693</v>
      </c>
      <c r="F502" s="66">
        <v>0</v>
      </c>
      <c r="G502" s="66">
        <v>0</v>
      </c>
      <c r="H502" s="65">
        <v>0</v>
      </c>
      <c r="I502" s="67">
        <v>0</v>
      </c>
      <c r="J502" s="67">
        <v>0</v>
      </c>
      <c r="K502" s="67">
        <v>0</v>
      </c>
      <c r="L502" s="68">
        <v>0</v>
      </c>
      <c r="M502" s="67">
        <v>0</v>
      </c>
      <c r="N502" s="68">
        <v>0</v>
      </c>
    </row>
    <row r="503" spans="2:15" x14ac:dyDescent="0.25">
      <c r="B503" s="63">
        <v>45131</v>
      </c>
      <c r="C503" s="63">
        <v>45132</v>
      </c>
      <c r="D503" s="63" t="s">
        <v>1694</v>
      </c>
      <c r="E503" s="63" t="s">
        <v>1695</v>
      </c>
      <c r="F503" s="66">
        <v>0</v>
      </c>
      <c r="G503" s="66">
        <v>0</v>
      </c>
      <c r="H503" s="65">
        <v>0</v>
      </c>
      <c r="I503" s="67">
        <v>0</v>
      </c>
      <c r="J503" s="67">
        <v>0</v>
      </c>
      <c r="K503" s="67">
        <v>0</v>
      </c>
      <c r="L503" s="68">
        <v>0</v>
      </c>
      <c r="M503" s="67">
        <v>0</v>
      </c>
      <c r="N503" s="68">
        <v>0</v>
      </c>
    </row>
    <row r="504" spans="2:15" x14ac:dyDescent="0.25">
      <c r="B504" s="63">
        <v>45131</v>
      </c>
      <c r="C504" s="63">
        <v>45132</v>
      </c>
      <c r="D504" s="63" t="s">
        <v>1696</v>
      </c>
      <c r="E504" s="63" t="s">
        <v>1697</v>
      </c>
      <c r="F504" s="66">
        <v>0</v>
      </c>
      <c r="G504" s="66">
        <v>0</v>
      </c>
      <c r="H504" s="65">
        <v>0</v>
      </c>
      <c r="I504" s="67">
        <v>0</v>
      </c>
      <c r="J504" s="67">
        <v>0</v>
      </c>
      <c r="K504" s="67">
        <v>0</v>
      </c>
      <c r="L504" s="68">
        <v>0</v>
      </c>
      <c r="M504" s="67">
        <v>0</v>
      </c>
      <c r="N504" s="68">
        <v>0</v>
      </c>
    </row>
    <row r="505" spans="2:15" x14ac:dyDescent="0.25">
      <c r="B505" s="63">
        <v>45131</v>
      </c>
      <c r="C505" s="63">
        <v>45132</v>
      </c>
      <c r="D505" s="63" t="s">
        <v>1698</v>
      </c>
      <c r="E505" s="63" t="s">
        <v>1699</v>
      </c>
      <c r="F505" s="66">
        <v>0</v>
      </c>
      <c r="G505" s="66">
        <v>0</v>
      </c>
      <c r="H505" s="65">
        <v>0</v>
      </c>
      <c r="I505" s="67">
        <v>0</v>
      </c>
      <c r="J505" s="67">
        <v>0</v>
      </c>
      <c r="K505" s="67">
        <v>0</v>
      </c>
      <c r="L505" s="68">
        <v>0</v>
      </c>
      <c r="M505" s="67">
        <v>0</v>
      </c>
      <c r="N505" s="68">
        <v>0</v>
      </c>
    </row>
    <row r="506" spans="2:15" x14ac:dyDescent="0.25">
      <c r="B506" s="63">
        <v>45131</v>
      </c>
      <c r="C506" s="63">
        <v>45132</v>
      </c>
      <c r="D506" s="63" t="s">
        <v>1700</v>
      </c>
      <c r="E506" s="63" t="s">
        <v>1701</v>
      </c>
      <c r="F506" s="66">
        <v>8.3241390000000006</v>
      </c>
      <c r="G506" s="66">
        <v>8.3241399999999999</v>
      </c>
      <c r="H506" s="65">
        <v>15</v>
      </c>
      <c r="I506" s="67">
        <v>4.2318090000000002</v>
      </c>
      <c r="J506" s="67">
        <v>55.48</v>
      </c>
      <c r="K506" s="67">
        <v>55.48</v>
      </c>
      <c r="L506" s="68">
        <v>100</v>
      </c>
      <c r="M506" s="67">
        <v>55.48</v>
      </c>
      <c r="N506" s="68">
        <v>0</v>
      </c>
    </row>
    <row r="507" spans="2:15" x14ac:dyDescent="0.25">
      <c r="B507" s="63">
        <v>45131</v>
      </c>
      <c r="C507" s="63">
        <v>45132</v>
      </c>
      <c r="D507" s="63" t="s">
        <v>1702</v>
      </c>
      <c r="E507" s="63" t="s">
        <v>1703</v>
      </c>
      <c r="F507" s="66">
        <v>0</v>
      </c>
      <c r="G507" s="66">
        <v>0</v>
      </c>
      <c r="H507" s="65">
        <v>0</v>
      </c>
      <c r="I507" s="67">
        <v>0</v>
      </c>
      <c r="J507" s="67">
        <v>0</v>
      </c>
      <c r="K507" s="67">
        <v>0</v>
      </c>
      <c r="L507" s="68">
        <v>0</v>
      </c>
      <c r="M507" s="67">
        <v>0</v>
      </c>
      <c r="N507" s="68">
        <v>0</v>
      </c>
    </row>
    <row r="508" spans="2:15" x14ac:dyDescent="0.25">
      <c r="B508" s="63">
        <v>45131</v>
      </c>
      <c r="C508" s="63">
        <v>45132</v>
      </c>
      <c r="D508" s="63" t="s">
        <v>1704</v>
      </c>
      <c r="E508" s="63" t="s">
        <v>1705</v>
      </c>
      <c r="F508" s="66">
        <v>0</v>
      </c>
      <c r="G508" s="66">
        <v>0</v>
      </c>
      <c r="H508" s="65">
        <v>0</v>
      </c>
      <c r="I508" s="67">
        <v>0</v>
      </c>
      <c r="J508" s="67">
        <v>0</v>
      </c>
      <c r="K508" s="67">
        <v>0</v>
      </c>
      <c r="L508" s="68">
        <v>0</v>
      </c>
      <c r="M508" s="67">
        <v>0</v>
      </c>
      <c r="N508" s="68">
        <v>0</v>
      </c>
    </row>
    <row r="509" spans="2:15" x14ac:dyDescent="0.25">
      <c r="B509" s="63">
        <v>45131</v>
      </c>
      <c r="C509" s="63">
        <v>45132</v>
      </c>
      <c r="D509" s="63" t="s">
        <v>1706</v>
      </c>
      <c r="E509" s="63" t="s">
        <v>1707</v>
      </c>
      <c r="F509" s="66">
        <v>85.683366000000007</v>
      </c>
      <c r="G509" s="66">
        <v>69.539175</v>
      </c>
      <c r="H509" s="65">
        <v>103.8</v>
      </c>
      <c r="I509" s="67">
        <v>4.1738629999999999</v>
      </c>
      <c r="J509" s="67">
        <v>66.973298999999997</v>
      </c>
      <c r="K509" s="67">
        <v>67.052999999999997</v>
      </c>
      <c r="L509" s="68">
        <v>99</v>
      </c>
      <c r="M509" s="67">
        <v>66.709999999999994</v>
      </c>
      <c r="N509" s="68">
        <v>0.26329900000000001</v>
      </c>
    </row>
    <row r="510" spans="2:15" x14ac:dyDescent="0.25">
      <c r="B510" s="63">
        <v>45131</v>
      </c>
      <c r="C510" s="63">
        <v>45132</v>
      </c>
      <c r="D510" s="63" t="s">
        <v>1708</v>
      </c>
      <c r="E510" s="63" t="s">
        <v>1709</v>
      </c>
      <c r="F510" s="66">
        <v>24.036819000000001</v>
      </c>
      <c r="G510" s="66">
        <v>12.039865000000001</v>
      </c>
      <c r="H510" s="65">
        <v>14</v>
      </c>
      <c r="I510" s="67">
        <v>4.1961519999999997</v>
      </c>
      <c r="J510" s="67">
        <v>85.970534000000001</v>
      </c>
      <c r="K510" s="67">
        <v>86.025000000000006</v>
      </c>
      <c r="L510" s="68">
        <v>100</v>
      </c>
      <c r="M510" s="67">
        <v>85.915999999999997</v>
      </c>
      <c r="N510" s="68">
        <v>5.4533999999999999E-2</v>
      </c>
    </row>
    <row r="511" spans="2:15" x14ac:dyDescent="0.25">
      <c r="B511" s="63">
        <v>45131</v>
      </c>
      <c r="C511" s="63">
        <v>45132</v>
      </c>
      <c r="D511" s="63" t="s">
        <v>1710</v>
      </c>
      <c r="E511" s="63" t="s">
        <v>1711</v>
      </c>
      <c r="F511" s="66">
        <v>4.9457339999999999</v>
      </c>
      <c r="G511" s="66">
        <v>4.945735</v>
      </c>
      <c r="H511" s="65">
        <v>10</v>
      </c>
      <c r="I511" s="67">
        <v>4.0289859999999997</v>
      </c>
      <c r="J511" s="67">
        <v>49.04</v>
      </c>
      <c r="K511" s="67">
        <v>49.04</v>
      </c>
      <c r="L511" s="68">
        <v>100</v>
      </c>
      <c r="M511" s="67">
        <v>49.04</v>
      </c>
      <c r="N511" s="68">
        <v>0</v>
      </c>
    </row>
    <row r="512" spans="2:15" x14ac:dyDescent="0.25">
      <c r="B512" s="63">
        <v>45145</v>
      </c>
      <c r="C512" s="63">
        <v>45146</v>
      </c>
      <c r="D512" s="64" t="s">
        <v>1674</v>
      </c>
      <c r="E512" s="64" t="s">
        <v>1675</v>
      </c>
      <c r="F512" s="65">
        <v>40.712066999999998</v>
      </c>
      <c r="G512" s="66">
        <v>40.712067934785999</v>
      </c>
      <c r="H512" s="65">
        <v>50</v>
      </c>
      <c r="I512" s="67">
        <v>4.6826910000000002</v>
      </c>
      <c r="J512" s="67">
        <v>81.274068999999997</v>
      </c>
      <c r="K512" s="67">
        <v>81.349000000000004</v>
      </c>
      <c r="L512" s="68">
        <v>100</v>
      </c>
      <c r="M512" s="67">
        <v>81.198999999999998</v>
      </c>
      <c r="N512" s="68">
        <v>7.5068999999999997E-2</v>
      </c>
      <c r="O512" s="68"/>
    </row>
    <row r="513" spans="2:15" x14ac:dyDescent="0.25">
      <c r="B513" s="63">
        <v>45145</v>
      </c>
      <c r="C513" s="63">
        <v>45146</v>
      </c>
      <c r="D513" s="64" t="s">
        <v>1676</v>
      </c>
      <c r="E513" s="64" t="s">
        <v>1677</v>
      </c>
      <c r="F513" s="65">
        <v>0</v>
      </c>
      <c r="G513" s="66">
        <v>0</v>
      </c>
      <c r="H513" s="65">
        <v>0</v>
      </c>
      <c r="I513" s="67">
        <v>0</v>
      </c>
      <c r="J513" s="67">
        <v>0</v>
      </c>
      <c r="K513" s="67">
        <v>0</v>
      </c>
      <c r="L513" s="68">
        <v>0</v>
      </c>
      <c r="M513" s="67">
        <v>0</v>
      </c>
      <c r="N513" s="68">
        <v>0</v>
      </c>
      <c r="O513" s="68"/>
    </row>
    <row r="514" spans="2:15" x14ac:dyDescent="0.25">
      <c r="B514" s="63">
        <v>45145</v>
      </c>
      <c r="C514" s="63">
        <v>45146</v>
      </c>
      <c r="D514" s="64" t="s">
        <v>1678</v>
      </c>
      <c r="E514" s="64" t="s">
        <v>1679</v>
      </c>
      <c r="F514" s="65">
        <v>0</v>
      </c>
      <c r="G514" s="66">
        <v>0</v>
      </c>
      <c r="H514" s="65">
        <v>0</v>
      </c>
      <c r="I514" s="67">
        <v>0</v>
      </c>
      <c r="J514" s="67">
        <v>0</v>
      </c>
      <c r="K514" s="67">
        <v>0</v>
      </c>
      <c r="L514" s="68">
        <v>0</v>
      </c>
      <c r="M514" s="67">
        <v>0</v>
      </c>
      <c r="N514" s="68">
        <v>0</v>
      </c>
    </row>
    <row r="515" spans="2:15" x14ac:dyDescent="0.25">
      <c r="B515" s="63">
        <v>45145</v>
      </c>
      <c r="C515" s="63">
        <v>45146</v>
      </c>
      <c r="D515" s="64" t="s">
        <v>1680</v>
      </c>
      <c r="E515" s="64" t="s">
        <v>1681</v>
      </c>
      <c r="F515" s="65">
        <v>4.7259969999999996</v>
      </c>
      <c r="G515" s="66">
        <v>4.7259972677600004</v>
      </c>
      <c r="H515" s="65">
        <v>5</v>
      </c>
      <c r="I515" s="67">
        <v>4.6895389999999999</v>
      </c>
      <c r="J515" s="67">
        <v>93.8</v>
      </c>
      <c r="K515" s="67">
        <v>93.8</v>
      </c>
      <c r="L515" s="68">
        <v>100</v>
      </c>
      <c r="M515" s="67">
        <v>93.8</v>
      </c>
      <c r="N515" s="68">
        <v>0</v>
      </c>
    </row>
    <row r="516" spans="2:15" x14ac:dyDescent="0.25">
      <c r="B516" s="63">
        <v>45145</v>
      </c>
      <c r="C516" s="63">
        <v>45146</v>
      </c>
      <c r="D516" s="64" t="s">
        <v>1682</v>
      </c>
      <c r="E516" s="64" t="s">
        <v>1683</v>
      </c>
      <c r="F516" s="65">
        <v>0</v>
      </c>
      <c r="G516" s="66">
        <v>0</v>
      </c>
      <c r="H516" s="65">
        <v>0</v>
      </c>
      <c r="I516" s="67">
        <v>0</v>
      </c>
      <c r="J516" s="67">
        <v>0</v>
      </c>
      <c r="K516" s="67">
        <v>0</v>
      </c>
      <c r="L516" s="68">
        <v>0</v>
      </c>
      <c r="M516" s="67">
        <v>0</v>
      </c>
      <c r="N516" s="68">
        <v>0</v>
      </c>
    </row>
    <row r="517" spans="2:15" x14ac:dyDescent="0.25">
      <c r="B517" s="63">
        <v>45145</v>
      </c>
      <c r="C517" s="63">
        <v>45146</v>
      </c>
      <c r="D517" s="64" t="s">
        <v>1684</v>
      </c>
      <c r="E517" s="64" t="s">
        <v>1685</v>
      </c>
      <c r="F517" s="65">
        <v>5.7340840000000002</v>
      </c>
      <c r="G517" s="66">
        <v>5.7340842391300004</v>
      </c>
      <c r="H517" s="65">
        <v>10</v>
      </c>
      <c r="I517" s="67">
        <v>4.6239889999999999</v>
      </c>
      <c r="J517" s="67">
        <v>57.26</v>
      </c>
      <c r="K517" s="67">
        <v>57.26</v>
      </c>
      <c r="L517" s="68">
        <v>100</v>
      </c>
      <c r="M517" s="67">
        <v>57.26</v>
      </c>
      <c r="N517" s="68">
        <v>0</v>
      </c>
    </row>
    <row r="518" spans="2:15" x14ac:dyDescent="0.25">
      <c r="B518" s="63">
        <v>45145</v>
      </c>
      <c r="C518" s="63">
        <v>45146</v>
      </c>
      <c r="D518" s="64" t="s">
        <v>1686</v>
      </c>
      <c r="E518" s="64" t="s">
        <v>1687</v>
      </c>
      <c r="F518" s="65">
        <v>0</v>
      </c>
      <c r="G518" s="66">
        <v>0</v>
      </c>
      <c r="H518" s="65">
        <v>0</v>
      </c>
      <c r="I518" s="67">
        <v>0</v>
      </c>
      <c r="J518" s="67">
        <v>0</v>
      </c>
      <c r="K518" s="67">
        <v>0</v>
      </c>
      <c r="L518" s="68">
        <v>0</v>
      </c>
      <c r="M518" s="67">
        <v>0</v>
      </c>
      <c r="N518" s="68">
        <v>0</v>
      </c>
    </row>
    <row r="519" spans="2:15" x14ac:dyDescent="0.25">
      <c r="B519" s="63">
        <v>45145</v>
      </c>
      <c r="C519" s="63">
        <v>45146</v>
      </c>
      <c r="D519" s="64" t="s">
        <v>1688</v>
      </c>
      <c r="E519" s="64" t="s">
        <v>1689</v>
      </c>
      <c r="F519" s="65">
        <v>779.56739200000004</v>
      </c>
      <c r="G519" s="66">
        <v>440.09436786887397</v>
      </c>
      <c r="H519" s="65">
        <v>1128</v>
      </c>
      <c r="I519" s="67">
        <v>4.5806880000000003</v>
      </c>
      <c r="J519" s="67">
        <v>38.831375999999999</v>
      </c>
      <c r="K519" s="67">
        <v>39.073</v>
      </c>
      <c r="L519" s="68">
        <v>100</v>
      </c>
      <c r="M519" s="67">
        <v>38.710999999999999</v>
      </c>
      <c r="N519" s="68">
        <v>0.120376</v>
      </c>
    </row>
    <row r="520" spans="2:15" x14ac:dyDescent="0.25">
      <c r="B520" s="63">
        <v>45145</v>
      </c>
      <c r="C520" s="63">
        <v>45146</v>
      </c>
      <c r="D520" s="64" t="s">
        <v>1690</v>
      </c>
      <c r="E520" s="64" t="s">
        <v>1691</v>
      </c>
      <c r="F520" s="65">
        <v>177.940752</v>
      </c>
      <c r="G520" s="66">
        <v>143.11462173912</v>
      </c>
      <c r="H520" s="65">
        <v>300</v>
      </c>
      <c r="I520" s="67">
        <v>4.5896619999999997</v>
      </c>
      <c r="J520" s="67">
        <v>47.677892</v>
      </c>
      <c r="K520" s="67">
        <v>47.81</v>
      </c>
      <c r="L520" s="68">
        <v>100</v>
      </c>
      <c r="M520" s="67">
        <v>47.472000000000001</v>
      </c>
      <c r="N520" s="68">
        <v>0.20589199999999999</v>
      </c>
    </row>
    <row r="521" spans="2:15" x14ac:dyDescent="0.25">
      <c r="B521" s="63">
        <v>45145</v>
      </c>
      <c r="C521" s="63">
        <v>45146</v>
      </c>
      <c r="D521" s="64" t="s">
        <v>1692</v>
      </c>
      <c r="E521" s="64" t="s">
        <v>1693</v>
      </c>
      <c r="F521" s="65">
        <v>69.130135999999993</v>
      </c>
      <c r="G521" s="66">
        <v>69.130136956521</v>
      </c>
      <c r="H521" s="65">
        <v>80</v>
      </c>
      <c r="I521" s="67">
        <v>4.6162080000000003</v>
      </c>
      <c r="J521" s="67">
        <v>86.239559999999997</v>
      </c>
      <c r="K521" s="67">
        <v>86.361000000000004</v>
      </c>
      <c r="L521" s="68">
        <v>100</v>
      </c>
      <c r="M521" s="67">
        <v>86.11</v>
      </c>
      <c r="N521" s="68">
        <v>0.12956000000000001</v>
      </c>
    </row>
    <row r="522" spans="2:15" x14ac:dyDescent="0.25">
      <c r="B522" s="63">
        <v>45145</v>
      </c>
      <c r="C522" s="63">
        <v>45146</v>
      </c>
      <c r="D522" s="64" t="s">
        <v>1694</v>
      </c>
      <c r="E522" s="64" t="s">
        <v>1695</v>
      </c>
      <c r="F522" s="65">
        <v>0</v>
      </c>
      <c r="G522" s="66">
        <v>0</v>
      </c>
      <c r="H522" s="65">
        <v>0</v>
      </c>
      <c r="I522" s="67">
        <v>0</v>
      </c>
      <c r="J522" s="67">
        <v>0</v>
      </c>
      <c r="K522" s="67">
        <v>0</v>
      </c>
      <c r="L522" s="68">
        <v>0</v>
      </c>
      <c r="M522" s="67">
        <v>0</v>
      </c>
      <c r="N522" s="68">
        <v>0</v>
      </c>
    </row>
    <row r="523" spans="2:15" x14ac:dyDescent="0.25">
      <c r="B523" s="63">
        <v>45145</v>
      </c>
      <c r="C523" s="63">
        <v>45146</v>
      </c>
      <c r="D523" s="64" t="s">
        <v>1696</v>
      </c>
      <c r="E523" s="64" t="s">
        <v>1697</v>
      </c>
      <c r="F523" s="65">
        <v>59.505034000000002</v>
      </c>
      <c r="G523" s="66">
        <v>24.483480377048998</v>
      </c>
      <c r="H523" s="65">
        <v>47.3</v>
      </c>
      <c r="I523" s="67">
        <v>4.5705549999999997</v>
      </c>
      <c r="J523" s="67">
        <v>51.282769999999999</v>
      </c>
      <c r="K523" s="67">
        <v>51.55</v>
      </c>
      <c r="L523" s="68">
        <v>38.454545000000003</v>
      </c>
      <c r="M523" s="67">
        <v>51.250999999999998</v>
      </c>
      <c r="N523" s="68">
        <v>3.177E-2</v>
      </c>
    </row>
    <row r="524" spans="2:15" x14ac:dyDescent="0.25">
      <c r="B524" s="63">
        <v>45145</v>
      </c>
      <c r="C524" s="63">
        <v>45146</v>
      </c>
      <c r="D524" s="64" t="s">
        <v>1698</v>
      </c>
      <c r="E524" s="64" t="s">
        <v>1699</v>
      </c>
      <c r="F524" s="65">
        <v>4.7739969999999996</v>
      </c>
      <c r="G524" s="66">
        <v>4.7739972677600004</v>
      </c>
      <c r="H524" s="65">
        <v>5</v>
      </c>
      <c r="I524" s="67">
        <v>4.5611610000000002</v>
      </c>
      <c r="J524" s="67">
        <v>94.76</v>
      </c>
      <c r="K524" s="67">
        <v>94.76</v>
      </c>
      <c r="L524" s="68">
        <v>100</v>
      </c>
      <c r="M524" s="67">
        <v>94.76</v>
      </c>
      <c r="N524" s="68">
        <v>0</v>
      </c>
    </row>
    <row r="525" spans="2:15" x14ac:dyDescent="0.25">
      <c r="B525" s="63">
        <v>45145</v>
      </c>
      <c r="C525" s="63">
        <v>45146</v>
      </c>
      <c r="D525" s="64" t="s">
        <v>1700</v>
      </c>
      <c r="E525" s="64" t="s">
        <v>1701</v>
      </c>
      <c r="F525" s="65">
        <v>2.6430419999999999</v>
      </c>
      <c r="G525" s="66">
        <v>2.643042119565</v>
      </c>
      <c r="H525" s="65">
        <v>5</v>
      </c>
      <c r="I525" s="67">
        <v>4.464054</v>
      </c>
      <c r="J525" s="67">
        <v>52.78</v>
      </c>
      <c r="K525" s="67">
        <v>52.78</v>
      </c>
      <c r="L525" s="68">
        <v>100</v>
      </c>
      <c r="M525" s="67">
        <v>52.78</v>
      </c>
      <c r="N525" s="68">
        <v>0</v>
      </c>
    </row>
    <row r="526" spans="2:15" x14ac:dyDescent="0.25">
      <c r="B526" s="63">
        <v>45145</v>
      </c>
      <c r="C526" s="63">
        <v>45146</v>
      </c>
      <c r="D526" s="64" t="s">
        <v>1702</v>
      </c>
      <c r="E526" s="64" t="s">
        <v>1703</v>
      </c>
      <c r="F526" s="65">
        <v>0</v>
      </c>
      <c r="G526" s="66">
        <v>0</v>
      </c>
      <c r="H526" s="65">
        <v>0</v>
      </c>
      <c r="I526" s="67">
        <v>0</v>
      </c>
      <c r="J526" s="67">
        <v>0</v>
      </c>
      <c r="K526" s="67">
        <v>0</v>
      </c>
      <c r="L526" s="68">
        <v>0</v>
      </c>
      <c r="M526" s="67">
        <v>0</v>
      </c>
      <c r="N526" s="68">
        <v>0</v>
      </c>
    </row>
    <row r="527" spans="2:15" x14ac:dyDescent="0.25">
      <c r="B527" s="63">
        <v>45145</v>
      </c>
      <c r="C527" s="63">
        <v>45146</v>
      </c>
      <c r="D527" s="64" t="s">
        <v>1704</v>
      </c>
      <c r="E527" s="64" t="s">
        <v>1705</v>
      </c>
      <c r="F527" s="65">
        <v>7.3493849999999998</v>
      </c>
      <c r="G527" s="66">
        <v>7.349385245903</v>
      </c>
      <c r="H527" s="65">
        <v>25</v>
      </c>
      <c r="I527" s="67">
        <v>4.2738240000000003</v>
      </c>
      <c r="J527" s="67">
        <v>29.25</v>
      </c>
      <c r="K527" s="67">
        <v>29.25</v>
      </c>
      <c r="L527" s="68">
        <v>100</v>
      </c>
      <c r="M527" s="67">
        <v>29.25</v>
      </c>
      <c r="N527" s="68">
        <v>0</v>
      </c>
    </row>
    <row r="528" spans="2:15" x14ac:dyDescent="0.25">
      <c r="B528" s="63">
        <v>45145</v>
      </c>
      <c r="C528" s="63">
        <v>45146</v>
      </c>
      <c r="D528" s="64" t="s">
        <v>1706</v>
      </c>
      <c r="E528" s="64" t="s">
        <v>1707</v>
      </c>
      <c r="F528" s="65">
        <v>32.532099000000002</v>
      </c>
      <c r="G528" s="66">
        <v>26.199550543476999</v>
      </c>
      <c r="H528" s="65">
        <v>41</v>
      </c>
      <c r="I528" s="67">
        <v>4.3989900000000004</v>
      </c>
      <c r="J528" s="67">
        <v>63.785991000000003</v>
      </c>
      <c r="K528" s="67">
        <v>63.87</v>
      </c>
      <c r="L528" s="68">
        <v>100</v>
      </c>
      <c r="M528" s="67">
        <v>63.61</v>
      </c>
      <c r="N528" s="68">
        <v>0.17599100000000001</v>
      </c>
    </row>
    <row r="529" spans="2:14" x14ac:dyDescent="0.25">
      <c r="B529" s="63">
        <v>45145</v>
      </c>
      <c r="C529" s="63">
        <v>45146</v>
      </c>
      <c r="D529" s="64" t="s">
        <v>1708</v>
      </c>
      <c r="E529" s="64" t="s">
        <v>1709</v>
      </c>
      <c r="F529" s="65">
        <v>0</v>
      </c>
      <c r="G529" s="66">
        <v>0</v>
      </c>
      <c r="H529" s="65">
        <v>0</v>
      </c>
      <c r="I529" s="67">
        <v>0</v>
      </c>
      <c r="J529" s="67">
        <v>0</v>
      </c>
      <c r="K529" s="67">
        <v>0</v>
      </c>
      <c r="L529" s="68">
        <v>0</v>
      </c>
      <c r="M529" s="67">
        <v>0</v>
      </c>
      <c r="N529" s="68">
        <v>0</v>
      </c>
    </row>
    <row r="530" spans="2:14" x14ac:dyDescent="0.25">
      <c r="B530" s="63">
        <v>45145</v>
      </c>
      <c r="C530" s="63">
        <v>45146</v>
      </c>
      <c r="D530" s="64" t="s">
        <v>1710</v>
      </c>
      <c r="E530" s="64" t="s">
        <v>1711</v>
      </c>
      <c r="F530" s="65">
        <v>63.447161000000001</v>
      </c>
      <c r="G530" s="66">
        <v>20.996778688524</v>
      </c>
      <c r="H530" s="65">
        <v>45</v>
      </c>
      <c r="I530" s="67">
        <v>4.2661360000000004</v>
      </c>
      <c r="J530" s="67">
        <v>46.180230000000002</v>
      </c>
      <c r="K530" s="67">
        <v>46.307000000000002</v>
      </c>
      <c r="L530" s="68">
        <v>100</v>
      </c>
      <c r="M530" s="67">
        <v>46.052999999999997</v>
      </c>
      <c r="N530" s="68">
        <v>0.12723000000000001</v>
      </c>
    </row>
    <row r="531" spans="2:14" x14ac:dyDescent="0.25">
      <c r="B531" s="63">
        <v>45152</v>
      </c>
      <c r="C531" s="63">
        <v>45153</v>
      </c>
      <c r="D531" s="63" t="s">
        <v>1628</v>
      </c>
      <c r="E531" s="63" t="s">
        <v>1629</v>
      </c>
      <c r="F531" s="66">
        <v>621.72811899999999</v>
      </c>
      <c r="G531" s="66">
        <v>348.01731100000001</v>
      </c>
      <c r="H531" s="65">
        <v>400</v>
      </c>
      <c r="I531" s="67">
        <v>4.8683129999999997</v>
      </c>
      <c r="J531" s="67">
        <v>86.886499999999998</v>
      </c>
      <c r="K531" s="67">
        <v>86.891000000000005</v>
      </c>
      <c r="L531" s="68">
        <v>100</v>
      </c>
      <c r="M531" s="67">
        <v>86.882000000000005</v>
      </c>
      <c r="N531" s="68">
        <v>4.4999999999999997E-3</v>
      </c>
    </row>
    <row r="532" spans="2:14" x14ac:dyDescent="0.25">
      <c r="B532" s="63">
        <v>45152</v>
      </c>
      <c r="C532" s="63">
        <v>45153</v>
      </c>
      <c r="D532" s="63" t="s">
        <v>1630</v>
      </c>
      <c r="E532" s="63" t="s">
        <v>1631</v>
      </c>
      <c r="F532" s="66">
        <v>886.348119</v>
      </c>
      <c r="G532" s="66">
        <v>215.19172800000001</v>
      </c>
      <c r="H532" s="65">
        <v>245</v>
      </c>
      <c r="I532" s="67">
        <v>4.695246</v>
      </c>
      <c r="J532" s="67">
        <v>87.751835999999997</v>
      </c>
      <c r="K532" s="67">
        <v>87.756</v>
      </c>
      <c r="L532" s="68">
        <v>100</v>
      </c>
      <c r="M532" s="67">
        <v>87.75</v>
      </c>
      <c r="N532" s="68">
        <v>1.836E-3</v>
      </c>
    </row>
    <row r="533" spans="2:14" x14ac:dyDescent="0.25">
      <c r="B533" s="63">
        <v>45152</v>
      </c>
      <c r="C533" s="63">
        <v>45153</v>
      </c>
      <c r="D533" s="63" t="s">
        <v>1632</v>
      </c>
      <c r="E533" s="63" t="s">
        <v>1633</v>
      </c>
      <c r="F533" s="66">
        <v>0</v>
      </c>
      <c r="G533" s="66">
        <v>0</v>
      </c>
      <c r="H533" s="65">
        <v>0</v>
      </c>
      <c r="I533" s="67">
        <v>0</v>
      </c>
      <c r="J533" s="67">
        <v>0</v>
      </c>
      <c r="K533" s="67">
        <v>0</v>
      </c>
      <c r="L533" s="68">
        <v>0</v>
      </c>
      <c r="M533" s="67">
        <v>0</v>
      </c>
      <c r="N533" s="68">
        <v>0</v>
      </c>
    </row>
    <row r="534" spans="2:14" x14ac:dyDescent="0.25">
      <c r="B534" s="63">
        <v>45152</v>
      </c>
      <c r="C534" s="63">
        <v>45153</v>
      </c>
      <c r="D534" s="63" t="s">
        <v>1634</v>
      </c>
      <c r="E534" s="63" t="s">
        <v>1635</v>
      </c>
      <c r="F534" s="66">
        <v>147.579171</v>
      </c>
      <c r="G534" s="66">
        <v>131.19115199999999</v>
      </c>
      <c r="H534" s="65">
        <v>160</v>
      </c>
      <c r="I534" s="67">
        <v>4.6430049999999996</v>
      </c>
      <c r="J534" s="67">
        <v>81.989374999999995</v>
      </c>
      <c r="K534" s="67">
        <v>81.99</v>
      </c>
      <c r="L534" s="68">
        <v>100</v>
      </c>
      <c r="M534" s="67">
        <v>81.98</v>
      </c>
      <c r="N534" s="68">
        <v>9.3749999999999997E-3</v>
      </c>
    </row>
    <row r="535" spans="2:14" x14ac:dyDescent="0.25">
      <c r="B535" s="63">
        <v>45152</v>
      </c>
      <c r="C535" s="63">
        <v>45153</v>
      </c>
      <c r="D535" s="63" t="s">
        <v>1636</v>
      </c>
      <c r="E535" s="63" t="s">
        <v>1637</v>
      </c>
      <c r="F535" s="66">
        <v>113.165063</v>
      </c>
      <c r="G535" s="66">
        <v>48.672457999999999</v>
      </c>
      <c r="H535" s="65">
        <v>55.9</v>
      </c>
      <c r="I535" s="67">
        <v>4.5643690000000001</v>
      </c>
      <c r="J535" s="67">
        <v>86.56</v>
      </c>
      <c r="K535" s="67">
        <v>86.56</v>
      </c>
      <c r="L535" s="68">
        <v>55.899999000000001</v>
      </c>
      <c r="M535" s="67">
        <v>86.56</v>
      </c>
      <c r="N535" s="68">
        <v>0</v>
      </c>
    </row>
    <row r="536" spans="2:14" x14ac:dyDescent="0.25">
      <c r="B536" s="63">
        <v>45152</v>
      </c>
      <c r="C536" s="63">
        <v>45153</v>
      </c>
      <c r="D536" s="63" t="s">
        <v>1638</v>
      </c>
      <c r="E536" s="63" t="s">
        <v>1639</v>
      </c>
      <c r="F536" s="66">
        <v>77.365656000000001</v>
      </c>
      <c r="G536" s="66">
        <v>26.873037</v>
      </c>
      <c r="H536" s="65">
        <v>25</v>
      </c>
      <c r="I536" s="67">
        <v>4.6335160000000002</v>
      </c>
      <c r="J536" s="67">
        <v>106.361</v>
      </c>
      <c r="K536" s="67">
        <v>106.361</v>
      </c>
      <c r="L536" s="68">
        <v>100</v>
      </c>
      <c r="M536" s="67">
        <v>106.361</v>
      </c>
      <c r="N536" s="68">
        <v>0</v>
      </c>
    </row>
    <row r="537" spans="2:14" x14ac:dyDescent="0.25">
      <c r="B537" s="63">
        <v>45152</v>
      </c>
      <c r="C537" s="63">
        <v>45153</v>
      </c>
      <c r="D537" s="63" t="s">
        <v>1668</v>
      </c>
      <c r="E537" s="63" t="s">
        <v>1669</v>
      </c>
      <c r="F537" s="66">
        <v>60.120285000000003</v>
      </c>
      <c r="G537" s="66">
        <v>20.050094999999999</v>
      </c>
      <c r="H537" s="65">
        <v>25</v>
      </c>
      <c r="I537" s="67">
        <v>4.652952</v>
      </c>
      <c r="J537" s="67">
        <v>80.180000000000007</v>
      </c>
      <c r="K537" s="67">
        <v>80.180000000000007</v>
      </c>
      <c r="L537" s="68">
        <v>100</v>
      </c>
      <c r="M537" s="67">
        <v>80.180000000000007</v>
      </c>
      <c r="N537" s="68">
        <v>0</v>
      </c>
    </row>
    <row r="538" spans="2:14" x14ac:dyDescent="0.25">
      <c r="B538" s="63">
        <v>45152</v>
      </c>
      <c r="C538" s="63">
        <v>45153</v>
      </c>
      <c r="D538" s="63" t="s">
        <v>1640</v>
      </c>
      <c r="E538" s="63" t="s">
        <v>1641</v>
      </c>
      <c r="F538" s="66">
        <v>24.248079000000001</v>
      </c>
      <c r="G538" s="66">
        <v>0</v>
      </c>
      <c r="H538" s="65">
        <v>0</v>
      </c>
      <c r="I538" s="67">
        <v>0</v>
      </c>
      <c r="J538" s="67">
        <v>0</v>
      </c>
      <c r="K538" s="67">
        <v>0</v>
      </c>
      <c r="L538" s="68">
        <v>0</v>
      </c>
      <c r="M538" s="67">
        <v>0</v>
      </c>
      <c r="N538" s="68">
        <v>0</v>
      </c>
    </row>
    <row r="539" spans="2:14" x14ac:dyDescent="0.25">
      <c r="B539" s="63">
        <v>45159</v>
      </c>
      <c r="C539" s="63">
        <v>45160</v>
      </c>
      <c r="D539" s="64" t="s">
        <v>1642</v>
      </c>
      <c r="E539" s="64" t="s">
        <v>1643</v>
      </c>
      <c r="F539" s="65">
        <v>14.872999999999999</v>
      </c>
      <c r="G539" s="66">
        <v>0</v>
      </c>
      <c r="H539" s="65">
        <v>0</v>
      </c>
      <c r="I539" s="67">
        <v>0</v>
      </c>
      <c r="J539" s="67">
        <v>0</v>
      </c>
      <c r="K539" s="67">
        <v>0</v>
      </c>
      <c r="L539" s="68">
        <v>0</v>
      </c>
      <c r="M539" s="67">
        <v>0</v>
      </c>
      <c r="N539" s="68">
        <v>0</v>
      </c>
    </row>
    <row r="540" spans="2:14" x14ac:dyDescent="0.25">
      <c r="B540" s="63">
        <v>45159</v>
      </c>
      <c r="C540" s="63">
        <v>45160</v>
      </c>
      <c r="D540" s="64" t="s">
        <v>1644</v>
      </c>
      <c r="E540" s="64" t="s">
        <v>1645</v>
      </c>
      <c r="F540" s="65">
        <v>254.399597</v>
      </c>
      <c r="G540" s="66">
        <v>254.39959699452601</v>
      </c>
      <c r="H540" s="65">
        <v>250</v>
      </c>
      <c r="I540" s="67">
        <v>4.6227640000000001</v>
      </c>
      <c r="J540" s="67">
        <v>100.7735</v>
      </c>
      <c r="K540" s="67">
        <v>100.78100000000001</v>
      </c>
      <c r="L540" s="68">
        <v>100</v>
      </c>
      <c r="M540" s="67">
        <v>100.76600000000001</v>
      </c>
      <c r="N540" s="68">
        <v>7.4999999999999997E-3</v>
      </c>
    </row>
    <row r="541" spans="2:14" x14ac:dyDescent="0.25">
      <c r="B541" s="63">
        <v>45159</v>
      </c>
      <c r="C541" s="63">
        <v>45160</v>
      </c>
      <c r="D541" s="64" t="s">
        <v>1646</v>
      </c>
      <c r="E541" s="64" t="s">
        <v>1647</v>
      </c>
      <c r="F541" s="65">
        <v>14.221989000000001</v>
      </c>
      <c r="G541" s="66">
        <v>14.221989130434</v>
      </c>
      <c r="H541" s="65">
        <v>20</v>
      </c>
      <c r="I541" s="67">
        <v>4.6443240000000001</v>
      </c>
      <c r="J541" s="67">
        <v>71.094999999999999</v>
      </c>
      <c r="K541" s="67">
        <v>71.094999999999999</v>
      </c>
      <c r="L541" s="68">
        <v>100</v>
      </c>
      <c r="M541" s="67">
        <v>71.094999999999999</v>
      </c>
      <c r="N541" s="68">
        <v>0</v>
      </c>
    </row>
    <row r="542" spans="2:14" x14ac:dyDescent="0.25">
      <c r="B542" s="63">
        <v>45159</v>
      </c>
      <c r="C542" s="63">
        <v>45160</v>
      </c>
      <c r="D542" s="64" t="s">
        <v>1648</v>
      </c>
      <c r="E542" s="64" t="s">
        <v>1649</v>
      </c>
      <c r="F542" s="65">
        <v>588.39818100000002</v>
      </c>
      <c r="G542" s="66">
        <v>0</v>
      </c>
      <c r="H542" s="65">
        <v>0</v>
      </c>
      <c r="I542" s="67">
        <v>0</v>
      </c>
      <c r="J542" s="67">
        <v>0</v>
      </c>
      <c r="K542" s="67">
        <v>0</v>
      </c>
      <c r="L542" s="68">
        <v>0</v>
      </c>
      <c r="M542" s="67">
        <v>0</v>
      </c>
      <c r="N542" s="68">
        <v>0</v>
      </c>
    </row>
    <row r="543" spans="2:14" x14ac:dyDescent="0.25">
      <c r="B543" s="63">
        <v>45159</v>
      </c>
      <c r="C543" s="63">
        <v>45160</v>
      </c>
      <c r="D543" s="64" t="s">
        <v>1670</v>
      </c>
      <c r="E543" s="64" t="s">
        <v>1671</v>
      </c>
      <c r="F543" s="65">
        <v>139.75211899999999</v>
      </c>
      <c r="G543" s="66">
        <v>34.972654891304998</v>
      </c>
      <c r="H543" s="65">
        <v>50</v>
      </c>
      <c r="I543" s="67">
        <v>4.7011779999999996</v>
      </c>
      <c r="J543" s="67">
        <v>69.893000000000001</v>
      </c>
      <c r="K543" s="67">
        <v>69.893000000000001</v>
      </c>
      <c r="L543" s="68">
        <v>100</v>
      </c>
      <c r="M543" s="67">
        <v>69.893000000000001</v>
      </c>
      <c r="N543" s="68">
        <v>0</v>
      </c>
    </row>
    <row r="544" spans="2:14" x14ac:dyDescent="0.25">
      <c r="B544" s="63">
        <v>45159</v>
      </c>
      <c r="C544" s="63">
        <v>45160</v>
      </c>
      <c r="D544" s="64" t="s">
        <v>1650</v>
      </c>
      <c r="E544" s="64" t="s">
        <v>1651</v>
      </c>
      <c r="F544" s="65">
        <v>243.39720800000001</v>
      </c>
      <c r="G544" s="66">
        <v>78.455613043480994</v>
      </c>
      <c r="H544" s="65">
        <v>78.5</v>
      </c>
      <c r="I544" s="67">
        <v>4.7475719999999999</v>
      </c>
      <c r="J544" s="67">
        <v>97.889110000000002</v>
      </c>
      <c r="K544" s="67">
        <v>97.9</v>
      </c>
      <c r="L544" s="68">
        <v>57</v>
      </c>
      <c r="M544" s="67">
        <v>97.87</v>
      </c>
      <c r="N544" s="68">
        <v>1.9109999999999999E-2</v>
      </c>
    </row>
    <row r="545" spans="2:14" x14ac:dyDescent="0.25">
      <c r="B545" s="63">
        <v>45159</v>
      </c>
      <c r="C545" s="63">
        <v>45160</v>
      </c>
      <c r="D545" s="64" t="s">
        <v>1652</v>
      </c>
      <c r="E545" s="64" t="s">
        <v>1653</v>
      </c>
      <c r="F545" s="65">
        <v>1221.0735199999999</v>
      </c>
      <c r="G545" s="66">
        <v>0</v>
      </c>
      <c r="H545" s="65">
        <v>0</v>
      </c>
      <c r="I545" s="67">
        <v>0</v>
      </c>
      <c r="J545" s="67">
        <v>0</v>
      </c>
      <c r="K545" s="67">
        <v>0</v>
      </c>
      <c r="L545" s="68">
        <v>0</v>
      </c>
      <c r="M545" s="67">
        <v>0</v>
      </c>
      <c r="N545" s="68">
        <v>0</v>
      </c>
    </row>
    <row r="546" spans="2:14" x14ac:dyDescent="0.25">
      <c r="B546" s="63">
        <v>45159</v>
      </c>
      <c r="C546" s="63">
        <v>45160</v>
      </c>
      <c r="D546" s="64" t="s">
        <v>1654</v>
      </c>
      <c r="E546" s="64" t="s">
        <v>1655</v>
      </c>
      <c r="F546" s="65">
        <v>9.6730210000000003</v>
      </c>
      <c r="G546" s="66">
        <v>0</v>
      </c>
      <c r="H546" s="65">
        <v>0</v>
      </c>
      <c r="I546" s="67">
        <v>0</v>
      </c>
      <c r="J546" s="67">
        <v>0</v>
      </c>
      <c r="K546" s="67">
        <v>0</v>
      </c>
      <c r="L546" s="68">
        <v>0</v>
      </c>
      <c r="M546" s="67">
        <v>0</v>
      </c>
      <c r="N546" s="68">
        <v>0</v>
      </c>
    </row>
    <row r="547" spans="2:14" x14ac:dyDescent="0.25">
      <c r="B547" s="63">
        <v>45159</v>
      </c>
      <c r="C547" s="63">
        <v>45160</v>
      </c>
      <c r="D547" s="64" t="s">
        <v>1656</v>
      </c>
      <c r="E547" s="64" t="s">
        <v>1657</v>
      </c>
      <c r="F547" s="65">
        <v>442.39138500000001</v>
      </c>
      <c r="G547" s="66">
        <v>407.85392869566198</v>
      </c>
      <c r="H547" s="65">
        <v>588</v>
      </c>
      <c r="I547" s="67">
        <v>4.8657170000000001</v>
      </c>
      <c r="J547" s="67">
        <v>68.563999999999993</v>
      </c>
      <c r="K547" s="67">
        <v>68.563999999999993</v>
      </c>
      <c r="L547" s="68">
        <v>100</v>
      </c>
      <c r="M547" s="67">
        <v>68.563999999999993</v>
      </c>
      <c r="N547" s="68">
        <v>0</v>
      </c>
    </row>
    <row r="548" spans="2:14" x14ac:dyDescent="0.25">
      <c r="B548" s="63">
        <v>45159</v>
      </c>
      <c r="C548" s="63">
        <v>45160</v>
      </c>
      <c r="D548" s="64" t="s">
        <v>1658</v>
      </c>
      <c r="E548" s="64" t="s">
        <v>1659</v>
      </c>
      <c r="F548" s="65">
        <v>29.780901</v>
      </c>
      <c r="G548" s="66">
        <v>0</v>
      </c>
      <c r="H548" s="65">
        <v>0</v>
      </c>
      <c r="I548" s="67">
        <v>0</v>
      </c>
      <c r="J548" s="67">
        <v>0</v>
      </c>
      <c r="K548" s="67">
        <v>0</v>
      </c>
      <c r="L548" s="68">
        <v>0</v>
      </c>
      <c r="M548" s="67">
        <v>0</v>
      </c>
      <c r="N548" s="68">
        <v>0</v>
      </c>
    </row>
    <row r="549" spans="2:14" x14ac:dyDescent="0.25">
      <c r="B549" s="63">
        <v>45159</v>
      </c>
      <c r="C549" s="63">
        <v>45160</v>
      </c>
      <c r="D549" s="64" t="s">
        <v>1662</v>
      </c>
      <c r="E549" s="64" t="s">
        <v>1663</v>
      </c>
      <c r="F549" s="65">
        <v>0</v>
      </c>
      <c r="G549" s="66">
        <v>0</v>
      </c>
      <c r="H549" s="65">
        <v>0</v>
      </c>
      <c r="I549" s="67">
        <v>0</v>
      </c>
      <c r="J549" s="67">
        <v>0</v>
      </c>
      <c r="K549" s="67">
        <v>0</v>
      </c>
      <c r="L549" s="68">
        <v>0</v>
      </c>
      <c r="M549" s="67">
        <v>0</v>
      </c>
      <c r="N549" s="68">
        <v>0</v>
      </c>
    </row>
    <row r="550" spans="2:14" x14ac:dyDescent="0.25">
      <c r="B550" s="63">
        <v>45159</v>
      </c>
      <c r="C550" s="63">
        <v>45160</v>
      </c>
      <c r="D550" s="64" t="s">
        <v>1664</v>
      </c>
      <c r="E550" s="64" t="s">
        <v>1665</v>
      </c>
      <c r="F550" s="65">
        <v>0</v>
      </c>
      <c r="G550" s="66">
        <v>0</v>
      </c>
      <c r="H550" s="65">
        <v>0</v>
      </c>
      <c r="I550" s="67">
        <v>0</v>
      </c>
      <c r="J550" s="67">
        <v>0</v>
      </c>
      <c r="K550" s="67">
        <v>0</v>
      </c>
      <c r="L550" s="68">
        <v>0</v>
      </c>
      <c r="M550" s="67">
        <v>0</v>
      </c>
      <c r="N550" s="68">
        <v>0</v>
      </c>
    </row>
    <row r="551" spans="2:14" x14ac:dyDescent="0.25">
      <c r="B551" s="63">
        <v>45159</v>
      </c>
      <c r="C551" s="63">
        <v>45160</v>
      </c>
      <c r="D551" s="64" t="s">
        <v>1666</v>
      </c>
      <c r="E551" s="64" t="s">
        <v>1667</v>
      </c>
      <c r="F551" s="65">
        <v>39.770615999999997</v>
      </c>
      <c r="G551" s="66">
        <v>0</v>
      </c>
      <c r="H551" s="65">
        <v>0</v>
      </c>
      <c r="I551" s="67">
        <v>0</v>
      </c>
      <c r="J551" s="67">
        <v>0</v>
      </c>
      <c r="K551" s="67">
        <v>0</v>
      </c>
      <c r="L551" s="68">
        <v>0</v>
      </c>
      <c r="M551" s="67">
        <v>0</v>
      </c>
      <c r="N551" s="68">
        <v>0</v>
      </c>
    </row>
    <row r="552" spans="2:14" x14ac:dyDescent="0.25">
      <c r="B552" s="63">
        <v>45159</v>
      </c>
      <c r="C552" s="63">
        <v>45160</v>
      </c>
      <c r="D552" s="64" t="s">
        <v>1672</v>
      </c>
      <c r="E552" s="64" t="s">
        <v>1673</v>
      </c>
      <c r="F552" s="65">
        <v>0</v>
      </c>
      <c r="G552" s="66">
        <v>0</v>
      </c>
      <c r="H552" s="65">
        <v>0</v>
      </c>
      <c r="I552" s="67">
        <v>0</v>
      </c>
      <c r="J552" s="67">
        <v>0</v>
      </c>
      <c r="K552" s="67">
        <v>0</v>
      </c>
      <c r="L552" s="68">
        <v>0</v>
      </c>
      <c r="M552" s="67">
        <v>0</v>
      </c>
      <c r="N552" s="68">
        <v>0</v>
      </c>
    </row>
    <row r="553" spans="2:14" x14ac:dyDescent="0.25">
      <c r="B553" s="63">
        <v>45180</v>
      </c>
      <c r="C553" s="63">
        <v>45181</v>
      </c>
      <c r="D553" s="64" t="s">
        <v>1628</v>
      </c>
      <c r="E553" s="64" t="s">
        <v>1629</v>
      </c>
      <c r="F553" s="65">
        <v>1219.982577</v>
      </c>
      <c r="G553" s="66">
        <v>377.19458100000003</v>
      </c>
      <c r="H553" s="65">
        <v>429.4</v>
      </c>
      <c r="I553" s="67">
        <v>4.6725180000000002</v>
      </c>
      <c r="J553" s="67">
        <v>87.695724999999996</v>
      </c>
      <c r="K553" s="67">
        <v>87.72</v>
      </c>
      <c r="L553" s="68">
        <v>90.545454000000007</v>
      </c>
      <c r="M553" s="67">
        <v>87.685000000000002</v>
      </c>
      <c r="N553" s="68">
        <v>1.0725E-2</v>
      </c>
    </row>
    <row r="554" spans="2:14" x14ac:dyDescent="0.25">
      <c r="B554" s="63">
        <v>45180</v>
      </c>
      <c r="C554" s="63">
        <v>45181</v>
      </c>
      <c r="D554" s="64" t="s">
        <v>1630</v>
      </c>
      <c r="E554" s="64" t="s">
        <v>1631</v>
      </c>
      <c r="F554" s="65">
        <v>659.70464600000003</v>
      </c>
      <c r="G554" s="66">
        <v>0</v>
      </c>
      <c r="H554" s="65">
        <v>0</v>
      </c>
      <c r="I554" s="67">
        <v>0</v>
      </c>
      <c r="J554" s="67">
        <v>0</v>
      </c>
      <c r="K554" s="67">
        <v>0</v>
      </c>
      <c r="L554" s="68">
        <v>0</v>
      </c>
      <c r="M554" s="67">
        <v>0</v>
      </c>
      <c r="N554" s="68">
        <v>0</v>
      </c>
    </row>
    <row r="555" spans="2:14" x14ac:dyDescent="0.25">
      <c r="B555" s="63">
        <v>45180</v>
      </c>
      <c r="C555" s="63">
        <v>45181</v>
      </c>
      <c r="D555" s="64" t="s">
        <v>1632</v>
      </c>
      <c r="E555" s="64" t="s">
        <v>1633</v>
      </c>
      <c r="F555" s="65">
        <v>0</v>
      </c>
      <c r="G555" s="66">
        <v>0</v>
      </c>
      <c r="H555" s="65">
        <v>0</v>
      </c>
      <c r="I555" s="67">
        <v>0</v>
      </c>
      <c r="J555" s="67">
        <v>0</v>
      </c>
      <c r="K555" s="67">
        <v>0</v>
      </c>
      <c r="L555" s="68">
        <v>0</v>
      </c>
      <c r="M555" s="67">
        <v>0</v>
      </c>
      <c r="N555" s="68">
        <v>0</v>
      </c>
    </row>
    <row r="556" spans="2:14" x14ac:dyDescent="0.25">
      <c r="B556" s="63">
        <v>45180</v>
      </c>
      <c r="C556" s="63">
        <v>45181</v>
      </c>
      <c r="D556" s="64" t="s">
        <v>1634</v>
      </c>
      <c r="E556" s="64" t="s">
        <v>1635</v>
      </c>
      <c r="F556" s="65">
        <v>78.548374999999993</v>
      </c>
      <c r="G556" s="66">
        <v>24.815881999999998</v>
      </c>
      <c r="H556" s="65">
        <v>30</v>
      </c>
      <c r="I556" s="67">
        <v>4.5186650000000004</v>
      </c>
      <c r="J556" s="67">
        <v>82.704999999999998</v>
      </c>
      <c r="K556" s="67">
        <v>82.704999999999998</v>
      </c>
      <c r="L556" s="68">
        <v>100</v>
      </c>
      <c r="M556" s="67">
        <v>82.704999999999998</v>
      </c>
      <c r="N556" s="68">
        <v>0</v>
      </c>
    </row>
    <row r="557" spans="2:14" x14ac:dyDescent="0.25">
      <c r="B557" s="63">
        <v>45180</v>
      </c>
      <c r="C557" s="63">
        <v>45181</v>
      </c>
      <c r="D557" s="64" t="s">
        <v>1636</v>
      </c>
      <c r="E557" s="64" t="s">
        <v>1637</v>
      </c>
      <c r="F557" s="65">
        <v>267.99310800000001</v>
      </c>
      <c r="G557" s="66">
        <v>166.958518</v>
      </c>
      <c r="H557" s="65">
        <v>190</v>
      </c>
      <c r="I557" s="67">
        <v>4.4443140000000003</v>
      </c>
      <c r="J557" s="67">
        <v>87.238</v>
      </c>
      <c r="K557" s="67">
        <v>87.242999999999995</v>
      </c>
      <c r="L557" s="68">
        <v>100</v>
      </c>
      <c r="M557" s="67">
        <v>87.233000000000004</v>
      </c>
      <c r="N557" s="68">
        <v>5.0000000000000001E-3</v>
      </c>
    </row>
    <row r="558" spans="2:14" x14ac:dyDescent="0.25">
      <c r="B558" s="63">
        <v>45180</v>
      </c>
      <c r="C558" s="63">
        <v>45181</v>
      </c>
      <c r="D558" s="64" t="s">
        <v>1638</v>
      </c>
      <c r="E558" s="64" t="s">
        <v>1639</v>
      </c>
      <c r="F558" s="65">
        <v>0</v>
      </c>
      <c r="G558" s="66">
        <v>0</v>
      </c>
      <c r="H558" s="65">
        <v>0</v>
      </c>
      <c r="I558" s="67">
        <v>0</v>
      </c>
      <c r="J558" s="67">
        <v>0</v>
      </c>
      <c r="K558" s="67">
        <v>0</v>
      </c>
      <c r="L558" s="68">
        <v>0</v>
      </c>
      <c r="M558" s="67">
        <v>0</v>
      </c>
      <c r="N558" s="68">
        <v>0</v>
      </c>
    </row>
    <row r="559" spans="2:14" x14ac:dyDescent="0.25">
      <c r="B559" s="63">
        <v>45180</v>
      </c>
      <c r="C559" s="63">
        <v>45181</v>
      </c>
      <c r="D559" s="64" t="s">
        <v>1668</v>
      </c>
      <c r="E559" s="64" t="s">
        <v>1669</v>
      </c>
      <c r="F559" s="65">
        <v>80.958422999999996</v>
      </c>
      <c r="G559" s="66">
        <v>80.958423999999994</v>
      </c>
      <c r="H559" s="65">
        <v>100</v>
      </c>
      <c r="I559" s="67">
        <v>4.5390280000000001</v>
      </c>
      <c r="J559" s="67">
        <v>80.900000000000006</v>
      </c>
      <c r="K559" s="67">
        <v>80.900000000000006</v>
      </c>
      <c r="L559" s="68">
        <v>100</v>
      </c>
      <c r="M559" s="67">
        <v>80.900000000000006</v>
      </c>
      <c r="N559" s="68">
        <v>0</v>
      </c>
    </row>
    <row r="560" spans="2:14" x14ac:dyDescent="0.25">
      <c r="B560" s="63">
        <v>45180</v>
      </c>
      <c r="C560" s="63">
        <v>45181</v>
      </c>
      <c r="D560" s="64" t="s">
        <v>1640</v>
      </c>
      <c r="E560" s="64" t="s">
        <v>1641</v>
      </c>
      <c r="F560" s="65">
        <v>0</v>
      </c>
      <c r="G560" s="66">
        <v>0</v>
      </c>
      <c r="H560" s="65">
        <v>0</v>
      </c>
      <c r="I560" s="67">
        <v>0</v>
      </c>
      <c r="J560" s="67">
        <v>0</v>
      </c>
      <c r="K560" s="67">
        <v>0</v>
      </c>
      <c r="L560" s="68">
        <v>0</v>
      </c>
      <c r="M560" s="67">
        <v>0</v>
      </c>
      <c r="N560" s="68">
        <v>0</v>
      </c>
    </row>
    <row r="561" spans="2:14" x14ac:dyDescent="0.25">
      <c r="B561" s="63">
        <v>45187</v>
      </c>
      <c r="C561" s="63">
        <v>45188</v>
      </c>
      <c r="D561" s="63" t="s">
        <v>1642</v>
      </c>
      <c r="E561" s="63" t="s">
        <v>1643</v>
      </c>
      <c r="F561" s="66">
        <v>0</v>
      </c>
      <c r="G561" s="66">
        <v>0</v>
      </c>
      <c r="H561" s="65">
        <v>0</v>
      </c>
      <c r="I561" s="67">
        <v>0</v>
      </c>
      <c r="J561" s="67">
        <v>0</v>
      </c>
      <c r="K561" s="67">
        <v>0</v>
      </c>
      <c r="L561" s="68">
        <v>0</v>
      </c>
      <c r="M561" s="67">
        <v>0</v>
      </c>
      <c r="N561" s="68">
        <v>0</v>
      </c>
    </row>
    <row r="562" spans="2:14" x14ac:dyDescent="0.25">
      <c r="B562" s="63">
        <v>45187</v>
      </c>
      <c r="C562" s="63">
        <v>45188</v>
      </c>
      <c r="D562" s="63" t="s">
        <v>1644</v>
      </c>
      <c r="E562" s="63" t="s">
        <v>1645</v>
      </c>
      <c r="F562" s="66">
        <v>843.51458600000001</v>
      </c>
      <c r="G562" s="66">
        <v>635.19440799999995</v>
      </c>
      <c r="H562" s="65">
        <v>609.79999999999995</v>
      </c>
      <c r="I562" s="67">
        <v>4.2912860000000004</v>
      </c>
      <c r="J562" s="67">
        <v>102.81465900000001</v>
      </c>
      <c r="K562" s="67">
        <v>102.837</v>
      </c>
      <c r="L562" s="68">
        <v>12.249999000000001</v>
      </c>
      <c r="M562" s="67">
        <v>102.76300000000001</v>
      </c>
      <c r="N562" s="68">
        <v>5.1658999999999997E-2</v>
      </c>
    </row>
    <row r="563" spans="2:14" x14ac:dyDescent="0.25">
      <c r="B563" s="63">
        <v>45187</v>
      </c>
      <c r="C563" s="63">
        <v>45188</v>
      </c>
      <c r="D563" s="63" t="s">
        <v>1646</v>
      </c>
      <c r="E563" s="63" t="s">
        <v>1647</v>
      </c>
      <c r="F563" s="66">
        <v>73.083967000000001</v>
      </c>
      <c r="G563" s="66">
        <v>0</v>
      </c>
      <c r="H563" s="65">
        <v>0</v>
      </c>
      <c r="I563" s="67">
        <v>0</v>
      </c>
      <c r="J563" s="67">
        <v>0</v>
      </c>
      <c r="K563" s="67">
        <v>0</v>
      </c>
      <c r="L563" s="68">
        <v>0</v>
      </c>
      <c r="M563" s="67">
        <v>0</v>
      </c>
      <c r="N563" s="68">
        <v>0</v>
      </c>
    </row>
    <row r="564" spans="2:14" x14ac:dyDescent="0.25">
      <c r="B564" s="63">
        <v>45187</v>
      </c>
      <c r="C564" s="63">
        <v>45188</v>
      </c>
      <c r="D564" s="63" t="s">
        <v>1648</v>
      </c>
      <c r="E564" s="63" t="s">
        <v>1649</v>
      </c>
      <c r="F564" s="66">
        <v>268.82962600000002</v>
      </c>
      <c r="G564" s="66">
        <v>0</v>
      </c>
      <c r="H564" s="65">
        <v>0</v>
      </c>
      <c r="I564" s="67">
        <v>0</v>
      </c>
      <c r="J564" s="67">
        <v>0</v>
      </c>
      <c r="K564" s="67">
        <v>0</v>
      </c>
      <c r="L564" s="68">
        <v>0</v>
      </c>
      <c r="M564" s="67">
        <v>0</v>
      </c>
      <c r="N564" s="68">
        <v>0</v>
      </c>
    </row>
    <row r="565" spans="2:14" x14ac:dyDescent="0.25">
      <c r="B565" s="63">
        <v>45187</v>
      </c>
      <c r="C565" s="63">
        <v>45188</v>
      </c>
      <c r="D565" s="63" t="s">
        <v>1650</v>
      </c>
      <c r="E565" s="63" t="s">
        <v>1651</v>
      </c>
      <c r="F565" s="66">
        <v>0</v>
      </c>
      <c r="G565" s="66">
        <v>0</v>
      </c>
      <c r="H565" s="65">
        <v>0</v>
      </c>
      <c r="I565" s="67">
        <v>0</v>
      </c>
      <c r="J565" s="67">
        <v>0</v>
      </c>
      <c r="K565" s="67">
        <v>0</v>
      </c>
      <c r="L565" s="68">
        <v>0</v>
      </c>
      <c r="M565" s="67">
        <v>0</v>
      </c>
      <c r="N565" s="68">
        <v>0</v>
      </c>
    </row>
    <row r="566" spans="2:14" x14ac:dyDescent="0.25">
      <c r="B566" s="63">
        <v>45187</v>
      </c>
      <c r="C566" s="63">
        <v>45188</v>
      </c>
      <c r="D566" s="63" t="s">
        <v>1652</v>
      </c>
      <c r="E566" s="63" t="s">
        <v>1653</v>
      </c>
      <c r="F566" s="66">
        <v>678.80784400000005</v>
      </c>
      <c r="G566" s="66">
        <v>0</v>
      </c>
      <c r="H566" s="65">
        <v>0</v>
      </c>
      <c r="I566" s="67">
        <v>0</v>
      </c>
      <c r="J566" s="67">
        <v>0</v>
      </c>
      <c r="K566" s="67">
        <v>0</v>
      </c>
      <c r="L566" s="68">
        <v>0</v>
      </c>
      <c r="M566" s="67">
        <v>0</v>
      </c>
      <c r="N566" s="68">
        <v>0</v>
      </c>
    </row>
    <row r="567" spans="2:14" x14ac:dyDescent="0.25">
      <c r="B567" s="63">
        <v>45187</v>
      </c>
      <c r="C567" s="63">
        <v>45188</v>
      </c>
      <c r="D567" s="63" t="s">
        <v>1654</v>
      </c>
      <c r="E567" s="63" t="s">
        <v>1655</v>
      </c>
      <c r="F567" s="66">
        <v>0</v>
      </c>
      <c r="G567" s="66">
        <v>0</v>
      </c>
      <c r="H567" s="65">
        <v>0</v>
      </c>
      <c r="I567" s="67">
        <v>0</v>
      </c>
      <c r="J567" s="67">
        <v>0</v>
      </c>
      <c r="K567" s="67">
        <v>0</v>
      </c>
      <c r="L567" s="68">
        <v>0</v>
      </c>
      <c r="M567" s="67">
        <v>0</v>
      </c>
      <c r="N567" s="68">
        <v>0</v>
      </c>
    </row>
    <row r="568" spans="2:14" x14ac:dyDescent="0.25">
      <c r="B568" s="63">
        <v>45187</v>
      </c>
      <c r="C568" s="63">
        <v>45188</v>
      </c>
      <c r="D568" s="63" t="s">
        <v>1656</v>
      </c>
      <c r="E568" s="63" t="s">
        <v>1657</v>
      </c>
      <c r="F568" s="66">
        <v>0</v>
      </c>
      <c r="G568" s="66">
        <v>0</v>
      </c>
      <c r="H568" s="65">
        <v>0</v>
      </c>
      <c r="I568" s="67">
        <v>0</v>
      </c>
      <c r="J568" s="67">
        <v>0</v>
      </c>
      <c r="K568" s="67">
        <v>0</v>
      </c>
      <c r="L568" s="68">
        <v>0</v>
      </c>
      <c r="M568" s="67">
        <v>0</v>
      </c>
      <c r="N568" s="68">
        <v>0</v>
      </c>
    </row>
    <row r="569" spans="2:14" x14ac:dyDescent="0.25">
      <c r="B569" s="63">
        <v>45187</v>
      </c>
      <c r="C569" s="63">
        <v>45188</v>
      </c>
      <c r="D569" s="63" t="s">
        <v>1658</v>
      </c>
      <c r="E569" s="63" t="s">
        <v>1659</v>
      </c>
      <c r="F569" s="66">
        <v>0</v>
      </c>
      <c r="G569" s="66">
        <v>0</v>
      </c>
      <c r="H569" s="65">
        <v>0</v>
      </c>
      <c r="I569" s="67">
        <v>0</v>
      </c>
      <c r="J569" s="67">
        <v>0</v>
      </c>
      <c r="K569" s="67">
        <v>0</v>
      </c>
      <c r="L569" s="68">
        <v>0</v>
      </c>
      <c r="M569" s="67">
        <v>0</v>
      </c>
      <c r="N569" s="68">
        <v>0</v>
      </c>
    </row>
    <row r="570" spans="2:14" x14ac:dyDescent="0.25">
      <c r="B570" s="63">
        <v>45187</v>
      </c>
      <c r="C570" s="63">
        <v>45188</v>
      </c>
      <c r="D570" s="63" t="s">
        <v>1660</v>
      </c>
      <c r="E570" s="63" t="s">
        <v>1661</v>
      </c>
      <c r="F570" s="66">
        <v>0</v>
      </c>
      <c r="G570" s="66">
        <v>0</v>
      </c>
      <c r="H570" s="65">
        <v>0</v>
      </c>
      <c r="I570" s="67">
        <v>0</v>
      </c>
      <c r="J570" s="67">
        <v>0</v>
      </c>
      <c r="K570" s="67">
        <v>0</v>
      </c>
      <c r="L570" s="68">
        <v>0</v>
      </c>
      <c r="M570" s="67">
        <v>0</v>
      </c>
      <c r="N570" s="68">
        <v>0</v>
      </c>
    </row>
    <row r="571" spans="2:14" x14ac:dyDescent="0.25">
      <c r="B571" s="63">
        <v>45187</v>
      </c>
      <c r="C571" s="63">
        <v>45188</v>
      </c>
      <c r="D571" s="63" t="s">
        <v>1662</v>
      </c>
      <c r="E571" s="63" t="s">
        <v>1663</v>
      </c>
      <c r="F571" s="66">
        <v>0</v>
      </c>
      <c r="G571" s="66">
        <v>0</v>
      </c>
      <c r="H571" s="65">
        <v>0</v>
      </c>
      <c r="I571" s="67">
        <v>0</v>
      </c>
      <c r="J571" s="67">
        <v>0</v>
      </c>
      <c r="K571" s="67">
        <v>0</v>
      </c>
      <c r="L571" s="68">
        <v>0</v>
      </c>
      <c r="M571" s="67">
        <v>0</v>
      </c>
      <c r="N571" s="68">
        <v>0</v>
      </c>
    </row>
    <row r="572" spans="2:14" x14ac:dyDescent="0.25">
      <c r="B572" s="63">
        <v>45187</v>
      </c>
      <c r="C572" s="63">
        <v>45188</v>
      </c>
      <c r="D572" s="63" t="s">
        <v>1664</v>
      </c>
      <c r="E572" s="63" t="s">
        <v>1665</v>
      </c>
      <c r="F572" s="66">
        <v>4.7908819999999999</v>
      </c>
      <c r="G572" s="66">
        <v>0</v>
      </c>
      <c r="H572" s="65">
        <v>0</v>
      </c>
      <c r="I572" s="67">
        <v>0</v>
      </c>
      <c r="J572" s="67">
        <v>0</v>
      </c>
      <c r="K572" s="67">
        <v>0</v>
      </c>
      <c r="L572" s="68">
        <v>0</v>
      </c>
      <c r="M572" s="67">
        <v>0</v>
      </c>
      <c r="N572" s="68">
        <v>0</v>
      </c>
    </row>
    <row r="573" spans="2:14" x14ac:dyDescent="0.25">
      <c r="B573" s="63">
        <v>45187</v>
      </c>
      <c r="C573" s="63">
        <v>45188</v>
      </c>
      <c r="D573" s="63" t="s">
        <v>1666</v>
      </c>
      <c r="E573" s="63" t="s">
        <v>1667</v>
      </c>
      <c r="F573" s="66">
        <v>147.00053700000001</v>
      </c>
      <c r="G573" s="66">
        <v>14.721323999999999</v>
      </c>
      <c r="H573" s="65">
        <v>25</v>
      </c>
      <c r="I573" s="67">
        <v>4.6884800000000002</v>
      </c>
      <c r="J573" s="67">
        <v>58.372999999999998</v>
      </c>
      <c r="K573" s="67">
        <v>58.372999999999998</v>
      </c>
      <c r="L573" s="68">
        <v>100</v>
      </c>
      <c r="M573" s="67">
        <v>58.372999999999998</v>
      </c>
      <c r="N573" s="68">
        <v>0</v>
      </c>
    </row>
    <row r="574" spans="2:14" x14ac:dyDescent="0.25">
      <c r="B574" s="63">
        <v>45187</v>
      </c>
      <c r="C574" s="63">
        <v>45188</v>
      </c>
      <c r="D574" s="63" t="s">
        <v>1672</v>
      </c>
      <c r="E574" s="63" t="s">
        <v>1673</v>
      </c>
      <c r="F574" s="66">
        <v>73.396516000000005</v>
      </c>
      <c r="G574" s="66">
        <v>0</v>
      </c>
      <c r="H574" s="65">
        <v>0</v>
      </c>
      <c r="I574" s="67">
        <v>0</v>
      </c>
      <c r="J574" s="67">
        <v>0</v>
      </c>
      <c r="K574" s="67">
        <v>0</v>
      </c>
      <c r="L574" s="68">
        <v>0</v>
      </c>
      <c r="M574" s="67">
        <v>0</v>
      </c>
      <c r="N574" s="68">
        <v>0</v>
      </c>
    </row>
    <row r="575" spans="2:14" x14ac:dyDescent="0.25">
      <c r="B575" s="63">
        <v>45194</v>
      </c>
      <c r="C575" s="63">
        <v>45195</v>
      </c>
      <c r="D575" s="64" t="s">
        <v>1674</v>
      </c>
      <c r="E575" s="64" t="s">
        <v>1675</v>
      </c>
      <c r="F575" s="65">
        <v>74.075029999999998</v>
      </c>
      <c r="G575" s="66">
        <v>0</v>
      </c>
      <c r="H575" s="65">
        <v>0</v>
      </c>
      <c r="I575" s="67">
        <v>0</v>
      </c>
      <c r="J575" s="67">
        <v>0</v>
      </c>
      <c r="K575" s="67">
        <v>0</v>
      </c>
      <c r="L575" s="68">
        <v>0</v>
      </c>
      <c r="M575" s="67">
        <v>0</v>
      </c>
      <c r="N575" s="68">
        <v>0</v>
      </c>
    </row>
    <row r="576" spans="2:14" x14ac:dyDescent="0.25">
      <c r="B576" s="63">
        <v>45194</v>
      </c>
      <c r="C576" s="63">
        <v>45195</v>
      </c>
      <c r="D576" s="64" t="s">
        <v>1676</v>
      </c>
      <c r="E576" s="64" t="s">
        <v>1677</v>
      </c>
      <c r="F576" s="65">
        <v>0</v>
      </c>
      <c r="G576" s="66">
        <v>0</v>
      </c>
      <c r="H576" s="65">
        <v>0</v>
      </c>
      <c r="I576" s="67">
        <v>0</v>
      </c>
      <c r="J576" s="67">
        <v>0</v>
      </c>
      <c r="K576" s="67">
        <v>0</v>
      </c>
      <c r="L576" s="68">
        <v>0</v>
      </c>
      <c r="M576" s="67">
        <v>0</v>
      </c>
      <c r="N576" s="68">
        <v>0</v>
      </c>
    </row>
    <row r="577" spans="2:14" x14ac:dyDescent="0.25">
      <c r="B577" s="63">
        <v>45194</v>
      </c>
      <c r="C577" s="63">
        <v>45195</v>
      </c>
      <c r="D577" s="64" t="s">
        <v>1678</v>
      </c>
      <c r="E577" s="64" t="s">
        <v>1679</v>
      </c>
      <c r="F577" s="65">
        <v>9.387105</v>
      </c>
      <c r="G577" s="66">
        <v>0</v>
      </c>
      <c r="H577" s="65">
        <v>0</v>
      </c>
      <c r="I577" s="67">
        <v>0</v>
      </c>
      <c r="J577" s="67">
        <v>0</v>
      </c>
      <c r="K577" s="67">
        <v>0</v>
      </c>
      <c r="L577" s="68">
        <v>0</v>
      </c>
      <c r="M577" s="67">
        <v>0</v>
      </c>
      <c r="N577" s="68">
        <v>0</v>
      </c>
    </row>
    <row r="578" spans="2:14" x14ac:dyDescent="0.25">
      <c r="B578" s="63">
        <v>45194</v>
      </c>
      <c r="C578" s="63">
        <v>45195</v>
      </c>
      <c r="D578" s="64" t="s">
        <v>1680</v>
      </c>
      <c r="E578" s="64" t="s">
        <v>1681</v>
      </c>
      <c r="F578" s="65">
        <v>61.810816000000003</v>
      </c>
      <c r="G578" s="66">
        <v>61.810817</v>
      </c>
      <c r="H578" s="65">
        <v>66</v>
      </c>
      <c r="I578" s="67">
        <v>4.7988499999999998</v>
      </c>
      <c r="J578" s="67">
        <v>92.363840999999994</v>
      </c>
      <c r="K578" s="67">
        <v>92.39</v>
      </c>
      <c r="L578" s="68">
        <v>100</v>
      </c>
      <c r="M578" s="67">
        <v>92.281999999999996</v>
      </c>
      <c r="N578" s="68">
        <v>8.1840999999999997E-2</v>
      </c>
    </row>
    <row r="579" spans="2:14" x14ac:dyDescent="0.25">
      <c r="B579" s="63">
        <v>45194</v>
      </c>
      <c r="C579" s="63">
        <v>45195</v>
      </c>
      <c r="D579" s="64" t="s">
        <v>1682</v>
      </c>
      <c r="E579" s="64" t="s">
        <v>1683</v>
      </c>
      <c r="F579" s="65">
        <v>5.3939019999999998</v>
      </c>
      <c r="G579" s="66">
        <v>5.3939019999999998</v>
      </c>
      <c r="H579" s="65">
        <v>10</v>
      </c>
      <c r="I579" s="67">
        <v>4.778016</v>
      </c>
      <c r="J579" s="67">
        <v>53.67</v>
      </c>
      <c r="K579" s="67">
        <v>53.67</v>
      </c>
      <c r="L579" s="68">
        <v>100</v>
      </c>
      <c r="M579" s="67">
        <v>53.67</v>
      </c>
      <c r="N579" s="68">
        <v>0</v>
      </c>
    </row>
    <row r="580" spans="2:14" x14ac:dyDescent="0.25">
      <c r="B580" s="63">
        <v>45194</v>
      </c>
      <c r="C580" s="63">
        <v>45195</v>
      </c>
      <c r="D580" s="64" t="s">
        <v>1684</v>
      </c>
      <c r="E580" s="64" t="s">
        <v>1685</v>
      </c>
      <c r="F580" s="65">
        <v>5.6173849999999996</v>
      </c>
      <c r="G580" s="66">
        <v>0</v>
      </c>
      <c r="H580" s="65">
        <v>0</v>
      </c>
      <c r="I580" s="67">
        <v>0</v>
      </c>
      <c r="J580" s="67">
        <v>0</v>
      </c>
      <c r="K580" s="67">
        <v>0</v>
      </c>
      <c r="L580" s="68">
        <v>0</v>
      </c>
      <c r="M580" s="67">
        <v>0</v>
      </c>
      <c r="N580" s="68">
        <v>0</v>
      </c>
    </row>
    <row r="581" spans="2:14" x14ac:dyDescent="0.25">
      <c r="B581" s="63">
        <v>45194</v>
      </c>
      <c r="C581" s="63">
        <v>45195</v>
      </c>
      <c r="D581" s="64" t="s">
        <v>1686</v>
      </c>
      <c r="E581" s="64" t="s">
        <v>1687</v>
      </c>
      <c r="F581" s="65">
        <v>32.639626999999997</v>
      </c>
      <c r="G581" s="66">
        <v>32.639626999999997</v>
      </c>
      <c r="H581" s="65">
        <v>35</v>
      </c>
      <c r="I581" s="67">
        <v>4.7911140000000003</v>
      </c>
      <c r="J581" s="67">
        <v>91.967242999999996</v>
      </c>
      <c r="K581" s="67">
        <v>92.07</v>
      </c>
      <c r="L581" s="68">
        <v>100</v>
      </c>
      <c r="M581" s="67">
        <v>91.84</v>
      </c>
      <c r="N581" s="68">
        <v>0.12724299999999999</v>
      </c>
    </row>
    <row r="582" spans="2:14" x14ac:dyDescent="0.25">
      <c r="B582" s="63">
        <v>45194</v>
      </c>
      <c r="C582" s="63">
        <v>45195</v>
      </c>
      <c r="D582" s="64" t="s">
        <v>1688</v>
      </c>
      <c r="E582" s="64" t="s">
        <v>1689</v>
      </c>
      <c r="F582" s="65">
        <v>380.60300999999998</v>
      </c>
      <c r="G582" s="66">
        <v>380.60301099999998</v>
      </c>
      <c r="H582" s="65">
        <v>1000</v>
      </c>
      <c r="I582" s="67">
        <v>4.7184460000000001</v>
      </c>
      <c r="J582" s="67">
        <v>37.792203000000001</v>
      </c>
      <c r="K582" s="67">
        <v>37.808999999999997</v>
      </c>
      <c r="L582" s="68">
        <v>100</v>
      </c>
      <c r="M582" s="67">
        <v>37.774999999999999</v>
      </c>
      <c r="N582" s="68">
        <v>1.7203E-2</v>
      </c>
    </row>
    <row r="583" spans="2:14" x14ac:dyDescent="0.25">
      <c r="B583" s="63">
        <v>45194</v>
      </c>
      <c r="C583" s="63">
        <v>45195</v>
      </c>
      <c r="D583" s="64" t="s">
        <v>1690</v>
      </c>
      <c r="E583" s="64" t="s">
        <v>1691</v>
      </c>
      <c r="F583" s="65">
        <v>122.606077</v>
      </c>
      <c r="G583" s="66">
        <v>34.869211</v>
      </c>
      <c r="H583" s="65">
        <v>75</v>
      </c>
      <c r="I583" s="67">
        <v>4.7450530000000004</v>
      </c>
      <c r="J583" s="67">
        <v>46.298684999999999</v>
      </c>
      <c r="K583" s="67">
        <v>46.33</v>
      </c>
      <c r="L583" s="68">
        <v>100</v>
      </c>
      <c r="M583" s="67">
        <v>46.26</v>
      </c>
      <c r="N583" s="68">
        <v>3.8684999999999997E-2</v>
      </c>
    </row>
    <row r="584" spans="2:14" x14ac:dyDescent="0.25">
      <c r="B584" s="63">
        <v>45194</v>
      </c>
      <c r="C584" s="63">
        <v>45195</v>
      </c>
      <c r="D584" s="64" t="s">
        <v>1692</v>
      </c>
      <c r="E584" s="64" t="s">
        <v>1693</v>
      </c>
      <c r="F584" s="65">
        <v>0</v>
      </c>
      <c r="G584" s="66">
        <v>0</v>
      </c>
      <c r="H584" s="65">
        <v>0</v>
      </c>
      <c r="I584" s="67">
        <v>0</v>
      </c>
      <c r="J584" s="67">
        <v>0</v>
      </c>
      <c r="K584" s="67">
        <v>0</v>
      </c>
      <c r="L584" s="68">
        <v>0</v>
      </c>
      <c r="M584" s="67">
        <v>0</v>
      </c>
      <c r="N584" s="68">
        <v>0</v>
      </c>
    </row>
    <row r="585" spans="2:14" x14ac:dyDescent="0.25">
      <c r="B585" s="63">
        <v>45194</v>
      </c>
      <c r="C585" s="63">
        <v>45195</v>
      </c>
      <c r="D585" s="64" t="s">
        <v>1696</v>
      </c>
      <c r="E585" s="64" t="s">
        <v>1697</v>
      </c>
      <c r="F585" s="65">
        <v>0</v>
      </c>
      <c r="G585" s="66">
        <v>0</v>
      </c>
      <c r="H585" s="65">
        <v>0</v>
      </c>
      <c r="I585" s="67">
        <v>0</v>
      </c>
      <c r="J585" s="67">
        <v>0</v>
      </c>
      <c r="K585" s="67">
        <v>0</v>
      </c>
      <c r="L585" s="68">
        <v>0</v>
      </c>
      <c r="M585" s="67">
        <v>0</v>
      </c>
      <c r="N585" s="68">
        <v>0</v>
      </c>
    </row>
    <row r="586" spans="2:14" x14ac:dyDescent="0.25">
      <c r="B586" s="63">
        <v>45194</v>
      </c>
      <c r="C586" s="63">
        <v>45195</v>
      </c>
      <c r="D586" s="64" t="s">
        <v>1698</v>
      </c>
      <c r="E586" s="64" t="s">
        <v>1699</v>
      </c>
      <c r="F586" s="65">
        <v>0</v>
      </c>
      <c r="G586" s="66">
        <v>0</v>
      </c>
      <c r="H586" s="65">
        <v>0</v>
      </c>
      <c r="I586" s="67">
        <v>0</v>
      </c>
      <c r="J586" s="67">
        <v>0</v>
      </c>
      <c r="K586" s="67">
        <v>0</v>
      </c>
      <c r="L586" s="68">
        <v>0</v>
      </c>
      <c r="M586" s="67">
        <v>0</v>
      </c>
      <c r="N586" s="68">
        <v>0</v>
      </c>
    </row>
    <row r="587" spans="2:14" x14ac:dyDescent="0.25">
      <c r="B587" s="63">
        <v>45194</v>
      </c>
      <c r="C587" s="63">
        <v>45195</v>
      </c>
      <c r="D587" s="64" t="s">
        <v>1700</v>
      </c>
      <c r="E587" s="64" t="s">
        <v>1701</v>
      </c>
      <c r="F587" s="65">
        <v>30.548915000000001</v>
      </c>
      <c r="G587" s="66">
        <v>9.7629380000000001</v>
      </c>
      <c r="H587" s="65">
        <v>19.100000000000001</v>
      </c>
      <c r="I587" s="67">
        <v>4.6506109999999996</v>
      </c>
      <c r="J587" s="67">
        <v>50.801000000000002</v>
      </c>
      <c r="K587" s="67">
        <v>50.801000000000002</v>
      </c>
      <c r="L587" s="68">
        <v>95.499999000000003</v>
      </c>
      <c r="M587" s="67">
        <v>50.801000000000002</v>
      </c>
      <c r="N587" s="68">
        <v>0</v>
      </c>
    </row>
    <row r="588" spans="2:14" x14ac:dyDescent="0.25">
      <c r="B588" s="63">
        <v>45194</v>
      </c>
      <c r="C588" s="63">
        <v>45195</v>
      </c>
      <c r="D588" s="64" t="s">
        <v>1702</v>
      </c>
      <c r="E588" s="64" t="s">
        <v>1703</v>
      </c>
      <c r="F588" s="65">
        <v>75.370131999999998</v>
      </c>
      <c r="G588" s="66">
        <v>44.493696</v>
      </c>
      <c r="H588" s="65">
        <v>50</v>
      </c>
      <c r="I588" s="67">
        <v>4.6738210000000002</v>
      </c>
      <c r="J588" s="67">
        <v>88.270016999999996</v>
      </c>
      <c r="K588" s="67">
        <v>88.31</v>
      </c>
      <c r="L588" s="68">
        <v>100</v>
      </c>
      <c r="M588" s="67">
        <v>88.23</v>
      </c>
      <c r="N588" s="68">
        <v>4.0016999999999997E-2</v>
      </c>
    </row>
    <row r="589" spans="2:14" x14ac:dyDescent="0.25">
      <c r="B589" s="63">
        <v>45194</v>
      </c>
      <c r="C589" s="63">
        <v>45195</v>
      </c>
      <c r="D589" s="64" t="s">
        <v>1704</v>
      </c>
      <c r="E589" s="64" t="s">
        <v>1705</v>
      </c>
      <c r="F589" s="65">
        <v>107.036427</v>
      </c>
      <c r="G589" s="66">
        <v>80.381820000000005</v>
      </c>
      <c r="H589" s="65">
        <v>285</v>
      </c>
      <c r="I589" s="67">
        <v>4.4333470000000004</v>
      </c>
      <c r="J589" s="67">
        <v>27.989754000000001</v>
      </c>
      <c r="K589" s="67">
        <v>28.042999999999999</v>
      </c>
      <c r="L589" s="68">
        <v>100</v>
      </c>
      <c r="M589" s="67">
        <v>27.922999999999998</v>
      </c>
      <c r="N589" s="68">
        <v>6.6753999999999994E-2</v>
      </c>
    </row>
    <row r="590" spans="2:14" x14ac:dyDescent="0.25">
      <c r="B590" s="63">
        <v>45194</v>
      </c>
      <c r="C590" s="63">
        <v>45195</v>
      </c>
      <c r="D590" s="64" t="s">
        <v>1706</v>
      </c>
      <c r="E590" s="64" t="s">
        <v>1707</v>
      </c>
      <c r="F590" s="65">
        <v>0</v>
      </c>
      <c r="G590" s="66">
        <v>0</v>
      </c>
      <c r="H590" s="65">
        <v>0</v>
      </c>
      <c r="I590" s="67">
        <v>0</v>
      </c>
      <c r="J590" s="67">
        <v>0</v>
      </c>
      <c r="K590" s="67">
        <v>0</v>
      </c>
      <c r="L590" s="68">
        <v>0</v>
      </c>
      <c r="M590" s="67">
        <v>0</v>
      </c>
      <c r="N590" s="68">
        <v>0</v>
      </c>
    </row>
    <row r="591" spans="2:14" x14ac:dyDescent="0.25">
      <c r="B591" s="63">
        <v>45194</v>
      </c>
      <c r="C591" s="63">
        <v>45195</v>
      </c>
      <c r="D591" s="64" t="s">
        <v>1708</v>
      </c>
      <c r="E591" s="64" t="s">
        <v>1709</v>
      </c>
      <c r="F591" s="65">
        <v>0</v>
      </c>
      <c r="G591" s="66">
        <v>0</v>
      </c>
      <c r="H591" s="65">
        <v>0</v>
      </c>
      <c r="I591" s="67">
        <v>0</v>
      </c>
      <c r="J591" s="67">
        <v>0</v>
      </c>
      <c r="K591" s="67">
        <v>0</v>
      </c>
      <c r="L591" s="68">
        <v>0</v>
      </c>
      <c r="M591" s="67">
        <v>0</v>
      </c>
      <c r="N591" s="68">
        <v>0</v>
      </c>
    </row>
    <row r="592" spans="2:14" x14ac:dyDescent="0.25">
      <c r="B592" s="63">
        <v>45194</v>
      </c>
      <c r="C592" s="63">
        <v>45195</v>
      </c>
      <c r="D592" s="64" t="s">
        <v>1710</v>
      </c>
      <c r="E592" s="64" t="s">
        <v>1711</v>
      </c>
      <c r="F592" s="65">
        <v>0</v>
      </c>
      <c r="G592" s="66">
        <v>0</v>
      </c>
      <c r="H592" s="65">
        <v>0</v>
      </c>
      <c r="I592" s="67">
        <v>0</v>
      </c>
      <c r="J592" s="67">
        <v>0</v>
      </c>
      <c r="K592" s="67">
        <v>0</v>
      </c>
      <c r="L592" s="68">
        <v>0</v>
      </c>
      <c r="M592" s="67">
        <v>0</v>
      </c>
      <c r="N592" s="68">
        <v>0</v>
      </c>
    </row>
    <row r="593" spans="2:14" x14ac:dyDescent="0.25">
      <c r="B593" s="63">
        <v>45201</v>
      </c>
      <c r="C593" s="63">
        <v>45202</v>
      </c>
      <c r="D593" s="64" t="s">
        <v>1628</v>
      </c>
      <c r="E593" s="64" t="s">
        <v>1629</v>
      </c>
      <c r="F593" s="65">
        <v>557.56920600000001</v>
      </c>
      <c r="G593" s="65">
        <v>296.54205999999999</v>
      </c>
      <c r="H593" s="65">
        <v>335</v>
      </c>
      <c r="I593" s="67">
        <v>4.5025250000000003</v>
      </c>
      <c r="J593" s="67">
        <v>88.351984999999999</v>
      </c>
      <c r="K593" s="67">
        <v>88.355000000000004</v>
      </c>
      <c r="L593" s="68">
        <v>100</v>
      </c>
      <c r="M593" s="67">
        <v>88.344999999999999</v>
      </c>
      <c r="N593" s="68">
        <v>6.9849999999999999E-3</v>
      </c>
    </row>
    <row r="594" spans="2:14" x14ac:dyDescent="0.25">
      <c r="B594" s="63">
        <v>45201</v>
      </c>
      <c r="C594" s="63">
        <v>45202</v>
      </c>
      <c r="D594" s="64" t="s">
        <v>1630</v>
      </c>
      <c r="E594" s="64" t="s">
        <v>1631</v>
      </c>
      <c r="F594" s="65">
        <v>227.71745200000001</v>
      </c>
      <c r="G594" s="65">
        <v>89.355462000000003</v>
      </c>
      <c r="H594" s="65">
        <v>100</v>
      </c>
      <c r="I594" s="67">
        <v>4.3918679999999997</v>
      </c>
      <c r="J594" s="67">
        <v>89.107500000000002</v>
      </c>
      <c r="K594" s="67">
        <v>89.11</v>
      </c>
      <c r="L594" s="68">
        <v>100</v>
      </c>
      <c r="M594" s="67">
        <v>89.105000000000004</v>
      </c>
      <c r="N594" s="68">
        <v>2.5000000000000001E-3</v>
      </c>
    </row>
    <row r="595" spans="2:14" x14ac:dyDescent="0.25">
      <c r="B595" s="63">
        <v>45201</v>
      </c>
      <c r="C595" s="63">
        <v>45202</v>
      </c>
      <c r="D595" s="64" t="s">
        <v>1632</v>
      </c>
      <c r="E595" s="64" t="s">
        <v>1633</v>
      </c>
      <c r="F595" s="65">
        <v>0</v>
      </c>
      <c r="G595" s="65">
        <v>0</v>
      </c>
      <c r="H595" s="65">
        <v>0</v>
      </c>
      <c r="I595" s="67">
        <v>0</v>
      </c>
      <c r="J595" s="67">
        <v>0</v>
      </c>
      <c r="K595" s="67">
        <v>0</v>
      </c>
      <c r="L595" s="68">
        <v>0</v>
      </c>
      <c r="M595" s="67">
        <v>0</v>
      </c>
      <c r="N595" s="68">
        <v>0</v>
      </c>
    </row>
    <row r="596" spans="2:14" x14ac:dyDescent="0.25">
      <c r="B596" s="63">
        <v>45201</v>
      </c>
      <c r="C596" s="63">
        <v>45202</v>
      </c>
      <c r="D596" s="64" t="s">
        <v>1634</v>
      </c>
      <c r="E596" s="64" t="s">
        <v>1635</v>
      </c>
      <c r="F596" s="65">
        <v>833.21369100000004</v>
      </c>
      <c r="G596" s="65">
        <v>58.390317000000003</v>
      </c>
      <c r="H596" s="65">
        <v>70</v>
      </c>
      <c r="I596" s="67">
        <v>4.3807710000000002</v>
      </c>
      <c r="J596" s="67">
        <v>83.393000000000001</v>
      </c>
      <c r="K596" s="67">
        <v>83.393000000000001</v>
      </c>
      <c r="L596" s="68">
        <v>100</v>
      </c>
      <c r="M596" s="67">
        <v>83.393000000000001</v>
      </c>
      <c r="N596" s="68">
        <v>0</v>
      </c>
    </row>
    <row r="597" spans="2:14" x14ac:dyDescent="0.25">
      <c r="B597" s="63">
        <v>45201</v>
      </c>
      <c r="C597" s="63">
        <v>45202</v>
      </c>
      <c r="D597" s="64" t="s">
        <v>1636</v>
      </c>
      <c r="E597" s="64" t="s">
        <v>1637</v>
      </c>
      <c r="F597" s="65">
        <v>154.06646699999999</v>
      </c>
      <c r="G597" s="65">
        <v>0</v>
      </c>
      <c r="H597" s="65">
        <v>0</v>
      </c>
      <c r="I597" s="67">
        <v>0</v>
      </c>
      <c r="J597" s="67">
        <v>0</v>
      </c>
      <c r="K597" s="67">
        <v>0</v>
      </c>
      <c r="L597" s="68">
        <v>0</v>
      </c>
      <c r="M597" s="67">
        <v>0</v>
      </c>
      <c r="N597" s="68">
        <v>0</v>
      </c>
    </row>
    <row r="598" spans="2:14" x14ac:dyDescent="0.25">
      <c r="B598" s="63">
        <v>45201</v>
      </c>
      <c r="C598" s="63">
        <v>45202</v>
      </c>
      <c r="D598" s="64" t="s">
        <v>1638</v>
      </c>
      <c r="E598" s="64" t="s">
        <v>1639</v>
      </c>
      <c r="F598" s="65">
        <v>0</v>
      </c>
      <c r="G598" s="65">
        <v>0</v>
      </c>
      <c r="H598" s="65">
        <v>0</v>
      </c>
      <c r="I598" s="67">
        <v>0</v>
      </c>
      <c r="J598" s="67">
        <v>0</v>
      </c>
      <c r="K598" s="67">
        <v>0</v>
      </c>
      <c r="L598" s="68">
        <v>0</v>
      </c>
      <c r="M598" s="67">
        <v>0</v>
      </c>
      <c r="N598" s="68">
        <v>0</v>
      </c>
    </row>
    <row r="599" spans="2:14" x14ac:dyDescent="0.25">
      <c r="B599" s="63">
        <v>45201</v>
      </c>
      <c r="C599" s="63">
        <v>45202</v>
      </c>
      <c r="D599" s="64" t="s">
        <v>1668</v>
      </c>
      <c r="E599" s="64" t="s">
        <v>1669</v>
      </c>
      <c r="F599" s="65">
        <v>77.518007999999995</v>
      </c>
      <c r="G599" s="65">
        <v>0</v>
      </c>
      <c r="H599" s="65">
        <v>0</v>
      </c>
      <c r="I599" s="67">
        <v>0</v>
      </c>
      <c r="J599" s="67">
        <v>0</v>
      </c>
      <c r="K599" s="67">
        <v>0</v>
      </c>
      <c r="L599" s="68">
        <v>0</v>
      </c>
      <c r="M599" s="67">
        <v>0</v>
      </c>
      <c r="N599" s="68">
        <v>0</v>
      </c>
    </row>
    <row r="600" spans="2:14" x14ac:dyDescent="0.25">
      <c r="B600" s="63">
        <v>45201</v>
      </c>
      <c r="C600" s="63">
        <v>45202</v>
      </c>
      <c r="D600" s="64" t="s">
        <v>1640</v>
      </c>
      <c r="E600" s="64" t="s">
        <v>1641</v>
      </c>
      <c r="F600" s="65">
        <v>226.20321000000001</v>
      </c>
      <c r="G600" s="65">
        <v>225.62744599999999</v>
      </c>
      <c r="H600" s="65">
        <v>274.3</v>
      </c>
      <c r="I600" s="67">
        <v>4.3117000000000001</v>
      </c>
      <c r="J600" s="67">
        <v>81.863645000000005</v>
      </c>
      <c r="K600" s="67">
        <v>81.87</v>
      </c>
      <c r="L600" s="68">
        <v>99.6</v>
      </c>
      <c r="M600" s="67">
        <v>81.86</v>
      </c>
      <c r="N600" s="68">
        <v>3.6449999999999998E-3</v>
      </c>
    </row>
    <row r="601" spans="2:14" x14ac:dyDescent="0.25">
      <c r="B601" s="63">
        <v>45208</v>
      </c>
      <c r="C601" s="63">
        <v>45209</v>
      </c>
      <c r="D601" s="64" t="s">
        <v>1674</v>
      </c>
      <c r="E601" s="64" t="s">
        <v>1675</v>
      </c>
      <c r="F601" s="65">
        <v>108.82283</v>
      </c>
      <c r="G601" s="65">
        <v>70.469570000000004</v>
      </c>
      <c r="H601" s="65">
        <v>90</v>
      </c>
      <c r="I601" s="67">
        <v>5.0238639999999997</v>
      </c>
      <c r="J601" s="67">
        <v>77.593018999999998</v>
      </c>
      <c r="K601" s="67">
        <v>77.644000000000005</v>
      </c>
      <c r="L601" s="68">
        <v>100</v>
      </c>
      <c r="M601" s="67">
        <v>77.55</v>
      </c>
      <c r="N601" s="68">
        <v>4.3019000000000002E-2</v>
      </c>
    </row>
    <row r="602" spans="2:14" x14ac:dyDescent="0.25">
      <c r="B602" s="63">
        <v>45208</v>
      </c>
      <c r="C602" s="63">
        <v>45209</v>
      </c>
      <c r="D602" s="64" t="s">
        <v>1676</v>
      </c>
      <c r="E602" s="64" t="s">
        <v>1677</v>
      </c>
      <c r="F602" s="65">
        <v>12.112629999999999</v>
      </c>
      <c r="G602" s="65">
        <v>12.112629999999999</v>
      </c>
      <c r="H602" s="65">
        <v>15</v>
      </c>
      <c r="I602" s="67">
        <v>5.0437609999999999</v>
      </c>
      <c r="J602" s="67">
        <v>79.989999999999995</v>
      </c>
      <c r="K602" s="67">
        <v>79.989999999999995</v>
      </c>
      <c r="L602" s="68">
        <v>100</v>
      </c>
      <c r="M602" s="67">
        <v>79.989999999999995</v>
      </c>
      <c r="N602" s="68">
        <v>0</v>
      </c>
    </row>
    <row r="603" spans="2:14" x14ac:dyDescent="0.25">
      <c r="B603" s="63">
        <v>45208</v>
      </c>
      <c r="C603" s="63">
        <v>45209</v>
      </c>
      <c r="D603" s="64" t="s">
        <v>1678</v>
      </c>
      <c r="E603" s="64" t="s">
        <v>1679</v>
      </c>
      <c r="F603" s="65">
        <v>102.845181</v>
      </c>
      <c r="G603" s="65">
        <v>4.5038819999999999</v>
      </c>
      <c r="H603" s="65">
        <v>10</v>
      </c>
      <c r="I603" s="67">
        <v>5.0054939999999997</v>
      </c>
      <c r="J603" s="67">
        <v>44.87</v>
      </c>
      <c r="K603" s="67">
        <v>44.87</v>
      </c>
      <c r="L603" s="68">
        <v>100</v>
      </c>
      <c r="M603" s="67">
        <v>44.87</v>
      </c>
      <c r="N603" s="68">
        <v>0</v>
      </c>
    </row>
    <row r="604" spans="2:14" x14ac:dyDescent="0.25">
      <c r="B604" s="63">
        <v>45208</v>
      </c>
      <c r="C604" s="63">
        <v>45209</v>
      </c>
      <c r="D604" s="64" t="s">
        <v>1680</v>
      </c>
      <c r="E604" s="64" t="s">
        <v>1681</v>
      </c>
      <c r="F604" s="65">
        <v>13.594725</v>
      </c>
      <c r="G604" s="65">
        <v>13.594725</v>
      </c>
      <c r="H604" s="65">
        <v>15</v>
      </c>
      <c r="I604" s="67">
        <v>5.0471120000000003</v>
      </c>
      <c r="J604" s="67">
        <v>89.18</v>
      </c>
      <c r="K604" s="67">
        <v>89.18</v>
      </c>
      <c r="L604" s="68">
        <v>100</v>
      </c>
      <c r="M604" s="67">
        <v>89.18</v>
      </c>
      <c r="N604" s="68">
        <v>0</v>
      </c>
    </row>
    <row r="605" spans="2:14" x14ac:dyDescent="0.25">
      <c r="B605" s="63">
        <v>45208</v>
      </c>
      <c r="C605" s="63">
        <v>45209</v>
      </c>
      <c r="D605" s="64" t="s">
        <v>1682</v>
      </c>
      <c r="E605" s="64" t="s">
        <v>1683</v>
      </c>
      <c r="F605" s="65">
        <v>5.1746080000000001</v>
      </c>
      <c r="G605" s="65">
        <v>5.1746090000000002</v>
      </c>
      <c r="H605" s="65">
        <v>10</v>
      </c>
      <c r="I605" s="67">
        <v>5.022494</v>
      </c>
      <c r="J605" s="67">
        <v>51.42</v>
      </c>
      <c r="K605" s="67">
        <v>51.42</v>
      </c>
      <c r="L605" s="68">
        <v>100</v>
      </c>
      <c r="M605" s="67">
        <v>51.42</v>
      </c>
      <c r="N605" s="68">
        <v>0</v>
      </c>
    </row>
    <row r="606" spans="2:14" x14ac:dyDescent="0.25">
      <c r="B606" s="63">
        <v>45208</v>
      </c>
      <c r="C606" s="63">
        <v>45209</v>
      </c>
      <c r="D606" s="64" t="s">
        <v>1684</v>
      </c>
      <c r="E606" s="64" t="s">
        <v>1685</v>
      </c>
      <c r="F606" s="65">
        <v>0</v>
      </c>
      <c r="G606" s="65">
        <v>0</v>
      </c>
      <c r="H606" s="65">
        <v>0</v>
      </c>
      <c r="I606" s="67">
        <v>0</v>
      </c>
      <c r="J606" s="67">
        <v>0</v>
      </c>
      <c r="K606" s="67">
        <v>0</v>
      </c>
      <c r="L606" s="68">
        <v>0</v>
      </c>
      <c r="M606" s="67">
        <v>0</v>
      </c>
      <c r="N606" s="68">
        <v>0</v>
      </c>
    </row>
    <row r="607" spans="2:14" x14ac:dyDescent="0.25">
      <c r="B607" s="63">
        <v>45208</v>
      </c>
      <c r="C607" s="63">
        <v>45209</v>
      </c>
      <c r="D607" s="64" t="s">
        <v>1686</v>
      </c>
      <c r="E607" s="64" t="s">
        <v>1687</v>
      </c>
      <c r="F607" s="65">
        <v>22.400375</v>
      </c>
      <c r="G607" s="65">
        <v>0</v>
      </c>
      <c r="H607" s="65">
        <v>0</v>
      </c>
      <c r="I607" s="67">
        <v>0</v>
      </c>
      <c r="J607" s="67">
        <v>0</v>
      </c>
      <c r="K607" s="67">
        <v>0</v>
      </c>
      <c r="L607" s="68">
        <v>0</v>
      </c>
      <c r="M607" s="67">
        <v>0</v>
      </c>
      <c r="N607" s="68">
        <v>0</v>
      </c>
    </row>
    <row r="608" spans="2:14" x14ac:dyDescent="0.25">
      <c r="B608" s="63">
        <v>45208</v>
      </c>
      <c r="C608" s="63">
        <v>45209</v>
      </c>
      <c r="D608" s="64" t="s">
        <v>1688</v>
      </c>
      <c r="E608" s="64" t="s">
        <v>1689</v>
      </c>
      <c r="F608" s="65">
        <v>17.881004000000001</v>
      </c>
      <c r="G608" s="65">
        <v>0</v>
      </c>
      <c r="H608" s="65">
        <v>0</v>
      </c>
      <c r="I608" s="67">
        <v>0</v>
      </c>
      <c r="J608" s="67">
        <v>0</v>
      </c>
      <c r="K608" s="67">
        <v>0</v>
      </c>
      <c r="L608" s="68">
        <v>0</v>
      </c>
      <c r="M608" s="67">
        <v>0</v>
      </c>
      <c r="N608" s="68">
        <v>0</v>
      </c>
    </row>
    <row r="609" spans="2:14" x14ac:dyDescent="0.25">
      <c r="B609" s="63">
        <v>45208</v>
      </c>
      <c r="C609" s="63">
        <v>45209</v>
      </c>
      <c r="D609" s="64" t="s">
        <v>1690</v>
      </c>
      <c r="E609" s="64" t="s">
        <v>1691</v>
      </c>
      <c r="F609" s="65">
        <v>238.46340900000001</v>
      </c>
      <c r="G609" s="65">
        <v>203.467975</v>
      </c>
      <c r="H609" s="65">
        <v>460</v>
      </c>
      <c r="I609" s="67">
        <v>5.0003580000000003</v>
      </c>
      <c r="J609" s="67">
        <v>43.991034999999997</v>
      </c>
      <c r="K609" s="67">
        <v>44.042999999999999</v>
      </c>
      <c r="L609" s="68">
        <v>100</v>
      </c>
      <c r="M609" s="67">
        <v>43.933</v>
      </c>
      <c r="N609" s="68">
        <v>5.8035000000000003E-2</v>
      </c>
    </row>
    <row r="610" spans="2:14" x14ac:dyDescent="0.25">
      <c r="B610" s="63">
        <v>45208</v>
      </c>
      <c r="C610" s="63">
        <v>45209</v>
      </c>
      <c r="D610" s="64" t="s">
        <v>1692</v>
      </c>
      <c r="E610" s="64" t="s">
        <v>1693</v>
      </c>
      <c r="F610" s="65">
        <v>81.471467000000004</v>
      </c>
      <c r="G610" s="65">
        <v>61.123913000000002</v>
      </c>
      <c r="H610" s="65">
        <v>75</v>
      </c>
      <c r="I610" s="67">
        <v>5.026478</v>
      </c>
      <c r="J610" s="67">
        <v>80.683344000000005</v>
      </c>
      <c r="K610" s="67">
        <v>80.704999999999998</v>
      </c>
      <c r="L610" s="68">
        <v>100</v>
      </c>
      <c r="M610" s="67">
        <v>80.64</v>
      </c>
      <c r="N610" s="68">
        <v>4.3344000000000001E-2</v>
      </c>
    </row>
    <row r="611" spans="2:14" x14ac:dyDescent="0.25">
      <c r="B611" s="63">
        <v>45208</v>
      </c>
      <c r="C611" s="63">
        <v>45209</v>
      </c>
      <c r="D611" s="64" t="s">
        <v>1696</v>
      </c>
      <c r="E611" s="64" t="s">
        <v>1697</v>
      </c>
      <c r="F611" s="65">
        <v>0</v>
      </c>
      <c r="G611" s="65">
        <v>0</v>
      </c>
      <c r="H611" s="65">
        <v>0</v>
      </c>
      <c r="I611" s="67">
        <v>0</v>
      </c>
      <c r="J611" s="67">
        <v>0</v>
      </c>
      <c r="K611" s="67">
        <v>0</v>
      </c>
      <c r="L611" s="68">
        <v>0</v>
      </c>
      <c r="M611" s="67">
        <v>0</v>
      </c>
      <c r="N611" s="68">
        <v>0</v>
      </c>
    </row>
    <row r="612" spans="2:14" x14ac:dyDescent="0.25">
      <c r="B612" s="63">
        <v>45208</v>
      </c>
      <c r="C612" s="63">
        <v>45209</v>
      </c>
      <c r="D612" s="64" t="s">
        <v>1698</v>
      </c>
      <c r="E612" s="64" t="s">
        <v>1699</v>
      </c>
      <c r="F612" s="65">
        <v>89.171102000000005</v>
      </c>
      <c r="G612" s="65">
        <v>0</v>
      </c>
      <c r="H612" s="65">
        <v>0</v>
      </c>
      <c r="I612" s="67">
        <v>0</v>
      </c>
      <c r="J612" s="67">
        <v>0</v>
      </c>
      <c r="K612" s="67">
        <v>0</v>
      </c>
      <c r="L612" s="68">
        <v>0</v>
      </c>
      <c r="M612" s="67">
        <v>0</v>
      </c>
      <c r="N612" s="68">
        <v>0</v>
      </c>
    </row>
    <row r="613" spans="2:14" x14ac:dyDescent="0.25">
      <c r="B613" s="63">
        <v>45208</v>
      </c>
      <c r="C613" s="63">
        <v>45209</v>
      </c>
      <c r="D613" s="64" t="s">
        <v>1700</v>
      </c>
      <c r="E613" s="64" t="s">
        <v>1701</v>
      </c>
      <c r="F613" s="65">
        <v>0</v>
      </c>
      <c r="G613" s="65">
        <v>0</v>
      </c>
      <c r="H613" s="65">
        <v>0</v>
      </c>
      <c r="I613" s="67">
        <v>0</v>
      </c>
      <c r="J613" s="67">
        <v>0</v>
      </c>
      <c r="K613" s="67">
        <v>0</v>
      </c>
      <c r="L613" s="68">
        <v>0</v>
      </c>
      <c r="M613" s="67">
        <v>0</v>
      </c>
      <c r="N613" s="68">
        <v>0</v>
      </c>
    </row>
    <row r="614" spans="2:14" x14ac:dyDescent="0.25">
      <c r="B614" s="63">
        <v>45208</v>
      </c>
      <c r="C614" s="63">
        <v>45209</v>
      </c>
      <c r="D614" s="64" t="s">
        <v>1702</v>
      </c>
      <c r="E614" s="64" t="s">
        <v>1703</v>
      </c>
      <c r="F614" s="65">
        <v>0</v>
      </c>
      <c r="G614" s="65">
        <v>0</v>
      </c>
      <c r="H614" s="65">
        <v>0</v>
      </c>
      <c r="I614" s="67">
        <v>0</v>
      </c>
      <c r="J614" s="67">
        <v>0</v>
      </c>
      <c r="K614" s="67">
        <v>0</v>
      </c>
      <c r="L614" s="68">
        <v>0</v>
      </c>
      <c r="M614" s="67">
        <v>0</v>
      </c>
      <c r="N614" s="68">
        <v>0</v>
      </c>
    </row>
    <row r="615" spans="2:14" x14ac:dyDescent="0.25">
      <c r="B615" s="63">
        <v>45208</v>
      </c>
      <c r="C615" s="63">
        <v>45209</v>
      </c>
      <c r="D615" s="64" t="s">
        <v>1704</v>
      </c>
      <c r="E615" s="64" t="s">
        <v>1705</v>
      </c>
      <c r="F615" s="65">
        <v>76.605237000000002</v>
      </c>
      <c r="G615" s="65">
        <v>74.545422000000002</v>
      </c>
      <c r="H615" s="65">
        <v>285.10000000000002</v>
      </c>
      <c r="I615" s="67">
        <v>4.6991670000000001</v>
      </c>
      <c r="J615" s="67">
        <v>25.913512999999998</v>
      </c>
      <c r="K615" s="67">
        <v>25.934000000000001</v>
      </c>
      <c r="L615" s="68">
        <v>21</v>
      </c>
      <c r="M615" s="67">
        <v>25.84</v>
      </c>
      <c r="N615" s="68">
        <v>7.3512999999999995E-2</v>
      </c>
    </row>
    <row r="616" spans="2:14" x14ac:dyDescent="0.25">
      <c r="B616" s="63">
        <v>45208</v>
      </c>
      <c r="C616" s="63">
        <v>45209</v>
      </c>
      <c r="D616" s="64" t="s">
        <v>1706</v>
      </c>
      <c r="E616" s="64" t="s">
        <v>1707</v>
      </c>
      <c r="F616" s="65">
        <v>0</v>
      </c>
      <c r="G616" s="65">
        <v>0</v>
      </c>
      <c r="H616" s="65">
        <v>0</v>
      </c>
      <c r="I616" s="67">
        <v>0</v>
      </c>
      <c r="J616" s="67">
        <v>0</v>
      </c>
      <c r="K616" s="67">
        <v>0</v>
      </c>
      <c r="L616" s="68">
        <v>0</v>
      </c>
      <c r="M616" s="67">
        <v>0</v>
      </c>
      <c r="N616" s="68">
        <v>0</v>
      </c>
    </row>
    <row r="617" spans="2:14" x14ac:dyDescent="0.25">
      <c r="B617" s="63">
        <v>45208</v>
      </c>
      <c r="C617" s="63">
        <v>45209</v>
      </c>
      <c r="D617" s="64" t="s">
        <v>1708</v>
      </c>
      <c r="E617" s="64" t="s">
        <v>1709</v>
      </c>
      <c r="F617" s="65">
        <v>13.660356</v>
      </c>
      <c r="G617" s="65">
        <v>13.660356999999999</v>
      </c>
      <c r="H617" s="65">
        <v>18</v>
      </c>
      <c r="I617" s="67">
        <v>4.8696289999999998</v>
      </c>
      <c r="J617" s="67">
        <v>75.13</v>
      </c>
      <c r="K617" s="67">
        <v>75.13</v>
      </c>
      <c r="L617" s="68">
        <v>100</v>
      </c>
      <c r="M617" s="67">
        <v>75.13</v>
      </c>
      <c r="N617" s="68">
        <v>0</v>
      </c>
    </row>
    <row r="618" spans="2:14" x14ac:dyDescent="0.25">
      <c r="B618" s="63">
        <v>45208</v>
      </c>
      <c r="C618" s="63">
        <v>45209</v>
      </c>
      <c r="D618" s="64" t="s">
        <v>1710</v>
      </c>
      <c r="E618" s="64" t="s">
        <v>1711</v>
      </c>
      <c r="F618" s="65">
        <v>215.532128</v>
      </c>
      <c r="G618" s="65">
        <v>211.32610700000001</v>
      </c>
      <c r="H618" s="65">
        <v>500</v>
      </c>
      <c r="I618" s="67">
        <v>4.7094430000000003</v>
      </c>
      <c r="J618" s="67">
        <v>41.506003999999997</v>
      </c>
      <c r="K618" s="67">
        <v>41.526000000000003</v>
      </c>
      <c r="L618" s="68">
        <v>100</v>
      </c>
      <c r="M618" s="67">
        <v>41.485999999999997</v>
      </c>
      <c r="N618" s="68">
        <v>2.0004000000000001E-2</v>
      </c>
    </row>
    <row r="619" spans="2:14" x14ac:dyDescent="0.25">
      <c r="B619" s="63">
        <v>45215</v>
      </c>
      <c r="C619" s="63">
        <v>45216</v>
      </c>
      <c r="D619" s="63" t="s">
        <v>1642</v>
      </c>
      <c r="E619" s="63" t="s">
        <v>1643</v>
      </c>
      <c r="F619" s="66">
        <v>213.33095499999999</v>
      </c>
      <c r="G619" s="66">
        <v>38.132939</v>
      </c>
      <c r="H619" s="65">
        <v>50</v>
      </c>
      <c r="I619" s="67">
        <v>4.3348490000000002</v>
      </c>
      <c r="J619" s="67">
        <v>76.271000000000001</v>
      </c>
      <c r="K619" s="67">
        <v>76.271000000000001</v>
      </c>
      <c r="L619" s="68">
        <v>100</v>
      </c>
      <c r="M619" s="67">
        <v>76.271000000000001</v>
      </c>
      <c r="N619" s="68">
        <v>0</v>
      </c>
    </row>
    <row r="620" spans="2:14" x14ac:dyDescent="0.25">
      <c r="B620" s="63">
        <v>45215</v>
      </c>
      <c r="C620" s="63">
        <v>45216</v>
      </c>
      <c r="D620" s="63" t="s">
        <v>1644</v>
      </c>
      <c r="E620" s="63" t="s">
        <v>1645</v>
      </c>
      <c r="F620" s="66">
        <v>125.083037</v>
      </c>
      <c r="G620" s="66">
        <v>114.660526</v>
      </c>
      <c r="H620" s="65">
        <v>110</v>
      </c>
      <c r="I620" s="67">
        <v>4.3343639999999999</v>
      </c>
      <c r="J620" s="67">
        <v>102.52372699999999</v>
      </c>
      <c r="K620" s="67">
        <v>102.53100000000001</v>
      </c>
      <c r="L620" s="68">
        <v>100</v>
      </c>
      <c r="M620" s="67">
        <v>102.523</v>
      </c>
      <c r="N620" s="68">
        <v>7.27E-4</v>
      </c>
    </row>
    <row r="621" spans="2:14" x14ac:dyDescent="0.25">
      <c r="B621" s="63">
        <v>45215</v>
      </c>
      <c r="C621" s="63">
        <v>45216</v>
      </c>
      <c r="D621" s="63" t="s">
        <v>1646</v>
      </c>
      <c r="E621" s="63" t="s">
        <v>1647</v>
      </c>
      <c r="F621" s="66">
        <v>0</v>
      </c>
      <c r="G621" s="66">
        <v>0</v>
      </c>
      <c r="H621" s="65">
        <v>0</v>
      </c>
      <c r="I621" s="67">
        <v>0</v>
      </c>
      <c r="J621" s="67">
        <v>0</v>
      </c>
      <c r="K621" s="67">
        <v>0</v>
      </c>
      <c r="L621" s="68">
        <v>0</v>
      </c>
      <c r="M621" s="67">
        <v>0</v>
      </c>
      <c r="N621" s="68">
        <v>0</v>
      </c>
    </row>
    <row r="622" spans="2:14" x14ac:dyDescent="0.25">
      <c r="B622" s="63">
        <v>45215</v>
      </c>
      <c r="C622" s="63">
        <v>45216</v>
      </c>
      <c r="D622" s="63" t="s">
        <v>1648</v>
      </c>
      <c r="E622" s="63" t="s">
        <v>1649</v>
      </c>
      <c r="F622" s="66">
        <v>191.122995</v>
      </c>
      <c r="G622" s="66">
        <v>125.83123399999999</v>
      </c>
      <c r="H622" s="65">
        <v>125</v>
      </c>
      <c r="I622" s="67">
        <v>4.3710360000000001</v>
      </c>
      <c r="J622" s="67">
        <v>99.132199999999997</v>
      </c>
      <c r="K622" s="67">
        <v>99.132999999999996</v>
      </c>
      <c r="L622" s="68">
        <v>100</v>
      </c>
      <c r="M622" s="67">
        <v>99.132000000000005</v>
      </c>
      <c r="N622" s="68">
        <v>2.0000000000000001E-4</v>
      </c>
    </row>
    <row r="623" spans="2:14" x14ac:dyDescent="0.25">
      <c r="B623" s="63">
        <v>45215</v>
      </c>
      <c r="C623" s="63">
        <v>45216</v>
      </c>
      <c r="D623" s="63" t="s">
        <v>1670</v>
      </c>
      <c r="E623" s="63" t="s">
        <v>1671</v>
      </c>
      <c r="F623" s="66">
        <v>0</v>
      </c>
      <c r="G623" s="66">
        <v>0</v>
      </c>
      <c r="H623" s="65">
        <v>0</v>
      </c>
      <c r="I623" s="67">
        <v>0</v>
      </c>
      <c r="J623" s="67">
        <v>0</v>
      </c>
      <c r="K623" s="67">
        <v>0</v>
      </c>
      <c r="L623" s="68">
        <v>0</v>
      </c>
      <c r="M623" s="67">
        <v>0</v>
      </c>
      <c r="N623" s="68">
        <v>0</v>
      </c>
    </row>
    <row r="624" spans="2:14" x14ac:dyDescent="0.25">
      <c r="B624" s="63">
        <v>45215</v>
      </c>
      <c r="C624" s="63">
        <v>45216</v>
      </c>
      <c r="D624" s="63" t="s">
        <v>1650</v>
      </c>
      <c r="E624" s="63" t="s">
        <v>1651</v>
      </c>
      <c r="F624" s="66">
        <v>192.15841</v>
      </c>
      <c r="G624" s="66">
        <v>76.674689000000001</v>
      </c>
      <c r="H624" s="65">
        <v>76.599999999999994</v>
      </c>
      <c r="I624" s="67">
        <v>4.5461169999999997</v>
      </c>
      <c r="J624" s="67">
        <v>99.602999999999994</v>
      </c>
      <c r="K624" s="67">
        <v>99.602999999999994</v>
      </c>
      <c r="L624" s="68">
        <v>79.791666000000006</v>
      </c>
      <c r="M624" s="67">
        <v>99.602999999999994</v>
      </c>
      <c r="N624" s="68">
        <v>0</v>
      </c>
    </row>
    <row r="625" spans="2:14" x14ac:dyDescent="0.25">
      <c r="B625" s="63">
        <v>45215</v>
      </c>
      <c r="C625" s="63">
        <v>45216</v>
      </c>
      <c r="D625" s="63" t="s">
        <v>1652</v>
      </c>
      <c r="E625" s="63" t="s">
        <v>1653</v>
      </c>
      <c r="F625" s="66">
        <v>266.01181200000002</v>
      </c>
      <c r="G625" s="66">
        <v>48.208105000000003</v>
      </c>
      <c r="H625" s="65">
        <v>75</v>
      </c>
      <c r="I625" s="67">
        <v>4.5992199999999999</v>
      </c>
      <c r="J625" s="67">
        <v>64.144999999999996</v>
      </c>
      <c r="K625" s="67">
        <v>64.144999999999996</v>
      </c>
      <c r="L625" s="68">
        <v>100</v>
      </c>
      <c r="M625" s="67">
        <v>64.144999999999996</v>
      </c>
      <c r="N625" s="68">
        <v>0</v>
      </c>
    </row>
    <row r="626" spans="2:14" x14ac:dyDescent="0.25">
      <c r="B626" s="63">
        <v>45215</v>
      </c>
      <c r="C626" s="63">
        <v>45216</v>
      </c>
      <c r="D626" s="63" t="s">
        <v>1654</v>
      </c>
      <c r="E626" s="63" t="s">
        <v>1655</v>
      </c>
      <c r="F626" s="66">
        <v>29.088408999999999</v>
      </c>
      <c r="G626" s="66">
        <v>0</v>
      </c>
      <c r="H626" s="65">
        <v>0</v>
      </c>
      <c r="I626" s="67">
        <v>0</v>
      </c>
      <c r="J626" s="67">
        <v>0</v>
      </c>
      <c r="K626" s="67">
        <v>0</v>
      </c>
      <c r="L626" s="68">
        <v>0</v>
      </c>
      <c r="M626" s="67">
        <v>0</v>
      </c>
      <c r="N626" s="68">
        <v>0</v>
      </c>
    </row>
    <row r="627" spans="2:14" x14ac:dyDescent="0.25">
      <c r="B627" s="63">
        <v>45215</v>
      </c>
      <c r="C627" s="63">
        <v>45216</v>
      </c>
      <c r="D627" s="63" t="s">
        <v>1656</v>
      </c>
      <c r="E627" s="63" t="s">
        <v>1657</v>
      </c>
      <c r="F627" s="66">
        <v>0</v>
      </c>
      <c r="G627" s="66">
        <v>0</v>
      </c>
      <c r="H627" s="65">
        <v>0</v>
      </c>
      <c r="I627" s="67">
        <v>0</v>
      </c>
      <c r="J627" s="67">
        <v>0</v>
      </c>
      <c r="K627" s="67">
        <v>0</v>
      </c>
      <c r="L627" s="68">
        <v>0</v>
      </c>
      <c r="M627" s="67">
        <v>0</v>
      </c>
      <c r="N627" s="68">
        <v>0</v>
      </c>
    </row>
    <row r="628" spans="2:14" x14ac:dyDescent="0.25">
      <c r="B628" s="63">
        <v>45215</v>
      </c>
      <c r="C628" s="63">
        <v>45216</v>
      </c>
      <c r="D628" s="63" t="s">
        <v>1658</v>
      </c>
      <c r="E628" s="63" t="s">
        <v>1659</v>
      </c>
      <c r="F628" s="66">
        <v>0</v>
      </c>
      <c r="G628" s="66">
        <v>0</v>
      </c>
      <c r="H628" s="65">
        <v>0</v>
      </c>
      <c r="I628" s="67">
        <v>0</v>
      </c>
      <c r="J628" s="67">
        <v>0</v>
      </c>
      <c r="K628" s="67">
        <v>0</v>
      </c>
      <c r="L628" s="68">
        <v>0</v>
      </c>
      <c r="M628" s="67">
        <v>0</v>
      </c>
      <c r="N628" s="68">
        <v>0</v>
      </c>
    </row>
    <row r="629" spans="2:14" x14ac:dyDescent="0.25">
      <c r="B629" s="63">
        <v>45215</v>
      </c>
      <c r="C629" s="63">
        <v>45216</v>
      </c>
      <c r="D629" s="63" t="s">
        <v>1660</v>
      </c>
      <c r="E629" s="63" t="s">
        <v>1661</v>
      </c>
      <c r="F629" s="66">
        <v>0</v>
      </c>
      <c r="G629" s="66">
        <v>0</v>
      </c>
      <c r="H629" s="65">
        <v>0</v>
      </c>
      <c r="I629" s="67">
        <v>0</v>
      </c>
      <c r="J629" s="67">
        <v>0</v>
      </c>
      <c r="K629" s="67">
        <v>0</v>
      </c>
      <c r="L629" s="68">
        <v>0</v>
      </c>
      <c r="M629" s="67">
        <v>0</v>
      </c>
      <c r="N629" s="68">
        <v>0</v>
      </c>
    </row>
    <row r="630" spans="2:14" x14ac:dyDescent="0.25">
      <c r="B630" s="63">
        <v>45215</v>
      </c>
      <c r="C630" s="63">
        <v>45216</v>
      </c>
      <c r="D630" s="63" t="s">
        <v>1662</v>
      </c>
      <c r="E630" s="63" t="s">
        <v>1663</v>
      </c>
      <c r="F630" s="66">
        <v>23.576008000000002</v>
      </c>
      <c r="G630" s="66">
        <v>23.576008000000002</v>
      </c>
      <c r="H630" s="65">
        <v>25</v>
      </c>
      <c r="I630" s="67">
        <v>4.8087580000000001</v>
      </c>
      <c r="J630" s="67">
        <v>93.837000000000003</v>
      </c>
      <c r="K630" s="67">
        <v>93.837000000000003</v>
      </c>
      <c r="L630" s="68">
        <v>100</v>
      </c>
      <c r="M630" s="67">
        <v>93.837000000000003</v>
      </c>
      <c r="N630" s="68">
        <v>0</v>
      </c>
    </row>
    <row r="631" spans="2:14" x14ac:dyDescent="0.25">
      <c r="B631" s="63">
        <v>45215</v>
      </c>
      <c r="C631" s="63">
        <v>45216</v>
      </c>
      <c r="D631" s="63" t="s">
        <v>1664</v>
      </c>
      <c r="E631" s="63" t="s">
        <v>1665</v>
      </c>
      <c r="F631" s="66">
        <v>47.331392999999998</v>
      </c>
      <c r="G631" s="66">
        <v>47.331392999999998</v>
      </c>
      <c r="H631" s="65">
        <v>50</v>
      </c>
      <c r="I631" s="67">
        <v>4.8441179999999999</v>
      </c>
      <c r="J631" s="67">
        <v>93.13</v>
      </c>
      <c r="K631" s="67">
        <v>93.13</v>
      </c>
      <c r="L631" s="68">
        <v>100</v>
      </c>
      <c r="M631" s="67">
        <v>93.13</v>
      </c>
      <c r="N631" s="68">
        <v>0</v>
      </c>
    </row>
    <row r="632" spans="2:14" x14ac:dyDescent="0.25">
      <c r="B632" s="63">
        <v>45215</v>
      </c>
      <c r="C632" s="63">
        <v>45216</v>
      </c>
      <c r="D632" s="63" t="s">
        <v>1666</v>
      </c>
      <c r="E632" s="63" t="s">
        <v>1667</v>
      </c>
      <c r="F632" s="66">
        <v>168.471374</v>
      </c>
      <c r="G632" s="66">
        <v>122.83303600000001</v>
      </c>
      <c r="H632" s="65">
        <v>215</v>
      </c>
      <c r="I632" s="67">
        <v>4.8422090000000004</v>
      </c>
      <c r="J632" s="67">
        <v>57.148721000000002</v>
      </c>
      <c r="K632" s="67">
        <v>57.151000000000003</v>
      </c>
      <c r="L632" s="68">
        <v>100</v>
      </c>
      <c r="M632" s="67">
        <v>57.14</v>
      </c>
      <c r="N632" s="68">
        <v>8.7209999999999996E-3</v>
      </c>
    </row>
    <row r="633" spans="2:14" x14ac:dyDescent="0.25">
      <c r="B633" s="63">
        <v>45215</v>
      </c>
      <c r="C633" s="63">
        <v>45216</v>
      </c>
      <c r="D633" s="63" t="s">
        <v>1672</v>
      </c>
      <c r="E633" s="63" t="s">
        <v>1673</v>
      </c>
      <c r="F633" s="66">
        <v>72.671212999999995</v>
      </c>
      <c r="G633" s="66">
        <v>72.671212999999995</v>
      </c>
      <c r="H633" s="65">
        <v>75</v>
      </c>
      <c r="I633" s="67">
        <v>4.8825269999999996</v>
      </c>
      <c r="J633" s="67">
        <v>95.272000000000006</v>
      </c>
      <c r="K633" s="67">
        <v>95.272000000000006</v>
      </c>
      <c r="L633" s="68">
        <v>100</v>
      </c>
      <c r="M633" s="67">
        <v>95.272000000000006</v>
      </c>
      <c r="N633" s="68">
        <v>0</v>
      </c>
    </row>
    <row r="634" spans="2:14" x14ac:dyDescent="0.25">
      <c r="B634" s="63">
        <v>45218</v>
      </c>
      <c r="C634" s="63">
        <v>45219</v>
      </c>
      <c r="D634" s="63" t="s">
        <v>1628</v>
      </c>
      <c r="E634" s="63" t="s">
        <v>1629</v>
      </c>
      <c r="F634" s="66">
        <v>171.89175399999999</v>
      </c>
      <c r="G634" s="66">
        <v>171.89175399999999</v>
      </c>
      <c r="H634" s="65">
        <v>195</v>
      </c>
      <c r="I634" s="67">
        <v>4.6443329999999996</v>
      </c>
      <c r="J634" s="67">
        <v>88.151667000000003</v>
      </c>
      <c r="K634" s="67">
        <v>88.161000000000001</v>
      </c>
      <c r="L634" s="68">
        <v>100</v>
      </c>
      <c r="M634" s="67">
        <v>88.143000000000001</v>
      </c>
      <c r="N634" s="68">
        <v>8.6669999999999994E-3</v>
      </c>
    </row>
    <row r="635" spans="2:14" x14ac:dyDescent="0.25">
      <c r="B635" s="63">
        <v>45218</v>
      </c>
      <c r="C635" s="63">
        <v>45219</v>
      </c>
      <c r="D635" s="63" t="s">
        <v>1630</v>
      </c>
      <c r="E635" s="63" t="s">
        <v>1631</v>
      </c>
      <c r="F635" s="66">
        <v>429.94031899999999</v>
      </c>
      <c r="G635" s="66">
        <v>22.224426999999999</v>
      </c>
      <c r="H635" s="65">
        <v>25</v>
      </c>
      <c r="I635" s="67">
        <v>4.5912699999999997</v>
      </c>
      <c r="J635" s="67">
        <v>88.591999999999999</v>
      </c>
      <c r="K635" s="67">
        <v>88.591999999999999</v>
      </c>
      <c r="L635" s="68">
        <v>100</v>
      </c>
      <c r="M635" s="67">
        <v>88.591999999999999</v>
      </c>
      <c r="N635" s="68">
        <v>0</v>
      </c>
    </row>
    <row r="636" spans="2:14" x14ac:dyDescent="0.25">
      <c r="B636" s="63">
        <v>45218</v>
      </c>
      <c r="C636" s="63">
        <v>45219</v>
      </c>
      <c r="D636" s="63" t="s">
        <v>1632</v>
      </c>
      <c r="E636" s="63" t="s">
        <v>1633</v>
      </c>
      <c r="F636" s="66">
        <v>30.040085999999999</v>
      </c>
      <c r="G636" s="66">
        <v>30.040087</v>
      </c>
      <c r="H636" s="65">
        <v>30</v>
      </c>
      <c r="I636" s="67">
        <v>4.634131</v>
      </c>
      <c r="J636" s="67">
        <v>98.566000000000003</v>
      </c>
      <c r="K636" s="67">
        <v>98.566000000000003</v>
      </c>
      <c r="L636" s="68">
        <v>100</v>
      </c>
      <c r="M636" s="67">
        <v>98.566000000000003</v>
      </c>
      <c r="N636" s="68">
        <v>0</v>
      </c>
    </row>
    <row r="637" spans="2:14" x14ac:dyDescent="0.25">
      <c r="B637" s="63">
        <v>45218</v>
      </c>
      <c r="C637" s="63">
        <v>45219</v>
      </c>
      <c r="D637" s="63" t="s">
        <v>1634</v>
      </c>
      <c r="E637" s="63" t="s">
        <v>1635</v>
      </c>
      <c r="F637" s="66">
        <v>337.19184000000001</v>
      </c>
      <c r="G637" s="66">
        <v>47.831285999999999</v>
      </c>
      <c r="H637" s="65">
        <v>57.7</v>
      </c>
      <c r="I637" s="67">
        <v>4.5780510000000003</v>
      </c>
      <c r="J637" s="67">
        <v>82.868999000000002</v>
      </c>
      <c r="K637" s="67">
        <v>82.885000000000005</v>
      </c>
      <c r="L637" s="68">
        <v>2.3076919999999999</v>
      </c>
      <c r="M637" s="67">
        <v>82.843000000000004</v>
      </c>
      <c r="N637" s="68">
        <v>2.5999000000000001E-2</v>
      </c>
    </row>
    <row r="638" spans="2:14" x14ac:dyDescent="0.25">
      <c r="B638" s="63">
        <v>45218</v>
      </c>
      <c r="C638" s="63">
        <v>45219</v>
      </c>
      <c r="D638" s="63" t="s">
        <v>1636</v>
      </c>
      <c r="E638" s="63" t="s">
        <v>1637</v>
      </c>
      <c r="F638" s="66">
        <v>174.23424</v>
      </c>
      <c r="G638" s="66">
        <v>174.23424</v>
      </c>
      <c r="H638" s="65">
        <v>200</v>
      </c>
      <c r="I638" s="67">
        <v>4.5283920000000002</v>
      </c>
      <c r="J638" s="67">
        <v>87.126002</v>
      </c>
      <c r="K638" s="67">
        <v>87.141000000000005</v>
      </c>
      <c r="L638" s="68">
        <v>100</v>
      </c>
      <c r="M638" s="67">
        <v>87.111000000000004</v>
      </c>
      <c r="N638" s="68">
        <v>1.5002E-2</v>
      </c>
    </row>
    <row r="639" spans="2:14" x14ac:dyDescent="0.25">
      <c r="B639" s="63">
        <v>45218</v>
      </c>
      <c r="C639" s="63">
        <v>45219</v>
      </c>
      <c r="D639" s="63" t="s">
        <v>1638</v>
      </c>
      <c r="E639" s="63" t="s">
        <v>1639</v>
      </c>
      <c r="F639" s="66">
        <v>162.98117199999999</v>
      </c>
      <c r="G639" s="66">
        <v>162.98117199999999</v>
      </c>
      <c r="H639" s="65">
        <v>150</v>
      </c>
      <c r="I639" s="67">
        <v>4.5759020000000001</v>
      </c>
      <c r="J639" s="67">
        <v>106.441</v>
      </c>
      <c r="K639" s="67">
        <v>106.441</v>
      </c>
      <c r="L639" s="68">
        <v>100</v>
      </c>
      <c r="M639" s="67">
        <v>106.441</v>
      </c>
      <c r="N639" s="68">
        <v>0</v>
      </c>
    </row>
    <row r="640" spans="2:14" x14ac:dyDescent="0.25">
      <c r="B640" s="63">
        <v>45218</v>
      </c>
      <c r="C640" s="63">
        <v>45219</v>
      </c>
      <c r="D640" s="63" t="s">
        <v>1668</v>
      </c>
      <c r="E640" s="63" t="s">
        <v>1669</v>
      </c>
      <c r="F640" s="66">
        <v>132.82893899999999</v>
      </c>
      <c r="G640" s="66">
        <v>60.776291000000001</v>
      </c>
      <c r="H640" s="65">
        <v>75</v>
      </c>
      <c r="I640" s="67">
        <v>4.6115620000000002</v>
      </c>
      <c r="J640" s="67">
        <v>80.924999999999997</v>
      </c>
      <c r="K640" s="67">
        <v>80.924999999999997</v>
      </c>
      <c r="L640" s="68">
        <v>100</v>
      </c>
      <c r="M640" s="67">
        <v>80.924999999999997</v>
      </c>
      <c r="N640" s="68">
        <v>0</v>
      </c>
    </row>
    <row r="641" spans="2:14" x14ac:dyDescent="0.25">
      <c r="B641" s="63">
        <v>45218</v>
      </c>
      <c r="C641" s="63">
        <v>45219</v>
      </c>
      <c r="D641" s="63" t="s">
        <v>1640</v>
      </c>
      <c r="E641" s="63" t="s">
        <v>1641</v>
      </c>
      <c r="F641" s="66">
        <v>0</v>
      </c>
      <c r="G641" s="66">
        <v>0</v>
      </c>
      <c r="H641" s="65">
        <v>0</v>
      </c>
      <c r="I641" s="67">
        <v>0</v>
      </c>
      <c r="J641" s="67">
        <v>0</v>
      </c>
      <c r="K641" s="67">
        <v>0</v>
      </c>
      <c r="L641" s="68">
        <v>0</v>
      </c>
      <c r="M641" s="67">
        <v>0</v>
      </c>
      <c r="N641" s="68">
        <v>0</v>
      </c>
    </row>
    <row r="642" spans="2:14" x14ac:dyDescent="0.25">
      <c r="B642" s="63">
        <v>45222</v>
      </c>
      <c r="C642" s="63">
        <v>45223</v>
      </c>
      <c r="D642" s="64" t="s">
        <v>1674</v>
      </c>
      <c r="E642" s="64" t="s">
        <v>1675</v>
      </c>
      <c r="F642" s="65">
        <v>667.53501800000004</v>
      </c>
      <c r="G642" s="66">
        <v>10.665214663044001</v>
      </c>
      <c r="H642" s="65">
        <v>13.9</v>
      </c>
      <c r="I642" s="67">
        <v>5.1866409999999998</v>
      </c>
      <c r="J642" s="67">
        <v>75.897999999999996</v>
      </c>
      <c r="K642" s="67">
        <v>75.897999999999996</v>
      </c>
      <c r="L642" s="68">
        <v>1.597701</v>
      </c>
      <c r="M642" s="67">
        <v>75.897999999999996</v>
      </c>
      <c r="N642" s="68">
        <v>0</v>
      </c>
    </row>
    <row r="643" spans="2:14" x14ac:dyDescent="0.25">
      <c r="B643" s="63">
        <v>45222</v>
      </c>
      <c r="C643" s="63">
        <v>45223</v>
      </c>
      <c r="D643" s="64" t="s">
        <v>1676</v>
      </c>
      <c r="E643" s="64" t="s">
        <v>1677</v>
      </c>
      <c r="F643" s="65">
        <v>0</v>
      </c>
      <c r="G643" s="66">
        <v>0</v>
      </c>
      <c r="H643" s="65">
        <v>0</v>
      </c>
      <c r="I643" s="67">
        <v>0</v>
      </c>
      <c r="J643" s="67">
        <v>0</v>
      </c>
      <c r="K643" s="67">
        <v>0</v>
      </c>
      <c r="L643" s="68">
        <v>0</v>
      </c>
      <c r="M643" s="67">
        <v>0</v>
      </c>
      <c r="N643" s="68">
        <v>0</v>
      </c>
    </row>
    <row r="644" spans="2:14" x14ac:dyDescent="0.25">
      <c r="B644" s="63">
        <v>45222</v>
      </c>
      <c r="C644" s="63">
        <v>45223</v>
      </c>
      <c r="D644" s="64" t="s">
        <v>1678</v>
      </c>
      <c r="E644" s="64" t="s">
        <v>1679</v>
      </c>
      <c r="F644" s="65">
        <v>0</v>
      </c>
      <c r="G644" s="66">
        <v>0</v>
      </c>
      <c r="H644" s="65">
        <v>0</v>
      </c>
      <c r="I644" s="67">
        <v>0</v>
      </c>
      <c r="J644" s="67">
        <v>0</v>
      </c>
      <c r="K644" s="67">
        <v>0</v>
      </c>
      <c r="L644" s="68">
        <v>0</v>
      </c>
      <c r="M644" s="67">
        <v>0</v>
      </c>
      <c r="N644" s="68">
        <v>0</v>
      </c>
    </row>
    <row r="645" spans="2:14" x14ac:dyDescent="0.25">
      <c r="B645" s="63">
        <v>45222</v>
      </c>
      <c r="C645" s="63">
        <v>45223</v>
      </c>
      <c r="D645" s="64" t="s">
        <v>1680</v>
      </c>
      <c r="E645" s="64" t="s">
        <v>1681</v>
      </c>
      <c r="F645" s="65">
        <v>62.414549000000001</v>
      </c>
      <c r="G645" s="66">
        <v>62.414549726775</v>
      </c>
      <c r="H645" s="65">
        <v>70</v>
      </c>
      <c r="I645" s="67">
        <v>5.179627</v>
      </c>
      <c r="J645" s="67">
        <v>87.549576000000002</v>
      </c>
      <c r="K645" s="67">
        <v>87.572999999999993</v>
      </c>
      <c r="L645" s="68">
        <v>100</v>
      </c>
      <c r="M645" s="67">
        <v>87.531999999999996</v>
      </c>
      <c r="N645" s="68">
        <v>1.7576000000000001E-2</v>
      </c>
    </row>
    <row r="646" spans="2:14" x14ac:dyDescent="0.25">
      <c r="B646" s="63">
        <v>45222</v>
      </c>
      <c r="C646" s="63">
        <v>45223</v>
      </c>
      <c r="D646" s="64" t="s">
        <v>1682</v>
      </c>
      <c r="E646" s="64" t="s">
        <v>1683</v>
      </c>
      <c r="F646" s="65">
        <v>0</v>
      </c>
      <c r="G646" s="66">
        <v>0</v>
      </c>
      <c r="H646" s="65">
        <v>0</v>
      </c>
      <c r="I646" s="67">
        <v>0</v>
      </c>
      <c r="J646" s="67">
        <v>0</v>
      </c>
      <c r="K646" s="67">
        <v>0</v>
      </c>
      <c r="L646" s="68">
        <v>0</v>
      </c>
      <c r="M646" s="67">
        <v>0</v>
      </c>
      <c r="N646" s="68">
        <v>0</v>
      </c>
    </row>
    <row r="647" spans="2:14" x14ac:dyDescent="0.25">
      <c r="B647" s="63">
        <v>45222</v>
      </c>
      <c r="C647" s="63">
        <v>45223</v>
      </c>
      <c r="D647" s="64" t="s">
        <v>1684</v>
      </c>
      <c r="E647" s="64" t="s">
        <v>1685</v>
      </c>
      <c r="F647" s="65">
        <v>0</v>
      </c>
      <c r="G647" s="66">
        <v>0</v>
      </c>
      <c r="H647" s="65">
        <v>0</v>
      </c>
      <c r="I647" s="67">
        <v>0</v>
      </c>
      <c r="J647" s="67">
        <v>0</v>
      </c>
      <c r="K647" s="67">
        <v>0</v>
      </c>
      <c r="L647" s="68">
        <v>0</v>
      </c>
      <c r="M647" s="67">
        <v>0</v>
      </c>
      <c r="N647" s="68">
        <v>0</v>
      </c>
    </row>
    <row r="648" spans="2:14" x14ac:dyDescent="0.25">
      <c r="B648" s="63">
        <v>45222</v>
      </c>
      <c r="C648" s="63">
        <v>45223</v>
      </c>
      <c r="D648" s="64" t="s">
        <v>1686</v>
      </c>
      <c r="E648" s="64" t="s">
        <v>1687</v>
      </c>
      <c r="F648" s="65">
        <v>26.563821000000001</v>
      </c>
      <c r="G648" s="66">
        <v>26.563821311474999</v>
      </c>
      <c r="H648" s="65">
        <v>30</v>
      </c>
      <c r="I648" s="67">
        <v>5.1668329999999996</v>
      </c>
      <c r="J648" s="67">
        <v>86.932000000000002</v>
      </c>
      <c r="K648" s="67">
        <v>86.932000000000002</v>
      </c>
      <c r="L648" s="68">
        <v>100</v>
      </c>
      <c r="M648" s="67">
        <v>86.932000000000002</v>
      </c>
      <c r="N648" s="68">
        <v>0</v>
      </c>
    </row>
    <row r="649" spans="2:14" x14ac:dyDescent="0.25">
      <c r="B649" s="63">
        <v>45222</v>
      </c>
      <c r="C649" s="63">
        <v>45223</v>
      </c>
      <c r="D649" s="64" t="s">
        <v>1688</v>
      </c>
      <c r="E649" s="64" t="s">
        <v>1689</v>
      </c>
      <c r="F649" s="65">
        <v>15.569535999999999</v>
      </c>
      <c r="G649" s="65">
        <v>6.94468306011</v>
      </c>
      <c r="H649" s="65">
        <v>20</v>
      </c>
      <c r="I649" s="65">
        <v>5.1087860000000003</v>
      </c>
      <c r="J649" s="65">
        <v>34.72</v>
      </c>
      <c r="K649" s="67">
        <v>34.72</v>
      </c>
      <c r="L649" s="65">
        <v>100</v>
      </c>
      <c r="M649" s="67">
        <v>34.72</v>
      </c>
      <c r="N649" s="68">
        <v>0</v>
      </c>
    </row>
    <row r="650" spans="2:14" x14ac:dyDescent="0.25">
      <c r="B650" s="63">
        <v>45222</v>
      </c>
      <c r="C650" s="63">
        <v>45223</v>
      </c>
      <c r="D650" s="63" t="s">
        <v>1690</v>
      </c>
      <c r="E650" s="63" t="s">
        <v>1691</v>
      </c>
      <c r="F650" s="65">
        <v>296.532601</v>
      </c>
      <c r="G650" s="65">
        <v>296.53260135871699</v>
      </c>
      <c r="H650" s="65">
        <v>685</v>
      </c>
      <c r="I650" s="65">
        <v>5.1175009999999999</v>
      </c>
      <c r="J650" s="65">
        <v>43.000796000000001</v>
      </c>
      <c r="K650" s="67">
        <v>43.073</v>
      </c>
      <c r="L650" s="65">
        <v>100</v>
      </c>
      <c r="M650" s="67">
        <v>42.850999999999999</v>
      </c>
      <c r="N650" s="68">
        <v>0.14979600000000001</v>
      </c>
    </row>
    <row r="651" spans="2:14" x14ac:dyDescent="0.25">
      <c r="B651" s="63">
        <v>45222</v>
      </c>
      <c r="C651" s="63">
        <v>45223</v>
      </c>
      <c r="D651" s="63" t="s">
        <v>1692</v>
      </c>
      <c r="E651" s="63" t="s">
        <v>1693</v>
      </c>
      <c r="F651" s="65">
        <v>16.017575999999998</v>
      </c>
      <c r="G651" s="65">
        <v>16.017576086956002</v>
      </c>
      <c r="H651" s="65">
        <v>20</v>
      </c>
      <c r="I651" s="65">
        <v>5.1486270000000003</v>
      </c>
      <c r="J651" s="65">
        <v>79.130004</v>
      </c>
      <c r="K651" s="67">
        <v>79.150000000000006</v>
      </c>
      <c r="L651" s="65">
        <v>100</v>
      </c>
      <c r="M651" s="67">
        <v>79.11</v>
      </c>
      <c r="N651" s="68">
        <v>2.0004000000000001E-2</v>
      </c>
    </row>
    <row r="652" spans="2:14" x14ac:dyDescent="0.25">
      <c r="B652" s="63">
        <v>45222</v>
      </c>
      <c r="C652" s="63">
        <v>45223</v>
      </c>
      <c r="D652" s="63" t="s">
        <v>1694</v>
      </c>
      <c r="E652" s="63" t="s">
        <v>1695</v>
      </c>
      <c r="F652" s="65">
        <v>0</v>
      </c>
      <c r="G652" s="65">
        <v>0</v>
      </c>
      <c r="H652" s="65">
        <v>0</v>
      </c>
      <c r="I652" s="65">
        <v>0</v>
      </c>
      <c r="J652" s="65">
        <v>0</v>
      </c>
      <c r="K652" s="67">
        <v>0</v>
      </c>
      <c r="L652" s="65">
        <v>0</v>
      </c>
      <c r="M652" s="67">
        <v>0</v>
      </c>
      <c r="N652" s="68">
        <v>0</v>
      </c>
    </row>
    <row r="653" spans="2:14" x14ac:dyDescent="0.25">
      <c r="B653" s="63">
        <v>45222</v>
      </c>
      <c r="C653" s="63">
        <v>45223</v>
      </c>
      <c r="D653" s="63" t="s">
        <v>1696</v>
      </c>
      <c r="E653" s="63" t="s">
        <v>1697</v>
      </c>
      <c r="F653" s="65">
        <v>23.124939000000001</v>
      </c>
      <c r="G653" s="65">
        <v>23.124939890709999</v>
      </c>
      <c r="H653" s="65">
        <v>50</v>
      </c>
      <c r="I653" s="65">
        <v>5.0921029999999998</v>
      </c>
      <c r="J653" s="65">
        <v>46.241</v>
      </c>
      <c r="K653" s="67">
        <v>46.241</v>
      </c>
      <c r="L653" s="65">
        <v>100</v>
      </c>
      <c r="M653" s="67">
        <v>46.241</v>
      </c>
      <c r="N653" s="68">
        <v>0</v>
      </c>
    </row>
    <row r="654" spans="2:14" x14ac:dyDescent="0.25">
      <c r="B654" s="63">
        <v>45222</v>
      </c>
      <c r="C654" s="63">
        <v>45223</v>
      </c>
      <c r="D654" s="63" t="s">
        <v>1698</v>
      </c>
      <c r="E654" s="63" t="s">
        <v>1699</v>
      </c>
      <c r="F654" s="65">
        <v>22.008167</v>
      </c>
      <c r="G654" s="65">
        <v>22.008167759563001</v>
      </c>
      <c r="H654" s="65">
        <v>25</v>
      </c>
      <c r="I654" s="65">
        <v>5.1153149999999998</v>
      </c>
      <c r="J654" s="65">
        <v>86.418638000000001</v>
      </c>
      <c r="K654" s="67">
        <v>86.49</v>
      </c>
      <c r="L654" s="65">
        <v>100</v>
      </c>
      <c r="M654" s="67">
        <v>86.370999999999995</v>
      </c>
      <c r="N654" s="68">
        <v>4.7638E-2</v>
      </c>
    </row>
    <row r="655" spans="2:14" x14ac:dyDescent="0.25">
      <c r="B655" s="63">
        <v>45222</v>
      </c>
      <c r="C655" s="63">
        <v>45223</v>
      </c>
      <c r="D655" s="63" t="s">
        <v>1700</v>
      </c>
      <c r="E655" s="63" t="s">
        <v>1701</v>
      </c>
      <c r="F655" s="65">
        <v>73.594865999999996</v>
      </c>
      <c r="G655" s="65">
        <v>73.594866847836997</v>
      </c>
      <c r="H655" s="65">
        <v>155</v>
      </c>
      <c r="I655" s="65">
        <v>5.0250779999999997</v>
      </c>
      <c r="J655" s="65">
        <v>47.033568000000002</v>
      </c>
      <c r="K655" s="67">
        <v>47.08</v>
      </c>
      <c r="L655" s="65">
        <v>100</v>
      </c>
      <c r="M655" s="67">
        <v>46.98</v>
      </c>
      <c r="N655" s="68">
        <v>5.3567999999999998E-2</v>
      </c>
    </row>
    <row r="656" spans="2:14" x14ac:dyDescent="0.25">
      <c r="B656" s="63">
        <v>45222</v>
      </c>
      <c r="C656" s="63">
        <v>45223</v>
      </c>
      <c r="D656" s="63" t="s">
        <v>1702</v>
      </c>
      <c r="E656" s="63" t="s">
        <v>1703</v>
      </c>
      <c r="F656" s="65">
        <v>8.3561730000000001</v>
      </c>
      <c r="G656" s="65">
        <v>8.3561739130429995</v>
      </c>
      <c r="H656" s="65">
        <v>10</v>
      </c>
      <c r="I656" s="65">
        <v>5.0550660000000001</v>
      </c>
      <c r="J656" s="65">
        <v>82.54</v>
      </c>
      <c r="K656" s="67">
        <v>82.54</v>
      </c>
      <c r="L656" s="65">
        <v>100</v>
      </c>
      <c r="M656" s="67">
        <v>82.54</v>
      </c>
      <c r="N656" s="68">
        <v>0</v>
      </c>
    </row>
    <row r="657" spans="2:14" x14ac:dyDescent="0.25">
      <c r="B657" s="63">
        <v>45222</v>
      </c>
      <c r="C657" s="63">
        <v>45223</v>
      </c>
      <c r="D657" s="63" t="s">
        <v>1704</v>
      </c>
      <c r="E657" s="63" t="s">
        <v>1705</v>
      </c>
      <c r="F657" s="65">
        <v>106.34090399999999</v>
      </c>
      <c r="G657" s="65">
        <v>93.882038579246</v>
      </c>
      <c r="H657" s="65">
        <v>374</v>
      </c>
      <c r="I657" s="65">
        <v>4.8127370000000003</v>
      </c>
      <c r="J657" s="65">
        <v>25.099522</v>
      </c>
      <c r="K657" s="67">
        <v>25.134</v>
      </c>
      <c r="L657" s="65">
        <v>100</v>
      </c>
      <c r="M657" s="67">
        <v>24.984999999999999</v>
      </c>
      <c r="N657" s="68">
        <v>0.114522</v>
      </c>
    </row>
    <row r="658" spans="2:14" x14ac:dyDescent="0.25">
      <c r="B658" s="63">
        <v>45222</v>
      </c>
      <c r="C658" s="63">
        <v>45223</v>
      </c>
      <c r="D658" s="63" t="s">
        <v>1706</v>
      </c>
      <c r="E658" s="63" t="s">
        <v>1707</v>
      </c>
      <c r="F658" s="65">
        <v>0</v>
      </c>
      <c r="G658" s="65">
        <v>0</v>
      </c>
      <c r="H658" s="65">
        <v>0</v>
      </c>
      <c r="I658" s="65">
        <v>0</v>
      </c>
      <c r="J658" s="65">
        <v>0</v>
      </c>
      <c r="K658" s="67">
        <v>0</v>
      </c>
      <c r="L658" s="65">
        <v>0</v>
      </c>
      <c r="M658" s="67">
        <v>0</v>
      </c>
      <c r="N658" s="68">
        <v>0</v>
      </c>
    </row>
    <row r="659" spans="2:14" x14ac:dyDescent="0.25">
      <c r="B659" s="63">
        <v>45222</v>
      </c>
      <c r="C659" s="63">
        <v>45223</v>
      </c>
      <c r="D659" s="63" t="s">
        <v>1708</v>
      </c>
      <c r="E659" s="63" t="s">
        <v>1709</v>
      </c>
      <c r="F659" s="65">
        <v>29.850007999999999</v>
      </c>
      <c r="G659" s="65">
        <v>29.850008695652001</v>
      </c>
      <c r="H659" s="65">
        <v>40</v>
      </c>
      <c r="I659" s="65">
        <v>4.9681850000000001</v>
      </c>
      <c r="J659" s="65">
        <v>73.730999999999995</v>
      </c>
      <c r="K659" s="67">
        <v>73.730999999999995</v>
      </c>
      <c r="L659" s="65">
        <v>100</v>
      </c>
      <c r="M659" s="67">
        <v>73.730999999999995</v>
      </c>
      <c r="N659" s="68">
        <v>0</v>
      </c>
    </row>
    <row r="660" spans="2:14" x14ac:dyDescent="0.25">
      <c r="B660" s="63">
        <v>45222</v>
      </c>
      <c r="C660" s="63">
        <v>45223</v>
      </c>
      <c r="D660" s="63" t="s">
        <v>1710</v>
      </c>
      <c r="E660" s="63" t="s">
        <v>1711</v>
      </c>
      <c r="F660" s="65">
        <v>0</v>
      </c>
      <c r="G660" s="65">
        <v>0</v>
      </c>
      <c r="H660" s="65">
        <v>0</v>
      </c>
      <c r="I660" s="65">
        <v>0</v>
      </c>
      <c r="J660" s="65">
        <v>0</v>
      </c>
      <c r="K660" s="67">
        <v>0</v>
      </c>
      <c r="L660" s="65">
        <v>0</v>
      </c>
      <c r="M660" s="67">
        <v>0</v>
      </c>
      <c r="N660" s="68">
        <v>0</v>
      </c>
    </row>
    <row r="661" spans="2:14" x14ac:dyDescent="0.25">
      <c r="B661" s="63">
        <v>45229</v>
      </c>
      <c r="C661" s="63">
        <v>45230</v>
      </c>
      <c r="D661" s="63" t="s">
        <v>1644</v>
      </c>
      <c r="E661" s="63" t="s">
        <v>1645</v>
      </c>
      <c r="F661" s="65">
        <v>155.83021299999999</v>
      </c>
      <c r="G661" s="65">
        <v>76.883638000000005</v>
      </c>
      <c r="H661" s="65">
        <v>74</v>
      </c>
      <c r="I661" s="65">
        <v>4.4177689999999998</v>
      </c>
      <c r="J661" s="65">
        <v>102.002</v>
      </c>
      <c r="K661" s="67">
        <v>102.002</v>
      </c>
      <c r="L661" s="65">
        <v>98.666666000000006</v>
      </c>
      <c r="M661" s="67">
        <v>102.002</v>
      </c>
      <c r="N661" s="68">
        <v>0</v>
      </c>
    </row>
    <row r="662" spans="2:14" x14ac:dyDescent="0.25">
      <c r="B662" s="63">
        <v>45229</v>
      </c>
      <c r="C662" s="63">
        <v>45230</v>
      </c>
      <c r="D662" s="63" t="s">
        <v>1646</v>
      </c>
      <c r="E662" s="63" t="s">
        <v>1647</v>
      </c>
      <c r="F662" s="65">
        <v>254.18525</v>
      </c>
      <c r="G662" s="65">
        <v>108.97575000000001</v>
      </c>
      <c r="H662" s="65">
        <v>150</v>
      </c>
      <c r="I662" s="65">
        <v>4.4746899999999998</v>
      </c>
      <c r="J662" s="65">
        <v>72.587999999999994</v>
      </c>
      <c r="K662" s="67">
        <v>72.593000000000004</v>
      </c>
      <c r="L662" s="65">
        <v>100</v>
      </c>
      <c r="M662" s="67">
        <v>72.582999999999998</v>
      </c>
      <c r="N662" s="68">
        <v>5.0000000000000001E-3</v>
      </c>
    </row>
    <row r="663" spans="2:14" x14ac:dyDescent="0.25">
      <c r="B663" s="63">
        <v>45229</v>
      </c>
      <c r="C663" s="63">
        <v>45230</v>
      </c>
      <c r="D663" s="63" t="s">
        <v>1648</v>
      </c>
      <c r="E663" s="63" t="s">
        <v>1649</v>
      </c>
      <c r="F663" s="65">
        <v>289.19752999999997</v>
      </c>
      <c r="G663" s="65">
        <v>0</v>
      </c>
      <c r="H663" s="65">
        <v>0</v>
      </c>
      <c r="I663" s="65">
        <v>0</v>
      </c>
      <c r="J663" s="65">
        <v>0</v>
      </c>
      <c r="K663" s="67">
        <v>0</v>
      </c>
      <c r="L663" s="65">
        <v>0</v>
      </c>
      <c r="M663" s="67">
        <v>0</v>
      </c>
      <c r="N663" s="68">
        <v>0</v>
      </c>
    </row>
    <row r="664" spans="2:14" x14ac:dyDescent="0.25">
      <c r="B664" s="63">
        <v>45229</v>
      </c>
      <c r="C664" s="63">
        <v>45230</v>
      </c>
      <c r="D664" s="63" t="s">
        <v>1670</v>
      </c>
      <c r="E664" s="63" t="s">
        <v>1671</v>
      </c>
      <c r="F664" s="65">
        <v>159.90843699999999</v>
      </c>
      <c r="G664" s="65">
        <v>0</v>
      </c>
      <c r="H664" s="65">
        <v>0</v>
      </c>
      <c r="I664" s="65">
        <v>0</v>
      </c>
      <c r="J664" s="65">
        <v>0</v>
      </c>
      <c r="K664" s="67">
        <v>0</v>
      </c>
      <c r="L664" s="65">
        <v>0</v>
      </c>
      <c r="M664" s="67">
        <v>0</v>
      </c>
      <c r="N664" s="68">
        <v>0</v>
      </c>
    </row>
    <row r="665" spans="2:14" x14ac:dyDescent="0.25">
      <c r="B665" s="63">
        <v>45229</v>
      </c>
      <c r="C665" s="63">
        <v>45230</v>
      </c>
      <c r="D665" s="63" t="s">
        <v>1650</v>
      </c>
      <c r="E665" s="63" t="s">
        <v>1651</v>
      </c>
      <c r="F665" s="65">
        <v>69.337306999999996</v>
      </c>
      <c r="G665" s="65">
        <v>0</v>
      </c>
      <c r="H665" s="65">
        <v>0</v>
      </c>
      <c r="I665" s="65">
        <v>0</v>
      </c>
      <c r="J665" s="65">
        <v>0</v>
      </c>
      <c r="K665" s="67">
        <v>0</v>
      </c>
      <c r="L665" s="65">
        <v>0</v>
      </c>
      <c r="M665" s="67">
        <v>0</v>
      </c>
      <c r="N665" s="68">
        <v>0</v>
      </c>
    </row>
    <row r="666" spans="2:14" x14ac:dyDescent="0.25">
      <c r="B666" s="63">
        <v>45229</v>
      </c>
      <c r="C666" s="63">
        <v>45230</v>
      </c>
      <c r="D666" s="63" t="s">
        <v>1652</v>
      </c>
      <c r="E666" s="63" t="s">
        <v>1653</v>
      </c>
      <c r="F666" s="65">
        <v>360.88862499999999</v>
      </c>
      <c r="G666" s="65">
        <v>0</v>
      </c>
      <c r="H666" s="65">
        <v>0</v>
      </c>
      <c r="I666" s="65">
        <v>0</v>
      </c>
      <c r="J666" s="65">
        <v>0</v>
      </c>
      <c r="K666" s="67">
        <v>0</v>
      </c>
      <c r="L666" s="65">
        <v>0</v>
      </c>
      <c r="M666" s="67">
        <v>0</v>
      </c>
      <c r="N666" s="68">
        <v>0</v>
      </c>
    </row>
    <row r="667" spans="2:14" x14ac:dyDescent="0.25">
      <c r="B667" s="63">
        <v>45229</v>
      </c>
      <c r="C667" s="63">
        <v>45230</v>
      </c>
      <c r="D667" s="63" t="s">
        <v>1654</v>
      </c>
      <c r="E667" s="63" t="s">
        <v>1655</v>
      </c>
      <c r="F667" s="65">
        <v>23.952622999999999</v>
      </c>
      <c r="G667" s="65">
        <v>0</v>
      </c>
      <c r="H667" s="65">
        <v>0</v>
      </c>
      <c r="I667" s="65">
        <v>0</v>
      </c>
      <c r="J667" s="65">
        <v>0</v>
      </c>
      <c r="K667" s="67">
        <v>0</v>
      </c>
      <c r="L667" s="65">
        <v>0</v>
      </c>
      <c r="M667" s="67">
        <v>0</v>
      </c>
      <c r="N667" s="68">
        <v>0</v>
      </c>
    </row>
    <row r="668" spans="2:14" x14ac:dyDescent="0.25">
      <c r="B668" s="63">
        <v>45229</v>
      </c>
      <c r="C668" s="63">
        <v>45230</v>
      </c>
      <c r="D668" s="63" t="s">
        <v>1656</v>
      </c>
      <c r="E668" s="63" t="s">
        <v>1657</v>
      </c>
      <c r="F668" s="65">
        <v>0</v>
      </c>
      <c r="G668" s="65">
        <v>0</v>
      </c>
      <c r="H668" s="65">
        <v>0</v>
      </c>
      <c r="I668" s="65">
        <v>0</v>
      </c>
      <c r="J668" s="65">
        <v>0</v>
      </c>
      <c r="K668" s="67">
        <v>0</v>
      </c>
      <c r="L668" s="65">
        <v>0</v>
      </c>
      <c r="M668" s="67">
        <v>0</v>
      </c>
      <c r="N668" s="68">
        <v>0</v>
      </c>
    </row>
    <row r="669" spans="2:14" x14ac:dyDescent="0.25">
      <c r="B669" s="63">
        <v>45229</v>
      </c>
      <c r="C669" s="63">
        <v>45230</v>
      </c>
      <c r="D669" s="63" t="s">
        <v>1658</v>
      </c>
      <c r="E669" s="63" t="s">
        <v>1659</v>
      </c>
      <c r="F669" s="65">
        <v>0</v>
      </c>
      <c r="G669" s="65">
        <v>0</v>
      </c>
      <c r="H669" s="65">
        <v>0</v>
      </c>
      <c r="I669" s="65">
        <v>0</v>
      </c>
      <c r="J669" s="65">
        <v>0</v>
      </c>
      <c r="K669" s="67">
        <v>0</v>
      </c>
      <c r="L669" s="65">
        <v>0</v>
      </c>
      <c r="M669" s="67">
        <v>0</v>
      </c>
      <c r="N669" s="68">
        <v>0</v>
      </c>
    </row>
    <row r="670" spans="2:14" x14ac:dyDescent="0.25">
      <c r="B670" s="63">
        <v>45229</v>
      </c>
      <c r="C670" s="63">
        <v>45230</v>
      </c>
      <c r="D670" s="63" t="s">
        <v>1660</v>
      </c>
      <c r="E670" s="63" t="s">
        <v>1661</v>
      </c>
      <c r="F670" s="65">
        <v>522.83458700000006</v>
      </c>
      <c r="G670" s="65">
        <v>484.08502499999997</v>
      </c>
      <c r="H670" s="65">
        <v>810</v>
      </c>
      <c r="I670" s="65">
        <v>4.9375730000000004</v>
      </c>
      <c r="J670" s="65">
        <v>59.482334000000002</v>
      </c>
      <c r="K670" s="67">
        <v>59.491</v>
      </c>
      <c r="L670" s="65">
        <v>100</v>
      </c>
      <c r="M670" s="67">
        <v>59.473999999999997</v>
      </c>
      <c r="N670" s="68">
        <v>8.3339999999999994E-3</v>
      </c>
    </row>
    <row r="671" spans="2:14" x14ac:dyDescent="0.25">
      <c r="B671" s="63">
        <v>45229</v>
      </c>
      <c r="C671" s="63">
        <v>45230</v>
      </c>
      <c r="D671" s="63" t="s">
        <v>1662</v>
      </c>
      <c r="E671" s="63" t="s">
        <v>1663</v>
      </c>
      <c r="F671" s="65">
        <v>83.142345000000006</v>
      </c>
      <c r="G671" s="65">
        <v>0</v>
      </c>
      <c r="H671" s="65">
        <v>0</v>
      </c>
      <c r="I671" s="65">
        <v>0</v>
      </c>
      <c r="J671" s="65">
        <v>0</v>
      </c>
      <c r="K671" s="67">
        <v>0</v>
      </c>
      <c r="L671" s="65">
        <v>0</v>
      </c>
      <c r="M671" s="67">
        <v>0</v>
      </c>
      <c r="N671" s="68">
        <v>0</v>
      </c>
    </row>
    <row r="672" spans="2:14" x14ac:dyDescent="0.25">
      <c r="B672" s="63">
        <v>45229</v>
      </c>
      <c r="C672" s="63">
        <v>45230</v>
      </c>
      <c r="D672" s="63" t="s">
        <v>1664</v>
      </c>
      <c r="E672" s="63" t="s">
        <v>1665</v>
      </c>
      <c r="F672" s="65">
        <v>0</v>
      </c>
      <c r="G672" s="65">
        <v>0</v>
      </c>
      <c r="H672" s="65">
        <v>0</v>
      </c>
      <c r="I672" s="65">
        <v>0</v>
      </c>
      <c r="J672" s="65">
        <v>0</v>
      </c>
      <c r="K672" s="67">
        <v>0</v>
      </c>
      <c r="L672" s="65">
        <v>0</v>
      </c>
      <c r="M672" s="67">
        <v>0</v>
      </c>
      <c r="N672" s="68">
        <v>0</v>
      </c>
    </row>
    <row r="673" spans="2:14" x14ac:dyDescent="0.25">
      <c r="B673" s="63">
        <v>45229</v>
      </c>
      <c r="C673" s="63">
        <v>45230</v>
      </c>
      <c r="D673" s="63" t="s">
        <v>1666</v>
      </c>
      <c r="E673" s="63" t="s">
        <v>1667</v>
      </c>
      <c r="F673" s="65">
        <v>0</v>
      </c>
      <c r="G673" s="65">
        <v>0</v>
      </c>
      <c r="H673" s="65">
        <v>0</v>
      </c>
      <c r="I673" s="65">
        <v>0</v>
      </c>
      <c r="J673" s="65">
        <v>0</v>
      </c>
      <c r="K673" s="67">
        <v>0</v>
      </c>
      <c r="L673" s="65">
        <v>0</v>
      </c>
      <c r="M673" s="67">
        <v>0</v>
      </c>
      <c r="N673" s="68">
        <v>0</v>
      </c>
    </row>
    <row r="674" spans="2:14" x14ac:dyDescent="0.25">
      <c r="B674" s="63">
        <v>45229</v>
      </c>
      <c r="C674" s="63">
        <v>45230</v>
      </c>
      <c r="D674" s="63" t="s">
        <v>1672</v>
      </c>
      <c r="E674" s="63" t="s">
        <v>1673</v>
      </c>
      <c r="F674" s="65">
        <v>9.5245080000000009</v>
      </c>
      <c r="G674" s="65">
        <v>0</v>
      </c>
      <c r="H674" s="65">
        <v>0</v>
      </c>
      <c r="I674" s="65">
        <v>0</v>
      </c>
      <c r="J674" s="65">
        <v>0</v>
      </c>
      <c r="K674" s="67">
        <v>0</v>
      </c>
      <c r="L674" s="65">
        <v>0</v>
      </c>
      <c r="M674" s="67">
        <v>0</v>
      </c>
      <c r="N674" s="68">
        <v>0</v>
      </c>
    </row>
    <row r="675" spans="2:14" x14ac:dyDescent="0.25">
      <c r="B675" s="63">
        <v>45236</v>
      </c>
      <c r="C675" s="63">
        <v>45237</v>
      </c>
      <c r="D675" s="63" t="s">
        <v>1674</v>
      </c>
      <c r="E675" s="63" t="s">
        <v>1675</v>
      </c>
      <c r="F675" s="65">
        <v>711.99424399999998</v>
      </c>
      <c r="G675" s="65">
        <v>462.01133299999998</v>
      </c>
      <c r="H675" s="65">
        <v>573.9</v>
      </c>
      <c r="I675" s="65">
        <v>4.8484069999999999</v>
      </c>
      <c r="J675" s="65">
        <v>79.55</v>
      </c>
      <c r="K675" s="67">
        <v>79.55</v>
      </c>
      <c r="L675" s="65">
        <v>91.531099999999995</v>
      </c>
      <c r="M675" s="67">
        <v>79.55</v>
      </c>
      <c r="N675" s="68">
        <v>0</v>
      </c>
    </row>
    <row r="676" spans="2:14" x14ac:dyDescent="0.25">
      <c r="B676" s="63">
        <v>45236</v>
      </c>
      <c r="C676" s="63">
        <v>45237</v>
      </c>
      <c r="D676" s="63" t="s">
        <v>1676</v>
      </c>
      <c r="E676" s="63" t="s">
        <v>1677</v>
      </c>
      <c r="F676" s="65">
        <v>29.087009999999999</v>
      </c>
      <c r="G676" s="65">
        <v>0</v>
      </c>
      <c r="H676" s="65">
        <v>0</v>
      </c>
      <c r="I676" s="65">
        <v>0</v>
      </c>
      <c r="J676" s="65">
        <v>0</v>
      </c>
      <c r="K676" s="67">
        <v>0</v>
      </c>
      <c r="L676" s="65">
        <v>0</v>
      </c>
      <c r="M676" s="67">
        <v>0</v>
      </c>
      <c r="N676" s="68">
        <v>0</v>
      </c>
    </row>
    <row r="677" spans="2:14" x14ac:dyDescent="0.25">
      <c r="B677" s="63">
        <v>45236</v>
      </c>
      <c r="C677" s="63">
        <v>45237</v>
      </c>
      <c r="D677" s="63" t="s">
        <v>1678</v>
      </c>
      <c r="E677" s="63" t="s">
        <v>1679</v>
      </c>
      <c r="F677" s="65">
        <v>186.58160699999999</v>
      </c>
      <c r="G677" s="65">
        <v>2.3342700000000001</v>
      </c>
      <c r="H677" s="65">
        <v>5</v>
      </c>
      <c r="I677" s="65">
        <v>4.8306529999999999</v>
      </c>
      <c r="J677" s="65">
        <v>46.45</v>
      </c>
      <c r="K677" s="67">
        <v>46.45</v>
      </c>
      <c r="L677" s="65">
        <v>100</v>
      </c>
      <c r="M677" s="67">
        <v>46.45</v>
      </c>
      <c r="N677" s="68">
        <v>0</v>
      </c>
    </row>
    <row r="678" spans="2:14" x14ac:dyDescent="0.25">
      <c r="B678" s="63">
        <v>45236</v>
      </c>
      <c r="C678" s="63">
        <v>45237</v>
      </c>
      <c r="D678" s="63" t="s">
        <v>1680</v>
      </c>
      <c r="E678" s="63" t="s">
        <v>1681</v>
      </c>
      <c r="F678" s="65">
        <v>212.69674699999999</v>
      </c>
      <c r="G678" s="65">
        <v>84.016475</v>
      </c>
      <c r="H678" s="65">
        <v>90</v>
      </c>
      <c r="I678" s="65">
        <v>4.8610189999999998</v>
      </c>
      <c r="J678" s="65">
        <v>91.575004000000007</v>
      </c>
      <c r="K678" s="67">
        <v>91.6</v>
      </c>
      <c r="L678" s="65">
        <v>100</v>
      </c>
      <c r="M678" s="67">
        <v>91.55</v>
      </c>
      <c r="N678" s="68">
        <v>2.5003999999999998E-2</v>
      </c>
    </row>
    <row r="679" spans="2:14" x14ac:dyDescent="0.25">
      <c r="B679" s="63">
        <v>45236</v>
      </c>
      <c r="C679" s="63">
        <v>45237</v>
      </c>
      <c r="D679" s="63" t="s">
        <v>1682</v>
      </c>
      <c r="E679" s="63" t="s">
        <v>1683</v>
      </c>
      <c r="F679" s="65">
        <v>0</v>
      </c>
      <c r="G679" s="65">
        <v>0</v>
      </c>
      <c r="H679" s="65">
        <v>0</v>
      </c>
      <c r="I679" s="65">
        <v>0</v>
      </c>
      <c r="J679" s="65">
        <v>0</v>
      </c>
      <c r="K679" s="67">
        <v>0</v>
      </c>
      <c r="L679" s="65">
        <v>0</v>
      </c>
      <c r="M679" s="67">
        <v>0</v>
      </c>
      <c r="N679" s="68">
        <v>0</v>
      </c>
    </row>
    <row r="680" spans="2:14" x14ac:dyDescent="0.25">
      <c r="B680" s="63">
        <v>45236</v>
      </c>
      <c r="C680" s="63">
        <v>45237</v>
      </c>
      <c r="D680" s="63" t="s">
        <v>1684</v>
      </c>
      <c r="E680" s="63" t="s">
        <v>1685</v>
      </c>
      <c r="F680" s="65">
        <v>5.581658</v>
      </c>
      <c r="G680" s="65">
        <v>0</v>
      </c>
      <c r="H680" s="65">
        <v>0</v>
      </c>
      <c r="I680" s="65">
        <v>0</v>
      </c>
      <c r="J680" s="65">
        <v>0</v>
      </c>
      <c r="K680" s="67">
        <v>0</v>
      </c>
      <c r="L680" s="65">
        <v>0</v>
      </c>
      <c r="M680" s="67">
        <v>0</v>
      </c>
      <c r="N680" s="68">
        <v>0</v>
      </c>
    </row>
    <row r="681" spans="2:14" x14ac:dyDescent="0.25">
      <c r="B681" s="63">
        <v>45236</v>
      </c>
      <c r="C681" s="63">
        <v>45237</v>
      </c>
      <c r="D681" s="63" t="s">
        <v>1686</v>
      </c>
      <c r="E681" s="63" t="s">
        <v>1687</v>
      </c>
      <c r="F681" s="65">
        <v>32.418073</v>
      </c>
      <c r="G681" s="65">
        <v>0</v>
      </c>
      <c r="H681" s="65">
        <v>0</v>
      </c>
      <c r="I681" s="65">
        <v>0</v>
      </c>
      <c r="J681" s="65">
        <v>0</v>
      </c>
      <c r="K681" s="67">
        <v>0</v>
      </c>
      <c r="L681" s="65">
        <v>0</v>
      </c>
      <c r="M681" s="67">
        <v>0</v>
      </c>
      <c r="N681" s="68">
        <v>0</v>
      </c>
    </row>
    <row r="682" spans="2:14" x14ac:dyDescent="0.25">
      <c r="B682" s="63">
        <v>45236</v>
      </c>
      <c r="C682" s="63">
        <v>45237</v>
      </c>
      <c r="D682" s="63" t="s">
        <v>1688</v>
      </c>
      <c r="E682" s="63" t="s">
        <v>1689</v>
      </c>
      <c r="F682" s="65">
        <v>218.705195</v>
      </c>
      <c r="G682" s="65">
        <v>105.734116</v>
      </c>
      <c r="H682" s="65">
        <v>284</v>
      </c>
      <c r="I682" s="65">
        <v>4.8041320000000001</v>
      </c>
      <c r="J682" s="65">
        <v>37.203001999999998</v>
      </c>
      <c r="K682" s="67">
        <v>37.213000000000001</v>
      </c>
      <c r="L682" s="65">
        <v>100</v>
      </c>
      <c r="M682" s="67">
        <v>37.192999999999998</v>
      </c>
      <c r="N682" s="68">
        <v>1.0002E-2</v>
      </c>
    </row>
    <row r="683" spans="2:14" x14ac:dyDescent="0.25">
      <c r="B683" s="63">
        <v>45236</v>
      </c>
      <c r="C683" s="63">
        <v>45237</v>
      </c>
      <c r="D683" s="63" t="s">
        <v>1690</v>
      </c>
      <c r="E683" s="63" t="s">
        <v>1691</v>
      </c>
      <c r="F683" s="65">
        <v>153.73919100000001</v>
      </c>
      <c r="G683" s="65">
        <v>0</v>
      </c>
      <c r="H683" s="65">
        <v>0</v>
      </c>
      <c r="I683" s="65">
        <v>0</v>
      </c>
      <c r="J683" s="65">
        <v>0</v>
      </c>
      <c r="K683" s="67">
        <v>0</v>
      </c>
      <c r="L683" s="65">
        <v>0</v>
      </c>
      <c r="M683" s="67">
        <v>0</v>
      </c>
      <c r="N683" s="68">
        <v>0</v>
      </c>
    </row>
    <row r="684" spans="2:14" x14ac:dyDescent="0.25">
      <c r="B684" s="63">
        <v>45236</v>
      </c>
      <c r="C684" s="63">
        <v>45237</v>
      </c>
      <c r="D684" s="63" t="s">
        <v>1692</v>
      </c>
      <c r="E684" s="63" t="s">
        <v>1693</v>
      </c>
      <c r="F684" s="65">
        <v>0</v>
      </c>
      <c r="G684" s="65">
        <v>0</v>
      </c>
      <c r="H684" s="65">
        <v>0</v>
      </c>
      <c r="I684" s="65">
        <v>0</v>
      </c>
      <c r="J684" s="65">
        <v>0</v>
      </c>
      <c r="K684" s="67">
        <v>0</v>
      </c>
      <c r="L684" s="65">
        <v>0</v>
      </c>
      <c r="M684" s="67">
        <v>0</v>
      </c>
      <c r="N684" s="68">
        <v>0</v>
      </c>
    </row>
    <row r="685" spans="2:14" x14ac:dyDescent="0.25">
      <c r="B685" s="63">
        <v>45236</v>
      </c>
      <c r="C685" s="63">
        <v>45237</v>
      </c>
      <c r="D685" s="63" t="s">
        <v>1694</v>
      </c>
      <c r="E685" s="63" t="s">
        <v>1695</v>
      </c>
      <c r="F685" s="65">
        <v>0</v>
      </c>
      <c r="G685" s="65">
        <v>0</v>
      </c>
      <c r="H685" s="65">
        <v>0</v>
      </c>
      <c r="I685" s="65">
        <v>0</v>
      </c>
      <c r="J685" s="65">
        <v>0</v>
      </c>
      <c r="K685" s="67">
        <v>0</v>
      </c>
      <c r="L685" s="65">
        <v>0</v>
      </c>
      <c r="M685" s="67">
        <v>0</v>
      </c>
      <c r="N685" s="68">
        <v>0</v>
      </c>
    </row>
    <row r="686" spans="2:14" x14ac:dyDescent="0.25">
      <c r="B686" s="63">
        <v>45236</v>
      </c>
      <c r="C686" s="63">
        <v>45237</v>
      </c>
      <c r="D686" s="63" t="s">
        <v>1696</v>
      </c>
      <c r="E686" s="63" t="s">
        <v>1697</v>
      </c>
      <c r="F686" s="65">
        <v>0</v>
      </c>
      <c r="G686" s="65">
        <v>0</v>
      </c>
      <c r="H686" s="65">
        <v>0</v>
      </c>
      <c r="I686" s="65">
        <v>0</v>
      </c>
      <c r="J686" s="65">
        <v>0</v>
      </c>
      <c r="K686" s="67">
        <v>0</v>
      </c>
      <c r="L686" s="65">
        <v>0</v>
      </c>
      <c r="M686" s="67">
        <v>0</v>
      </c>
      <c r="N686" s="68">
        <v>0</v>
      </c>
    </row>
    <row r="687" spans="2:14" x14ac:dyDescent="0.25">
      <c r="B687" s="63">
        <v>45236</v>
      </c>
      <c r="C687" s="63">
        <v>45237</v>
      </c>
      <c r="D687" s="63" t="s">
        <v>1698</v>
      </c>
      <c r="E687" s="63" t="s">
        <v>1699</v>
      </c>
      <c r="F687" s="65">
        <v>0</v>
      </c>
      <c r="G687" s="65">
        <v>0</v>
      </c>
      <c r="H687" s="65">
        <v>0</v>
      </c>
      <c r="I687" s="65">
        <v>0</v>
      </c>
      <c r="J687" s="65">
        <v>0</v>
      </c>
      <c r="K687" s="67">
        <v>0</v>
      </c>
      <c r="L687" s="65">
        <v>0</v>
      </c>
      <c r="M687" s="67">
        <v>0</v>
      </c>
      <c r="N687" s="68">
        <v>0</v>
      </c>
    </row>
    <row r="688" spans="2:14" x14ac:dyDescent="0.25">
      <c r="B688" s="63">
        <v>45236</v>
      </c>
      <c r="C688" s="63">
        <v>45237</v>
      </c>
      <c r="D688" s="63" t="s">
        <v>1700</v>
      </c>
      <c r="E688" s="63" t="s">
        <v>1701</v>
      </c>
      <c r="F688" s="65">
        <v>60.210304000000001</v>
      </c>
      <c r="G688" s="65">
        <v>0</v>
      </c>
      <c r="H688" s="65">
        <v>0</v>
      </c>
      <c r="I688" s="65">
        <v>0</v>
      </c>
      <c r="J688" s="65">
        <v>0</v>
      </c>
      <c r="K688" s="67">
        <v>0</v>
      </c>
      <c r="L688" s="65">
        <v>0</v>
      </c>
      <c r="M688" s="67">
        <v>0</v>
      </c>
      <c r="N688" s="68">
        <v>0</v>
      </c>
    </row>
    <row r="689" spans="2:14" x14ac:dyDescent="0.25">
      <c r="B689" s="63">
        <v>45236</v>
      </c>
      <c r="C689" s="63">
        <v>45237</v>
      </c>
      <c r="D689" s="63" t="s">
        <v>1702</v>
      </c>
      <c r="E689" s="63" t="s">
        <v>1703</v>
      </c>
      <c r="F689" s="65">
        <v>25.569334000000001</v>
      </c>
      <c r="G689" s="65">
        <v>0</v>
      </c>
      <c r="H689" s="65">
        <v>0</v>
      </c>
      <c r="I689" s="65">
        <v>0</v>
      </c>
      <c r="J689" s="65">
        <v>0</v>
      </c>
      <c r="K689" s="67">
        <v>0</v>
      </c>
      <c r="L689" s="65">
        <v>0</v>
      </c>
      <c r="M689" s="67">
        <v>0</v>
      </c>
      <c r="N689" s="68">
        <v>0</v>
      </c>
    </row>
    <row r="690" spans="2:14" x14ac:dyDescent="0.25">
      <c r="B690" s="63">
        <v>45236</v>
      </c>
      <c r="C690" s="63">
        <v>45237</v>
      </c>
      <c r="D690" s="63" t="s">
        <v>1704</v>
      </c>
      <c r="E690" s="63" t="s">
        <v>1705</v>
      </c>
      <c r="F690" s="65">
        <v>87.766243000000003</v>
      </c>
      <c r="G690" s="65">
        <v>0</v>
      </c>
      <c r="H690" s="65">
        <v>0</v>
      </c>
      <c r="I690" s="65">
        <v>0</v>
      </c>
      <c r="J690" s="65">
        <v>0</v>
      </c>
      <c r="K690" s="67">
        <v>0</v>
      </c>
      <c r="L690" s="65">
        <v>0</v>
      </c>
      <c r="M690" s="67">
        <v>0</v>
      </c>
      <c r="N690" s="68">
        <v>0</v>
      </c>
    </row>
    <row r="691" spans="2:14" x14ac:dyDescent="0.25">
      <c r="B691" s="63">
        <v>45236</v>
      </c>
      <c r="C691" s="63">
        <v>45237</v>
      </c>
      <c r="D691" s="63" t="s">
        <v>1706</v>
      </c>
      <c r="E691" s="63" t="s">
        <v>1707</v>
      </c>
      <c r="F691" s="65">
        <v>0</v>
      </c>
      <c r="G691" s="65">
        <v>0</v>
      </c>
      <c r="H691" s="65">
        <v>0</v>
      </c>
      <c r="I691" s="65">
        <v>0</v>
      </c>
      <c r="J691" s="65">
        <v>0</v>
      </c>
      <c r="K691" s="67">
        <v>0</v>
      </c>
      <c r="L691" s="65">
        <v>0</v>
      </c>
      <c r="M691" s="67">
        <v>0</v>
      </c>
      <c r="N691" s="68">
        <v>0</v>
      </c>
    </row>
    <row r="692" spans="2:14" x14ac:dyDescent="0.25">
      <c r="B692" s="63">
        <v>45236</v>
      </c>
      <c r="C692" s="63">
        <v>45237</v>
      </c>
      <c r="D692" s="63" t="s">
        <v>1708</v>
      </c>
      <c r="E692" s="63" t="s">
        <v>1709</v>
      </c>
      <c r="F692" s="65">
        <v>23.727951999999998</v>
      </c>
      <c r="G692" s="65">
        <v>15.825435000000001</v>
      </c>
      <c r="H692" s="65">
        <v>20</v>
      </c>
      <c r="I692" s="65">
        <v>4.6714710000000004</v>
      </c>
      <c r="J692" s="65">
        <v>78.099999999999994</v>
      </c>
      <c r="K692" s="67">
        <v>78.099999999999994</v>
      </c>
      <c r="L692" s="65">
        <v>100</v>
      </c>
      <c r="M692" s="67">
        <v>78.099999999999994</v>
      </c>
      <c r="N692" s="68">
        <v>0</v>
      </c>
    </row>
    <row r="693" spans="2:14" x14ac:dyDescent="0.25">
      <c r="B693" s="63">
        <v>45236</v>
      </c>
      <c r="C693" s="63">
        <v>45237</v>
      </c>
      <c r="D693" s="63" t="s">
        <v>1710</v>
      </c>
      <c r="E693" s="63" t="s">
        <v>1711</v>
      </c>
      <c r="F693" s="65">
        <v>32.608027999999997</v>
      </c>
      <c r="G693" s="65">
        <v>0</v>
      </c>
      <c r="H693" s="65">
        <v>0</v>
      </c>
      <c r="I693" s="65">
        <v>0</v>
      </c>
      <c r="J693" s="65">
        <v>0</v>
      </c>
      <c r="K693" s="67">
        <v>0</v>
      </c>
      <c r="L693" s="65">
        <v>0</v>
      </c>
      <c r="M693" s="67">
        <v>0</v>
      </c>
      <c r="N693" s="68">
        <v>0</v>
      </c>
    </row>
    <row r="694" spans="2:14" x14ac:dyDescent="0.25">
      <c r="B694" s="63">
        <v>45243</v>
      </c>
      <c r="C694" s="63">
        <v>45244</v>
      </c>
      <c r="D694" s="63" t="s">
        <v>1630</v>
      </c>
      <c r="E694" s="63" t="s">
        <v>1631</v>
      </c>
      <c r="F694" s="66">
        <v>107.84575</v>
      </c>
      <c r="G694" s="66">
        <v>18.055125</v>
      </c>
      <c r="H694" s="65">
        <v>20</v>
      </c>
      <c r="I694" s="67">
        <v>4.2416330000000002</v>
      </c>
      <c r="J694" s="67">
        <v>89.885000000000005</v>
      </c>
      <c r="K694" s="67">
        <v>89.885000000000005</v>
      </c>
      <c r="L694" s="68">
        <v>100</v>
      </c>
      <c r="M694" s="67">
        <v>89.885000000000005</v>
      </c>
      <c r="N694" s="68">
        <v>0</v>
      </c>
    </row>
    <row r="695" spans="2:14" x14ac:dyDescent="0.25">
      <c r="B695" s="63">
        <v>45243</v>
      </c>
      <c r="C695" s="63">
        <v>45244</v>
      </c>
      <c r="D695" s="63" t="s">
        <v>1632</v>
      </c>
      <c r="E695" s="63" t="s">
        <v>1633</v>
      </c>
      <c r="F695" s="66">
        <v>0</v>
      </c>
      <c r="G695" s="66">
        <v>0</v>
      </c>
      <c r="H695" s="65">
        <v>0</v>
      </c>
      <c r="I695" s="67">
        <v>0</v>
      </c>
      <c r="J695" s="67">
        <v>0</v>
      </c>
      <c r="K695" s="67">
        <v>0</v>
      </c>
      <c r="L695" s="68">
        <v>0</v>
      </c>
      <c r="M695" s="67">
        <v>0</v>
      </c>
      <c r="N695" s="68">
        <v>0</v>
      </c>
    </row>
    <row r="696" spans="2:14" x14ac:dyDescent="0.25">
      <c r="B696" s="63">
        <v>45243</v>
      </c>
      <c r="C696" s="63">
        <v>45244</v>
      </c>
      <c r="D696" s="63" t="s">
        <v>1634</v>
      </c>
      <c r="E696" s="63" t="s">
        <v>1635</v>
      </c>
      <c r="F696" s="66">
        <v>547.45678499999997</v>
      </c>
      <c r="G696" s="66">
        <v>96.255268000000001</v>
      </c>
      <c r="H696" s="65">
        <v>114.2</v>
      </c>
      <c r="I696" s="67">
        <v>4.2481450000000001</v>
      </c>
      <c r="J696" s="67">
        <v>84.250577000000007</v>
      </c>
      <c r="K696" s="67">
        <v>84.284000000000006</v>
      </c>
      <c r="L696" s="68">
        <v>28.399999000000001</v>
      </c>
      <c r="M696" s="67">
        <v>84.2</v>
      </c>
      <c r="N696" s="68">
        <v>5.0576999999999997E-2</v>
      </c>
    </row>
    <row r="697" spans="2:14" x14ac:dyDescent="0.25">
      <c r="B697" s="63">
        <v>45243</v>
      </c>
      <c r="C697" s="63">
        <v>45244</v>
      </c>
      <c r="D697" s="63" t="s">
        <v>1636</v>
      </c>
      <c r="E697" s="63" t="s">
        <v>1637</v>
      </c>
      <c r="F697" s="66">
        <v>270.71880800000002</v>
      </c>
      <c r="G697" s="66">
        <v>252.995485</v>
      </c>
      <c r="H697" s="65">
        <v>285</v>
      </c>
      <c r="I697" s="67">
        <v>4.1894049999999998</v>
      </c>
      <c r="J697" s="67">
        <v>88.668251999999995</v>
      </c>
      <c r="K697" s="67">
        <v>88.731999999999999</v>
      </c>
      <c r="L697" s="68">
        <v>100</v>
      </c>
      <c r="M697" s="67">
        <v>88.594999999999999</v>
      </c>
      <c r="N697" s="68">
        <v>7.3251999999999998E-2</v>
      </c>
    </row>
    <row r="698" spans="2:14" x14ac:dyDescent="0.25">
      <c r="B698" s="63">
        <v>45243</v>
      </c>
      <c r="C698" s="63">
        <v>45244</v>
      </c>
      <c r="D698" s="63" t="s">
        <v>1638</v>
      </c>
      <c r="E698" s="63" t="s">
        <v>1639</v>
      </c>
      <c r="F698" s="66">
        <v>109.62295</v>
      </c>
      <c r="G698" s="66">
        <v>0</v>
      </c>
      <c r="H698" s="65">
        <v>0</v>
      </c>
      <c r="I698" s="67">
        <v>0</v>
      </c>
      <c r="J698" s="67">
        <v>0</v>
      </c>
      <c r="K698" s="67">
        <v>0</v>
      </c>
      <c r="L698" s="68">
        <v>0</v>
      </c>
      <c r="M698" s="67">
        <v>0</v>
      </c>
      <c r="N698" s="68">
        <v>0</v>
      </c>
    </row>
    <row r="699" spans="2:14" x14ac:dyDescent="0.25">
      <c r="B699" s="63">
        <v>45243</v>
      </c>
      <c r="C699" s="63">
        <v>45244</v>
      </c>
      <c r="D699" s="63" t="s">
        <v>1668</v>
      </c>
      <c r="E699" s="63" t="s">
        <v>1669</v>
      </c>
      <c r="F699" s="66">
        <v>256.32146699999998</v>
      </c>
      <c r="G699" s="66">
        <v>256.32146699999998</v>
      </c>
      <c r="H699" s="65">
        <v>310</v>
      </c>
      <c r="I699" s="67">
        <v>4.2720659999999997</v>
      </c>
      <c r="J699" s="67">
        <v>82.540336999999994</v>
      </c>
      <c r="K699" s="67">
        <v>82.582999999999998</v>
      </c>
      <c r="L699" s="68">
        <v>100</v>
      </c>
      <c r="M699" s="67">
        <v>82.46</v>
      </c>
      <c r="N699" s="68">
        <v>8.0337000000000006E-2</v>
      </c>
    </row>
    <row r="700" spans="2:14" x14ac:dyDescent="0.25">
      <c r="B700" s="63">
        <v>45243</v>
      </c>
      <c r="C700" s="63">
        <v>45244</v>
      </c>
      <c r="D700" s="63" t="s">
        <v>1640</v>
      </c>
      <c r="E700" s="63" t="s">
        <v>1641</v>
      </c>
      <c r="F700" s="66">
        <v>0</v>
      </c>
      <c r="G700" s="66">
        <v>0</v>
      </c>
      <c r="H700" s="65">
        <v>0</v>
      </c>
      <c r="I700" s="67">
        <v>0</v>
      </c>
      <c r="J700" s="67">
        <v>0</v>
      </c>
      <c r="K700" s="67">
        <v>0</v>
      </c>
      <c r="L700" s="68">
        <v>0</v>
      </c>
      <c r="M700" s="67">
        <v>0</v>
      </c>
      <c r="N700" s="68">
        <v>0</v>
      </c>
    </row>
    <row r="701" spans="2:14" x14ac:dyDescent="0.25">
      <c r="B701" s="63">
        <v>45243</v>
      </c>
      <c r="C701" s="63">
        <v>45244</v>
      </c>
      <c r="D701" s="63" t="s">
        <v>1642</v>
      </c>
      <c r="E701" s="63" t="s">
        <v>1643</v>
      </c>
      <c r="F701" s="66">
        <v>123.328704</v>
      </c>
      <c r="G701" s="66">
        <v>46.305138999999997</v>
      </c>
      <c r="H701" s="65">
        <v>60</v>
      </c>
      <c r="I701" s="67">
        <v>4.2067889999999997</v>
      </c>
      <c r="J701" s="67">
        <v>77.151666000000006</v>
      </c>
      <c r="K701" s="67">
        <v>77.16</v>
      </c>
      <c r="L701" s="68">
        <v>100</v>
      </c>
      <c r="M701" s="67">
        <v>77.150000000000006</v>
      </c>
      <c r="N701" s="68">
        <v>1.6659999999999999E-3</v>
      </c>
    </row>
    <row r="702" spans="2:14" x14ac:dyDescent="0.25">
      <c r="B702" s="63">
        <v>45250</v>
      </c>
      <c r="C702" s="63">
        <v>45251</v>
      </c>
      <c r="D702" s="64" t="s">
        <v>1644</v>
      </c>
      <c r="E702" s="64" t="s">
        <v>1645</v>
      </c>
      <c r="F702" s="65">
        <v>186.85136199999999</v>
      </c>
      <c r="G702" s="66">
        <v>0</v>
      </c>
      <c r="H702" s="65">
        <v>0</v>
      </c>
      <c r="I702" s="67">
        <v>0</v>
      </c>
      <c r="J702" s="67">
        <v>0</v>
      </c>
      <c r="K702" s="67">
        <v>0</v>
      </c>
      <c r="L702" s="68">
        <v>0</v>
      </c>
      <c r="M702" s="67">
        <v>0</v>
      </c>
      <c r="N702" s="68">
        <v>0</v>
      </c>
    </row>
    <row r="703" spans="2:14" x14ac:dyDescent="0.25">
      <c r="B703" s="63">
        <v>45250</v>
      </c>
      <c r="C703" s="63">
        <v>45251</v>
      </c>
      <c r="D703" s="64" t="s">
        <v>1646</v>
      </c>
      <c r="E703" s="64" t="s">
        <v>1647</v>
      </c>
      <c r="F703" s="65">
        <v>60.182713</v>
      </c>
      <c r="G703" s="66">
        <v>0</v>
      </c>
      <c r="H703" s="65">
        <v>0</v>
      </c>
      <c r="I703" s="67">
        <v>0</v>
      </c>
      <c r="J703" s="67">
        <v>0</v>
      </c>
      <c r="K703" s="67">
        <v>0</v>
      </c>
      <c r="L703" s="68">
        <v>0</v>
      </c>
      <c r="M703" s="67">
        <v>0</v>
      </c>
      <c r="N703" s="68">
        <v>0</v>
      </c>
    </row>
    <row r="704" spans="2:14" x14ac:dyDescent="0.25">
      <c r="B704" s="63">
        <v>45250</v>
      </c>
      <c r="C704" s="63">
        <v>45251</v>
      </c>
      <c r="D704" s="64" t="s">
        <v>1648</v>
      </c>
      <c r="E704" s="64" t="s">
        <v>1649</v>
      </c>
      <c r="F704" s="65">
        <v>72.385144999999994</v>
      </c>
      <c r="G704" s="66">
        <v>0</v>
      </c>
      <c r="H704" s="65">
        <v>0</v>
      </c>
      <c r="I704" s="67">
        <v>0</v>
      </c>
      <c r="J704" s="67">
        <v>0</v>
      </c>
      <c r="K704" s="67">
        <v>0</v>
      </c>
      <c r="L704" s="68">
        <v>0</v>
      </c>
      <c r="M704" s="67">
        <v>0</v>
      </c>
      <c r="N704" s="68">
        <v>0</v>
      </c>
    </row>
    <row r="705" spans="2:14" x14ac:dyDescent="0.25">
      <c r="B705" s="63">
        <v>45250</v>
      </c>
      <c r="C705" s="63">
        <v>45251</v>
      </c>
      <c r="D705" s="64" t="s">
        <v>1670</v>
      </c>
      <c r="E705" s="64" t="s">
        <v>1671</v>
      </c>
      <c r="F705" s="65">
        <v>0</v>
      </c>
      <c r="G705" s="66">
        <v>0</v>
      </c>
      <c r="H705" s="65">
        <v>0</v>
      </c>
      <c r="I705" s="67">
        <v>0</v>
      </c>
      <c r="J705" s="67">
        <v>0</v>
      </c>
      <c r="K705" s="67">
        <v>0</v>
      </c>
      <c r="L705" s="68">
        <v>0</v>
      </c>
      <c r="M705" s="67">
        <v>0</v>
      </c>
      <c r="N705" s="68">
        <v>0</v>
      </c>
    </row>
    <row r="706" spans="2:14" x14ac:dyDescent="0.25">
      <c r="B706" s="63">
        <v>45250</v>
      </c>
      <c r="C706" s="63">
        <v>45251</v>
      </c>
      <c r="D706" s="64" t="s">
        <v>1650</v>
      </c>
      <c r="E706" s="64" t="s">
        <v>1651</v>
      </c>
      <c r="F706" s="65">
        <v>351.08647200000001</v>
      </c>
      <c r="G706" s="66">
        <v>162.443291142861</v>
      </c>
      <c r="H706" s="65">
        <v>157.30000000000001</v>
      </c>
      <c r="I706" s="67">
        <v>4.2268090000000003</v>
      </c>
      <c r="J706" s="67">
        <v>102.342535</v>
      </c>
      <c r="K706" s="67">
        <v>102.343</v>
      </c>
      <c r="L706" s="68">
        <v>4.8666660000000004</v>
      </c>
      <c r="M706" s="67">
        <v>102.333</v>
      </c>
      <c r="N706" s="68">
        <v>9.5350000000000001E-3</v>
      </c>
    </row>
    <row r="707" spans="2:14" x14ac:dyDescent="0.25">
      <c r="B707" s="63">
        <v>45250</v>
      </c>
      <c r="C707" s="63">
        <v>45251</v>
      </c>
      <c r="D707" s="64" t="s">
        <v>1652</v>
      </c>
      <c r="E707" s="64" t="s">
        <v>1653</v>
      </c>
      <c r="F707" s="65">
        <v>423.403415</v>
      </c>
      <c r="G707" s="66">
        <v>0</v>
      </c>
      <c r="H707" s="65">
        <v>0</v>
      </c>
      <c r="I707" s="67">
        <v>0</v>
      </c>
      <c r="J707" s="67">
        <v>0</v>
      </c>
      <c r="K707" s="67">
        <v>0</v>
      </c>
      <c r="L707" s="68">
        <v>0</v>
      </c>
      <c r="M707" s="67">
        <v>0</v>
      </c>
      <c r="N707" s="68">
        <v>0</v>
      </c>
    </row>
    <row r="708" spans="2:14" x14ac:dyDescent="0.25">
      <c r="B708" s="63">
        <v>45250</v>
      </c>
      <c r="C708" s="63">
        <v>45251</v>
      </c>
      <c r="D708" s="64" t="s">
        <v>1654</v>
      </c>
      <c r="E708" s="64" t="s">
        <v>1655</v>
      </c>
      <c r="F708" s="65">
        <v>0</v>
      </c>
      <c r="G708" s="66">
        <v>0</v>
      </c>
      <c r="H708" s="65">
        <v>0</v>
      </c>
      <c r="I708" s="67">
        <v>0</v>
      </c>
      <c r="J708" s="67">
        <v>0</v>
      </c>
      <c r="K708" s="67">
        <v>0</v>
      </c>
      <c r="L708" s="68">
        <v>0</v>
      </c>
      <c r="M708" s="67">
        <v>0</v>
      </c>
      <c r="N708" s="68">
        <v>0</v>
      </c>
    </row>
    <row r="709" spans="2:14" x14ac:dyDescent="0.25">
      <c r="B709" s="63">
        <v>45250</v>
      </c>
      <c r="C709" s="63">
        <v>45251</v>
      </c>
      <c r="D709" s="64" t="s">
        <v>1656</v>
      </c>
      <c r="E709" s="64" t="s">
        <v>1657</v>
      </c>
      <c r="F709" s="65">
        <v>32.922258999999997</v>
      </c>
      <c r="G709" s="66">
        <v>0</v>
      </c>
      <c r="H709" s="65">
        <v>0</v>
      </c>
      <c r="I709" s="67">
        <v>0</v>
      </c>
      <c r="J709" s="67">
        <v>0</v>
      </c>
      <c r="K709" s="67">
        <v>0</v>
      </c>
      <c r="L709" s="68">
        <v>0</v>
      </c>
      <c r="M709" s="67">
        <v>0</v>
      </c>
      <c r="N709" s="68">
        <v>0</v>
      </c>
    </row>
    <row r="710" spans="2:14" x14ac:dyDescent="0.25">
      <c r="B710" s="63">
        <v>45250</v>
      </c>
      <c r="C710" s="63">
        <v>45251</v>
      </c>
      <c r="D710" s="64" t="s">
        <v>1658</v>
      </c>
      <c r="E710" s="64" t="s">
        <v>1659</v>
      </c>
      <c r="F710" s="65">
        <v>126.42801900000001</v>
      </c>
      <c r="G710" s="66">
        <v>0</v>
      </c>
      <c r="H710" s="65">
        <v>0</v>
      </c>
      <c r="I710" s="67">
        <v>0</v>
      </c>
      <c r="J710" s="67">
        <v>0</v>
      </c>
      <c r="K710" s="67">
        <v>0</v>
      </c>
      <c r="L710" s="68">
        <v>0</v>
      </c>
      <c r="M710" s="67">
        <v>0</v>
      </c>
      <c r="N710" s="68">
        <v>0</v>
      </c>
    </row>
    <row r="711" spans="2:14" x14ac:dyDescent="0.25">
      <c r="B711" s="63">
        <v>45250</v>
      </c>
      <c r="C711" s="63">
        <v>45251</v>
      </c>
      <c r="D711" s="64" t="s">
        <v>1660</v>
      </c>
      <c r="E711" s="64" t="s">
        <v>1661</v>
      </c>
      <c r="F711" s="65">
        <v>0</v>
      </c>
      <c r="G711" s="66">
        <v>0</v>
      </c>
      <c r="H711" s="65">
        <v>0</v>
      </c>
      <c r="I711" s="67">
        <v>0</v>
      </c>
      <c r="J711" s="67">
        <v>0</v>
      </c>
      <c r="K711" s="67">
        <v>0</v>
      </c>
      <c r="L711" s="68">
        <v>0</v>
      </c>
      <c r="M711" s="67">
        <v>0</v>
      </c>
      <c r="N711" s="68">
        <v>0</v>
      </c>
    </row>
    <row r="712" spans="2:14" x14ac:dyDescent="0.25">
      <c r="B712" s="63">
        <v>45250</v>
      </c>
      <c r="C712" s="63">
        <v>45251</v>
      </c>
      <c r="D712" s="64" t="s">
        <v>1662</v>
      </c>
      <c r="E712" s="64" t="s">
        <v>1663</v>
      </c>
      <c r="F712" s="65">
        <v>0</v>
      </c>
      <c r="G712" s="66">
        <v>0</v>
      </c>
      <c r="H712" s="65">
        <v>0</v>
      </c>
      <c r="I712" s="67">
        <v>0</v>
      </c>
      <c r="J712" s="67">
        <v>0</v>
      </c>
      <c r="K712" s="67">
        <v>0</v>
      </c>
      <c r="L712" s="68">
        <v>0</v>
      </c>
      <c r="M712" s="67">
        <v>0</v>
      </c>
      <c r="N712" s="68">
        <v>0</v>
      </c>
    </row>
    <row r="713" spans="2:14" x14ac:dyDescent="0.25">
      <c r="B713" s="63">
        <v>45250</v>
      </c>
      <c r="C713" s="63">
        <v>45251</v>
      </c>
      <c r="D713" s="64" t="s">
        <v>1664</v>
      </c>
      <c r="E713" s="64" t="s">
        <v>1665</v>
      </c>
      <c r="F713" s="65">
        <v>19.710341</v>
      </c>
      <c r="G713" s="66">
        <v>0</v>
      </c>
      <c r="H713" s="65">
        <v>0</v>
      </c>
      <c r="I713" s="67">
        <v>0</v>
      </c>
      <c r="J713" s="67">
        <v>0</v>
      </c>
      <c r="K713" s="67">
        <v>0</v>
      </c>
      <c r="L713" s="68">
        <v>0</v>
      </c>
      <c r="M713" s="67">
        <v>0</v>
      </c>
      <c r="N713" s="68">
        <v>0</v>
      </c>
    </row>
    <row r="714" spans="2:14" x14ac:dyDescent="0.25">
      <c r="B714" s="63">
        <v>45250</v>
      </c>
      <c r="C714" s="63">
        <v>45251</v>
      </c>
      <c r="D714" s="64" t="s">
        <v>1666</v>
      </c>
      <c r="E714" s="64" t="s">
        <v>1667</v>
      </c>
      <c r="F714" s="65">
        <v>107.770426</v>
      </c>
      <c r="G714" s="66">
        <v>0</v>
      </c>
      <c r="H714" s="65">
        <v>0</v>
      </c>
      <c r="I714" s="67">
        <v>0</v>
      </c>
      <c r="J714" s="67">
        <v>0</v>
      </c>
      <c r="K714" s="67">
        <v>0</v>
      </c>
      <c r="L714" s="68">
        <v>0</v>
      </c>
      <c r="M714" s="67">
        <v>0</v>
      </c>
      <c r="N714" s="68">
        <v>0</v>
      </c>
    </row>
    <row r="715" spans="2:14" x14ac:dyDescent="0.25">
      <c r="B715" s="63">
        <v>45250</v>
      </c>
      <c r="C715" s="63">
        <v>45251</v>
      </c>
      <c r="D715" s="64" t="s">
        <v>1672</v>
      </c>
      <c r="E715" s="64" t="s">
        <v>1673</v>
      </c>
      <c r="F715" s="65">
        <v>572.30129099999999</v>
      </c>
      <c r="G715" s="66">
        <v>507.48639344259999</v>
      </c>
      <c r="H715" s="65">
        <v>500</v>
      </c>
      <c r="I715" s="67">
        <v>4.5437770000000004</v>
      </c>
      <c r="J715" s="67">
        <v>99.444000000000003</v>
      </c>
      <c r="K715" s="67">
        <v>99.444000000000003</v>
      </c>
      <c r="L715" s="68">
        <v>100</v>
      </c>
      <c r="M715" s="67">
        <v>99.444000000000003</v>
      </c>
      <c r="N715" s="68">
        <v>0</v>
      </c>
    </row>
    <row r="716" spans="2:14" x14ac:dyDescent="0.25">
      <c r="B716" s="63">
        <v>45257</v>
      </c>
      <c r="C716" s="63">
        <v>45258</v>
      </c>
      <c r="D716" s="64" t="s">
        <v>1630</v>
      </c>
      <c r="E716" s="64" t="s">
        <v>1631</v>
      </c>
      <c r="F716" s="65">
        <v>231.83077900000001</v>
      </c>
      <c r="G716" s="66">
        <v>164.83982599999999</v>
      </c>
      <c r="H716" s="65">
        <v>182</v>
      </c>
      <c r="I716" s="67">
        <v>4.1935969999999996</v>
      </c>
      <c r="J716" s="67">
        <v>90.133154000000005</v>
      </c>
      <c r="K716" s="67">
        <v>90.144000000000005</v>
      </c>
      <c r="L716" s="68">
        <v>100</v>
      </c>
      <c r="M716" s="67">
        <v>90.122</v>
      </c>
      <c r="N716" s="68">
        <v>1.1154000000000001E-2</v>
      </c>
    </row>
    <row r="717" spans="2:14" x14ac:dyDescent="0.25">
      <c r="B717" s="63">
        <v>45257</v>
      </c>
      <c r="C717" s="63">
        <v>45258</v>
      </c>
      <c r="D717" s="64" t="s">
        <v>1632</v>
      </c>
      <c r="E717" s="64" t="s">
        <v>1633</v>
      </c>
      <c r="F717" s="65">
        <v>0</v>
      </c>
      <c r="G717" s="66">
        <v>0</v>
      </c>
      <c r="H717" s="65">
        <v>0</v>
      </c>
      <c r="I717" s="67">
        <v>0</v>
      </c>
      <c r="J717" s="67">
        <v>0</v>
      </c>
      <c r="K717" s="67">
        <v>0</v>
      </c>
      <c r="L717" s="68">
        <v>0</v>
      </c>
      <c r="M717" s="67">
        <v>0</v>
      </c>
      <c r="N717" s="68">
        <v>0</v>
      </c>
    </row>
    <row r="718" spans="2:14" x14ac:dyDescent="0.25">
      <c r="B718" s="63">
        <v>45257</v>
      </c>
      <c r="C718" s="63">
        <v>45258</v>
      </c>
      <c r="D718" s="64" t="s">
        <v>1634</v>
      </c>
      <c r="E718" s="64" t="s">
        <v>1635</v>
      </c>
      <c r="F718" s="65">
        <v>583.68864900000005</v>
      </c>
      <c r="G718" s="66">
        <v>111.028358</v>
      </c>
      <c r="H718" s="65">
        <v>131.1</v>
      </c>
      <c r="I718" s="67">
        <v>4.1702760000000003</v>
      </c>
      <c r="J718" s="67">
        <v>84.649064999999993</v>
      </c>
      <c r="K718" s="67">
        <v>84.671000000000006</v>
      </c>
      <c r="L718" s="68">
        <v>42.199998999999998</v>
      </c>
      <c r="M718" s="67">
        <v>84.62</v>
      </c>
      <c r="N718" s="68">
        <v>2.9065000000000001E-2</v>
      </c>
    </row>
    <row r="719" spans="2:14" x14ac:dyDescent="0.25">
      <c r="B719" s="63">
        <v>45257</v>
      </c>
      <c r="C719" s="63">
        <v>45258</v>
      </c>
      <c r="D719" s="64" t="s">
        <v>1636</v>
      </c>
      <c r="E719" s="64" t="s">
        <v>1637</v>
      </c>
      <c r="F719" s="65">
        <v>198.901535</v>
      </c>
      <c r="G719" s="66">
        <v>160.582097</v>
      </c>
      <c r="H719" s="65">
        <v>180</v>
      </c>
      <c r="I719" s="67">
        <v>4.1161159999999999</v>
      </c>
      <c r="J719" s="67">
        <v>89.048000000000002</v>
      </c>
      <c r="K719" s="67">
        <v>89.052999999999997</v>
      </c>
      <c r="L719" s="68">
        <v>100</v>
      </c>
      <c r="M719" s="67">
        <v>89.043000000000006</v>
      </c>
      <c r="N719" s="68">
        <v>5.0000000000000001E-3</v>
      </c>
    </row>
    <row r="720" spans="2:14" x14ac:dyDescent="0.25">
      <c r="B720" s="63">
        <v>45257</v>
      </c>
      <c r="C720" s="63">
        <v>45258</v>
      </c>
      <c r="D720" s="64" t="s">
        <v>1638</v>
      </c>
      <c r="E720" s="64" t="s">
        <v>1639</v>
      </c>
      <c r="F720" s="65">
        <v>157.482991</v>
      </c>
      <c r="G720" s="66">
        <v>38.854360999999997</v>
      </c>
      <c r="H720" s="65">
        <v>35</v>
      </c>
      <c r="I720" s="67">
        <v>4.1821970000000004</v>
      </c>
      <c r="J720" s="67">
        <v>108.16</v>
      </c>
      <c r="K720" s="67">
        <v>108.16</v>
      </c>
      <c r="L720" s="68">
        <v>100</v>
      </c>
      <c r="M720" s="67">
        <v>108.16</v>
      </c>
      <c r="N720" s="68">
        <v>0</v>
      </c>
    </row>
    <row r="721" spans="2:14" x14ac:dyDescent="0.25">
      <c r="B721" s="63">
        <v>45257</v>
      </c>
      <c r="C721" s="63">
        <v>45258</v>
      </c>
      <c r="D721" s="64" t="s">
        <v>1668</v>
      </c>
      <c r="E721" s="64" t="s">
        <v>1669</v>
      </c>
      <c r="F721" s="65">
        <v>286.90069999999997</v>
      </c>
      <c r="G721" s="66">
        <v>182.99689599999999</v>
      </c>
      <c r="H721" s="65">
        <v>220</v>
      </c>
      <c r="I721" s="67">
        <v>4.1844419999999998</v>
      </c>
      <c r="J721" s="67">
        <v>83.017364000000001</v>
      </c>
      <c r="K721" s="67">
        <v>83.036000000000001</v>
      </c>
      <c r="L721" s="68">
        <v>100</v>
      </c>
      <c r="M721" s="67">
        <v>83</v>
      </c>
      <c r="N721" s="68">
        <v>1.7364000000000001E-2</v>
      </c>
    </row>
    <row r="722" spans="2:14" x14ac:dyDescent="0.25">
      <c r="B722" s="63">
        <v>45257</v>
      </c>
      <c r="C722" s="63">
        <v>45258</v>
      </c>
      <c r="D722" s="64" t="s">
        <v>1640</v>
      </c>
      <c r="E722" s="64" t="s">
        <v>1641</v>
      </c>
      <c r="F722" s="65">
        <v>14.151636999999999</v>
      </c>
      <c r="G722" s="66">
        <v>0</v>
      </c>
      <c r="H722" s="65">
        <v>0</v>
      </c>
      <c r="I722" s="67">
        <v>0</v>
      </c>
      <c r="J722" s="67">
        <v>0</v>
      </c>
      <c r="K722" s="67">
        <v>0</v>
      </c>
      <c r="L722" s="68">
        <v>0</v>
      </c>
      <c r="M722" s="67">
        <v>0</v>
      </c>
      <c r="N722" s="68">
        <v>0</v>
      </c>
    </row>
    <row r="723" spans="2:14" x14ac:dyDescent="0.25">
      <c r="B723" s="63">
        <v>45257</v>
      </c>
      <c r="C723" s="63">
        <v>45258</v>
      </c>
      <c r="D723" s="64" t="s">
        <v>1642</v>
      </c>
      <c r="E723" s="64" t="s">
        <v>1643</v>
      </c>
      <c r="F723" s="65">
        <v>23.336372000000001</v>
      </c>
      <c r="G723" s="66">
        <v>11.670436</v>
      </c>
      <c r="H723" s="65">
        <v>15</v>
      </c>
      <c r="I723" s="67">
        <v>4.109083</v>
      </c>
      <c r="J723" s="67">
        <v>77.765000000000001</v>
      </c>
      <c r="K723" s="67">
        <v>77.765000000000001</v>
      </c>
      <c r="L723" s="68">
        <v>100</v>
      </c>
      <c r="M723" s="67">
        <v>77.765000000000001</v>
      </c>
      <c r="N723" s="68">
        <v>0</v>
      </c>
    </row>
    <row r="724" spans="2:14" x14ac:dyDescent="0.25">
      <c r="B724" s="63">
        <v>45264</v>
      </c>
      <c r="C724" s="63">
        <v>45265</v>
      </c>
      <c r="D724" s="64" t="s">
        <v>1674</v>
      </c>
      <c r="E724" s="64" t="s">
        <v>1675</v>
      </c>
      <c r="F724" s="65">
        <v>147.083234</v>
      </c>
      <c r="G724" s="66">
        <v>40.495113000000003</v>
      </c>
      <c r="H724" s="65">
        <v>49</v>
      </c>
      <c r="I724" s="67">
        <v>4.6834819999999997</v>
      </c>
      <c r="J724" s="67">
        <v>81.441999999999993</v>
      </c>
      <c r="K724" s="67">
        <v>81.441999999999993</v>
      </c>
      <c r="L724" s="68">
        <v>32.666665999999999</v>
      </c>
      <c r="M724" s="67">
        <v>81.441999999999993</v>
      </c>
      <c r="N724" s="68">
        <v>0</v>
      </c>
    </row>
    <row r="725" spans="2:14" x14ac:dyDescent="0.25">
      <c r="B725" s="63">
        <v>45264</v>
      </c>
      <c r="C725" s="63">
        <v>45265</v>
      </c>
      <c r="D725" s="64" t="s">
        <v>1676</v>
      </c>
      <c r="E725" s="64" t="s">
        <v>1677</v>
      </c>
      <c r="F725" s="65">
        <v>279.009208</v>
      </c>
      <c r="G725" s="66">
        <v>21.338619999999999</v>
      </c>
      <c r="H725" s="65">
        <v>25</v>
      </c>
      <c r="I725" s="67">
        <v>4.6974640000000001</v>
      </c>
      <c r="J725" s="67">
        <v>84.061000000000007</v>
      </c>
      <c r="K725" s="67">
        <v>84.061000000000007</v>
      </c>
      <c r="L725" s="68">
        <v>100</v>
      </c>
      <c r="M725" s="67">
        <v>84.061000000000007</v>
      </c>
      <c r="N725" s="68">
        <v>0</v>
      </c>
    </row>
    <row r="726" spans="2:14" x14ac:dyDescent="0.25">
      <c r="B726" s="63">
        <v>45264</v>
      </c>
      <c r="C726" s="63">
        <v>45265</v>
      </c>
      <c r="D726" s="64" t="s">
        <v>1678</v>
      </c>
      <c r="E726" s="64" t="s">
        <v>1679</v>
      </c>
      <c r="F726" s="65">
        <v>0</v>
      </c>
      <c r="G726" s="66">
        <v>0</v>
      </c>
      <c r="H726" s="65">
        <v>0</v>
      </c>
      <c r="I726" s="67">
        <v>0</v>
      </c>
      <c r="J726" s="67">
        <v>0</v>
      </c>
      <c r="K726" s="67">
        <v>0</v>
      </c>
      <c r="L726" s="68">
        <v>0</v>
      </c>
      <c r="M726" s="67">
        <v>0</v>
      </c>
      <c r="N726" s="68">
        <v>0</v>
      </c>
    </row>
    <row r="727" spans="2:14" x14ac:dyDescent="0.25">
      <c r="B727" s="63">
        <v>45264</v>
      </c>
      <c r="C727" s="63">
        <v>45265</v>
      </c>
      <c r="D727" s="64" t="s">
        <v>1680</v>
      </c>
      <c r="E727" s="64" t="s">
        <v>1681</v>
      </c>
      <c r="F727" s="65">
        <v>0</v>
      </c>
      <c r="G727" s="66">
        <v>0</v>
      </c>
      <c r="H727" s="65">
        <v>0</v>
      </c>
      <c r="I727" s="67">
        <v>0</v>
      </c>
      <c r="J727" s="67">
        <v>0</v>
      </c>
      <c r="K727" s="67">
        <v>0</v>
      </c>
      <c r="L727" s="68">
        <v>0</v>
      </c>
      <c r="M727" s="67">
        <v>0</v>
      </c>
      <c r="N727" s="68">
        <v>0</v>
      </c>
    </row>
    <row r="728" spans="2:14" x14ac:dyDescent="0.25">
      <c r="B728" s="63">
        <v>45264</v>
      </c>
      <c r="C728" s="63">
        <v>45265</v>
      </c>
      <c r="D728" s="64" t="s">
        <v>1682</v>
      </c>
      <c r="E728" s="64" t="s">
        <v>1683</v>
      </c>
      <c r="F728" s="65">
        <v>66.338217</v>
      </c>
      <c r="G728" s="66">
        <v>33.212609</v>
      </c>
      <c r="H728" s="65">
        <v>60</v>
      </c>
      <c r="I728" s="67">
        <v>4.6823370000000004</v>
      </c>
      <c r="J728" s="67">
        <v>54.800001000000002</v>
      </c>
      <c r="K728" s="67">
        <v>54.81</v>
      </c>
      <c r="L728" s="68">
        <v>100</v>
      </c>
      <c r="M728" s="67">
        <v>54.79</v>
      </c>
      <c r="N728" s="68">
        <v>1.0000999999999999E-2</v>
      </c>
    </row>
    <row r="729" spans="2:14" x14ac:dyDescent="0.25">
      <c r="B729" s="63">
        <v>45264</v>
      </c>
      <c r="C729" s="63">
        <v>45265</v>
      </c>
      <c r="D729" s="64" t="s">
        <v>1684</v>
      </c>
      <c r="E729" s="64" t="s">
        <v>1685</v>
      </c>
      <c r="F729" s="65">
        <v>0</v>
      </c>
      <c r="G729" s="66">
        <v>0</v>
      </c>
      <c r="H729" s="65">
        <v>0</v>
      </c>
      <c r="I729" s="67">
        <v>0</v>
      </c>
      <c r="J729" s="67">
        <v>0</v>
      </c>
      <c r="K729" s="67">
        <v>0</v>
      </c>
      <c r="L729" s="68">
        <v>0</v>
      </c>
      <c r="M729" s="67">
        <v>0</v>
      </c>
      <c r="N729" s="68">
        <v>0</v>
      </c>
    </row>
    <row r="730" spans="2:14" x14ac:dyDescent="0.25">
      <c r="B730" s="63">
        <v>45264</v>
      </c>
      <c r="C730" s="63">
        <v>45265</v>
      </c>
      <c r="D730" s="64" t="s">
        <v>1686</v>
      </c>
      <c r="E730" s="64" t="s">
        <v>1687</v>
      </c>
      <c r="F730" s="65">
        <v>0</v>
      </c>
      <c r="G730" s="66">
        <v>0</v>
      </c>
      <c r="H730" s="65">
        <v>0</v>
      </c>
      <c r="I730" s="67">
        <v>0</v>
      </c>
      <c r="J730" s="67">
        <v>0</v>
      </c>
      <c r="K730" s="67">
        <v>0</v>
      </c>
      <c r="L730" s="68">
        <v>0</v>
      </c>
      <c r="M730" s="67">
        <v>0</v>
      </c>
      <c r="N730" s="68">
        <v>0</v>
      </c>
    </row>
    <row r="731" spans="2:14" x14ac:dyDescent="0.25">
      <c r="B731" s="63">
        <v>45264</v>
      </c>
      <c r="C731" s="63">
        <v>45265</v>
      </c>
      <c r="D731" s="64" t="s">
        <v>1688</v>
      </c>
      <c r="E731" s="64" t="s">
        <v>1689</v>
      </c>
      <c r="F731" s="65">
        <v>156.92627100000001</v>
      </c>
      <c r="G731" s="66">
        <v>78.604535999999996</v>
      </c>
      <c r="H731" s="65">
        <v>202</v>
      </c>
      <c r="I731" s="67">
        <v>4.6225519999999998</v>
      </c>
      <c r="J731" s="67">
        <v>38.838005000000003</v>
      </c>
      <c r="K731" s="67">
        <v>38.853000000000002</v>
      </c>
      <c r="L731" s="68">
        <v>100</v>
      </c>
      <c r="M731" s="67">
        <v>38.823</v>
      </c>
      <c r="N731" s="68">
        <v>1.5004999999999999E-2</v>
      </c>
    </row>
    <row r="732" spans="2:14" x14ac:dyDescent="0.25">
      <c r="B732" s="63">
        <v>45264</v>
      </c>
      <c r="C732" s="63">
        <v>45265</v>
      </c>
      <c r="D732" s="64" t="s">
        <v>1690</v>
      </c>
      <c r="E732" s="64" t="s">
        <v>1691</v>
      </c>
      <c r="F732" s="65">
        <v>61.790801000000002</v>
      </c>
      <c r="G732" s="66">
        <v>0</v>
      </c>
      <c r="H732" s="65">
        <v>0</v>
      </c>
      <c r="I732" s="67">
        <v>0</v>
      </c>
      <c r="J732" s="67">
        <v>0</v>
      </c>
      <c r="K732" s="67">
        <v>0</v>
      </c>
      <c r="L732" s="68">
        <v>0</v>
      </c>
      <c r="M732" s="67">
        <v>0</v>
      </c>
      <c r="N732" s="68">
        <v>0</v>
      </c>
    </row>
    <row r="733" spans="2:14" x14ac:dyDescent="0.25">
      <c r="B733" s="63">
        <v>45264</v>
      </c>
      <c r="C733" s="63">
        <v>45265</v>
      </c>
      <c r="D733" s="64" t="s">
        <v>1692</v>
      </c>
      <c r="E733" s="64" t="s">
        <v>1693</v>
      </c>
      <c r="F733" s="65">
        <v>69.232394999999997</v>
      </c>
      <c r="G733" s="66">
        <v>0</v>
      </c>
      <c r="H733" s="65">
        <v>0</v>
      </c>
      <c r="I733" s="67">
        <v>0</v>
      </c>
      <c r="J733" s="67">
        <v>0</v>
      </c>
      <c r="K733" s="67">
        <v>0</v>
      </c>
      <c r="L733" s="68">
        <v>0</v>
      </c>
      <c r="M733" s="67">
        <v>0</v>
      </c>
      <c r="N733" s="68">
        <v>0</v>
      </c>
    </row>
    <row r="734" spans="2:14" x14ac:dyDescent="0.25">
      <c r="B734" s="63">
        <v>45264</v>
      </c>
      <c r="C734" s="63">
        <v>45265</v>
      </c>
      <c r="D734" s="64" t="s">
        <v>1694</v>
      </c>
      <c r="E734" s="64" t="s">
        <v>1695</v>
      </c>
      <c r="F734" s="65">
        <v>0</v>
      </c>
      <c r="G734" s="66">
        <v>0</v>
      </c>
      <c r="H734" s="65">
        <v>0</v>
      </c>
      <c r="I734" s="67">
        <v>0</v>
      </c>
      <c r="J734" s="67">
        <v>0</v>
      </c>
      <c r="K734" s="67">
        <v>0</v>
      </c>
      <c r="L734" s="68">
        <v>0</v>
      </c>
      <c r="M734" s="67">
        <v>0</v>
      </c>
      <c r="N734" s="68">
        <v>0</v>
      </c>
    </row>
    <row r="735" spans="2:14" x14ac:dyDescent="0.25">
      <c r="B735" s="63">
        <v>45264</v>
      </c>
      <c r="C735" s="63">
        <v>45265</v>
      </c>
      <c r="D735" s="64" t="s">
        <v>1696</v>
      </c>
      <c r="E735" s="64" t="s">
        <v>1697</v>
      </c>
      <c r="F735" s="65">
        <v>0</v>
      </c>
      <c r="G735" s="66">
        <v>0</v>
      </c>
      <c r="H735" s="65">
        <v>0</v>
      </c>
      <c r="I735" s="67">
        <v>0</v>
      </c>
      <c r="J735" s="67">
        <v>0</v>
      </c>
      <c r="K735" s="67">
        <v>0</v>
      </c>
      <c r="L735" s="68">
        <v>0</v>
      </c>
      <c r="M735" s="67">
        <v>0</v>
      </c>
      <c r="N735" s="68">
        <v>0</v>
      </c>
    </row>
    <row r="736" spans="2:14" x14ac:dyDescent="0.25">
      <c r="B736" s="63">
        <v>45264</v>
      </c>
      <c r="C736" s="63">
        <v>45265</v>
      </c>
      <c r="D736" s="64" t="s">
        <v>1698</v>
      </c>
      <c r="E736" s="64" t="s">
        <v>1699</v>
      </c>
      <c r="F736" s="65">
        <v>0</v>
      </c>
      <c r="G736" s="66">
        <v>0</v>
      </c>
      <c r="H736" s="65">
        <v>0</v>
      </c>
      <c r="I736" s="67">
        <v>0</v>
      </c>
      <c r="J736" s="67">
        <v>0</v>
      </c>
      <c r="K736" s="67">
        <v>0</v>
      </c>
      <c r="L736" s="68">
        <v>0</v>
      </c>
      <c r="M736" s="67">
        <v>0</v>
      </c>
      <c r="N736" s="68">
        <v>0</v>
      </c>
    </row>
    <row r="737" spans="2:14" x14ac:dyDescent="0.25">
      <c r="B737" s="63">
        <v>45264</v>
      </c>
      <c r="C737" s="63">
        <v>45265</v>
      </c>
      <c r="D737" s="64" t="s">
        <v>1700</v>
      </c>
      <c r="E737" s="64" t="s">
        <v>1701</v>
      </c>
      <c r="F737" s="65">
        <v>26.549755999999999</v>
      </c>
      <c r="G737" s="66">
        <v>0</v>
      </c>
      <c r="H737" s="65">
        <v>0</v>
      </c>
      <c r="I737" s="67">
        <v>0</v>
      </c>
      <c r="J737" s="67">
        <v>0</v>
      </c>
      <c r="K737" s="67">
        <v>0</v>
      </c>
      <c r="L737" s="68">
        <v>0</v>
      </c>
      <c r="M737" s="67">
        <v>0</v>
      </c>
      <c r="N737" s="68">
        <v>0</v>
      </c>
    </row>
    <row r="738" spans="2:14" x14ac:dyDescent="0.25">
      <c r="B738" s="63">
        <v>45264</v>
      </c>
      <c r="C738" s="63">
        <v>45265</v>
      </c>
      <c r="D738" s="64" t="s">
        <v>1702</v>
      </c>
      <c r="E738" s="64" t="s">
        <v>1703</v>
      </c>
      <c r="F738" s="65">
        <v>0</v>
      </c>
      <c r="G738" s="66">
        <v>0</v>
      </c>
      <c r="H738" s="65">
        <v>0</v>
      </c>
      <c r="I738" s="67">
        <v>0</v>
      </c>
      <c r="J738" s="67">
        <v>0</v>
      </c>
      <c r="K738" s="67">
        <v>0</v>
      </c>
      <c r="L738" s="68">
        <v>0</v>
      </c>
      <c r="M738" s="67">
        <v>0</v>
      </c>
      <c r="N738" s="68">
        <v>0</v>
      </c>
    </row>
    <row r="739" spans="2:14" x14ac:dyDescent="0.25">
      <c r="B739" s="63">
        <v>45264</v>
      </c>
      <c r="C739" s="63">
        <v>45265</v>
      </c>
      <c r="D739" s="64" t="s">
        <v>1704</v>
      </c>
      <c r="E739" s="64" t="s">
        <v>1705</v>
      </c>
      <c r="F739" s="65">
        <v>4.2915159999999997</v>
      </c>
      <c r="G739" s="66">
        <v>0</v>
      </c>
      <c r="H739" s="65">
        <v>0</v>
      </c>
      <c r="I739" s="67">
        <v>0</v>
      </c>
      <c r="J739" s="67">
        <v>0</v>
      </c>
      <c r="K739" s="67">
        <v>0</v>
      </c>
      <c r="L739" s="68">
        <v>0</v>
      </c>
      <c r="M739" s="67">
        <v>0</v>
      </c>
      <c r="N739" s="68">
        <v>0</v>
      </c>
    </row>
    <row r="740" spans="2:14" x14ac:dyDescent="0.25">
      <c r="B740" s="63">
        <v>45264</v>
      </c>
      <c r="C740" s="63">
        <v>45265</v>
      </c>
      <c r="D740" s="64" t="s">
        <v>1706</v>
      </c>
      <c r="E740" s="64" t="s">
        <v>1707</v>
      </c>
      <c r="F740" s="65">
        <v>0</v>
      </c>
      <c r="G740" s="66">
        <v>0</v>
      </c>
      <c r="H740" s="65">
        <v>0</v>
      </c>
      <c r="I740" s="67">
        <v>0</v>
      </c>
      <c r="J740" s="67">
        <v>0</v>
      </c>
      <c r="K740" s="67">
        <v>0</v>
      </c>
      <c r="L740" s="68">
        <v>0</v>
      </c>
      <c r="M740" s="67">
        <v>0</v>
      </c>
      <c r="N740" s="68">
        <v>0</v>
      </c>
    </row>
    <row r="741" spans="2:14" x14ac:dyDescent="0.25">
      <c r="B741" s="63">
        <v>45264</v>
      </c>
      <c r="C741" s="63">
        <v>45265</v>
      </c>
      <c r="D741" s="64" t="s">
        <v>1708</v>
      </c>
      <c r="E741" s="64" t="s">
        <v>1709</v>
      </c>
      <c r="F741" s="65">
        <v>0</v>
      </c>
      <c r="G741" s="66">
        <v>0</v>
      </c>
      <c r="H741" s="65">
        <v>0</v>
      </c>
      <c r="I741" s="67">
        <v>0</v>
      </c>
      <c r="J741" s="67">
        <v>0</v>
      </c>
      <c r="K741" s="67">
        <v>0</v>
      </c>
      <c r="L741" s="68">
        <v>0</v>
      </c>
      <c r="M741" s="67">
        <v>0</v>
      </c>
      <c r="N741" s="68">
        <v>0</v>
      </c>
    </row>
    <row r="742" spans="2:14" x14ac:dyDescent="0.25">
      <c r="B742" s="63">
        <v>45264</v>
      </c>
      <c r="C742" s="63">
        <v>45265</v>
      </c>
      <c r="D742" s="64" t="s">
        <v>1710</v>
      </c>
      <c r="E742" s="64" t="s">
        <v>1711</v>
      </c>
      <c r="F742" s="65">
        <v>496.27651100000003</v>
      </c>
      <c r="G742" s="66">
        <v>496.27651200000003</v>
      </c>
      <c r="H742" s="65">
        <v>1090</v>
      </c>
      <c r="I742" s="67">
        <v>4.3500680000000003</v>
      </c>
      <c r="J742" s="67">
        <v>45.334605000000003</v>
      </c>
      <c r="K742" s="67">
        <v>45.356999999999999</v>
      </c>
      <c r="L742" s="68">
        <v>100</v>
      </c>
      <c r="M742" s="67">
        <v>45.311999999999998</v>
      </c>
      <c r="N742" s="68">
        <v>2.2605E-2</v>
      </c>
    </row>
    <row r="743" spans="2:14" x14ac:dyDescent="0.25">
      <c r="B743" s="63">
        <v>45271</v>
      </c>
      <c r="C743" s="63">
        <v>45272</v>
      </c>
      <c r="D743" s="63" t="s">
        <v>1646</v>
      </c>
      <c r="E743" s="63" t="s">
        <v>1647</v>
      </c>
      <c r="F743" s="66">
        <v>189.14448100000001</v>
      </c>
      <c r="G743" s="66">
        <v>0</v>
      </c>
      <c r="H743" s="65">
        <v>0</v>
      </c>
      <c r="I743" s="67">
        <v>0</v>
      </c>
      <c r="J743" s="67">
        <v>0</v>
      </c>
      <c r="K743" s="67">
        <v>0</v>
      </c>
      <c r="L743" s="68">
        <v>0</v>
      </c>
      <c r="M743" s="67">
        <v>0</v>
      </c>
      <c r="N743" s="68">
        <v>0</v>
      </c>
    </row>
    <row r="744" spans="2:14" x14ac:dyDescent="0.25">
      <c r="B744" s="63">
        <v>45271</v>
      </c>
      <c r="C744" s="63">
        <v>45272</v>
      </c>
      <c r="D744" s="63" t="s">
        <v>1648</v>
      </c>
      <c r="E744" s="63" t="s">
        <v>1649</v>
      </c>
      <c r="F744" s="66">
        <v>20.381612000000001</v>
      </c>
      <c r="G744" s="66">
        <v>0</v>
      </c>
      <c r="H744" s="65">
        <v>0</v>
      </c>
      <c r="I744" s="67">
        <v>0</v>
      </c>
      <c r="J744" s="67">
        <v>0</v>
      </c>
      <c r="K744" s="67">
        <v>0</v>
      </c>
      <c r="L744" s="68">
        <v>0</v>
      </c>
      <c r="M744" s="67">
        <v>0</v>
      </c>
      <c r="N744" s="68">
        <v>0</v>
      </c>
    </row>
    <row r="745" spans="2:14" x14ac:dyDescent="0.25">
      <c r="B745" s="63">
        <v>45271</v>
      </c>
      <c r="C745" s="63">
        <v>45272</v>
      </c>
      <c r="D745" s="63" t="s">
        <v>1650</v>
      </c>
      <c r="E745" s="63" t="s">
        <v>1651</v>
      </c>
      <c r="F745" s="66">
        <v>296.60861699999998</v>
      </c>
      <c r="G745" s="66">
        <v>0</v>
      </c>
      <c r="H745" s="65">
        <v>0</v>
      </c>
      <c r="I745" s="67">
        <v>0</v>
      </c>
      <c r="J745" s="67">
        <v>0</v>
      </c>
      <c r="K745" s="67">
        <v>0</v>
      </c>
      <c r="L745" s="68">
        <v>0</v>
      </c>
      <c r="M745" s="67">
        <v>0</v>
      </c>
      <c r="N745" s="68">
        <v>0</v>
      </c>
    </row>
    <row r="746" spans="2:14" x14ac:dyDescent="0.25">
      <c r="B746" s="63">
        <v>45271</v>
      </c>
      <c r="C746" s="63">
        <v>45272</v>
      </c>
      <c r="D746" s="63" t="s">
        <v>1652</v>
      </c>
      <c r="E746" s="63" t="s">
        <v>1653</v>
      </c>
      <c r="F746" s="66">
        <v>68.030356999999995</v>
      </c>
      <c r="G746" s="66">
        <v>0</v>
      </c>
      <c r="H746" s="65">
        <v>0</v>
      </c>
      <c r="I746" s="67">
        <v>0</v>
      </c>
      <c r="J746" s="67">
        <v>0</v>
      </c>
      <c r="K746" s="67">
        <v>0</v>
      </c>
      <c r="L746" s="68">
        <v>0</v>
      </c>
      <c r="M746" s="67">
        <v>0</v>
      </c>
      <c r="N746" s="68">
        <v>0</v>
      </c>
    </row>
    <row r="747" spans="2:14" x14ac:dyDescent="0.25">
      <c r="B747" s="63">
        <v>45271</v>
      </c>
      <c r="C747" s="63">
        <v>45272</v>
      </c>
      <c r="D747" s="63" t="s">
        <v>1654</v>
      </c>
      <c r="E747" s="63" t="s">
        <v>1655</v>
      </c>
      <c r="F747" s="66">
        <v>0</v>
      </c>
      <c r="G747" s="66">
        <v>0</v>
      </c>
      <c r="H747" s="65">
        <v>0</v>
      </c>
      <c r="I747" s="67">
        <v>0</v>
      </c>
      <c r="J747" s="67">
        <v>0</v>
      </c>
      <c r="K747" s="67">
        <v>0</v>
      </c>
      <c r="L747" s="68">
        <v>0</v>
      </c>
      <c r="M747" s="67">
        <v>0</v>
      </c>
      <c r="N747" s="68">
        <v>0</v>
      </c>
    </row>
    <row r="748" spans="2:14" x14ac:dyDescent="0.25">
      <c r="B748" s="63">
        <v>45271</v>
      </c>
      <c r="C748" s="63">
        <v>45272</v>
      </c>
      <c r="D748" s="63" t="s">
        <v>1656</v>
      </c>
      <c r="E748" s="63" t="s">
        <v>1657</v>
      </c>
      <c r="F748" s="66">
        <v>36.930768999999998</v>
      </c>
      <c r="G748" s="66">
        <v>36.930768999999998</v>
      </c>
      <c r="H748" s="65">
        <v>50</v>
      </c>
      <c r="I748" s="67">
        <v>4.3409800000000001</v>
      </c>
      <c r="J748" s="67">
        <v>73.400000000000006</v>
      </c>
      <c r="K748" s="67">
        <v>73.400000000000006</v>
      </c>
      <c r="L748" s="68">
        <v>100</v>
      </c>
      <c r="M748" s="67">
        <v>73.400000000000006</v>
      </c>
      <c r="N748" s="68">
        <v>0</v>
      </c>
    </row>
    <row r="749" spans="2:14" x14ac:dyDescent="0.25">
      <c r="B749" s="63">
        <v>45271</v>
      </c>
      <c r="C749" s="63">
        <v>45272</v>
      </c>
      <c r="D749" s="63" t="s">
        <v>1658</v>
      </c>
      <c r="E749" s="63" t="s">
        <v>1659</v>
      </c>
      <c r="F749" s="66">
        <v>51.932445000000001</v>
      </c>
      <c r="G749" s="66">
        <v>0</v>
      </c>
      <c r="H749" s="65">
        <v>0</v>
      </c>
      <c r="I749" s="67">
        <v>0</v>
      </c>
      <c r="J749" s="67">
        <v>0</v>
      </c>
      <c r="K749" s="67">
        <v>0</v>
      </c>
      <c r="L749" s="68">
        <v>0</v>
      </c>
      <c r="M749" s="67">
        <v>0</v>
      </c>
      <c r="N749" s="68">
        <v>0</v>
      </c>
    </row>
    <row r="750" spans="2:14" x14ac:dyDescent="0.25">
      <c r="B750" s="63">
        <v>45271</v>
      </c>
      <c r="C750" s="63">
        <v>45272</v>
      </c>
      <c r="D750" s="63" t="s">
        <v>1660</v>
      </c>
      <c r="E750" s="63" t="s">
        <v>1661</v>
      </c>
      <c r="F750" s="66">
        <v>0</v>
      </c>
      <c r="G750" s="66">
        <v>0</v>
      </c>
      <c r="H750" s="65">
        <v>0</v>
      </c>
      <c r="I750" s="67">
        <v>0</v>
      </c>
      <c r="J750" s="67">
        <v>0</v>
      </c>
      <c r="K750" s="67">
        <v>0</v>
      </c>
      <c r="L750" s="68">
        <v>0</v>
      </c>
      <c r="M750" s="67">
        <v>0</v>
      </c>
      <c r="N750" s="68">
        <v>0</v>
      </c>
    </row>
    <row r="751" spans="2:14" x14ac:dyDescent="0.25">
      <c r="B751" s="63">
        <v>45271</v>
      </c>
      <c r="C751" s="63">
        <v>45272</v>
      </c>
      <c r="D751" s="63" t="s">
        <v>1662</v>
      </c>
      <c r="E751" s="63" t="s">
        <v>1663</v>
      </c>
      <c r="F751" s="66">
        <v>0</v>
      </c>
      <c r="G751" s="66">
        <v>0</v>
      </c>
      <c r="H751" s="65">
        <v>0</v>
      </c>
      <c r="I751" s="67">
        <v>0</v>
      </c>
      <c r="J751" s="67">
        <v>0</v>
      </c>
      <c r="K751" s="67">
        <v>0</v>
      </c>
      <c r="L751" s="68">
        <v>0</v>
      </c>
      <c r="M751" s="67">
        <v>0</v>
      </c>
      <c r="N751" s="68">
        <v>0</v>
      </c>
    </row>
    <row r="752" spans="2:14" x14ac:dyDescent="0.25">
      <c r="B752" s="63">
        <v>45271</v>
      </c>
      <c r="C752" s="63">
        <v>45272</v>
      </c>
      <c r="D752" s="63" t="s">
        <v>1664</v>
      </c>
      <c r="E752" s="63" t="s">
        <v>1665</v>
      </c>
      <c r="F752" s="66">
        <v>79.042178000000007</v>
      </c>
      <c r="G752" s="66">
        <v>40.034754999999997</v>
      </c>
      <c r="H752" s="65">
        <v>41</v>
      </c>
      <c r="I752" s="67">
        <v>4.4538970000000004</v>
      </c>
      <c r="J752" s="67">
        <v>97.587682999999998</v>
      </c>
      <c r="K752" s="67">
        <v>97.596000000000004</v>
      </c>
      <c r="L752" s="68">
        <v>100</v>
      </c>
      <c r="M752" s="67">
        <v>97.584999999999994</v>
      </c>
      <c r="N752" s="68">
        <v>2.6830000000000001E-3</v>
      </c>
    </row>
    <row r="753" spans="2:14" x14ac:dyDescent="0.25">
      <c r="B753" s="63">
        <v>45271</v>
      </c>
      <c r="C753" s="63">
        <v>45272</v>
      </c>
      <c r="D753" s="63" t="s">
        <v>1666</v>
      </c>
      <c r="E753" s="63" t="s">
        <v>1667</v>
      </c>
      <c r="F753" s="66">
        <v>153.65769399999999</v>
      </c>
      <c r="G753" s="66">
        <v>91.448373000000004</v>
      </c>
      <c r="H753" s="65">
        <v>149.9</v>
      </c>
      <c r="I753" s="67">
        <v>4.4522320000000004</v>
      </c>
      <c r="J753" s="67">
        <v>60.832073000000001</v>
      </c>
      <c r="K753" s="67">
        <v>60.84</v>
      </c>
      <c r="L753" s="68">
        <v>81.279069000000007</v>
      </c>
      <c r="M753" s="67">
        <v>60.823</v>
      </c>
      <c r="N753" s="68">
        <v>9.0729999999999995E-3</v>
      </c>
    </row>
    <row r="754" spans="2:14" x14ac:dyDescent="0.25">
      <c r="B754" s="63">
        <v>45271</v>
      </c>
      <c r="C754" s="63">
        <v>45272</v>
      </c>
      <c r="D754" s="63" t="s">
        <v>1672</v>
      </c>
      <c r="E754" s="63" t="s">
        <v>1673</v>
      </c>
      <c r="F754" s="66">
        <v>501.58187099999998</v>
      </c>
      <c r="G754" s="66">
        <v>501.58187199999998</v>
      </c>
      <c r="H754" s="65">
        <v>501</v>
      </c>
      <c r="I754" s="67">
        <v>4.4956360000000002</v>
      </c>
      <c r="J754" s="67">
        <v>100.05466699999999</v>
      </c>
      <c r="K754" s="67">
        <v>100.06699999999999</v>
      </c>
      <c r="L754" s="68">
        <v>100</v>
      </c>
      <c r="M754" s="67">
        <v>100.042</v>
      </c>
      <c r="N754" s="68">
        <v>1.2666999999999999E-2</v>
      </c>
    </row>
    <row r="755" spans="2:14" x14ac:dyDescent="0.25">
      <c r="B755" s="63">
        <v>45299</v>
      </c>
      <c r="C755" s="63">
        <v>45300</v>
      </c>
      <c r="D755" s="63" t="s">
        <v>1630</v>
      </c>
      <c r="E755" s="63" t="s">
        <v>1631</v>
      </c>
      <c r="F755" s="66">
        <v>679.97209999999995</v>
      </c>
      <c r="G755" s="66">
        <v>317.10679099999999</v>
      </c>
      <c r="H755" s="66">
        <v>343.2</v>
      </c>
      <c r="I755" s="66">
        <v>3.7428270000000001</v>
      </c>
      <c r="J755" s="66">
        <v>91.816241000000005</v>
      </c>
      <c r="K755" s="67">
        <v>91.816999999999993</v>
      </c>
      <c r="L755" s="66">
        <v>61.126759999999997</v>
      </c>
      <c r="M755" s="67">
        <v>91.814999999999998</v>
      </c>
      <c r="N755" s="68">
        <v>1.2409999999999999E-3</v>
      </c>
    </row>
    <row r="756" spans="2:14" x14ac:dyDescent="0.25">
      <c r="B756" s="63">
        <v>45299</v>
      </c>
      <c r="C756" s="63">
        <v>45300</v>
      </c>
      <c r="D756" s="63" t="s">
        <v>1632</v>
      </c>
      <c r="E756" s="63" t="s">
        <v>1633</v>
      </c>
      <c r="F756" s="66">
        <v>15.325529</v>
      </c>
      <c r="G756" s="66">
        <v>0</v>
      </c>
      <c r="H756" s="66">
        <v>0</v>
      </c>
      <c r="I756" s="66">
        <v>0</v>
      </c>
      <c r="J756" s="66">
        <v>0</v>
      </c>
      <c r="K756" s="67">
        <v>0</v>
      </c>
      <c r="L756" s="66">
        <v>0</v>
      </c>
      <c r="M756" s="67">
        <v>0</v>
      </c>
      <c r="N756" s="68">
        <v>0</v>
      </c>
    </row>
    <row r="757" spans="2:14" x14ac:dyDescent="0.25">
      <c r="B757" s="63">
        <v>45299</v>
      </c>
      <c r="C757" s="63">
        <v>45300</v>
      </c>
      <c r="D757" s="63" t="s">
        <v>1634</v>
      </c>
      <c r="E757" s="63" t="s">
        <v>1635</v>
      </c>
      <c r="F757" s="66">
        <v>712.05572299999994</v>
      </c>
      <c r="G757" s="66">
        <v>0</v>
      </c>
      <c r="H757" s="66">
        <v>0</v>
      </c>
      <c r="I757" s="66">
        <v>0</v>
      </c>
      <c r="J757" s="66">
        <v>0</v>
      </c>
      <c r="K757" s="67">
        <v>0</v>
      </c>
      <c r="L757" s="66">
        <v>0</v>
      </c>
      <c r="M757" s="67">
        <v>0</v>
      </c>
      <c r="N757" s="68">
        <v>0</v>
      </c>
    </row>
    <row r="758" spans="2:14" x14ac:dyDescent="0.25">
      <c r="B758" s="63">
        <v>45299</v>
      </c>
      <c r="C758" s="63">
        <v>45300</v>
      </c>
      <c r="D758" s="63" t="s">
        <v>1636</v>
      </c>
      <c r="E758" s="63" t="s">
        <v>1637</v>
      </c>
      <c r="F758" s="66">
        <v>111.61271600000001</v>
      </c>
      <c r="G758" s="66">
        <v>0</v>
      </c>
      <c r="H758" s="66">
        <v>0</v>
      </c>
      <c r="I758" s="66">
        <v>0</v>
      </c>
      <c r="J758" s="66">
        <v>0</v>
      </c>
      <c r="K758" s="67">
        <v>0</v>
      </c>
      <c r="L758" s="66">
        <v>0</v>
      </c>
      <c r="M758" s="67">
        <v>0</v>
      </c>
      <c r="N758" s="68">
        <v>0</v>
      </c>
    </row>
    <row r="759" spans="2:14" x14ac:dyDescent="0.25">
      <c r="B759" s="63">
        <v>45299</v>
      </c>
      <c r="C759" s="63">
        <v>45300</v>
      </c>
      <c r="D759" s="63" t="s">
        <v>1638</v>
      </c>
      <c r="E759" s="63" t="s">
        <v>1639</v>
      </c>
      <c r="F759" s="66">
        <v>271.37915900000002</v>
      </c>
      <c r="G759" s="66">
        <v>0</v>
      </c>
      <c r="H759" s="66">
        <v>0</v>
      </c>
      <c r="I759" s="66">
        <v>0</v>
      </c>
      <c r="J759" s="66">
        <v>0</v>
      </c>
      <c r="K759" s="67">
        <v>0</v>
      </c>
      <c r="L759" s="66">
        <v>0</v>
      </c>
      <c r="M759" s="67">
        <v>0</v>
      </c>
      <c r="N759" s="68">
        <v>0</v>
      </c>
    </row>
    <row r="760" spans="2:14" x14ac:dyDescent="0.25">
      <c r="B760" s="63">
        <v>45299</v>
      </c>
      <c r="C760" s="63">
        <v>45300</v>
      </c>
      <c r="D760" s="63" t="s">
        <v>1668</v>
      </c>
      <c r="E760" s="63" t="s">
        <v>1669</v>
      </c>
      <c r="F760" s="66">
        <v>21.396526999999999</v>
      </c>
      <c r="G760" s="66">
        <v>0</v>
      </c>
      <c r="H760" s="66">
        <v>0</v>
      </c>
      <c r="I760" s="66">
        <v>0</v>
      </c>
      <c r="J760" s="66">
        <v>0</v>
      </c>
      <c r="K760" s="67">
        <v>0</v>
      </c>
      <c r="L760" s="66">
        <v>0</v>
      </c>
      <c r="M760" s="67">
        <v>0</v>
      </c>
      <c r="N760" s="68">
        <v>0</v>
      </c>
    </row>
    <row r="761" spans="2:14" x14ac:dyDescent="0.25">
      <c r="B761" s="63">
        <v>45299</v>
      </c>
      <c r="C761" s="63">
        <v>45300</v>
      </c>
      <c r="D761" s="63" t="s">
        <v>1640</v>
      </c>
      <c r="E761" s="63" t="s">
        <v>1641</v>
      </c>
      <c r="F761" s="66">
        <v>455.06499000000002</v>
      </c>
      <c r="G761" s="66">
        <v>429.33433100000002</v>
      </c>
      <c r="H761" s="66">
        <v>500</v>
      </c>
      <c r="I761" s="66">
        <v>3.643348</v>
      </c>
      <c r="J761" s="66">
        <v>85.677999999999997</v>
      </c>
      <c r="K761" s="67">
        <v>85.683000000000007</v>
      </c>
      <c r="L761" s="66">
        <v>100</v>
      </c>
      <c r="M761" s="67">
        <v>85.673000000000002</v>
      </c>
      <c r="N761" s="68">
        <v>5.0000000000000001E-3</v>
      </c>
    </row>
    <row r="762" spans="2:14" x14ac:dyDescent="0.25">
      <c r="B762" s="63">
        <v>45299</v>
      </c>
      <c r="C762" s="63">
        <v>45300</v>
      </c>
      <c r="D762" s="63" t="s">
        <v>1642</v>
      </c>
      <c r="E762" s="63" t="s">
        <v>1643</v>
      </c>
      <c r="F762" s="66">
        <v>9.6553129999999996</v>
      </c>
      <c r="G762" s="66">
        <v>0</v>
      </c>
      <c r="H762" s="66">
        <v>0</v>
      </c>
      <c r="I762" s="66">
        <v>0</v>
      </c>
      <c r="J762" s="66">
        <v>0</v>
      </c>
      <c r="K762" s="67">
        <v>0</v>
      </c>
      <c r="L762" s="66">
        <v>0</v>
      </c>
      <c r="M762" s="67">
        <v>0</v>
      </c>
      <c r="N762" s="68">
        <v>0</v>
      </c>
    </row>
    <row r="763" spans="2:14" x14ac:dyDescent="0.25">
      <c r="B763" s="63">
        <v>45299</v>
      </c>
      <c r="C763" s="63">
        <v>45300</v>
      </c>
      <c r="D763" s="63" t="s">
        <v>1644</v>
      </c>
      <c r="E763" s="63" t="s">
        <v>1645</v>
      </c>
      <c r="F763" s="66">
        <v>363.52614699999998</v>
      </c>
      <c r="G763" s="66">
        <v>53.487138999999999</v>
      </c>
      <c r="H763" s="66">
        <v>50</v>
      </c>
      <c r="I763" s="66">
        <v>3.6683789999999998</v>
      </c>
      <c r="J763" s="66">
        <v>106.54600000000001</v>
      </c>
      <c r="K763" s="67">
        <v>106.54600000000001</v>
      </c>
      <c r="L763" s="66">
        <v>100</v>
      </c>
      <c r="M763" s="67">
        <v>106.54600000000001</v>
      </c>
      <c r="N763" s="68">
        <v>0</v>
      </c>
    </row>
    <row r="764" spans="2:14" x14ac:dyDescent="0.25">
      <c r="B764" s="63">
        <v>45306</v>
      </c>
      <c r="C764" s="63">
        <v>45307</v>
      </c>
      <c r="D764" s="63" t="s">
        <v>1674</v>
      </c>
      <c r="E764" s="63" t="s">
        <v>1675</v>
      </c>
      <c r="F764" s="66">
        <v>42.126004999999999</v>
      </c>
      <c r="G764" s="66">
        <v>0</v>
      </c>
      <c r="H764" s="65">
        <v>0</v>
      </c>
      <c r="I764" s="67">
        <v>0</v>
      </c>
      <c r="J764" s="67">
        <v>0</v>
      </c>
      <c r="K764" s="67">
        <v>0</v>
      </c>
      <c r="L764" s="68">
        <v>0</v>
      </c>
      <c r="M764" s="67">
        <v>0</v>
      </c>
      <c r="N764" s="68">
        <v>0</v>
      </c>
    </row>
    <row r="765" spans="2:14" x14ac:dyDescent="0.25">
      <c r="B765" s="63">
        <v>45306</v>
      </c>
      <c r="C765" s="63">
        <v>45307</v>
      </c>
      <c r="D765" s="63" t="s">
        <v>1676</v>
      </c>
      <c r="E765" s="63" t="s">
        <v>1677</v>
      </c>
      <c r="F765" s="66">
        <v>8.7225929999999998</v>
      </c>
      <c r="G765" s="66">
        <v>8.7225929999999998</v>
      </c>
      <c r="H765" s="65">
        <v>10</v>
      </c>
      <c r="I765" s="67">
        <v>4.4367029999999996</v>
      </c>
      <c r="J765" s="67">
        <v>87.283000000000001</v>
      </c>
      <c r="K765" s="67">
        <v>87.283000000000001</v>
      </c>
      <c r="L765" s="68">
        <v>100</v>
      </c>
      <c r="M765" s="67">
        <v>87.283000000000001</v>
      </c>
      <c r="N765" s="68">
        <v>0</v>
      </c>
    </row>
    <row r="766" spans="2:14" x14ac:dyDescent="0.25">
      <c r="B766" s="63">
        <v>45306</v>
      </c>
      <c r="C766" s="63">
        <v>45307</v>
      </c>
      <c r="D766" s="63" t="s">
        <v>1678</v>
      </c>
      <c r="E766" s="63" t="s">
        <v>1679</v>
      </c>
      <c r="F766" s="66">
        <v>5.0744829999999999</v>
      </c>
      <c r="G766" s="66">
        <v>0</v>
      </c>
      <c r="H766" s="65">
        <v>0</v>
      </c>
      <c r="I766" s="67">
        <v>0</v>
      </c>
      <c r="J766" s="67">
        <v>0</v>
      </c>
      <c r="K766" s="67">
        <v>0</v>
      </c>
      <c r="L766" s="68">
        <v>0</v>
      </c>
      <c r="M766" s="67">
        <v>0</v>
      </c>
      <c r="N766" s="68">
        <v>0</v>
      </c>
    </row>
    <row r="767" spans="2:14" x14ac:dyDescent="0.25">
      <c r="B767" s="63">
        <v>45306</v>
      </c>
      <c r="C767" s="63">
        <v>45307</v>
      </c>
      <c r="D767" s="63" t="s">
        <v>1680</v>
      </c>
      <c r="E767" s="63" t="s">
        <v>1681</v>
      </c>
      <c r="F767" s="66">
        <v>19.509195999999999</v>
      </c>
      <c r="G767" s="66">
        <v>9.7624479999999991</v>
      </c>
      <c r="H767" s="65">
        <v>10</v>
      </c>
      <c r="I767" s="67">
        <v>4.4487649999999999</v>
      </c>
      <c r="J767" s="67">
        <v>97.16</v>
      </c>
      <c r="K767" s="67">
        <v>97.16</v>
      </c>
      <c r="L767" s="68">
        <v>100</v>
      </c>
      <c r="M767" s="67">
        <v>97.16</v>
      </c>
      <c r="N767" s="68">
        <v>0</v>
      </c>
    </row>
    <row r="768" spans="2:14" x14ac:dyDescent="0.25">
      <c r="B768" s="63">
        <v>45306</v>
      </c>
      <c r="C768" s="63">
        <v>45307</v>
      </c>
      <c r="D768" s="63" t="s">
        <v>1682</v>
      </c>
      <c r="E768" s="63" t="s">
        <v>1683</v>
      </c>
      <c r="F768" s="66">
        <v>31.498798000000001</v>
      </c>
      <c r="G768" s="66">
        <v>28.522811000000001</v>
      </c>
      <c r="H768" s="65">
        <v>49.8</v>
      </c>
      <c r="I768" s="67">
        <v>4.4458849999999996</v>
      </c>
      <c r="J768" s="67">
        <v>57.299193000000002</v>
      </c>
      <c r="K768" s="67">
        <v>57.335000000000001</v>
      </c>
      <c r="L768" s="68">
        <v>73.999999000000003</v>
      </c>
      <c r="M768" s="67">
        <v>57.255000000000003</v>
      </c>
      <c r="N768" s="68">
        <v>4.4193000000000003E-2</v>
      </c>
    </row>
    <row r="769" spans="2:14" x14ac:dyDescent="0.25">
      <c r="B769" s="63">
        <v>45306</v>
      </c>
      <c r="C769" s="63">
        <v>45307</v>
      </c>
      <c r="D769" s="63" t="s">
        <v>1684</v>
      </c>
      <c r="E769" s="63" t="s">
        <v>1685</v>
      </c>
      <c r="F769" s="66">
        <v>94.958946999999995</v>
      </c>
      <c r="G769" s="66">
        <v>0</v>
      </c>
      <c r="H769" s="65">
        <v>0</v>
      </c>
      <c r="I769" s="67">
        <v>0</v>
      </c>
      <c r="J769" s="67">
        <v>0</v>
      </c>
      <c r="K769" s="67">
        <v>0</v>
      </c>
      <c r="L769" s="68">
        <v>0</v>
      </c>
      <c r="M769" s="67">
        <v>0</v>
      </c>
      <c r="N769" s="68">
        <v>0</v>
      </c>
    </row>
    <row r="770" spans="2:14" x14ac:dyDescent="0.25">
      <c r="B770" s="63">
        <v>45306</v>
      </c>
      <c r="C770" s="63">
        <v>45307</v>
      </c>
      <c r="D770" s="63" t="s">
        <v>1686</v>
      </c>
      <c r="E770" s="63" t="s">
        <v>1687</v>
      </c>
      <c r="F770" s="66">
        <v>33.885067999999997</v>
      </c>
      <c r="G770" s="66">
        <v>0</v>
      </c>
      <c r="H770" s="65">
        <v>0</v>
      </c>
      <c r="I770" s="67">
        <v>0</v>
      </c>
      <c r="J770" s="67">
        <v>0</v>
      </c>
      <c r="K770" s="67">
        <v>0</v>
      </c>
      <c r="L770" s="68">
        <v>0</v>
      </c>
      <c r="M770" s="67">
        <v>0</v>
      </c>
      <c r="N770" s="68">
        <v>0</v>
      </c>
    </row>
    <row r="771" spans="2:14" x14ac:dyDescent="0.25">
      <c r="B771" s="63">
        <v>45306</v>
      </c>
      <c r="C771" s="63">
        <v>45307</v>
      </c>
      <c r="D771" s="63" t="s">
        <v>1688</v>
      </c>
      <c r="E771" s="63" t="s">
        <v>1689</v>
      </c>
      <c r="F771" s="66">
        <v>104.498637</v>
      </c>
      <c r="G771" s="66">
        <v>0</v>
      </c>
      <c r="H771" s="65">
        <v>0</v>
      </c>
      <c r="I771" s="67">
        <v>0</v>
      </c>
      <c r="J771" s="67">
        <v>0</v>
      </c>
      <c r="K771" s="67">
        <v>0</v>
      </c>
      <c r="L771" s="68">
        <v>0</v>
      </c>
      <c r="M771" s="67">
        <v>0</v>
      </c>
      <c r="N771" s="68">
        <v>0</v>
      </c>
    </row>
    <row r="772" spans="2:14" x14ac:dyDescent="0.25">
      <c r="B772" s="63">
        <v>45306</v>
      </c>
      <c r="C772" s="63">
        <v>45307</v>
      </c>
      <c r="D772" s="63" t="s">
        <v>1690</v>
      </c>
      <c r="E772" s="63" t="s">
        <v>1691</v>
      </c>
      <c r="F772" s="66">
        <v>25.162023999999999</v>
      </c>
      <c r="G772" s="66">
        <v>25.162023999999999</v>
      </c>
      <c r="H772" s="65">
        <v>50</v>
      </c>
      <c r="I772" s="67">
        <v>4.4243129999999997</v>
      </c>
      <c r="J772" s="67">
        <v>49.75</v>
      </c>
      <c r="K772" s="67">
        <v>49.75</v>
      </c>
      <c r="L772" s="68">
        <v>100</v>
      </c>
      <c r="M772" s="67">
        <v>49.75</v>
      </c>
      <c r="N772" s="68">
        <v>0</v>
      </c>
    </row>
    <row r="773" spans="2:14" x14ac:dyDescent="0.25">
      <c r="B773" s="63">
        <v>45306</v>
      </c>
      <c r="C773" s="63">
        <v>45307</v>
      </c>
      <c r="D773" s="63" t="s">
        <v>1692</v>
      </c>
      <c r="E773" s="63" t="s">
        <v>1693</v>
      </c>
      <c r="F773" s="66">
        <v>58.435645999999998</v>
      </c>
      <c r="G773" s="66">
        <v>0</v>
      </c>
      <c r="H773" s="65">
        <v>0</v>
      </c>
      <c r="I773" s="67">
        <v>0</v>
      </c>
      <c r="J773" s="67">
        <v>0</v>
      </c>
      <c r="K773" s="67">
        <v>0</v>
      </c>
      <c r="L773" s="68">
        <v>0</v>
      </c>
      <c r="M773" s="67">
        <v>0</v>
      </c>
      <c r="N773" s="68">
        <v>0</v>
      </c>
    </row>
    <row r="774" spans="2:14" x14ac:dyDescent="0.25">
      <c r="B774" s="63">
        <v>45306</v>
      </c>
      <c r="C774" s="63">
        <v>45307</v>
      </c>
      <c r="D774" s="63" t="s">
        <v>1694</v>
      </c>
      <c r="E774" s="63" t="s">
        <v>1695</v>
      </c>
      <c r="F774" s="66">
        <v>0</v>
      </c>
      <c r="G774" s="66">
        <v>0</v>
      </c>
      <c r="H774" s="65">
        <v>0</v>
      </c>
      <c r="I774" s="67">
        <v>0</v>
      </c>
      <c r="J774" s="67">
        <v>0</v>
      </c>
      <c r="K774" s="67">
        <v>0</v>
      </c>
      <c r="L774" s="68">
        <v>0</v>
      </c>
      <c r="M774" s="67">
        <v>0</v>
      </c>
      <c r="N774" s="68">
        <v>0</v>
      </c>
    </row>
    <row r="775" spans="2:14" x14ac:dyDescent="0.25">
      <c r="B775" s="63">
        <v>45306</v>
      </c>
      <c r="C775" s="63">
        <v>45307</v>
      </c>
      <c r="D775" s="63" t="s">
        <v>1696</v>
      </c>
      <c r="E775" s="63" t="s">
        <v>1697</v>
      </c>
      <c r="F775" s="66">
        <v>0</v>
      </c>
      <c r="G775" s="66">
        <v>0</v>
      </c>
      <c r="H775" s="65">
        <v>0</v>
      </c>
      <c r="I775" s="67">
        <v>0</v>
      </c>
      <c r="J775" s="67">
        <v>0</v>
      </c>
      <c r="K775" s="67">
        <v>0</v>
      </c>
      <c r="L775" s="68">
        <v>0</v>
      </c>
      <c r="M775" s="67">
        <v>0</v>
      </c>
      <c r="N775" s="68">
        <v>0</v>
      </c>
    </row>
    <row r="776" spans="2:14" x14ac:dyDescent="0.25">
      <c r="B776" s="63">
        <v>45306</v>
      </c>
      <c r="C776" s="63">
        <v>45307</v>
      </c>
      <c r="D776" s="63" t="s">
        <v>1698</v>
      </c>
      <c r="E776" s="63" t="s">
        <v>1699</v>
      </c>
      <c r="F776" s="66">
        <v>19.428896000000002</v>
      </c>
      <c r="G776" s="66">
        <v>19.428896000000002</v>
      </c>
      <c r="H776" s="65">
        <v>20</v>
      </c>
      <c r="I776" s="67">
        <v>4.4455249999999999</v>
      </c>
      <c r="J776" s="67">
        <v>96.68</v>
      </c>
      <c r="K776" s="67">
        <v>96.68</v>
      </c>
      <c r="L776" s="68">
        <v>100</v>
      </c>
      <c r="M776" s="67">
        <v>96.68</v>
      </c>
      <c r="N776" s="68">
        <v>0</v>
      </c>
    </row>
    <row r="777" spans="2:14" x14ac:dyDescent="0.25">
      <c r="B777" s="63">
        <v>45306</v>
      </c>
      <c r="C777" s="63">
        <v>45307</v>
      </c>
      <c r="D777" s="63" t="s">
        <v>1700</v>
      </c>
      <c r="E777" s="63" t="s">
        <v>1701</v>
      </c>
      <c r="F777" s="66">
        <v>530.57925999999998</v>
      </c>
      <c r="G777" s="66">
        <v>530.57925999999998</v>
      </c>
      <c r="H777" s="65">
        <v>980</v>
      </c>
      <c r="I777" s="67">
        <v>4.3662099999999997</v>
      </c>
      <c r="J777" s="67">
        <v>54.169280000000001</v>
      </c>
      <c r="K777" s="67">
        <v>54.194000000000003</v>
      </c>
      <c r="L777" s="68">
        <v>100</v>
      </c>
      <c r="M777" s="67">
        <v>54.06</v>
      </c>
      <c r="N777" s="68">
        <v>0.10928</v>
      </c>
    </row>
    <row r="778" spans="2:14" x14ac:dyDescent="0.25">
      <c r="B778" s="63">
        <v>45306</v>
      </c>
      <c r="C778" s="63">
        <v>45307</v>
      </c>
      <c r="D778" s="63" t="s">
        <v>1702</v>
      </c>
      <c r="E778" s="63" t="s">
        <v>1703</v>
      </c>
      <c r="F778" s="66">
        <v>106.4509</v>
      </c>
      <c r="G778" s="66">
        <v>27.811385000000001</v>
      </c>
      <c r="H778" s="65">
        <v>30</v>
      </c>
      <c r="I778" s="67">
        <v>4.4021129999999999</v>
      </c>
      <c r="J778" s="67">
        <v>92.769840000000002</v>
      </c>
      <c r="K778" s="67">
        <v>92.781000000000006</v>
      </c>
      <c r="L778" s="68">
        <v>100</v>
      </c>
      <c r="M778" s="67">
        <v>92.713999999999999</v>
      </c>
      <c r="N778" s="68">
        <v>5.5840000000000001E-2</v>
      </c>
    </row>
    <row r="779" spans="2:14" x14ac:dyDescent="0.25">
      <c r="B779" s="63">
        <v>45306</v>
      </c>
      <c r="C779" s="63">
        <v>45307</v>
      </c>
      <c r="D779" s="63" t="s">
        <v>1704</v>
      </c>
      <c r="E779" s="63" t="s">
        <v>1705</v>
      </c>
      <c r="F779" s="66">
        <v>0</v>
      </c>
      <c r="G779" s="66">
        <v>0</v>
      </c>
      <c r="H779" s="65">
        <v>0</v>
      </c>
      <c r="I779" s="67">
        <v>0</v>
      </c>
      <c r="J779" s="67">
        <v>0</v>
      </c>
      <c r="K779" s="67">
        <v>0</v>
      </c>
      <c r="L779" s="68">
        <v>0</v>
      </c>
      <c r="M779" s="67">
        <v>0</v>
      </c>
      <c r="N779" s="68">
        <v>0</v>
      </c>
    </row>
    <row r="780" spans="2:14" x14ac:dyDescent="0.25">
      <c r="B780" s="63">
        <v>45306</v>
      </c>
      <c r="C780" s="63">
        <v>45307</v>
      </c>
      <c r="D780" s="63" t="s">
        <v>1706</v>
      </c>
      <c r="E780" s="63" t="s">
        <v>1707</v>
      </c>
      <c r="F780" s="66">
        <v>48.459178999999999</v>
      </c>
      <c r="G780" s="66">
        <v>0</v>
      </c>
      <c r="H780" s="65">
        <v>0</v>
      </c>
      <c r="I780" s="67">
        <v>0</v>
      </c>
      <c r="J780" s="67">
        <v>0</v>
      </c>
      <c r="K780" s="67">
        <v>0</v>
      </c>
      <c r="L780" s="68">
        <v>0</v>
      </c>
      <c r="M780" s="67">
        <v>0</v>
      </c>
      <c r="N780" s="68">
        <v>0</v>
      </c>
    </row>
    <row r="781" spans="2:14" x14ac:dyDescent="0.25">
      <c r="B781" s="63">
        <v>45306</v>
      </c>
      <c r="C781" s="63">
        <v>45307</v>
      </c>
      <c r="D781" s="63" t="s">
        <v>1708</v>
      </c>
      <c r="E781" s="63" t="s">
        <v>1709</v>
      </c>
      <c r="F781" s="66">
        <v>0</v>
      </c>
      <c r="G781" s="66">
        <v>0</v>
      </c>
      <c r="H781" s="65">
        <v>0</v>
      </c>
      <c r="I781" s="67">
        <v>0</v>
      </c>
      <c r="J781" s="67">
        <v>0</v>
      </c>
      <c r="K781" s="67">
        <v>0</v>
      </c>
      <c r="L781" s="68">
        <v>0</v>
      </c>
      <c r="M781" s="67">
        <v>0</v>
      </c>
      <c r="N781" s="68">
        <v>0</v>
      </c>
    </row>
    <row r="782" spans="2:14" x14ac:dyDescent="0.25">
      <c r="B782" s="63">
        <v>45306</v>
      </c>
      <c r="C782" s="63">
        <v>45307</v>
      </c>
      <c r="D782" s="63" t="s">
        <v>1710</v>
      </c>
      <c r="E782" s="63" t="s">
        <v>1711</v>
      </c>
      <c r="F782" s="66">
        <v>33.058580999999997</v>
      </c>
      <c r="G782" s="66">
        <v>0</v>
      </c>
      <c r="H782" s="65">
        <v>0</v>
      </c>
      <c r="I782" s="67">
        <v>0</v>
      </c>
      <c r="J782" s="67">
        <v>0</v>
      </c>
      <c r="K782" s="67">
        <v>0</v>
      </c>
      <c r="L782" s="68">
        <v>0</v>
      </c>
      <c r="M782" s="67">
        <v>0</v>
      </c>
      <c r="N782" s="68">
        <v>0</v>
      </c>
    </row>
    <row r="783" spans="2:14" x14ac:dyDescent="0.25">
      <c r="B783" s="63">
        <v>45320</v>
      </c>
      <c r="C783" s="63">
        <v>45321</v>
      </c>
      <c r="D783" s="63" t="s">
        <v>1630</v>
      </c>
      <c r="E783" s="63" t="s">
        <v>1631</v>
      </c>
      <c r="F783" s="66">
        <v>655.97742800000003</v>
      </c>
      <c r="G783" s="66">
        <v>510.48280899999997</v>
      </c>
      <c r="H783" s="65">
        <v>556.4</v>
      </c>
      <c r="I783" s="67">
        <v>3.8146080000000002</v>
      </c>
      <c r="J783" s="67">
        <v>91.719976000000003</v>
      </c>
      <c r="K783" s="67">
        <v>91.72</v>
      </c>
      <c r="L783" s="68">
        <v>4.2666659999999998</v>
      </c>
      <c r="M783" s="67">
        <v>91.718000000000004</v>
      </c>
      <c r="N783" s="68">
        <v>1.9759999999999999E-3</v>
      </c>
    </row>
    <row r="784" spans="2:14" x14ac:dyDescent="0.25">
      <c r="B784" s="63">
        <v>45320</v>
      </c>
      <c r="C784" s="63">
        <v>45321</v>
      </c>
      <c r="D784" s="63" t="s">
        <v>1632</v>
      </c>
      <c r="E784" s="63" t="s">
        <v>1633</v>
      </c>
      <c r="F784" s="66">
        <v>0</v>
      </c>
      <c r="G784" s="66">
        <v>0</v>
      </c>
      <c r="H784" s="65">
        <v>0</v>
      </c>
      <c r="I784" s="67">
        <v>0</v>
      </c>
      <c r="J784" s="67">
        <v>0</v>
      </c>
      <c r="K784" s="67">
        <v>0</v>
      </c>
      <c r="L784" s="68">
        <v>0</v>
      </c>
      <c r="M784" s="67">
        <v>0</v>
      </c>
      <c r="N784" s="68">
        <v>0</v>
      </c>
    </row>
    <row r="785" spans="2:14" x14ac:dyDescent="0.25">
      <c r="B785" s="63">
        <v>45320</v>
      </c>
      <c r="C785" s="63">
        <v>45321</v>
      </c>
      <c r="D785" s="63" t="s">
        <v>1634</v>
      </c>
      <c r="E785" s="63" t="s">
        <v>1635</v>
      </c>
      <c r="F785" s="66">
        <v>0</v>
      </c>
      <c r="G785" s="66">
        <v>0</v>
      </c>
      <c r="H785" s="65">
        <v>0</v>
      </c>
      <c r="I785" s="67">
        <v>0</v>
      </c>
      <c r="J785" s="67">
        <v>0</v>
      </c>
      <c r="K785" s="67">
        <v>0</v>
      </c>
      <c r="L785" s="68">
        <v>0</v>
      </c>
      <c r="M785" s="67">
        <v>0</v>
      </c>
      <c r="N785" s="68">
        <v>0</v>
      </c>
    </row>
    <row r="786" spans="2:14" x14ac:dyDescent="0.25">
      <c r="B786" s="63">
        <v>45320</v>
      </c>
      <c r="C786" s="63">
        <v>45321</v>
      </c>
      <c r="D786" s="63" t="s">
        <v>1636</v>
      </c>
      <c r="E786" s="63" t="s">
        <v>1637</v>
      </c>
      <c r="F786" s="66">
        <v>417.62732999999997</v>
      </c>
      <c r="G786" s="66">
        <v>182.863978</v>
      </c>
      <c r="H786" s="65">
        <v>200</v>
      </c>
      <c r="I786" s="67">
        <v>3.72139</v>
      </c>
      <c r="J786" s="67">
        <v>90.988</v>
      </c>
      <c r="K786" s="67">
        <v>90.992999999999995</v>
      </c>
      <c r="L786" s="68">
        <v>100</v>
      </c>
      <c r="M786" s="67">
        <v>90.983000000000004</v>
      </c>
      <c r="N786" s="68">
        <v>5.0000000000000001E-3</v>
      </c>
    </row>
    <row r="787" spans="2:14" x14ac:dyDescent="0.25">
      <c r="B787" s="63">
        <v>45320</v>
      </c>
      <c r="C787" s="63">
        <v>45321</v>
      </c>
      <c r="D787" s="63" t="s">
        <v>1638</v>
      </c>
      <c r="E787" s="63" t="s">
        <v>1639</v>
      </c>
      <c r="F787" s="66">
        <v>199.12594200000001</v>
      </c>
      <c r="G787" s="66">
        <v>0</v>
      </c>
      <c r="H787" s="65">
        <v>0</v>
      </c>
      <c r="I787" s="67">
        <v>0</v>
      </c>
      <c r="J787" s="67">
        <v>0</v>
      </c>
      <c r="K787" s="67">
        <v>0</v>
      </c>
      <c r="L787" s="68">
        <v>0</v>
      </c>
      <c r="M787" s="67">
        <v>0</v>
      </c>
      <c r="N787" s="68">
        <v>0</v>
      </c>
    </row>
    <row r="788" spans="2:14" x14ac:dyDescent="0.25">
      <c r="B788" s="63">
        <v>45320</v>
      </c>
      <c r="C788" s="63">
        <v>45321</v>
      </c>
      <c r="D788" s="63" t="s">
        <v>1668</v>
      </c>
      <c r="E788" s="63" t="s">
        <v>1669</v>
      </c>
      <c r="F788" s="66">
        <v>361.60422499999999</v>
      </c>
      <c r="G788" s="66">
        <v>0</v>
      </c>
      <c r="H788" s="65">
        <v>0</v>
      </c>
      <c r="I788" s="67">
        <v>0</v>
      </c>
      <c r="J788" s="67">
        <v>0</v>
      </c>
      <c r="K788" s="67">
        <v>0</v>
      </c>
      <c r="L788" s="68">
        <v>0</v>
      </c>
      <c r="M788" s="67">
        <v>0</v>
      </c>
      <c r="N788" s="68">
        <v>0</v>
      </c>
    </row>
    <row r="789" spans="2:14" x14ac:dyDescent="0.25">
      <c r="B789" s="63">
        <v>45320</v>
      </c>
      <c r="C789" s="63">
        <v>45321</v>
      </c>
      <c r="D789" s="63" t="s">
        <v>1640</v>
      </c>
      <c r="E789" s="63" t="s">
        <v>1641</v>
      </c>
      <c r="F789" s="66">
        <v>0</v>
      </c>
      <c r="G789" s="66">
        <v>0</v>
      </c>
      <c r="H789" s="65">
        <v>0</v>
      </c>
      <c r="I789" s="67">
        <v>0</v>
      </c>
      <c r="J789" s="67">
        <v>0</v>
      </c>
      <c r="K789" s="67">
        <v>0</v>
      </c>
      <c r="L789" s="68">
        <v>0</v>
      </c>
      <c r="M789" s="67">
        <v>0</v>
      </c>
      <c r="N789" s="68">
        <v>0</v>
      </c>
    </row>
    <row r="790" spans="2:14" x14ac:dyDescent="0.25">
      <c r="B790" s="63">
        <v>45320</v>
      </c>
      <c r="C790" s="63">
        <v>45321</v>
      </c>
      <c r="D790" s="63" t="s">
        <v>1642</v>
      </c>
      <c r="E790" s="63" t="s">
        <v>1643</v>
      </c>
      <c r="F790" s="66">
        <v>40.033729000000001</v>
      </c>
      <c r="G790" s="66">
        <v>0</v>
      </c>
      <c r="H790" s="65">
        <v>0</v>
      </c>
      <c r="I790" s="67">
        <v>0</v>
      </c>
      <c r="J790" s="67">
        <v>0</v>
      </c>
      <c r="K790" s="67">
        <v>0</v>
      </c>
      <c r="L790" s="68">
        <v>0</v>
      </c>
      <c r="M790" s="67">
        <v>0</v>
      </c>
      <c r="N790" s="68">
        <v>0</v>
      </c>
    </row>
    <row r="791" spans="2:14" x14ac:dyDescent="0.25">
      <c r="B791" s="63">
        <v>45320</v>
      </c>
      <c r="C791" s="63">
        <v>45321</v>
      </c>
      <c r="D791" s="63" t="s">
        <v>1644</v>
      </c>
      <c r="E791" s="63" t="s">
        <v>1645</v>
      </c>
      <c r="F791" s="66">
        <v>303.53808600000002</v>
      </c>
      <c r="G791" s="66">
        <v>106.57832000000001</v>
      </c>
      <c r="H791" s="65">
        <v>100</v>
      </c>
      <c r="I791" s="67">
        <v>3.7680069999999999</v>
      </c>
      <c r="J791" s="67">
        <v>105.8775</v>
      </c>
      <c r="K791" s="67">
        <v>105.88500000000001</v>
      </c>
      <c r="L791" s="68">
        <v>100</v>
      </c>
      <c r="M791" s="67">
        <v>105.87</v>
      </c>
      <c r="N791" s="68">
        <v>7.4999999999999997E-3</v>
      </c>
    </row>
    <row r="792" spans="2:14" x14ac:dyDescent="0.25">
      <c r="B792" s="63">
        <v>45327</v>
      </c>
      <c r="C792" s="63">
        <v>45328</v>
      </c>
      <c r="D792" s="63" t="s">
        <v>1646</v>
      </c>
      <c r="E792" s="63" t="s">
        <v>1647</v>
      </c>
      <c r="F792" s="66">
        <v>0</v>
      </c>
      <c r="G792" s="66">
        <v>0</v>
      </c>
      <c r="H792" s="65">
        <v>0</v>
      </c>
      <c r="I792" s="67">
        <v>0</v>
      </c>
      <c r="J792" s="67">
        <v>0</v>
      </c>
      <c r="K792" s="67">
        <v>0</v>
      </c>
      <c r="L792" s="67">
        <v>0</v>
      </c>
      <c r="M792" s="67">
        <v>0</v>
      </c>
      <c r="N792" s="68">
        <v>0</v>
      </c>
    </row>
    <row r="793" spans="2:14" x14ac:dyDescent="0.25">
      <c r="B793" s="63">
        <v>45327</v>
      </c>
      <c r="C793" s="63">
        <v>45328</v>
      </c>
      <c r="D793" s="63" t="s">
        <v>1648</v>
      </c>
      <c r="E793" s="63" t="s">
        <v>1649</v>
      </c>
      <c r="F793" s="66">
        <v>257.80083300000001</v>
      </c>
      <c r="G793" s="66">
        <v>199.022243</v>
      </c>
      <c r="H793" s="65">
        <v>193</v>
      </c>
      <c r="I793" s="67">
        <v>3.9074420000000001</v>
      </c>
      <c r="J793" s="67">
        <v>102.41200000000001</v>
      </c>
      <c r="K793" s="67">
        <v>102.41200000000001</v>
      </c>
      <c r="L793" s="67">
        <v>77.199999000000005</v>
      </c>
      <c r="M793" s="67">
        <v>102.41200000000001</v>
      </c>
      <c r="N793" s="68">
        <v>0</v>
      </c>
    </row>
    <row r="794" spans="2:14" x14ac:dyDescent="0.25">
      <c r="B794" s="63">
        <v>45327</v>
      </c>
      <c r="C794" s="63">
        <v>45328</v>
      </c>
      <c r="D794" s="63" t="s">
        <v>1670</v>
      </c>
      <c r="E794" s="63" t="s">
        <v>1671</v>
      </c>
      <c r="F794" s="66">
        <v>0</v>
      </c>
      <c r="G794" s="66">
        <v>0</v>
      </c>
      <c r="H794" s="65">
        <v>0</v>
      </c>
      <c r="I794" s="67">
        <v>0</v>
      </c>
      <c r="J794" s="67">
        <v>0</v>
      </c>
      <c r="K794" s="67">
        <v>0</v>
      </c>
      <c r="L794" s="67">
        <v>0</v>
      </c>
      <c r="M794" s="67">
        <v>0</v>
      </c>
      <c r="N794" s="68">
        <v>0</v>
      </c>
    </row>
    <row r="795" spans="2:14" x14ac:dyDescent="0.25">
      <c r="B795" s="63">
        <v>45327</v>
      </c>
      <c r="C795" s="63">
        <v>45328</v>
      </c>
      <c r="D795" s="63" t="s">
        <v>1650</v>
      </c>
      <c r="E795" s="63" t="s">
        <v>1651</v>
      </c>
      <c r="F795" s="66">
        <v>419.83626199999998</v>
      </c>
      <c r="G795" s="66">
        <v>419.83626199999998</v>
      </c>
      <c r="H795" s="65">
        <v>399</v>
      </c>
      <c r="I795" s="67">
        <v>4.1069399999999998</v>
      </c>
      <c r="J795" s="67">
        <v>103.343002</v>
      </c>
      <c r="K795" s="67">
        <v>103.363</v>
      </c>
      <c r="L795" s="67">
        <v>100</v>
      </c>
      <c r="M795" s="67">
        <v>103.32299999999999</v>
      </c>
      <c r="N795" s="68">
        <v>2.0001999999999999E-2</v>
      </c>
    </row>
    <row r="796" spans="2:14" x14ac:dyDescent="0.25">
      <c r="B796" s="63">
        <v>45327</v>
      </c>
      <c r="C796" s="63">
        <v>45328</v>
      </c>
      <c r="D796" s="63" t="s">
        <v>1652</v>
      </c>
      <c r="E796" s="63" t="s">
        <v>1653</v>
      </c>
      <c r="F796" s="66">
        <v>152.69692900000001</v>
      </c>
      <c r="G796" s="66">
        <v>0</v>
      </c>
      <c r="H796" s="65">
        <v>0</v>
      </c>
      <c r="I796" s="67">
        <v>0</v>
      </c>
      <c r="J796" s="67">
        <v>0</v>
      </c>
      <c r="K796" s="67">
        <v>0</v>
      </c>
      <c r="L796" s="67">
        <v>0</v>
      </c>
      <c r="M796" s="67">
        <v>0</v>
      </c>
      <c r="N796" s="68">
        <v>0</v>
      </c>
    </row>
    <row r="797" spans="2:14" x14ac:dyDescent="0.25">
      <c r="B797" s="63">
        <v>45327</v>
      </c>
      <c r="C797" s="63">
        <v>45328</v>
      </c>
      <c r="D797" s="63" t="s">
        <v>1654</v>
      </c>
      <c r="E797" s="63" t="s">
        <v>1655</v>
      </c>
      <c r="F797" s="66">
        <v>535.24780699999997</v>
      </c>
      <c r="G797" s="66">
        <v>0</v>
      </c>
      <c r="H797" s="65">
        <v>0</v>
      </c>
      <c r="I797" s="67">
        <v>0</v>
      </c>
      <c r="J797" s="67">
        <v>0</v>
      </c>
      <c r="K797" s="67">
        <v>0</v>
      </c>
      <c r="L797" s="67">
        <v>0</v>
      </c>
      <c r="M797" s="67">
        <v>0</v>
      </c>
      <c r="N797" s="68">
        <v>0</v>
      </c>
    </row>
    <row r="798" spans="2:14" x14ac:dyDescent="0.25">
      <c r="B798" s="63">
        <v>45327</v>
      </c>
      <c r="C798" s="63">
        <v>45328</v>
      </c>
      <c r="D798" s="63" t="s">
        <v>1656</v>
      </c>
      <c r="E798" s="63" t="s">
        <v>1657</v>
      </c>
      <c r="F798" s="66">
        <v>37.300884000000003</v>
      </c>
      <c r="G798" s="66">
        <v>0</v>
      </c>
      <c r="H798" s="65">
        <v>0</v>
      </c>
      <c r="I798" s="67">
        <v>0</v>
      </c>
      <c r="J798" s="67">
        <v>0</v>
      </c>
      <c r="K798" s="67">
        <v>0</v>
      </c>
      <c r="L798" s="67">
        <v>0</v>
      </c>
      <c r="M798" s="67">
        <v>0</v>
      </c>
      <c r="N798" s="68">
        <v>0</v>
      </c>
    </row>
    <row r="799" spans="2:14" x14ac:dyDescent="0.25">
      <c r="B799" s="63">
        <v>45327</v>
      </c>
      <c r="C799" s="63">
        <v>45328</v>
      </c>
      <c r="D799" s="63" t="s">
        <v>1658</v>
      </c>
      <c r="E799" s="63" t="s">
        <v>1659</v>
      </c>
      <c r="F799" s="66">
        <v>131.04583299999999</v>
      </c>
      <c r="G799" s="66">
        <v>131.04583299999999</v>
      </c>
      <c r="H799" s="65">
        <v>125</v>
      </c>
      <c r="I799" s="67">
        <v>4.3758939999999997</v>
      </c>
      <c r="J799" s="67">
        <v>104.045</v>
      </c>
      <c r="K799" s="67">
        <v>104.045</v>
      </c>
      <c r="L799" s="67">
        <v>100</v>
      </c>
      <c r="M799" s="67">
        <v>104.045</v>
      </c>
      <c r="N799" s="68">
        <v>0</v>
      </c>
    </row>
    <row r="800" spans="2:14" x14ac:dyDescent="0.25">
      <c r="B800" s="63">
        <v>45327</v>
      </c>
      <c r="C800" s="63">
        <v>45328</v>
      </c>
      <c r="D800" s="63" t="s">
        <v>1660</v>
      </c>
      <c r="E800" s="63" t="s">
        <v>1661</v>
      </c>
      <c r="F800" s="66">
        <v>0</v>
      </c>
      <c r="G800" s="66">
        <v>0</v>
      </c>
      <c r="H800" s="65">
        <v>0</v>
      </c>
      <c r="I800" s="67">
        <v>0</v>
      </c>
      <c r="J800" s="67">
        <v>0</v>
      </c>
      <c r="K800" s="67">
        <v>0</v>
      </c>
      <c r="L800" s="67">
        <v>0</v>
      </c>
      <c r="M800" s="67">
        <v>0</v>
      </c>
      <c r="N800" s="68">
        <v>0</v>
      </c>
    </row>
    <row r="801" spans="2:14" x14ac:dyDescent="0.25">
      <c r="B801" s="63">
        <v>45327</v>
      </c>
      <c r="C801" s="63">
        <v>45328</v>
      </c>
      <c r="D801" s="63" t="s">
        <v>1662</v>
      </c>
      <c r="E801" s="63" t="s">
        <v>1663</v>
      </c>
      <c r="F801" s="66">
        <v>34.921152999999997</v>
      </c>
      <c r="G801" s="66">
        <v>0</v>
      </c>
      <c r="H801" s="65">
        <v>0</v>
      </c>
      <c r="I801" s="67">
        <v>0</v>
      </c>
      <c r="J801" s="67">
        <v>0</v>
      </c>
      <c r="K801" s="67">
        <v>0</v>
      </c>
      <c r="L801" s="67">
        <v>0</v>
      </c>
      <c r="M801" s="67">
        <v>0</v>
      </c>
      <c r="N801" s="68">
        <v>0</v>
      </c>
    </row>
    <row r="802" spans="2:14" x14ac:dyDescent="0.25">
      <c r="B802" s="63">
        <v>45327</v>
      </c>
      <c r="C802" s="63">
        <v>45328</v>
      </c>
      <c r="D802" s="63" t="s">
        <v>1664</v>
      </c>
      <c r="E802" s="63" t="s">
        <v>1665</v>
      </c>
      <c r="F802" s="66">
        <v>50.687353000000002</v>
      </c>
      <c r="G802" s="66">
        <v>0</v>
      </c>
      <c r="H802" s="65">
        <v>0</v>
      </c>
      <c r="I802" s="67">
        <v>0</v>
      </c>
      <c r="J802" s="67">
        <v>0</v>
      </c>
      <c r="K802" s="67">
        <v>0</v>
      </c>
      <c r="L802" s="67">
        <v>0</v>
      </c>
      <c r="M802" s="67">
        <v>0</v>
      </c>
      <c r="N802" s="68">
        <v>0</v>
      </c>
    </row>
    <row r="803" spans="2:14" x14ac:dyDescent="0.25">
      <c r="B803" s="63">
        <v>45327</v>
      </c>
      <c r="C803" s="63">
        <v>45328</v>
      </c>
      <c r="D803" s="63" t="s">
        <v>1666</v>
      </c>
      <c r="E803" s="63" t="s">
        <v>1667</v>
      </c>
      <c r="F803" s="66">
        <v>24.432174</v>
      </c>
      <c r="G803" s="66">
        <v>0</v>
      </c>
      <c r="H803" s="65">
        <v>0</v>
      </c>
      <c r="I803" s="67">
        <v>0</v>
      </c>
      <c r="J803" s="67">
        <v>0</v>
      </c>
      <c r="K803" s="67">
        <v>0</v>
      </c>
      <c r="L803" s="67">
        <v>0</v>
      </c>
      <c r="M803" s="67">
        <v>0</v>
      </c>
      <c r="N803" s="68">
        <v>0</v>
      </c>
    </row>
    <row r="804" spans="2:14" x14ac:dyDescent="0.25">
      <c r="B804" s="63">
        <v>45327</v>
      </c>
      <c r="C804" s="63">
        <v>45328</v>
      </c>
      <c r="D804" s="63" t="s">
        <v>1672</v>
      </c>
      <c r="E804" s="63" t="s">
        <v>1673</v>
      </c>
      <c r="F804" s="66">
        <v>50.202800000000003</v>
      </c>
      <c r="G804" s="66">
        <v>0</v>
      </c>
      <c r="H804" s="65">
        <v>0</v>
      </c>
      <c r="I804" s="67">
        <v>0</v>
      </c>
      <c r="J804" s="67">
        <v>0</v>
      </c>
      <c r="K804" s="67">
        <v>0</v>
      </c>
      <c r="L804" s="67">
        <v>0</v>
      </c>
      <c r="M804" s="67">
        <v>0</v>
      </c>
      <c r="N804" s="68">
        <v>0</v>
      </c>
    </row>
    <row r="805" spans="2:14" x14ac:dyDescent="0.25">
      <c r="B805" s="63">
        <v>45327</v>
      </c>
      <c r="C805" s="63">
        <v>45328</v>
      </c>
      <c r="D805" s="63" t="s">
        <v>1674</v>
      </c>
      <c r="E805" s="63" t="s">
        <v>1675</v>
      </c>
      <c r="F805" s="66">
        <v>20.633482000000001</v>
      </c>
      <c r="G805" s="66">
        <v>0</v>
      </c>
      <c r="H805" s="65">
        <v>0</v>
      </c>
      <c r="I805" s="67">
        <v>0</v>
      </c>
      <c r="J805" s="67">
        <v>0</v>
      </c>
      <c r="K805" s="67">
        <v>0</v>
      </c>
      <c r="L805" s="67">
        <v>0</v>
      </c>
      <c r="M805" s="67">
        <v>0</v>
      </c>
      <c r="N805" s="68">
        <v>0</v>
      </c>
    </row>
    <row r="806" spans="2:14" x14ac:dyDescent="0.25">
      <c r="B806" s="63">
        <v>45334</v>
      </c>
      <c r="C806" s="63">
        <v>45335</v>
      </c>
      <c r="D806" s="63" t="s">
        <v>1630</v>
      </c>
      <c r="E806" s="63" t="s">
        <v>1631</v>
      </c>
      <c r="F806" s="66">
        <v>938.74615900000003</v>
      </c>
      <c r="G806" s="66">
        <v>501.48752200000001</v>
      </c>
      <c r="H806" s="65">
        <v>550</v>
      </c>
      <c r="I806" s="67">
        <v>4.0463579999999997</v>
      </c>
      <c r="J806" s="67">
        <v>91.103999999999999</v>
      </c>
      <c r="K806" s="67">
        <v>91.103999999999999</v>
      </c>
      <c r="L806" s="67">
        <v>100</v>
      </c>
      <c r="M806" s="67">
        <v>91.103999999999999</v>
      </c>
      <c r="N806" s="68">
        <v>0</v>
      </c>
    </row>
    <row r="807" spans="2:14" x14ac:dyDescent="0.25">
      <c r="B807" s="63">
        <v>45334</v>
      </c>
      <c r="C807" s="63">
        <v>45335</v>
      </c>
      <c r="D807" s="63" t="s">
        <v>1632</v>
      </c>
      <c r="E807" s="63" t="s">
        <v>1633</v>
      </c>
      <c r="F807" s="66">
        <v>121.67889</v>
      </c>
      <c r="G807" s="66">
        <v>45.649177999999999</v>
      </c>
      <c r="H807" s="65">
        <v>45</v>
      </c>
      <c r="I807" s="67">
        <v>4.0620390000000004</v>
      </c>
      <c r="J807" s="67">
        <v>100.65300000000001</v>
      </c>
      <c r="K807" s="67">
        <v>100.663</v>
      </c>
      <c r="L807" s="67">
        <v>100</v>
      </c>
      <c r="M807" s="67">
        <v>100.643</v>
      </c>
      <c r="N807" s="68">
        <v>0.01</v>
      </c>
    </row>
    <row r="808" spans="2:14" x14ac:dyDescent="0.25">
      <c r="B808" s="63">
        <v>45334</v>
      </c>
      <c r="C808" s="63">
        <v>45335</v>
      </c>
      <c r="D808" s="63" t="s">
        <v>1634</v>
      </c>
      <c r="E808" s="63" t="s">
        <v>1635</v>
      </c>
      <c r="F808" s="66">
        <v>811.34503700000005</v>
      </c>
      <c r="G808" s="66">
        <v>124.57432300000001</v>
      </c>
      <c r="H808" s="65">
        <v>145</v>
      </c>
      <c r="I808" s="67">
        <v>4.0045060000000001</v>
      </c>
      <c r="J808" s="67">
        <v>85.908861999999999</v>
      </c>
      <c r="K808" s="67">
        <v>85.911000000000001</v>
      </c>
      <c r="L808" s="67">
        <v>100</v>
      </c>
      <c r="M808" s="67">
        <v>85.905000000000001</v>
      </c>
      <c r="N808" s="68">
        <v>3.862E-3</v>
      </c>
    </row>
    <row r="809" spans="2:14" x14ac:dyDescent="0.25">
      <c r="B809" s="63">
        <v>45334</v>
      </c>
      <c r="C809" s="63">
        <v>45335</v>
      </c>
      <c r="D809" s="63" t="s">
        <v>1636</v>
      </c>
      <c r="E809" s="63" t="s">
        <v>1637</v>
      </c>
      <c r="F809" s="66">
        <v>177.752329</v>
      </c>
      <c r="G809" s="66">
        <v>41.355851000000001</v>
      </c>
      <c r="H809" s="65">
        <v>45.6</v>
      </c>
      <c r="I809" s="67">
        <v>3.9372579999999999</v>
      </c>
      <c r="J809" s="67">
        <v>90.186508000000003</v>
      </c>
      <c r="K809" s="67">
        <v>90.186999999999998</v>
      </c>
      <c r="L809" s="67">
        <v>3.5897429999999999</v>
      </c>
      <c r="M809" s="67">
        <v>90.183000000000007</v>
      </c>
      <c r="N809" s="68">
        <v>3.5079999999999998E-3</v>
      </c>
    </row>
    <row r="810" spans="2:14" x14ac:dyDescent="0.25">
      <c r="B810" s="63">
        <v>45334</v>
      </c>
      <c r="C810" s="63">
        <v>45335</v>
      </c>
      <c r="D810" s="63" t="s">
        <v>1638</v>
      </c>
      <c r="E810" s="63" t="s">
        <v>1639</v>
      </c>
      <c r="F810" s="66">
        <v>102.250771</v>
      </c>
      <c r="G810" s="66">
        <v>60.474265000000003</v>
      </c>
      <c r="H810" s="65">
        <v>55</v>
      </c>
      <c r="I810" s="67">
        <v>3.9636969999999998</v>
      </c>
      <c r="J810" s="67">
        <v>108.838455</v>
      </c>
      <c r="K810" s="67">
        <v>108.85599999999999</v>
      </c>
      <c r="L810" s="67">
        <v>100</v>
      </c>
      <c r="M810" s="67">
        <v>108.833</v>
      </c>
      <c r="N810" s="68">
        <v>5.4549999999999998E-3</v>
      </c>
    </row>
    <row r="811" spans="2:14" x14ac:dyDescent="0.25">
      <c r="B811" s="63">
        <v>45334</v>
      </c>
      <c r="C811" s="63">
        <v>45335</v>
      </c>
      <c r="D811" s="63" t="s">
        <v>1668</v>
      </c>
      <c r="E811" s="63" t="s">
        <v>1669</v>
      </c>
      <c r="F811" s="66">
        <v>42.218927999999998</v>
      </c>
      <c r="G811" s="66">
        <v>0</v>
      </c>
      <c r="H811" s="65">
        <v>0</v>
      </c>
      <c r="I811" s="67">
        <v>0</v>
      </c>
      <c r="J811" s="67">
        <v>0</v>
      </c>
      <c r="K811" s="67">
        <v>0</v>
      </c>
      <c r="L811" s="67">
        <v>0</v>
      </c>
      <c r="M811" s="67">
        <v>0</v>
      </c>
      <c r="N811" s="68">
        <v>0</v>
      </c>
    </row>
    <row r="812" spans="2:14" x14ac:dyDescent="0.25">
      <c r="B812" s="63">
        <v>45334</v>
      </c>
      <c r="C812" s="63">
        <v>45335</v>
      </c>
      <c r="D812" s="63" t="s">
        <v>1640</v>
      </c>
      <c r="E812" s="63" t="s">
        <v>1641</v>
      </c>
      <c r="F812" s="66">
        <v>0</v>
      </c>
      <c r="G812" s="66">
        <v>0</v>
      </c>
      <c r="H812" s="65">
        <v>0</v>
      </c>
      <c r="I812" s="67">
        <v>0</v>
      </c>
      <c r="J812" s="67">
        <v>0</v>
      </c>
      <c r="K812" s="67">
        <v>0</v>
      </c>
      <c r="L812" s="67">
        <v>0</v>
      </c>
      <c r="M812" s="67">
        <v>0</v>
      </c>
      <c r="N812" s="68">
        <v>0</v>
      </c>
    </row>
    <row r="813" spans="2:14" x14ac:dyDescent="0.25">
      <c r="B813" s="63">
        <v>45334</v>
      </c>
      <c r="C813" s="63">
        <v>45335</v>
      </c>
      <c r="D813" s="63" t="s">
        <v>1642</v>
      </c>
      <c r="E813" s="63" t="s">
        <v>1643</v>
      </c>
      <c r="F813" s="66">
        <v>0</v>
      </c>
      <c r="G813" s="66">
        <v>0</v>
      </c>
      <c r="H813" s="65">
        <v>0</v>
      </c>
      <c r="I813" s="67">
        <v>0</v>
      </c>
      <c r="J813" s="67">
        <v>0</v>
      </c>
      <c r="K813" s="67">
        <v>0</v>
      </c>
      <c r="L813" s="67">
        <v>0</v>
      </c>
      <c r="M813" s="67">
        <v>0</v>
      </c>
      <c r="N813" s="68">
        <v>0</v>
      </c>
    </row>
    <row r="814" spans="2:14" x14ac:dyDescent="0.25">
      <c r="B814" s="63">
        <v>45334</v>
      </c>
      <c r="C814" s="63">
        <v>45335</v>
      </c>
      <c r="D814" s="63" t="s">
        <v>1644</v>
      </c>
      <c r="E814" s="63" t="s">
        <v>1645</v>
      </c>
      <c r="F814" s="66">
        <v>110.90988900000001</v>
      </c>
      <c r="G814" s="66">
        <v>26.410878</v>
      </c>
      <c r="H814" s="65">
        <v>25</v>
      </c>
      <c r="I814" s="67">
        <v>3.945446</v>
      </c>
      <c r="J814" s="67">
        <v>104.761</v>
      </c>
      <c r="K814" s="67">
        <v>104.761</v>
      </c>
      <c r="L814" s="67">
        <v>100</v>
      </c>
      <c r="M814" s="67">
        <v>104.761</v>
      </c>
      <c r="N814" s="68">
        <v>0</v>
      </c>
    </row>
    <row r="815" spans="2:14" x14ac:dyDescent="0.25">
      <c r="B815" s="63">
        <v>45341</v>
      </c>
      <c r="C815" s="63">
        <v>45342</v>
      </c>
      <c r="D815" s="63" t="s">
        <v>1646</v>
      </c>
      <c r="E815" s="63" t="s">
        <v>1647</v>
      </c>
      <c r="F815" s="66">
        <v>192.63490999999999</v>
      </c>
      <c r="G815" s="66">
        <v>75.143619000000001</v>
      </c>
      <c r="H815" s="65">
        <v>99</v>
      </c>
      <c r="I815" s="67">
        <v>4.03104</v>
      </c>
      <c r="J815" s="67">
        <v>75.888909999999996</v>
      </c>
      <c r="K815" s="67">
        <v>75.897999999999996</v>
      </c>
      <c r="L815" s="67">
        <v>100</v>
      </c>
      <c r="M815" s="67">
        <v>75.88</v>
      </c>
      <c r="N815" s="68">
        <v>8.9099999999999995E-3</v>
      </c>
    </row>
    <row r="816" spans="2:14" x14ac:dyDescent="0.25">
      <c r="B816" s="63">
        <v>45341</v>
      </c>
      <c r="C816" s="63">
        <v>45342</v>
      </c>
      <c r="D816" s="63" t="s">
        <v>1648</v>
      </c>
      <c r="E816" s="63" t="s">
        <v>1649</v>
      </c>
      <c r="F816" s="66">
        <v>153.37785199999999</v>
      </c>
      <c r="G816" s="66">
        <v>0</v>
      </c>
      <c r="H816" s="65">
        <v>0</v>
      </c>
      <c r="I816" s="67">
        <v>0</v>
      </c>
      <c r="J816" s="67">
        <v>0</v>
      </c>
      <c r="K816" s="67">
        <v>0</v>
      </c>
      <c r="L816" s="67">
        <v>0</v>
      </c>
      <c r="M816" s="67">
        <v>0</v>
      </c>
      <c r="N816" s="68">
        <v>0</v>
      </c>
    </row>
    <row r="817" spans="2:14" x14ac:dyDescent="0.25">
      <c r="B817" s="63">
        <v>45341</v>
      </c>
      <c r="C817" s="63">
        <v>45342</v>
      </c>
      <c r="D817" s="63" t="s">
        <v>1670</v>
      </c>
      <c r="E817" s="63" t="s">
        <v>1671</v>
      </c>
      <c r="F817" s="66">
        <v>37.354038000000003</v>
      </c>
      <c r="G817" s="66">
        <v>19.498808</v>
      </c>
      <c r="H817" s="65">
        <v>26.1</v>
      </c>
      <c r="I817" s="67">
        <v>4.1444580000000002</v>
      </c>
      <c r="J817" s="67">
        <v>74.66</v>
      </c>
      <c r="K817" s="67">
        <v>74.66</v>
      </c>
      <c r="L817" s="67">
        <v>52.2</v>
      </c>
      <c r="M817" s="67">
        <v>74.66</v>
      </c>
      <c r="N817" s="68">
        <v>0</v>
      </c>
    </row>
    <row r="818" spans="2:14" x14ac:dyDescent="0.25">
      <c r="B818" s="63">
        <v>45341</v>
      </c>
      <c r="C818" s="63">
        <v>45342</v>
      </c>
      <c r="D818" s="63" t="s">
        <v>1650</v>
      </c>
      <c r="E818" s="63" t="s">
        <v>1651</v>
      </c>
      <c r="F818" s="66">
        <v>527.75919799999997</v>
      </c>
      <c r="G818" s="66">
        <v>459.86246999999997</v>
      </c>
      <c r="H818" s="65">
        <v>440</v>
      </c>
      <c r="I818" s="67">
        <v>4.2082470000000001</v>
      </c>
      <c r="J818" s="67">
        <v>102.462002</v>
      </c>
      <c r="K818" s="67">
        <v>102.483</v>
      </c>
      <c r="L818" s="67">
        <v>100</v>
      </c>
      <c r="M818" s="67">
        <v>102.441</v>
      </c>
      <c r="N818" s="68">
        <v>2.1002E-2</v>
      </c>
    </row>
    <row r="819" spans="2:14" x14ac:dyDescent="0.25">
      <c r="B819" s="63">
        <v>45341</v>
      </c>
      <c r="C819" s="63">
        <v>45342</v>
      </c>
      <c r="D819" s="63" t="s">
        <v>1652</v>
      </c>
      <c r="E819" s="63" t="s">
        <v>1653</v>
      </c>
      <c r="F819" s="66">
        <v>114.459879</v>
      </c>
      <c r="G819" s="66">
        <v>13.480867999999999</v>
      </c>
      <c r="H819" s="65">
        <v>20</v>
      </c>
      <c r="I819" s="67">
        <v>4.25617</v>
      </c>
      <c r="J819" s="67">
        <v>67.37</v>
      </c>
      <c r="K819" s="67">
        <v>67.37</v>
      </c>
      <c r="L819" s="67">
        <v>100</v>
      </c>
      <c r="M819" s="67">
        <v>67.37</v>
      </c>
      <c r="N819" s="68">
        <v>0</v>
      </c>
    </row>
    <row r="820" spans="2:14" x14ac:dyDescent="0.25">
      <c r="B820" s="63">
        <v>45341</v>
      </c>
      <c r="C820" s="63">
        <v>45342</v>
      </c>
      <c r="D820" s="63" t="s">
        <v>1654</v>
      </c>
      <c r="E820" s="63" t="s">
        <v>1655</v>
      </c>
      <c r="F820" s="66">
        <v>455.93734000000001</v>
      </c>
      <c r="G820" s="66">
        <v>0</v>
      </c>
      <c r="H820" s="65">
        <v>0</v>
      </c>
      <c r="I820" s="67">
        <v>0</v>
      </c>
      <c r="J820" s="67">
        <v>0</v>
      </c>
      <c r="K820" s="67">
        <v>0</v>
      </c>
      <c r="L820" s="67">
        <v>0</v>
      </c>
      <c r="M820" s="67">
        <v>0</v>
      </c>
      <c r="N820" s="68">
        <v>0</v>
      </c>
    </row>
    <row r="821" spans="2:14" x14ac:dyDescent="0.25">
      <c r="B821" s="63">
        <v>45341</v>
      </c>
      <c r="C821" s="63">
        <v>45342</v>
      </c>
      <c r="D821" s="63" t="s">
        <v>1656</v>
      </c>
      <c r="E821" s="63" t="s">
        <v>1657</v>
      </c>
      <c r="F821" s="66">
        <v>73.938826000000006</v>
      </c>
      <c r="G821" s="66">
        <v>0</v>
      </c>
      <c r="H821" s="65">
        <v>0</v>
      </c>
      <c r="I821" s="67">
        <v>0</v>
      </c>
      <c r="J821" s="67">
        <v>0</v>
      </c>
      <c r="K821" s="67">
        <v>0</v>
      </c>
      <c r="L821" s="67">
        <v>0</v>
      </c>
      <c r="M821" s="67">
        <v>0</v>
      </c>
      <c r="N821" s="68">
        <v>0</v>
      </c>
    </row>
    <row r="822" spans="2:14" x14ac:dyDescent="0.25">
      <c r="B822" s="63">
        <v>45341</v>
      </c>
      <c r="C822" s="63">
        <v>45342</v>
      </c>
      <c r="D822" s="63" t="s">
        <v>1658</v>
      </c>
      <c r="E822" s="63" t="s">
        <v>1659</v>
      </c>
      <c r="F822" s="66">
        <v>0</v>
      </c>
      <c r="G822" s="66">
        <v>0</v>
      </c>
      <c r="H822" s="65">
        <v>0</v>
      </c>
      <c r="I822" s="67">
        <v>0</v>
      </c>
      <c r="J822" s="67">
        <v>0</v>
      </c>
      <c r="K822" s="67">
        <v>0</v>
      </c>
      <c r="L822" s="67">
        <v>0</v>
      </c>
      <c r="M822" s="67">
        <v>0</v>
      </c>
      <c r="N822" s="68">
        <v>0</v>
      </c>
    </row>
    <row r="823" spans="2:14" x14ac:dyDescent="0.25">
      <c r="B823" s="63">
        <v>45341</v>
      </c>
      <c r="C823" s="63">
        <v>45342</v>
      </c>
      <c r="D823" s="63" t="s">
        <v>1660</v>
      </c>
      <c r="E823" s="63" t="s">
        <v>1661</v>
      </c>
      <c r="F823" s="66">
        <v>95.322719000000006</v>
      </c>
      <c r="G823" s="66">
        <v>0</v>
      </c>
      <c r="H823" s="65">
        <v>0</v>
      </c>
      <c r="I823" s="67">
        <v>0</v>
      </c>
      <c r="J823" s="67">
        <v>0</v>
      </c>
      <c r="K823" s="67">
        <v>0</v>
      </c>
      <c r="L823" s="67">
        <v>0</v>
      </c>
      <c r="M823" s="67">
        <v>0</v>
      </c>
      <c r="N823" s="68">
        <v>0</v>
      </c>
    </row>
    <row r="824" spans="2:14" x14ac:dyDescent="0.25">
      <c r="B824" s="63">
        <v>45341</v>
      </c>
      <c r="C824" s="63">
        <v>45342</v>
      </c>
      <c r="D824" s="63" t="s">
        <v>1662</v>
      </c>
      <c r="E824" s="63" t="s">
        <v>1663</v>
      </c>
      <c r="F824" s="66">
        <v>0</v>
      </c>
      <c r="G824" s="66">
        <v>0</v>
      </c>
      <c r="H824" s="65">
        <v>0</v>
      </c>
      <c r="I824" s="67">
        <v>0</v>
      </c>
      <c r="J824" s="67">
        <v>0</v>
      </c>
      <c r="K824" s="67">
        <v>0</v>
      </c>
      <c r="L824" s="67">
        <v>0</v>
      </c>
      <c r="M824" s="67">
        <v>0</v>
      </c>
      <c r="N824" s="68">
        <v>0</v>
      </c>
    </row>
    <row r="825" spans="2:14" x14ac:dyDescent="0.25">
      <c r="B825" s="63">
        <v>45341</v>
      </c>
      <c r="C825" s="63">
        <v>45342</v>
      </c>
      <c r="D825" s="63" t="s">
        <v>1664</v>
      </c>
      <c r="E825" s="63" t="s">
        <v>1665</v>
      </c>
      <c r="F825" s="66">
        <v>63.307335999999999</v>
      </c>
      <c r="G825" s="66">
        <v>0</v>
      </c>
      <c r="H825" s="65">
        <v>0</v>
      </c>
      <c r="I825" s="67">
        <v>0</v>
      </c>
      <c r="J825" s="67">
        <v>0</v>
      </c>
      <c r="K825" s="67">
        <v>0</v>
      </c>
      <c r="L825" s="67">
        <v>0</v>
      </c>
      <c r="M825" s="67">
        <v>0</v>
      </c>
      <c r="N825" s="68">
        <v>0</v>
      </c>
    </row>
    <row r="826" spans="2:14" x14ac:dyDescent="0.25">
      <c r="B826" s="63">
        <v>45341</v>
      </c>
      <c r="C826" s="63">
        <v>45342</v>
      </c>
      <c r="D826" s="63" t="s">
        <v>1666</v>
      </c>
      <c r="E826" s="63" t="s">
        <v>1667</v>
      </c>
      <c r="F826" s="66">
        <v>181.969504</v>
      </c>
      <c r="G826" s="66">
        <v>181.969504</v>
      </c>
      <c r="H826" s="65">
        <v>300</v>
      </c>
      <c r="I826" s="67">
        <v>4.5479279999999997</v>
      </c>
      <c r="J826" s="67">
        <v>60.243251000000001</v>
      </c>
      <c r="K826" s="67">
        <v>60.256999999999998</v>
      </c>
      <c r="L826" s="67">
        <v>100</v>
      </c>
      <c r="M826" s="67">
        <v>60.228999999999999</v>
      </c>
      <c r="N826" s="68">
        <v>1.4251E-2</v>
      </c>
    </row>
    <row r="827" spans="2:14" x14ac:dyDescent="0.25">
      <c r="B827" s="63">
        <v>45341</v>
      </c>
      <c r="C827" s="63">
        <v>45342</v>
      </c>
      <c r="D827" s="63" t="s">
        <v>1672</v>
      </c>
      <c r="E827" s="63" t="s">
        <v>1673</v>
      </c>
      <c r="F827" s="66">
        <v>0</v>
      </c>
      <c r="G827" s="66">
        <v>0</v>
      </c>
      <c r="H827" s="65">
        <v>0</v>
      </c>
      <c r="I827" s="67">
        <v>0</v>
      </c>
      <c r="J827" s="67">
        <v>0</v>
      </c>
      <c r="K827" s="67">
        <v>0</v>
      </c>
      <c r="L827" s="67">
        <v>0</v>
      </c>
      <c r="M827" s="67">
        <v>0</v>
      </c>
      <c r="N827" s="68">
        <v>0</v>
      </c>
    </row>
    <row r="828" spans="2:14" x14ac:dyDescent="0.25">
      <c r="B828" s="63">
        <v>45341</v>
      </c>
      <c r="C828" s="63">
        <v>45342</v>
      </c>
      <c r="D828" s="63" t="s">
        <v>1674</v>
      </c>
      <c r="E828" s="63" t="s">
        <v>1675</v>
      </c>
      <c r="F828" s="66">
        <v>16.453984999999999</v>
      </c>
      <c r="G828" s="66">
        <v>0</v>
      </c>
      <c r="H828" s="65">
        <v>0</v>
      </c>
      <c r="I828" s="67">
        <v>0</v>
      </c>
      <c r="J828" s="67">
        <v>0</v>
      </c>
      <c r="K828" s="67">
        <v>0</v>
      </c>
      <c r="L828" s="67">
        <v>0</v>
      </c>
      <c r="M828" s="67">
        <v>0</v>
      </c>
      <c r="N828" s="68">
        <v>0</v>
      </c>
    </row>
    <row r="829" spans="2:14" x14ac:dyDescent="0.25">
      <c r="B829" s="63">
        <v>45348</v>
      </c>
      <c r="C829" s="63">
        <v>45349</v>
      </c>
      <c r="D829" s="63" t="s">
        <v>1676</v>
      </c>
      <c r="E829" s="63" t="s">
        <v>1677</v>
      </c>
      <c r="F829" s="66">
        <v>51.502291999999997</v>
      </c>
      <c r="G829" s="66">
        <v>0</v>
      </c>
      <c r="H829" s="65">
        <v>0</v>
      </c>
      <c r="I829" s="67">
        <v>0</v>
      </c>
      <c r="J829" s="67">
        <v>0</v>
      </c>
      <c r="K829" s="67">
        <v>0</v>
      </c>
      <c r="L829" s="67">
        <v>0</v>
      </c>
      <c r="M829" s="67">
        <v>0</v>
      </c>
      <c r="N829" s="68">
        <v>0</v>
      </c>
    </row>
    <row r="830" spans="2:14" x14ac:dyDescent="0.25">
      <c r="B830" s="63">
        <v>45348</v>
      </c>
      <c r="C830" s="63">
        <v>45349</v>
      </c>
      <c r="D830" s="63" t="s">
        <v>1678</v>
      </c>
      <c r="E830" s="63" t="s">
        <v>1679</v>
      </c>
      <c r="F830" s="66">
        <v>0</v>
      </c>
      <c r="G830" s="66">
        <v>0</v>
      </c>
      <c r="H830" s="65">
        <v>0</v>
      </c>
      <c r="I830" s="67">
        <v>0</v>
      </c>
      <c r="J830" s="67">
        <v>0</v>
      </c>
      <c r="K830" s="67">
        <v>0</v>
      </c>
      <c r="L830" s="67">
        <v>0</v>
      </c>
      <c r="M830" s="67">
        <v>0</v>
      </c>
      <c r="N830" s="68">
        <v>0</v>
      </c>
    </row>
    <row r="831" spans="2:14" x14ac:dyDescent="0.25">
      <c r="B831" s="63">
        <v>45348</v>
      </c>
      <c r="C831" s="63">
        <v>45349</v>
      </c>
      <c r="D831" s="63" t="s">
        <v>1680</v>
      </c>
      <c r="E831" s="63" t="s">
        <v>1681</v>
      </c>
      <c r="F831" s="66">
        <v>0</v>
      </c>
      <c r="G831" s="66">
        <v>0</v>
      </c>
      <c r="H831" s="65">
        <v>0</v>
      </c>
      <c r="I831" s="67">
        <v>0</v>
      </c>
      <c r="J831" s="67">
        <v>0</v>
      </c>
      <c r="K831" s="67">
        <v>0</v>
      </c>
      <c r="L831" s="67">
        <v>0</v>
      </c>
      <c r="M831" s="67">
        <v>0</v>
      </c>
      <c r="N831" s="68">
        <v>0</v>
      </c>
    </row>
    <row r="832" spans="2:14" x14ac:dyDescent="0.25">
      <c r="B832" s="63">
        <v>45348</v>
      </c>
      <c r="C832" s="63">
        <v>45349</v>
      </c>
      <c r="D832" s="63" t="s">
        <v>1682</v>
      </c>
      <c r="E832" s="63" t="s">
        <v>1683</v>
      </c>
      <c r="F832" s="66">
        <v>2.8120669999999999</v>
      </c>
      <c r="G832" s="66">
        <v>0</v>
      </c>
      <c r="H832" s="65">
        <v>0</v>
      </c>
      <c r="I832" s="67">
        <v>0</v>
      </c>
      <c r="J832" s="67">
        <v>0</v>
      </c>
      <c r="K832" s="67">
        <v>0</v>
      </c>
      <c r="L832" s="67">
        <v>0</v>
      </c>
      <c r="M832" s="67">
        <v>0</v>
      </c>
      <c r="N832" s="68">
        <v>0</v>
      </c>
    </row>
    <row r="833" spans="2:14" x14ac:dyDescent="0.25">
      <c r="B833" s="63">
        <v>45348</v>
      </c>
      <c r="C833" s="63">
        <v>45349</v>
      </c>
      <c r="D833" s="63" t="s">
        <v>1684</v>
      </c>
      <c r="E833" s="63" t="s">
        <v>1685</v>
      </c>
      <c r="F833" s="66">
        <v>2.9260030000000001</v>
      </c>
      <c r="G833" s="66">
        <v>0</v>
      </c>
      <c r="H833" s="65">
        <v>0</v>
      </c>
      <c r="I833" s="67">
        <v>0</v>
      </c>
      <c r="J833" s="67">
        <v>0</v>
      </c>
      <c r="K833" s="67">
        <v>0</v>
      </c>
      <c r="L833" s="67">
        <v>0</v>
      </c>
      <c r="M833" s="67">
        <v>0</v>
      </c>
      <c r="N833" s="68">
        <v>0</v>
      </c>
    </row>
    <row r="834" spans="2:14" x14ac:dyDescent="0.25">
      <c r="B834" s="63">
        <v>45348</v>
      </c>
      <c r="C834" s="63">
        <v>45349</v>
      </c>
      <c r="D834" s="63" t="s">
        <v>1686</v>
      </c>
      <c r="E834" s="63" t="s">
        <v>1687</v>
      </c>
      <c r="F834" s="66">
        <v>0</v>
      </c>
      <c r="G834" s="66">
        <v>0</v>
      </c>
      <c r="H834" s="65">
        <v>0</v>
      </c>
      <c r="I834" s="67">
        <v>0</v>
      </c>
      <c r="J834" s="67">
        <v>0</v>
      </c>
      <c r="K834" s="67">
        <v>0</v>
      </c>
      <c r="L834" s="67">
        <v>0</v>
      </c>
      <c r="M834" s="67">
        <v>0</v>
      </c>
      <c r="N834" s="68">
        <v>0</v>
      </c>
    </row>
    <row r="835" spans="2:14" x14ac:dyDescent="0.25">
      <c r="B835" s="63">
        <v>45348</v>
      </c>
      <c r="C835" s="63">
        <v>45349</v>
      </c>
      <c r="D835" s="63" t="s">
        <v>1688</v>
      </c>
      <c r="E835" s="63" t="s">
        <v>1689</v>
      </c>
      <c r="F835" s="66">
        <v>106.079369</v>
      </c>
      <c r="G835" s="66">
        <v>35.377389999999998</v>
      </c>
      <c r="H835" s="65">
        <v>88</v>
      </c>
      <c r="I835" s="67">
        <v>4.5231560000000002</v>
      </c>
      <c r="J835" s="67">
        <v>39.982999999999997</v>
      </c>
      <c r="K835" s="67">
        <v>39.982999999999997</v>
      </c>
      <c r="L835" s="67">
        <v>100</v>
      </c>
      <c r="M835" s="67">
        <v>39.982999999999997</v>
      </c>
      <c r="N835" s="68">
        <v>0</v>
      </c>
    </row>
    <row r="836" spans="2:14" x14ac:dyDescent="0.25">
      <c r="B836" s="63">
        <v>45348</v>
      </c>
      <c r="C836" s="63">
        <v>45349</v>
      </c>
      <c r="D836" s="63" t="s">
        <v>1690</v>
      </c>
      <c r="E836" s="63" t="s">
        <v>1691</v>
      </c>
      <c r="F836" s="66">
        <v>0</v>
      </c>
      <c r="G836" s="66">
        <v>0</v>
      </c>
      <c r="H836" s="65">
        <v>0</v>
      </c>
      <c r="I836" s="67">
        <v>0</v>
      </c>
      <c r="J836" s="67">
        <v>0</v>
      </c>
      <c r="K836" s="67">
        <v>0</v>
      </c>
      <c r="L836" s="67">
        <v>0</v>
      </c>
      <c r="M836" s="67">
        <v>0</v>
      </c>
      <c r="N836" s="68">
        <v>0</v>
      </c>
    </row>
    <row r="837" spans="2:14" x14ac:dyDescent="0.25">
      <c r="B837" s="63">
        <v>45348</v>
      </c>
      <c r="C837" s="63">
        <v>45349</v>
      </c>
      <c r="D837" s="63" t="s">
        <v>1692</v>
      </c>
      <c r="E837" s="63" t="s">
        <v>1693</v>
      </c>
      <c r="F837" s="66">
        <v>0</v>
      </c>
      <c r="G837" s="66">
        <v>0</v>
      </c>
      <c r="H837" s="65">
        <v>0</v>
      </c>
      <c r="I837" s="67">
        <v>0</v>
      </c>
      <c r="J837" s="67">
        <v>0</v>
      </c>
      <c r="K837" s="67">
        <v>0</v>
      </c>
      <c r="L837" s="67">
        <v>0</v>
      </c>
      <c r="M837" s="67">
        <v>0</v>
      </c>
      <c r="N837" s="68">
        <v>0</v>
      </c>
    </row>
    <row r="838" spans="2:14" x14ac:dyDescent="0.25">
      <c r="B838" s="63">
        <v>45348</v>
      </c>
      <c r="C838" s="63">
        <v>45349</v>
      </c>
      <c r="D838" s="63" t="s">
        <v>1694</v>
      </c>
      <c r="E838" s="63" t="s">
        <v>1695</v>
      </c>
      <c r="F838" s="66">
        <v>0</v>
      </c>
      <c r="G838" s="66">
        <v>0</v>
      </c>
      <c r="H838" s="65">
        <v>0</v>
      </c>
      <c r="I838" s="67">
        <v>0</v>
      </c>
      <c r="J838" s="67">
        <v>0</v>
      </c>
      <c r="K838" s="67">
        <v>0</v>
      </c>
      <c r="L838" s="67">
        <v>0</v>
      </c>
      <c r="M838" s="67">
        <v>0</v>
      </c>
      <c r="N838" s="68">
        <v>0</v>
      </c>
    </row>
    <row r="839" spans="2:14" x14ac:dyDescent="0.25">
      <c r="B839" s="63">
        <v>45348</v>
      </c>
      <c r="C839" s="63">
        <v>45349</v>
      </c>
      <c r="D839" s="63" t="s">
        <v>1696</v>
      </c>
      <c r="E839" s="63" t="s">
        <v>1697</v>
      </c>
      <c r="F839" s="66">
        <v>0</v>
      </c>
      <c r="G839" s="66">
        <v>0</v>
      </c>
      <c r="H839" s="65">
        <v>0</v>
      </c>
      <c r="I839" s="67">
        <v>0</v>
      </c>
      <c r="J839" s="67">
        <v>0</v>
      </c>
      <c r="K839" s="67">
        <v>0</v>
      </c>
      <c r="L839" s="67">
        <v>0</v>
      </c>
      <c r="M839" s="67">
        <v>0</v>
      </c>
      <c r="N839" s="68">
        <v>0</v>
      </c>
    </row>
    <row r="840" spans="2:14" x14ac:dyDescent="0.25">
      <c r="B840" s="63">
        <v>45348</v>
      </c>
      <c r="C840" s="63">
        <v>45349</v>
      </c>
      <c r="D840" s="63" t="s">
        <v>1698</v>
      </c>
      <c r="E840" s="63" t="s">
        <v>1699</v>
      </c>
      <c r="F840" s="66">
        <v>0</v>
      </c>
      <c r="G840" s="66">
        <v>0</v>
      </c>
      <c r="H840" s="65">
        <v>0</v>
      </c>
      <c r="I840" s="67">
        <v>0</v>
      </c>
      <c r="J840" s="67">
        <v>0</v>
      </c>
      <c r="K840" s="67">
        <v>0</v>
      </c>
      <c r="L840" s="67">
        <v>0</v>
      </c>
      <c r="M840" s="67">
        <v>0</v>
      </c>
      <c r="N840" s="68">
        <v>0</v>
      </c>
    </row>
    <row r="841" spans="2:14" x14ac:dyDescent="0.25">
      <c r="B841" s="63">
        <v>45348</v>
      </c>
      <c r="C841" s="63">
        <v>45349</v>
      </c>
      <c r="D841" s="63" t="s">
        <v>1700</v>
      </c>
      <c r="E841" s="63" t="s">
        <v>1701</v>
      </c>
      <c r="F841" s="66">
        <v>210.036235</v>
      </c>
      <c r="G841" s="66">
        <v>67.701929000000007</v>
      </c>
      <c r="H841" s="65">
        <v>127.7</v>
      </c>
      <c r="I841" s="67">
        <v>4.4881140000000004</v>
      </c>
      <c r="J841" s="67">
        <v>52.843316000000002</v>
      </c>
      <c r="K841" s="67">
        <v>52.87</v>
      </c>
      <c r="L841" s="67">
        <v>90.799999</v>
      </c>
      <c r="M841" s="67">
        <v>52.83</v>
      </c>
      <c r="N841" s="68">
        <v>1.3316E-2</v>
      </c>
    </row>
    <row r="842" spans="2:14" x14ac:dyDescent="0.25">
      <c r="B842" s="63">
        <v>45348</v>
      </c>
      <c r="C842" s="63">
        <v>45349</v>
      </c>
      <c r="D842" s="63" t="s">
        <v>1702</v>
      </c>
      <c r="E842" s="63" t="s">
        <v>1703</v>
      </c>
      <c r="F842" s="66">
        <v>0</v>
      </c>
      <c r="G842" s="66">
        <v>0</v>
      </c>
      <c r="H842" s="65">
        <v>0</v>
      </c>
      <c r="I842" s="67">
        <v>0</v>
      </c>
      <c r="J842" s="67">
        <v>0</v>
      </c>
      <c r="K842" s="67">
        <v>0</v>
      </c>
      <c r="L842" s="67">
        <v>0</v>
      </c>
      <c r="M842" s="67">
        <v>0</v>
      </c>
      <c r="N842" s="68">
        <v>0</v>
      </c>
    </row>
    <row r="843" spans="2:14" x14ac:dyDescent="0.25">
      <c r="B843" s="63">
        <v>45348</v>
      </c>
      <c r="C843" s="63">
        <v>45349</v>
      </c>
      <c r="D843" s="63" t="s">
        <v>1704</v>
      </c>
      <c r="E843" s="63" t="s">
        <v>1705</v>
      </c>
      <c r="F843" s="66">
        <v>541.21651299999996</v>
      </c>
      <c r="G843" s="66">
        <v>535.28154099999995</v>
      </c>
      <c r="H843" s="65">
        <v>1800</v>
      </c>
      <c r="I843" s="67">
        <v>4.2856170000000002</v>
      </c>
      <c r="J843" s="67">
        <v>29.563006999999999</v>
      </c>
      <c r="K843" s="67">
        <v>29.585000000000001</v>
      </c>
      <c r="L843" s="67">
        <v>100</v>
      </c>
      <c r="M843" s="67">
        <v>29.541</v>
      </c>
      <c r="N843" s="68">
        <v>2.2006999999999999E-2</v>
      </c>
    </row>
    <row r="844" spans="2:14" x14ac:dyDescent="0.25">
      <c r="B844" s="63">
        <v>45348</v>
      </c>
      <c r="C844" s="63">
        <v>45349</v>
      </c>
      <c r="D844" s="63" t="s">
        <v>1706</v>
      </c>
      <c r="E844" s="63" t="s">
        <v>1707</v>
      </c>
      <c r="F844" s="66">
        <v>0</v>
      </c>
      <c r="G844" s="66">
        <v>0</v>
      </c>
      <c r="H844" s="65">
        <v>0</v>
      </c>
      <c r="I844" s="67">
        <v>0</v>
      </c>
      <c r="J844" s="67">
        <v>0</v>
      </c>
      <c r="K844" s="67">
        <v>0</v>
      </c>
      <c r="L844" s="67">
        <v>0</v>
      </c>
      <c r="M844" s="67">
        <v>0</v>
      </c>
      <c r="N844" s="68">
        <v>0</v>
      </c>
    </row>
    <row r="845" spans="2:14" x14ac:dyDescent="0.25">
      <c r="B845" s="63">
        <v>45348</v>
      </c>
      <c r="C845" s="63">
        <v>45349</v>
      </c>
      <c r="D845" s="63" t="s">
        <v>1708</v>
      </c>
      <c r="E845" s="63" t="s">
        <v>1709</v>
      </c>
      <c r="F845" s="66">
        <v>81.471153000000001</v>
      </c>
      <c r="G845" s="66">
        <v>0</v>
      </c>
      <c r="H845" s="65">
        <v>0</v>
      </c>
      <c r="I845" s="67">
        <v>0</v>
      </c>
      <c r="J845" s="67">
        <v>0</v>
      </c>
      <c r="K845" s="67">
        <v>0</v>
      </c>
      <c r="L845" s="67">
        <v>0</v>
      </c>
      <c r="M845" s="67">
        <v>0</v>
      </c>
      <c r="N845" s="68">
        <v>0</v>
      </c>
    </row>
    <row r="846" spans="2:14" x14ac:dyDescent="0.25">
      <c r="B846" s="63">
        <v>45348</v>
      </c>
      <c r="C846" s="63">
        <v>45349</v>
      </c>
      <c r="D846" s="63" t="s">
        <v>1710</v>
      </c>
      <c r="E846" s="63" t="s">
        <v>1711</v>
      </c>
      <c r="F846" s="66">
        <v>44.882415999999999</v>
      </c>
      <c r="G846" s="66">
        <v>11.624577</v>
      </c>
      <c r="H846" s="65">
        <v>25</v>
      </c>
      <c r="I846" s="67">
        <v>4.3045169999999997</v>
      </c>
      <c r="J846" s="67">
        <v>45.93</v>
      </c>
      <c r="K846" s="67">
        <v>45.93</v>
      </c>
      <c r="L846" s="67">
        <v>100</v>
      </c>
      <c r="M846" s="67">
        <v>45.93</v>
      </c>
      <c r="N846" s="68">
        <v>0</v>
      </c>
    </row>
    <row r="847" spans="2:14" x14ac:dyDescent="0.25">
      <c r="B847" s="63">
        <v>45355</v>
      </c>
      <c r="C847" s="63">
        <v>45356</v>
      </c>
      <c r="D847" s="63" t="s">
        <v>1646</v>
      </c>
      <c r="E847" s="63" t="s">
        <v>1647</v>
      </c>
      <c r="F847" s="66">
        <v>34.273508</v>
      </c>
      <c r="G847" s="66">
        <v>34.273508</v>
      </c>
      <c r="H847" s="65">
        <v>45</v>
      </c>
      <c r="I847" s="67">
        <v>4.0046790000000003</v>
      </c>
      <c r="J847" s="67">
        <v>76.14</v>
      </c>
      <c r="K847" s="67">
        <v>76.14</v>
      </c>
      <c r="L847" s="67">
        <v>100</v>
      </c>
      <c r="M847" s="67">
        <v>76.14</v>
      </c>
      <c r="N847" s="68">
        <v>0</v>
      </c>
    </row>
    <row r="848" spans="2:14" x14ac:dyDescent="0.25">
      <c r="B848" s="63">
        <v>45355</v>
      </c>
      <c r="C848" s="63">
        <v>45356</v>
      </c>
      <c r="D848" s="63" t="s">
        <v>1648</v>
      </c>
      <c r="E848" s="63" t="s">
        <v>1649</v>
      </c>
      <c r="F848" s="66">
        <v>0</v>
      </c>
      <c r="G848" s="66">
        <v>0</v>
      </c>
      <c r="H848" s="65">
        <v>0</v>
      </c>
      <c r="I848" s="67">
        <v>0</v>
      </c>
      <c r="J848" s="67">
        <v>0</v>
      </c>
      <c r="K848" s="67">
        <v>0</v>
      </c>
      <c r="L848" s="67">
        <v>0</v>
      </c>
      <c r="M848" s="67">
        <v>0</v>
      </c>
      <c r="N848" s="68">
        <v>0</v>
      </c>
    </row>
    <row r="849" spans="2:14" x14ac:dyDescent="0.25">
      <c r="B849" s="63">
        <v>45355</v>
      </c>
      <c r="C849" s="63">
        <v>45356</v>
      </c>
      <c r="D849" s="63" t="s">
        <v>1670</v>
      </c>
      <c r="E849" s="63" t="s">
        <v>1671</v>
      </c>
      <c r="F849" s="66">
        <v>56.307547999999997</v>
      </c>
      <c r="G849" s="66">
        <v>18.776682999999998</v>
      </c>
      <c r="H849" s="65">
        <v>25</v>
      </c>
      <c r="I849" s="67">
        <v>4.101845</v>
      </c>
      <c r="J849" s="67">
        <v>75.025000000000006</v>
      </c>
      <c r="K849" s="67">
        <v>75.025000000000006</v>
      </c>
      <c r="L849" s="67">
        <v>100</v>
      </c>
      <c r="M849" s="67">
        <v>75.025000000000006</v>
      </c>
      <c r="N849" s="68">
        <v>0</v>
      </c>
    </row>
    <row r="850" spans="2:14" x14ac:dyDescent="0.25">
      <c r="B850" s="63">
        <v>45355</v>
      </c>
      <c r="C850" s="63">
        <v>45356</v>
      </c>
      <c r="D850" s="63" t="s">
        <v>1650</v>
      </c>
      <c r="E850" s="63" t="s">
        <v>1651</v>
      </c>
      <c r="F850" s="66">
        <v>0</v>
      </c>
      <c r="G850" s="66">
        <v>0</v>
      </c>
      <c r="H850" s="65">
        <v>0</v>
      </c>
      <c r="I850" s="67">
        <v>0</v>
      </c>
      <c r="J850" s="67">
        <v>0</v>
      </c>
      <c r="K850" s="67">
        <v>0</v>
      </c>
      <c r="L850" s="67">
        <v>0</v>
      </c>
      <c r="M850" s="67">
        <v>0</v>
      </c>
      <c r="N850" s="68">
        <v>0</v>
      </c>
    </row>
    <row r="851" spans="2:14" x14ac:dyDescent="0.25">
      <c r="B851" s="63">
        <v>45355</v>
      </c>
      <c r="C851" s="63">
        <v>45356</v>
      </c>
      <c r="D851" s="63" t="s">
        <v>1652</v>
      </c>
      <c r="E851" s="63" t="s">
        <v>1653</v>
      </c>
      <c r="F851" s="66">
        <v>423.36220500000002</v>
      </c>
      <c r="G851" s="66">
        <v>146.74257900000001</v>
      </c>
      <c r="H851" s="65">
        <v>216</v>
      </c>
      <c r="I851" s="67">
        <v>4.1977320000000002</v>
      </c>
      <c r="J851" s="67">
        <v>67.878003000000007</v>
      </c>
      <c r="K851" s="67">
        <v>67.893000000000001</v>
      </c>
      <c r="L851" s="67">
        <v>100</v>
      </c>
      <c r="M851" s="67">
        <v>67.863</v>
      </c>
      <c r="N851" s="68">
        <v>1.5003000000000001E-2</v>
      </c>
    </row>
    <row r="852" spans="2:14" x14ac:dyDescent="0.25">
      <c r="B852" s="63">
        <v>45355</v>
      </c>
      <c r="C852" s="63">
        <v>45356</v>
      </c>
      <c r="D852" s="63" t="s">
        <v>1654</v>
      </c>
      <c r="E852" s="63" t="s">
        <v>1655</v>
      </c>
      <c r="F852" s="66">
        <v>405.23992500000003</v>
      </c>
      <c r="G852" s="66">
        <v>25.044162</v>
      </c>
      <c r="H852" s="65">
        <v>25</v>
      </c>
      <c r="I852" s="67">
        <v>4.2286099999999998</v>
      </c>
      <c r="J852" s="67">
        <v>100.2</v>
      </c>
      <c r="K852" s="67">
        <v>100.2</v>
      </c>
      <c r="L852" s="67">
        <v>100</v>
      </c>
      <c r="M852" s="67">
        <v>100.2</v>
      </c>
      <c r="N852" s="68">
        <v>0</v>
      </c>
    </row>
    <row r="853" spans="2:14" x14ac:dyDescent="0.25">
      <c r="B853" s="63">
        <v>45355</v>
      </c>
      <c r="C853" s="63">
        <v>45356</v>
      </c>
      <c r="D853" s="63" t="s">
        <v>1656</v>
      </c>
      <c r="E853" s="63" t="s">
        <v>1657</v>
      </c>
      <c r="F853" s="66">
        <v>0</v>
      </c>
      <c r="G853" s="66">
        <v>0</v>
      </c>
      <c r="H853" s="65">
        <v>0</v>
      </c>
      <c r="I853" s="67">
        <v>0</v>
      </c>
      <c r="J853" s="67">
        <v>0</v>
      </c>
      <c r="K853" s="67">
        <v>0</v>
      </c>
      <c r="L853" s="67">
        <v>0</v>
      </c>
      <c r="M853" s="67">
        <v>0</v>
      </c>
      <c r="N853" s="68">
        <v>0</v>
      </c>
    </row>
    <row r="854" spans="2:14" x14ac:dyDescent="0.25">
      <c r="B854" s="63">
        <v>45355</v>
      </c>
      <c r="C854" s="63">
        <v>45356</v>
      </c>
      <c r="D854" s="63" t="s">
        <v>1658</v>
      </c>
      <c r="E854" s="63" t="s">
        <v>1659</v>
      </c>
      <c r="F854" s="66">
        <v>389.44445200000001</v>
      </c>
      <c r="G854" s="66">
        <v>389.44445200000001</v>
      </c>
      <c r="H854" s="65">
        <v>370</v>
      </c>
      <c r="I854" s="67">
        <v>4.3694920000000002</v>
      </c>
      <c r="J854" s="67">
        <v>104.10020299999999</v>
      </c>
      <c r="K854" s="67">
        <v>104.111</v>
      </c>
      <c r="L854" s="67">
        <v>100</v>
      </c>
      <c r="M854" s="67">
        <v>104.08</v>
      </c>
      <c r="N854" s="68">
        <v>2.0202999999999999E-2</v>
      </c>
    </row>
    <row r="855" spans="2:14" x14ac:dyDescent="0.25">
      <c r="B855" s="63">
        <v>45355</v>
      </c>
      <c r="C855" s="63">
        <v>45356</v>
      </c>
      <c r="D855" s="63" t="s">
        <v>1660</v>
      </c>
      <c r="E855" s="63" t="s">
        <v>1661</v>
      </c>
      <c r="F855" s="66">
        <v>6.4605079999999999</v>
      </c>
      <c r="G855" s="66">
        <v>6.4605079999999999</v>
      </c>
      <c r="H855" s="65">
        <v>10</v>
      </c>
      <c r="I855" s="67">
        <v>4.39663</v>
      </c>
      <c r="J855" s="67">
        <v>64.5</v>
      </c>
      <c r="K855" s="67">
        <v>64.5</v>
      </c>
      <c r="L855" s="67">
        <v>100</v>
      </c>
      <c r="M855" s="67">
        <v>64.5</v>
      </c>
      <c r="N855" s="68">
        <v>0</v>
      </c>
    </row>
    <row r="856" spans="2:14" x14ac:dyDescent="0.25">
      <c r="B856" s="63">
        <v>45355</v>
      </c>
      <c r="C856" s="63">
        <v>45356</v>
      </c>
      <c r="D856" s="63" t="s">
        <v>1662</v>
      </c>
      <c r="E856" s="63" t="s">
        <v>1663</v>
      </c>
      <c r="F856" s="66">
        <v>73.589985999999996</v>
      </c>
      <c r="G856" s="66">
        <v>49.083323999999998</v>
      </c>
      <c r="H856" s="65">
        <v>50</v>
      </c>
      <c r="I856" s="67">
        <v>4.4124400000000001</v>
      </c>
      <c r="J856" s="67">
        <v>98.190016</v>
      </c>
      <c r="K856" s="67">
        <v>98.23</v>
      </c>
      <c r="L856" s="67">
        <v>100</v>
      </c>
      <c r="M856" s="67">
        <v>98.15</v>
      </c>
      <c r="N856" s="68">
        <v>4.0016000000000003E-2</v>
      </c>
    </row>
    <row r="857" spans="2:14" x14ac:dyDescent="0.25">
      <c r="B857" s="63">
        <v>45355</v>
      </c>
      <c r="C857" s="63">
        <v>45356</v>
      </c>
      <c r="D857" s="63" t="s">
        <v>1664</v>
      </c>
      <c r="E857" s="63" t="s">
        <v>1665</v>
      </c>
      <c r="F857" s="66">
        <v>0</v>
      </c>
      <c r="G857" s="66">
        <v>0</v>
      </c>
      <c r="H857" s="65">
        <v>0</v>
      </c>
      <c r="I857" s="67">
        <v>0</v>
      </c>
      <c r="J857" s="67">
        <v>0</v>
      </c>
      <c r="K857" s="67">
        <v>0</v>
      </c>
      <c r="L857" s="67">
        <v>0</v>
      </c>
      <c r="M857" s="67">
        <v>0</v>
      </c>
      <c r="N857" s="68">
        <v>0</v>
      </c>
    </row>
    <row r="858" spans="2:14" x14ac:dyDescent="0.25">
      <c r="B858" s="63">
        <v>45355</v>
      </c>
      <c r="C858" s="63">
        <v>45356</v>
      </c>
      <c r="D858" s="63" t="s">
        <v>1666</v>
      </c>
      <c r="E858" s="63" t="s">
        <v>1667</v>
      </c>
      <c r="F858" s="66">
        <v>6.1684060000000001</v>
      </c>
      <c r="G858" s="66">
        <v>6.1684070000000002</v>
      </c>
      <c r="H858" s="65">
        <v>10</v>
      </c>
      <c r="I858" s="67">
        <v>4.4458549999999999</v>
      </c>
      <c r="J858" s="67">
        <v>61.222999999999999</v>
      </c>
      <c r="K858" s="67">
        <v>61.222999999999999</v>
      </c>
      <c r="L858" s="67">
        <v>100</v>
      </c>
      <c r="M858" s="67">
        <v>61.222999999999999</v>
      </c>
      <c r="N858" s="68">
        <v>0</v>
      </c>
    </row>
    <row r="859" spans="2:14" x14ac:dyDescent="0.25">
      <c r="B859" s="63">
        <v>45355</v>
      </c>
      <c r="C859" s="63">
        <v>45356</v>
      </c>
      <c r="D859" s="63" t="s">
        <v>1672</v>
      </c>
      <c r="E859" s="63" t="s">
        <v>1673</v>
      </c>
      <c r="F859" s="66">
        <v>40.498004000000002</v>
      </c>
      <c r="G859" s="66">
        <v>40.498004999999999</v>
      </c>
      <c r="H859" s="65">
        <v>40</v>
      </c>
      <c r="I859" s="67">
        <v>4.4875309999999997</v>
      </c>
      <c r="J859" s="67">
        <v>100.15075</v>
      </c>
      <c r="K859" s="67">
        <v>100.15300000000001</v>
      </c>
      <c r="L859" s="67">
        <v>100</v>
      </c>
      <c r="M859" s="67">
        <v>100.15</v>
      </c>
      <c r="N859" s="68">
        <v>7.5000000000000002E-4</v>
      </c>
    </row>
    <row r="860" spans="2:14" x14ac:dyDescent="0.25">
      <c r="B860" s="63">
        <v>45355</v>
      </c>
      <c r="C860" s="63">
        <v>45356</v>
      </c>
      <c r="D860" s="63" t="s">
        <v>1674</v>
      </c>
      <c r="E860" s="63" t="s">
        <v>1675</v>
      </c>
      <c r="F860" s="66">
        <v>33.491571</v>
      </c>
      <c r="G860" s="66">
        <v>33.491571</v>
      </c>
      <c r="H860" s="65">
        <v>40</v>
      </c>
      <c r="I860" s="67">
        <v>4.5293270000000003</v>
      </c>
      <c r="J860" s="67">
        <v>83.344999999999999</v>
      </c>
      <c r="K860" s="67">
        <v>83.35</v>
      </c>
      <c r="L860" s="67">
        <v>100</v>
      </c>
      <c r="M860" s="67">
        <v>83.34</v>
      </c>
      <c r="N860" s="68">
        <v>5.0000000000000001E-3</v>
      </c>
    </row>
    <row r="861" spans="2:14" x14ac:dyDescent="0.25">
      <c r="B861" s="63">
        <v>45362</v>
      </c>
      <c r="C861" s="63">
        <v>45363</v>
      </c>
      <c r="D861" s="64" t="s">
        <v>1630</v>
      </c>
      <c r="E861" s="64" t="s">
        <v>1631</v>
      </c>
      <c r="F861" s="65">
        <v>553.73612400000002</v>
      </c>
      <c r="G861" s="66">
        <v>446.79483199999999</v>
      </c>
      <c r="H861" s="65">
        <v>488</v>
      </c>
      <c r="I861" s="67">
        <v>4.0140859999999998</v>
      </c>
      <c r="J861" s="67">
        <v>91.384613999999999</v>
      </c>
      <c r="K861" s="67">
        <v>91.387</v>
      </c>
      <c r="L861" s="68">
        <v>100</v>
      </c>
      <c r="M861" s="67">
        <v>91.381</v>
      </c>
      <c r="N861" s="68">
        <v>3.614E-3</v>
      </c>
    </row>
    <row r="862" spans="2:14" x14ac:dyDescent="0.25">
      <c r="B862" s="63">
        <v>45362</v>
      </c>
      <c r="C862" s="63">
        <v>45363</v>
      </c>
      <c r="D862" s="64" t="s">
        <v>1632</v>
      </c>
      <c r="E862" s="64" t="s">
        <v>1633</v>
      </c>
      <c r="F862" s="65">
        <v>354.571639</v>
      </c>
      <c r="G862" s="66">
        <v>0</v>
      </c>
      <c r="H862" s="65">
        <v>0</v>
      </c>
      <c r="I862" s="67">
        <v>0</v>
      </c>
      <c r="J862" s="67">
        <v>0</v>
      </c>
      <c r="K862" s="67">
        <v>0</v>
      </c>
      <c r="L862" s="68">
        <v>0</v>
      </c>
      <c r="M862" s="67">
        <v>0</v>
      </c>
      <c r="N862" s="68">
        <v>0</v>
      </c>
    </row>
    <row r="863" spans="2:14" x14ac:dyDescent="0.25">
      <c r="B863" s="63">
        <v>45362</v>
      </c>
      <c r="C863" s="63">
        <v>45363</v>
      </c>
      <c r="D863" s="64" t="s">
        <v>1634</v>
      </c>
      <c r="E863" s="64" t="s">
        <v>1635</v>
      </c>
      <c r="F863" s="65">
        <v>409.50737800000002</v>
      </c>
      <c r="G863" s="66">
        <v>0</v>
      </c>
      <c r="H863" s="65">
        <v>0</v>
      </c>
      <c r="I863" s="67">
        <v>0</v>
      </c>
      <c r="J863" s="67">
        <v>0</v>
      </c>
      <c r="K863" s="67">
        <v>0</v>
      </c>
      <c r="L863" s="68">
        <v>0</v>
      </c>
      <c r="M863" s="67">
        <v>0</v>
      </c>
      <c r="N863" s="68">
        <v>0</v>
      </c>
    </row>
    <row r="864" spans="2:14" x14ac:dyDescent="0.25">
      <c r="B864" s="63">
        <v>45362</v>
      </c>
      <c r="C864" s="63">
        <v>45363</v>
      </c>
      <c r="D864" s="64" t="s">
        <v>1636</v>
      </c>
      <c r="E864" s="64" t="s">
        <v>1637</v>
      </c>
      <c r="F864" s="65">
        <v>355.59281099999998</v>
      </c>
      <c r="G864" s="66">
        <v>132.258523</v>
      </c>
      <c r="H864" s="65">
        <v>145</v>
      </c>
      <c r="I864" s="67">
        <v>3.8741840000000001</v>
      </c>
      <c r="J864" s="67">
        <v>90.582310000000007</v>
      </c>
      <c r="K864" s="67">
        <v>90.582999999999998</v>
      </c>
      <c r="L864" s="68">
        <v>100</v>
      </c>
      <c r="M864" s="67">
        <v>90.578000000000003</v>
      </c>
      <c r="N864" s="68">
        <v>4.3099999999999996E-3</v>
      </c>
    </row>
    <row r="865" spans="2:14" x14ac:dyDescent="0.25">
      <c r="B865" s="63">
        <v>45362</v>
      </c>
      <c r="C865" s="63">
        <v>45363</v>
      </c>
      <c r="D865" s="64" t="s">
        <v>1638</v>
      </c>
      <c r="E865" s="64" t="s">
        <v>1639</v>
      </c>
      <c r="F865" s="65">
        <v>259.89060999999998</v>
      </c>
      <c r="G865" s="66">
        <v>138.257463</v>
      </c>
      <c r="H865" s="65">
        <v>125</v>
      </c>
      <c r="I865" s="67">
        <v>3.8922509999999999</v>
      </c>
      <c r="J865" s="67">
        <v>109.0322</v>
      </c>
      <c r="K865" s="67">
        <v>109.051</v>
      </c>
      <c r="L865" s="68">
        <v>100</v>
      </c>
      <c r="M865" s="67">
        <v>109.02500000000001</v>
      </c>
      <c r="N865" s="68">
        <v>7.1999999999999998E-3</v>
      </c>
    </row>
    <row r="866" spans="2:14" x14ac:dyDescent="0.25">
      <c r="B866" s="63">
        <v>45362</v>
      </c>
      <c r="C866" s="63">
        <v>45363</v>
      </c>
      <c r="D866" s="64" t="s">
        <v>1668</v>
      </c>
      <c r="E866" s="64" t="s">
        <v>1669</v>
      </c>
      <c r="F866" s="65">
        <v>21.249328999999999</v>
      </c>
      <c r="G866" s="66">
        <v>0</v>
      </c>
      <c r="H866" s="65">
        <v>0</v>
      </c>
      <c r="I866" s="67">
        <v>0</v>
      </c>
      <c r="J866" s="67">
        <v>0</v>
      </c>
      <c r="K866" s="67">
        <v>0</v>
      </c>
      <c r="L866" s="68">
        <v>0</v>
      </c>
      <c r="M866" s="67">
        <v>0</v>
      </c>
      <c r="N866" s="68">
        <v>0</v>
      </c>
    </row>
    <row r="867" spans="2:14" x14ac:dyDescent="0.25">
      <c r="B867" s="63">
        <v>45362</v>
      </c>
      <c r="C867" s="63">
        <v>45363</v>
      </c>
      <c r="D867" s="64" t="s">
        <v>1640</v>
      </c>
      <c r="E867" s="64" t="s">
        <v>1641</v>
      </c>
      <c r="F867" s="65">
        <v>34.167042000000002</v>
      </c>
      <c r="G867" s="66">
        <v>21.365120000000001</v>
      </c>
      <c r="H867" s="65">
        <v>25</v>
      </c>
      <c r="I867" s="67">
        <v>3.848023</v>
      </c>
      <c r="J867" s="67">
        <v>85.120999999999995</v>
      </c>
      <c r="K867" s="67">
        <v>85.120999999999995</v>
      </c>
      <c r="L867" s="68">
        <v>100</v>
      </c>
      <c r="M867" s="67">
        <v>85.120999999999995</v>
      </c>
      <c r="N867" s="68">
        <v>0</v>
      </c>
    </row>
    <row r="868" spans="2:14" x14ac:dyDescent="0.25">
      <c r="B868" s="63">
        <v>45362</v>
      </c>
      <c r="C868" s="63">
        <v>45363</v>
      </c>
      <c r="D868" s="64" t="s">
        <v>1642</v>
      </c>
      <c r="E868" s="64" t="s">
        <v>1643</v>
      </c>
      <c r="F868" s="65">
        <v>128.00128599999999</v>
      </c>
      <c r="G868" s="66">
        <v>20.015373</v>
      </c>
      <c r="H868" s="65">
        <v>25</v>
      </c>
      <c r="I868" s="67">
        <v>3.8437000000000001</v>
      </c>
      <c r="J868" s="67">
        <v>79.915999999999997</v>
      </c>
      <c r="K868" s="67">
        <v>79.915999999999997</v>
      </c>
      <c r="L868" s="68">
        <v>100</v>
      </c>
      <c r="M868" s="67">
        <v>79.915999999999997</v>
      </c>
      <c r="N868" s="68">
        <v>0</v>
      </c>
    </row>
    <row r="869" spans="2:14" x14ac:dyDescent="0.25">
      <c r="B869" s="63">
        <v>45362</v>
      </c>
      <c r="C869" s="63">
        <v>45363</v>
      </c>
      <c r="D869" s="64" t="s">
        <v>1644</v>
      </c>
      <c r="E869" s="64" t="s">
        <v>1645</v>
      </c>
      <c r="F869" s="65">
        <v>106.480901</v>
      </c>
      <c r="G869" s="66">
        <v>41.212752999999999</v>
      </c>
      <c r="H869" s="65">
        <v>38.700000000000003</v>
      </c>
      <c r="I869" s="67">
        <v>3.8572679999999999</v>
      </c>
      <c r="J869" s="67">
        <v>105.247</v>
      </c>
      <c r="K869" s="67">
        <v>105.247</v>
      </c>
      <c r="L869" s="68">
        <v>77.399998999999994</v>
      </c>
      <c r="M869" s="67">
        <v>105.247</v>
      </c>
      <c r="N869" s="68">
        <v>0</v>
      </c>
    </row>
    <row r="870" spans="2:14" x14ac:dyDescent="0.25">
      <c r="B870" s="63">
        <v>45369</v>
      </c>
      <c r="C870" s="63">
        <v>45370</v>
      </c>
      <c r="D870" s="63" t="s">
        <v>1646</v>
      </c>
      <c r="E870" s="63" t="s">
        <v>1647</v>
      </c>
      <c r="F870" s="66">
        <v>233.73859899999999</v>
      </c>
      <c r="G870" s="66">
        <v>84.343164000000002</v>
      </c>
      <c r="H870" s="65">
        <v>110</v>
      </c>
      <c r="I870" s="67">
        <v>3.932242</v>
      </c>
      <c r="J870" s="67">
        <v>76.642635999999996</v>
      </c>
      <c r="K870" s="67">
        <v>76.650000000000006</v>
      </c>
      <c r="L870" s="67">
        <v>100</v>
      </c>
      <c r="M870" s="67">
        <v>76.635000000000005</v>
      </c>
      <c r="N870" s="68">
        <v>7.6360000000000004E-3</v>
      </c>
    </row>
    <row r="871" spans="2:14" x14ac:dyDescent="0.25">
      <c r="B871" s="63">
        <v>45369</v>
      </c>
      <c r="C871" s="63">
        <v>45370</v>
      </c>
      <c r="D871" s="63" t="s">
        <v>1648</v>
      </c>
      <c r="E871" s="63" t="s">
        <v>1649</v>
      </c>
      <c r="F871" s="66">
        <v>222.18388200000001</v>
      </c>
      <c r="G871" s="66">
        <v>20.678608000000001</v>
      </c>
      <c r="H871" s="65">
        <v>20</v>
      </c>
      <c r="I871" s="67">
        <v>3.9338109999999999</v>
      </c>
      <c r="J871" s="67">
        <v>102.197001</v>
      </c>
      <c r="K871" s="67">
        <v>102.211</v>
      </c>
      <c r="L871" s="67">
        <v>100</v>
      </c>
      <c r="M871" s="67">
        <v>102.18300000000001</v>
      </c>
      <c r="N871" s="68">
        <v>1.4001E-2</v>
      </c>
    </row>
    <row r="872" spans="2:14" x14ac:dyDescent="0.25">
      <c r="B872" s="63">
        <v>45369</v>
      </c>
      <c r="C872" s="63">
        <v>45370</v>
      </c>
      <c r="D872" s="63" t="s">
        <v>1670</v>
      </c>
      <c r="E872" s="63" t="s">
        <v>1671</v>
      </c>
      <c r="F872" s="66">
        <v>0</v>
      </c>
      <c r="G872" s="66">
        <v>0</v>
      </c>
      <c r="H872" s="65">
        <v>0</v>
      </c>
      <c r="I872" s="67">
        <v>0</v>
      </c>
      <c r="J872" s="67">
        <v>0</v>
      </c>
      <c r="K872" s="67">
        <v>0</v>
      </c>
      <c r="L872" s="67">
        <v>0</v>
      </c>
      <c r="M872" s="67">
        <v>0</v>
      </c>
      <c r="N872" s="68">
        <v>0</v>
      </c>
    </row>
    <row r="873" spans="2:14" x14ac:dyDescent="0.25">
      <c r="B873" s="63">
        <v>45369</v>
      </c>
      <c r="C873" s="63">
        <v>45370</v>
      </c>
      <c r="D873" s="63" t="s">
        <v>1650</v>
      </c>
      <c r="E873" s="63" t="s">
        <v>1651</v>
      </c>
      <c r="F873" s="66">
        <v>25.861934000000002</v>
      </c>
      <c r="G873" s="66">
        <v>0</v>
      </c>
      <c r="H873" s="65">
        <v>0</v>
      </c>
      <c r="I873" s="67">
        <v>0</v>
      </c>
      <c r="J873" s="67">
        <v>0</v>
      </c>
      <c r="K873" s="67">
        <v>0</v>
      </c>
      <c r="L873" s="67">
        <v>0</v>
      </c>
      <c r="M873" s="67">
        <v>0</v>
      </c>
      <c r="N873" s="68">
        <v>0</v>
      </c>
    </row>
    <row r="874" spans="2:14" x14ac:dyDescent="0.25">
      <c r="B874" s="63">
        <v>45369</v>
      </c>
      <c r="C874" s="63">
        <v>45370</v>
      </c>
      <c r="D874" s="63" t="s">
        <v>1652</v>
      </c>
      <c r="E874" s="63" t="s">
        <v>1653</v>
      </c>
      <c r="F874" s="66">
        <v>205.37325200000001</v>
      </c>
      <c r="G874" s="66">
        <v>126.142549</v>
      </c>
      <c r="H874" s="65">
        <v>184.2</v>
      </c>
      <c r="I874" s="67">
        <v>4.1377179999999996</v>
      </c>
      <c r="J874" s="67">
        <v>68.398881000000003</v>
      </c>
      <c r="K874" s="67">
        <v>68.42</v>
      </c>
      <c r="L874" s="67">
        <v>59.2</v>
      </c>
      <c r="M874" s="67">
        <v>68.382999999999996</v>
      </c>
      <c r="N874" s="68">
        <v>1.5880999999999999E-2</v>
      </c>
    </row>
    <row r="875" spans="2:14" x14ac:dyDescent="0.25">
      <c r="B875" s="63">
        <v>45369</v>
      </c>
      <c r="C875" s="63">
        <v>45370</v>
      </c>
      <c r="D875" s="63" t="s">
        <v>1654</v>
      </c>
      <c r="E875" s="63" t="s">
        <v>1655</v>
      </c>
      <c r="F875" s="66">
        <v>731.47722099999999</v>
      </c>
      <c r="G875" s="66">
        <v>429.83445999999998</v>
      </c>
      <c r="H875" s="65">
        <v>426</v>
      </c>
      <c r="I875" s="67">
        <v>4.1683909999999997</v>
      </c>
      <c r="J875" s="67">
        <v>100.761528</v>
      </c>
      <c r="K875" s="67">
        <v>100.786</v>
      </c>
      <c r="L875" s="67">
        <v>100</v>
      </c>
      <c r="M875" s="67">
        <v>100.66800000000001</v>
      </c>
      <c r="N875" s="68">
        <v>9.3528E-2</v>
      </c>
    </row>
    <row r="876" spans="2:14" x14ac:dyDescent="0.25">
      <c r="B876" s="63">
        <v>45369</v>
      </c>
      <c r="C876" s="63">
        <v>45370</v>
      </c>
      <c r="D876" s="63" t="s">
        <v>1656</v>
      </c>
      <c r="E876" s="63" t="s">
        <v>1657</v>
      </c>
      <c r="F876" s="66">
        <v>55.891047999999998</v>
      </c>
      <c r="G876" s="66">
        <v>55.891049000000002</v>
      </c>
      <c r="H876" s="65">
        <v>75</v>
      </c>
      <c r="I876" s="67">
        <v>4.2615109999999996</v>
      </c>
      <c r="J876" s="67">
        <v>74.464333999999994</v>
      </c>
      <c r="K876" s="67">
        <v>74.472999999999999</v>
      </c>
      <c r="L876" s="67">
        <v>100</v>
      </c>
      <c r="M876" s="67">
        <v>74.454999999999998</v>
      </c>
      <c r="N876" s="68">
        <v>9.3340000000000003E-3</v>
      </c>
    </row>
    <row r="877" spans="2:14" x14ac:dyDescent="0.25">
      <c r="B877" s="63">
        <v>45369</v>
      </c>
      <c r="C877" s="63">
        <v>45370</v>
      </c>
      <c r="D877" s="63" t="s">
        <v>1658</v>
      </c>
      <c r="E877" s="63" t="s">
        <v>1659</v>
      </c>
      <c r="F877" s="66">
        <v>0</v>
      </c>
      <c r="G877" s="66">
        <v>0</v>
      </c>
      <c r="H877" s="65">
        <v>0</v>
      </c>
      <c r="I877" s="67">
        <v>0</v>
      </c>
      <c r="J877" s="67">
        <v>0</v>
      </c>
      <c r="K877" s="67">
        <v>0</v>
      </c>
      <c r="L877" s="67">
        <v>0</v>
      </c>
      <c r="M877" s="67">
        <v>0</v>
      </c>
      <c r="N877" s="68">
        <v>0</v>
      </c>
    </row>
    <row r="878" spans="2:14" x14ac:dyDescent="0.25">
      <c r="B878" s="63">
        <v>45369</v>
      </c>
      <c r="C878" s="63">
        <v>45370</v>
      </c>
      <c r="D878" s="63" t="s">
        <v>1660</v>
      </c>
      <c r="E878" s="63" t="s">
        <v>1661</v>
      </c>
      <c r="F878" s="66">
        <v>0</v>
      </c>
      <c r="G878" s="66">
        <v>0</v>
      </c>
      <c r="H878" s="65">
        <v>0</v>
      </c>
      <c r="I878" s="67">
        <v>0</v>
      </c>
      <c r="J878" s="67">
        <v>0</v>
      </c>
      <c r="K878" s="67">
        <v>0</v>
      </c>
      <c r="L878" s="67">
        <v>0</v>
      </c>
      <c r="M878" s="67">
        <v>0</v>
      </c>
      <c r="N878" s="68">
        <v>0</v>
      </c>
    </row>
    <row r="879" spans="2:14" x14ac:dyDescent="0.25">
      <c r="B879" s="63">
        <v>45369</v>
      </c>
      <c r="C879" s="63">
        <v>45370</v>
      </c>
      <c r="D879" s="63" t="s">
        <v>1662</v>
      </c>
      <c r="E879" s="63" t="s">
        <v>1663</v>
      </c>
      <c r="F879" s="66">
        <v>0</v>
      </c>
      <c r="G879" s="66">
        <v>0</v>
      </c>
      <c r="H879" s="65">
        <v>0</v>
      </c>
      <c r="I879" s="67">
        <v>0</v>
      </c>
      <c r="J879" s="67">
        <v>0</v>
      </c>
      <c r="K879" s="67">
        <v>0</v>
      </c>
      <c r="L879" s="67">
        <v>0</v>
      </c>
      <c r="M879" s="67">
        <v>0</v>
      </c>
      <c r="N879" s="68">
        <v>0</v>
      </c>
    </row>
    <row r="880" spans="2:14" x14ac:dyDescent="0.25">
      <c r="B880" s="63">
        <v>45369</v>
      </c>
      <c r="C880" s="63">
        <v>45370</v>
      </c>
      <c r="D880" s="63" t="s">
        <v>1664</v>
      </c>
      <c r="E880" s="63" t="s">
        <v>1665</v>
      </c>
      <c r="F880" s="66">
        <v>0</v>
      </c>
      <c r="G880" s="66">
        <v>0</v>
      </c>
      <c r="H880" s="65">
        <v>0</v>
      </c>
      <c r="I880" s="67">
        <v>0</v>
      </c>
      <c r="J880" s="67">
        <v>0</v>
      </c>
      <c r="K880" s="67">
        <v>0</v>
      </c>
      <c r="L880" s="67">
        <v>0</v>
      </c>
      <c r="M880" s="67">
        <v>0</v>
      </c>
      <c r="N880" s="68">
        <v>0</v>
      </c>
    </row>
    <row r="881" spans="2:14" x14ac:dyDescent="0.25">
      <c r="B881" s="63">
        <v>45369</v>
      </c>
      <c r="C881" s="63">
        <v>45370</v>
      </c>
      <c r="D881" s="63" t="s">
        <v>1666</v>
      </c>
      <c r="E881" s="63" t="s">
        <v>1667</v>
      </c>
      <c r="F881" s="66">
        <v>61.963878999999999</v>
      </c>
      <c r="G881" s="66">
        <v>0</v>
      </c>
      <c r="H881" s="65">
        <v>0</v>
      </c>
      <c r="I881" s="67">
        <v>0</v>
      </c>
      <c r="J881" s="67">
        <v>0</v>
      </c>
      <c r="K881" s="67">
        <v>0</v>
      </c>
      <c r="L881" s="67">
        <v>0</v>
      </c>
      <c r="M881" s="67">
        <v>0</v>
      </c>
      <c r="N881" s="68">
        <v>0</v>
      </c>
    </row>
    <row r="882" spans="2:14" x14ac:dyDescent="0.25">
      <c r="B882" s="63">
        <v>45369</v>
      </c>
      <c r="C882" s="63">
        <v>45370</v>
      </c>
      <c r="D882" s="63" t="s">
        <v>1672</v>
      </c>
      <c r="E882" s="63" t="s">
        <v>1673</v>
      </c>
      <c r="F882" s="66">
        <v>20.399277999999999</v>
      </c>
      <c r="G882" s="66">
        <v>20.399279</v>
      </c>
      <c r="H882" s="65">
        <v>20</v>
      </c>
      <c r="I882" s="67">
        <v>4.4416779999999996</v>
      </c>
      <c r="J882" s="67">
        <v>100.730003</v>
      </c>
      <c r="K882" s="67">
        <v>100.75</v>
      </c>
      <c r="L882" s="67">
        <v>100</v>
      </c>
      <c r="M882" s="67">
        <v>100.71</v>
      </c>
      <c r="N882" s="68">
        <v>2.0003E-2</v>
      </c>
    </row>
    <row r="883" spans="2:14" x14ac:dyDescent="0.25">
      <c r="B883" s="63">
        <v>45369</v>
      </c>
      <c r="C883" s="63">
        <v>45370</v>
      </c>
      <c r="D883" s="63" t="s">
        <v>1674</v>
      </c>
      <c r="E883" s="63" t="s">
        <v>1675</v>
      </c>
      <c r="F883" s="66">
        <v>12.661339</v>
      </c>
      <c r="G883" s="66">
        <v>12.661339</v>
      </c>
      <c r="H883" s="65">
        <v>15</v>
      </c>
      <c r="I883" s="67">
        <v>4.4832700000000001</v>
      </c>
      <c r="J883" s="67">
        <v>83.9</v>
      </c>
      <c r="K883" s="67">
        <v>83.9</v>
      </c>
      <c r="L883" s="67">
        <v>100</v>
      </c>
      <c r="M883" s="67">
        <v>83.9</v>
      </c>
      <c r="N883" s="68">
        <v>0</v>
      </c>
    </row>
    <row r="884" spans="2:14" x14ac:dyDescent="0.25">
      <c r="B884" s="63">
        <v>45376</v>
      </c>
      <c r="C884" s="63">
        <v>45377</v>
      </c>
      <c r="D884" s="64" t="s">
        <v>1676</v>
      </c>
      <c r="E884" s="64" t="s">
        <v>1677</v>
      </c>
      <c r="F884" s="65">
        <v>0</v>
      </c>
      <c r="G884" s="66">
        <v>0</v>
      </c>
      <c r="H884" s="65">
        <v>0</v>
      </c>
      <c r="I884" s="67">
        <v>0</v>
      </c>
      <c r="J884" s="67">
        <v>0</v>
      </c>
      <c r="K884" s="67">
        <v>0</v>
      </c>
      <c r="L884" s="68">
        <v>0</v>
      </c>
      <c r="M884" s="67">
        <v>0</v>
      </c>
      <c r="N884" s="68">
        <v>0</v>
      </c>
    </row>
    <row r="885" spans="2:14" x14ac:dyDescent="0.25">
      <c r="B885" s="63">
        <v>45376</v>
      </c>
      <c r="C885" s="63">
        <v>45377</v>
      </c>
      <c r="D885" s="64" t="s">
        <v>1678</v>
      </c>
      <c r="E885" s="64" t="s">
        <v>1679</v>
      </c>
      <c r="F885" s="65">
        <v>70.417096000000001</v>
      </c>
      <c r="G885" s="66">
        <v>0</v>
      </c>
      <c r="H885" s="65">
        <v>0</v>
      </c>
      <c r="I885" s="67">
        <v>0</v>
      </c>
      <c r="J885" s="67">
        <v>0</v>
      </c>
      <c r="K885" s="67">
        <v>0</v>
      </c>
      <c r="L885" s="68">
        <v>0</v>
      </c>
      <c r="M885" s="67">
        <v>0</v>
      </c>
      <c r="N885" s="68">
        <v>0</v>
      </c>
    </row>
    <row r="886" spans="2:14" x14ac:dyDescent="0.25">
      <c r="B886" s="63">
        <v>45376</v>
      </c>
      <c r="C886" s="63">
        <v>45377</v>
      </c>
      <c r="D886" s="64" t="s">
        <v>1680</v>
      </c>
      <c r="E886" s="64" t="s">
        <v>1681</v>
      </c>
      <c r="F886" s="65">
        <v>44.130144999999999</v>
      </c>
      <c r="G886" s="66">
        <v>0</v>
      </c>
      <c r="H886" s="65">
        <v>0</v>
      </c>
      <c r="I886" s="67">
        <v>0</v>
      </c>
      <c r="J886" s="67">
        <v>0</v>
      </c>
      <c r="K886" s="67">
        <v>0</v>
      </c>
      <c r="L886" s="68">
        <v>0</v>
      </c>
      <c r="M886" s="67">
        <v>0</v>
      </c>
      <c r="N886" s="68">
        <v>0</v>
      </c>
    </row>
    <row r="887" spans="2:14" x14ac:dyDescent="0.25">
      <c r="B887" s="63">
        <v>45376</v>
      </c>
      <c r="C887" s="63">
        <v>45377</v>
      </c>
      <c r="D887" s="64" t="s">
        <v>1682</v>
      </c>
      <c r="E887" s="64" t="s">
        <v>1683</v>
      </c>
      <c r="F887" s="65">
        <v>0</v>
      </c>
      <c r="G887" s="66">
        <v>0</v>
      </c>
      <c r="H887" s="65">
        <v>0</v>
      </c>
      <c r="I887" s="67">
        <v>0</v>
      </c>
      <c r="J887" s="67">
        <v>0</v>
      </c>
      <c r="K887" s="67">
        <v>0</v>
      </c>
      <c r="L887" s="68">
        <v>0</v>
      </c>
      <c r="M887" s="67">
        <v>0</v>
      </c>
      <c r="N887" s="68">
        <v>0</v>
      </c>
    </row>
    <row r="888" spans="2:14" x14ac:dyDescent="0.25">
      <c r="B888" s="63">
        <v>45376</v>
      </c>
      <c r="C888" s="63">
        <v>45377</v>
      </c>
      <c r="D888" s="64" t="s">
        <v>1684</v>
      </c>
      <c r="E888" s="64" t="s">
        <v>1685</v>
      </c>
      <c r="F888" s="65">
        <v>14.954423</v>
      </c>
      <c r="G888" s="66">
        <v>0</v>
      </c>
      <c r="H888" s="65">
        <v>0</v>
      </c>
      <c r="I888" s="67">
        <v>0</v>
      </c>
      <c r="J888" s="67">
        <v>0</v>
      </c>
      <c r="K888" s="67">
        <v>0</v>
      </c>
      <c r="L888" s="68">
        <v>0</v>
      </c>
      <c r="M888" s="67">
        <v>0</v>
      </c>
      <c r="N888" s="68">
        <v>0</v>
      </c>
    </row>
    <row r="889" spans="2:14" x14ac:dyDescent="0.25">
      <c r="B889" s="63">
        <v>45376</v>
      </c>
      <c r="C889" s="63">
        <v>45377</v>
      </c>
      <c r="D889" s="64" t="s">
        <v>1686</v>
      </c>
      <c r="E889" s="64" t="s">
        <v>1687</v>
      </c>
      <c r="F889" s="65">
        <v>39.068928</v>
      </c>
      <c r="G889" s="66">
        <v>0</v>
      </c>
      <c r="H889" s="65">
        <v>0</v>
      </c>
      <c r="I889" s="67">
        <v>0</v>
      </c>
      <c r="J889" s="67">
        <v>0</v>
      </c>
      <c r="K889" s="67">
        <v>0</v>
      </c>
      <c r="L889" s="68">
        <v>0</v>
      </c>
      <c r="M889" s="67">
        <v>0</v>
      </c>
      <c r="N889" s="68">
        <v>0</v>
      </c>
    </row>
    <row r="890" spans="2:14" x14ac:dyDescent="0.25">
      <c r="B890" s="63">
        <v>45376</v>
      </c>
      <c r="C890" s="63">
        <v>45377</v>
      </c>
      <c r="D890" s="64" t="s">
        <v>1688</v>
      </c>
      <c r="E890" s="64" t="s">
        <v>1689</v>
      </c>
      <c r="F890" s="65">
        <v>210.67790600000001</v>
      </c>
      <c r="G890" s="66">
        <v>140.50293770490799</v>
      </c>
      <c r="H890" s="65">
        <v>340</v>
      </c>
      <c r="I890" s="67">
        <v>4.414568</v>
      </c>
      <c r="J890" s="67">
        <v>41.058005000000001</v>
      </c>
      <c r="K890" s="67">
        <v>41.073</v>
      </c>
      <c r="L890" s="68">
        <v>100</v>
      </c>
      <c r="M890" s="67">
        <v>41.042999999999999</v>
      </c>
      <c r="N890" s="68">
        <v>1.5004999999999999E-2</v>
      </c>
    </row>
    <row r="891" spans="2:14" x14ac:dyDescent="0.25">
      <c r="B891" s="63">
        <v>45376</v>
      </c>
      <c r="C891" s="63">
        <v>45377</v>
      </c>
      <c r="D891" s="64" t="s">
        <v>1690</v>
      </c>
      <c r="E891" s="64" t="s">
        <v>1691</v>
      </c>
      <c r="F891" s="65">
        <v>29.773323999999999</v>
      </c>
      <c r="G891" s="66">
        <v>0</v>
      </c>
      <c r="H891" s="65">
        <v>0</v>
      </c>
      <c r="I891" s="67">
        <v>0</v>
      </c>
      <c r="J891" s="67">
        <v>0</v>
      </c>
      <c r="K891" s="67">
        <v>0</v>
      </c>
      <c r="L891" s="68">
        <v>0</v>
      </c>
      <c r="M891" s="67">
        <v>0</v>
      </c>
      <c r="N891" s="68">
        <v>0</v>
      </c>
    </row>
    <row r="892" spans="2:14" x14ac:dyDescent="0.25">
      <c r="B892" s="63">
        <v>45376</v>
      </c>
      <c r="C892" s="63">
        <v>45377</v>
      </c>
      <c r="D892" s="64" t="s">
        <v>1692</v>
      </c>
      <c r="E892" s="64" t="s">
        <v>1693</v>
      </c>
      <c r="F892" s="65">
        <v>17.791868000000001</v>
      </c>
      <c r="G892" s="66">
        <v>0</v>
      </c>
      <c r="H892" s="65">
        <v>0</v>
      </c>
      <c r="I892" s="67">
        <v>0</v>
      </c>
      <c r="J892" s="67">
        <v>0</v>
      </c>
      <c r="K892" s="67">
        <v>0</v>
      </c>
      <c r="L892" s="68">
        <v>0</v>
      </c>
      <c r="M892" s="67">
        <v>0</v>
      </c>
      <c r="N892" s="68">
        <v>0</v>
      </c>
    </row>
    <row r="893" spans="2:14" x14ac:dyDescent="0.25">
      <c r="B893" s="63">
        <v>45376</v>
      </c>
      <c r="C893" s="63">
        <v>45377</v>
      </c>
      <c r="D893" s="64" t="s">
        <v>1694</v>
      </c>
      <c r="E893" s="64" t="s">
        <v>1695</v>
      </c>
      <c r="F893" s="65">
        <v>0</v>
      </c>
      <c r="G893" s="66">
        <v>0</v>
      </c>
      <c r="H893" s="65">
        <v>0</v>
      </c>
      <c r="I893" s="67">
        <v>0</v>
      </c>
      <c r="J893" s="67">
        <v>0</v>
      </c>
      <c r="K893" s="67">
        <v>0</v>
      </c>
      <c r="L893" s="68">
        <v>0</v>
      </c>
      <c r="M893" s="67">
        <v>0</v>
      </c>
      <c r="N893" s="68">
        <v>0</v>
      </c>
    </row>
    <row r="894" spans="2:14" x14ac:dyDescent="0.25">
      <c r="B894" s="63">
        <v>45376</v>
      </c>
      <c r="C894" s="63">
        <v>45377</v>
      </c>
      <c r="D894" s="64" t="s">
        <v>1696</v>
      </c>
      <c r="E894" s="64" t="s">
        <v>1697</v>
      </c>
      <c r="F894" s="65">
        <v>188.89717999999999</v>
      </c>
      <c r="G894" s="66">
        <v>0</v>
      </c>
      <c r="H894" s="65">
        <v>0</v>
      </c>
      <c r="I894" s="67">
        <v>0</v>
      </c>
      <c r="J894" s="67">
        <v>0</v>
      </c>
      <c r="K894" s="67">
        <v>0</v>
      </c>
      <c r="L894" s="68">
        <v>0</v>
      </c>
      <c r="M894" s="67">
        <v>0</v>
      </c>
      <c r="N894" s="68">
        <v>0</v>
      </c>
    </row>
    <row r="895" spans="2:14" x14ac:dyDescent="0.25">
      <c r="B895" s="63">
        <v>45376</v>
      </c>
      <c r="C895" s="63">
        <v>45377</v>
      </c>
      <c r="D895" s="64" t="s">
        <v>1698</v>
      </c>
      <c r="E895" s="64" t="s">
        <v>1699</v>
      </c>
      <c r="F895" s="65">
        <v>0</v>
      </c>
      <c r="G895" s="66">
        <v>0</v>
      </c>
      <c r="H895" s="65">
        <v>0</v>
      </c>
      <c r="I895" s="67">
        <v>0</v>
      </c>
      <c r="J895" s="67">
        <v>0</v>
      </c>
      <c r="K895" s="67">
        <v>0</v>
      </c>
      <c r="L895" s="68">
        <v>0</v>
      </c>
      <c r="M895" s="67">
        <v>0</v>
      </c>
      <c r="N895" s="68">
        <v>0</v>
      </c>
    </row>
    <row r="896" spans="2:14" x14ac:dyDescent="0.25">
      <c r="B896" s="63">
        <v>45376</v>
      </c>
      <c r="C896" s="63">
        <v>45377</v>
      </c>
      <c r="D896" s="64" t="s">
        <v>1700</v>
      </c>
      <c r="E896" s="64" t="s">
        <v>1701</v>
      </c>
      <c r="F896" s="65">
        <v>0</v>
      </c>
      <c r="G896" s="66">
        <v>0</v>
      </c>
      <c r="H896" s="65">
        <v>0</v>
      </c>
      <c r="I896" s="67">
        <v>0</v>
      </c>
      <c r="J896" s="67">
        <v>0</v>
      </c>
      <c r="K896" s="67">
        <v>0</v>
      </c>
      <c r="L896" s="68">
        <v>0</v>
      </c>
      <c r="M896" s="67">
        <v>0</v>
      </c>
      <c r="N896" s="68">
        <v>0</v>
      </c>
    </row>
    <row r="897" spans="2:14" x14ac:dyDescent="0.25">
      <c r="B897" s="63">
        <v>45376</v>
      </c>
      <c r="C897" s="63">
        <v>45377</v>
      </c>
      <c r="D897" s="64" t="s">
        <v>1702</v>
      </c>
      <c r="E897" s="64" t="s">
        <v>1703</v>
      </c>
      <c r="F897" s="65">
        <v>11.176354999999999</v>
      </c>
      <c r="G897" s="66">
        <v>0</v>
      </c>
      <c r="H897" s="65">
        <v>0</v>
      </c>
      <c r="I897" s="67">
        <v>0</v>
      </c>
      <c r="J897" s="67">
        <v>0</v>
      </c>
      <c r="K897" s="67">
        <v>0</v>
      </c>
      <c r="L897" s="68">
        <v>0</v>
      </c>
      <c r="M897" s="67">
        <v>0</v>
      </c>
      <c r="N897" s="68">
        <v>0</v>
      </c>
    </row>
    <row r="898" spans="2:14" x14ac:dyDescent="0.25">
      <c r="B898" s="63">
        <v>45376</v>
      </c>
      <c r="C898" s="63">
        <v>45377</v>
      </c>
      <c r="D898" s="64" t="s">
        <v>1704</v>
      </c>
      <c r="E898" s="64" t="s">
        <v>1705</v>
      </c>
      <c r="F898" s="65">
        <v>356.70142099999998</v>
      </c>
      <c r="G898" s="66">
        <v>356.70142114755998</v>
      </c>
      <c r="H898" s="65">
        <v>1160</v>
      </c>
      <c r="I898" s="67">
        <v>4.1831170000000002</v>
      </c>
      <c r="J898" s="67">
        <v>30.537009000000001</v>
      </c>
      <c r="K898" s="67">
        <v>30.545999999999999</v>
      </c>
      <c r="L898" s="68">
        <v>100</v>
      </c>
      <c r="M898" s="67">
        <v>30.527999999999999</v>
      </c>
      <c r="N898" s="68">
        <v>9.0089999999999996E-3</v>
      </c>
    </row>
    <row r="899" spans="2:14" x14ac:dyDescent="0.25">
      <c r="B899" s="63">
        <v>45376</v>
      </c>
      <c r="C899" s="63">
        <v>45377</v>
      </c>
      <c r="D899" s="64" t="s">
        <v>1706</v>
      </c>
      <c r="E899" s="64" t="s">
        <v>1707</v>
      </c>
      <c r="F899" s="65">
        <v>3.2529780000000001</v>
      </c>
      <c r="G899" s="66">
        <v>0</v>
      </c>
      <c r="H899" s="65">
        <v>0</v>
      </c>
      <c r="I899" s="67">
        <v>0</v>
      </c>
      <c r="J899" s="67">
        <v>0</v>
      </c>
      <c r="K899" s="67">
        <v>0</v>
      </c>
      <c r="L899" s="68">
        <v>0</v>
      </c>
      <c r="M899" s="67">
        <v>0</v>
      </c>
      <c r="N899" s="68">
        <v>0</v>
      </c>
    </row>
    <row r="900" spans="2:14" x14ac:dyDescent="0.25">
      <c r="B900" s="63">
        <v>45376</v>
      </c>
      <c r="C900" s="63">
        <v>45377</v>
      </c>
      <c r="D900" s="64" t="s">
        <v>1708</v>
      </c>
      <c r="E900" s="64" t="s">
        <v>1709</v>
      </c>
      <c r="F900" s="65">
        <v>37.598872999999998</v>
      </c>
      <c r="G900" s="66">
        <v>0</v>
      </c>
      <c r="H900" s="65">
        <v>0</v>
      </c>
      <c r="I900" s="67">
        <v>0</v>
      </c>
      <c r="J900" s="67">
        <v>0</v>
      </c>
      <c r="K900" s="67">
        <v>0</v>
      </c>
      <c r="L900" s="68">
        <v>0</v>
      </c>
      <c r="M900" s="67">
        <v>0</v>
      </c>
      <c r="N900" s="68">
        <v>0</v>
      </c>
    </row>
    <row r="901" spans="2:14" x14ac:dyDescent="0.25">
      <c r="B901" s="63">
        <v>45376</v>
      </c>
      <c r="C901" s="63">
        <v>45377</v>
      </c>
      <c r="D901" s="64" t="s">
        <v>1710</v>
      </c>
      <c r="E901" s="64" t="s">
        <v>1711</v>
      </c>
      <c r="F901" s="65">
        <v>191.266491</v>
      </c>
      <c r="G901" s="66">
        <v>152.77894032787</v>
      </c>
      <c r="H901" s="65">
        <v>319.5</v>
      </c>
      <c r="I901" s="67">
        <v>4.2042780000000004</v>
      </c>
      <c r="J901" s="67">
        <v>47.125512000000001</v>
      </c>
      <c r="K901" s="67">
        <v>47.13</v>
      </c>
      <c r="L901" s="68">
        <v>59.75</v>
      </c>
      <c r="M901" s="67">
        <v>47.118000000000002</v>
      </c>
      <c r="N901" s="68">
        <v>7.5119999999999996E-3</v>
      </c>
    </row>
    <row r="902" spans="2:14" x14ac:dyDescent="0.25">
      <c r="B902" s="63">
        <v>45390</v>
      </c>
      <c r="C902" s="63">
        <v>45391</v>
      </c>
      <c r="D902" s="64" t="s">
        <v>1630</v>
      </c>
      <c r="E902" s="64" t="s">
        <v>1631</v>
      </c>
      <c r="F902" s="65">
        <v>341.42337800000001</v>
      </c>
      <c r="G902" s="66">
        <v>165.21724285714799</v>
      </c>
      <c r="H902" s="65">
        <v>180</v>
      </c>
      <c r="I902" s="67">
        <v>4.0311089999999998</v>
      </c>
      <c r="J902" s="67">
        <v>91.519499999999994</v>
      </c>
      <c r="K902" s="67">
        <v>91.525000000000006</v>
      </c>
      <c r="L902" s="68">
        <v>100</v>
      </c>
      <c r="M902" s="67">
        <v>91.516000000000005</v>
      </c>
      <c r="N902" s="68">
        <v>3.5000000000000001E-3</v>
      </c>
    </row>
    <row r="903" spans="2:14" x14ac:dyDescent="0.25">
      <c r="B903" s="63">
        <v>45390</v>
      </c>
      <c r="C903" s="63">
        <v>45391</v>
      </c>
      <c r="D903" s="64" t="s">
        <v>1632</v>
      </c>
      <c r="E903" s="64" t="s">
        <v>1633</v>
      </c>
      <c r="F903" s="65">
        <v>316.71966099999997</v>
      </c>
      <c r="G903" s="66">
        <v>0</v>
      </c>
      <c r="H903" s="65">
        <v>0</v>
      </c>
      <c r="I903" s="67">
        <v>0</v>
      </c>
      <c r="J903" s="67">
        <v>0</v>
      </c>
      <c r="K903" s="67">
        <v>0</v>
      </c>
      <c r="L903" s="68">
        <v>0</v>
      </c>
      <c r="M903" s="67">
        <v>0</v>
      </c>
      <c r="N903" s="68">
        <v>0</v>
      </c>
    </row>
    <row r="904" spans="2:14" x14ac:dyDescent="0.25">
      <c r="B904" s="63">
        <v>45390</v>
      </c>
      <c r="C904" s="63">
        <v>45391</v>
      </c>
      <c r="D904" s="64" t="s">
        <v>1634</v>
      </c>
      <c r="E904" s="64" t="s">
        <v>1635</v>
      </c>
      <c r="F904" s="65">
        <v>967.79685700000005</v>
      </c>
      <c r="G904" s="66">
        <v>594.33763502750799</v>
      </c>
      <c r="H904" s="65">
        <v>687</v>
      </c>
      <c r="I904" s="67">
        <v>3.9818410000000002</v>
      </c>
      <c r="J904" s="67">
        <v>86.488332999999997</v>
      </c>
      <c r="K904" s="67">
        <v>86.492000000000004</v>
      </c>
      <c r="L904" s="68">
        <v>100</v>
      </c>
      <c r="M904" s="67">
        <v>86.484999999999999</v>
      </c>
      <c r="N904" s="68">
        <v>3.333E-3</v>
      </c>
    </row>
    <row r="905" spans="2:14" x14ac:dyDescent="0.25">
      <c r="B905" s="63">
        <v>45390</v>
      </c>
      <c r="C905" s="63">
        <v>45391</v>
      </c>
      <c r="D905" s="64" t="s">
        <v>1636</v>
      </c>
      <c r="E905" s="64" t="s">
        <v>1637</v>
      </c>
      <c r="F905" s="65">
        <v>63.949846999999998</v>
      </c>
      <c r="G905" s="66">
        <v>0</v>
      </c>
      <c r="H905" s="65">
        <v>0</v>
      </c>
      <c r="I905" s="67">
        <v>0</v>
      </c>
      <c r="J905" s="67">
        <v>0</v>
      </c>
      <c r="K905" s="67">
        <v>0</v>
      </c>
      <c r="L905" s="68">
        <v>0</v>
      </c>
      <c r="M905" s="67">
        <v>0</v>
      </c>
      <c r="N905" s="68">
        <v>0</v>
      </c>
    </row>
    <row r="906" spans="2:14" x14ac:dyDescent="0.25">
      <c r="B906" s="63">
        <v>45390</v>
      </c>
      <c r="C906" s="63">
        <v>45391</v>
      </c>
      <c r="D906" s="64" t="s">
        <v>1638</v>
      </c>
      <c r="E906" s="64" t="s">
        <v>1639</v>
      </c>
      <c r="F906" s="65">
        <v>13.289134000000001</v>
      </c>
      <c r="G906" s="66">
        <v>0</v>
      </c>
      <c r="H906" s="65">
        <v>0</v>
      </c>
      <c r="I906" s="67">
        <v>0</v>
      </c>
      <c r="J906" s="67">
        <v>0</v>
      </c>
      <c r="K906" s="67">
        <v>0</v>
      </c>
      <c r="L906" s="68">
        <v>0</v>
      </c>
      <c r="M906" s="67">
        <v>0</v>
      </c>
      <c r="N906" s="68">
        <v>0</v>
      </c>
    </row>
    <row r="907" spans="2:14" x14ac:dyDescent="0.25">
      <c r="B907" s="63">
        <v>45390</v>
      </c>
      <c r="C907" s="63">
        <v>45391</v>
      </c>
      <c r="D907" s="64" t="s">
        <v>1668</v>
      </c>
      <c r="E907" s="64" t="s">
        <v>1669</v>
      </c>
      <c r="F907" s="65">
        <v>127.53216999999999</v>
      </c>
      <c r="G907" s="66">
        <v>0</v>
      </c>
      <c r="H907" s="65">
        <v>0</v>
      </c>
      <c r="I907" s="67">
        <v>0</v>
      </c>
      <c r="J907" s="67">
        <v>0</v>
      </c>
      <c r="K907" s="67">
        <v>0</v>
      </c>
      <c r="L907" s="68">
        <v>0</v>
      </c>
      <c r="M907" s="67">
        <v>0</v>
      </c>
      <c r="N907" s="68">
        <v>0</v>
      </c>
    </row>
    <row r="908" spans="2:14" x14ac:dyDescent="0.25">
      <c r="B908" s="63">
        <v>45390</v>
      </c>
      <c r="C908" s="63">
        <v>45391</v>
      </c>
      <c r="D908" s="64" t="s">
        <v>1640</v>
      </c>
      <c r="E908" s="64" t="s">
        <v>1641</v>
      </c>
      <c r="F908" s="65">
        <v>64.130565000000004</v>
      </c>
      <c r="G908" s="66">
        <v>40.445010021858998</v>
      </c>
      <c r="H908" s="65">
        <v>47.3</v>
      </c>
      <c r="I908" s="67">
        <v>3.8928889999999998</v>
      </c>
      <c r="J908" s="67">
        <v>85.100999999999999</v>
      </c>
      <c r="K908" s="67">
        <v>85.100999999999999</v>
      </c>
      <c r="L908" s="68">
        <v>63.066665999999998</v>
      </c>
      <c r="M908" s="67">
        <v>85.100999999999999</v>
      </c>
      <c r="N908" s="68">
        <v>0</v>
      </c>
    </row>
    <row r="909" spans="2:14" x14ac:dyDescent="0.25">
      <c r="B909" s="63">
        <v>45390</v>
      </c>
      <c r="C909" s="63">
        <v>45391</v>
      </c>
      <c r="D909" s="64" t="s">
        <v>1642</v>
      </c>
      <c r="E909" s="64" t="s">
        <v>1643</v>
      </c>
      <c r="F909" s="65">
        <v>0</v>
      </c>
      <c r="G909" s="66">
        <v>0</v>
      </c>
      <c r="H909" s="65">
        <v>0</v>
      </c>
      <c r="I909" s="67">
        <v>0</v>
      </c>
      <c r="J909" s="67">
        <v>0</v>
      </c>
      <c r="K909" s="67">
        <v>0</v>
      </c>
      <c r="L909" s="68">
        <v>0</v>
      </c>
      <c r="M909" s="67">
        <v>0</v>
      </c>
      <c r="N909" s="68">
        <v>0</v>
      </c>
    </row>
    <row r="910" spans="2:14" x14ac:dyDescent="0.25">
      <c r="B910" s="63">
        <v>45390</v>
      </c>
      <c r="C910" s="63">
        <v>45391</v>
      </c>
      <c r="D910" s="64" t="s">
        <v>1644</v>
      </c>
      <c r="E910" s="64" t="s">
        <v>1645</v>
      </c>
      <c r="F910" s="65">
        <v>10.647928</v>
      </c>
      <c r="G910" s="66">
        <v>0</v>
      </c>
      <c r="H910" s="65">
        <v>0</v>
      </c>
      <c r="I910" s="67">
        <v>0</v>
      </c>
      <c r="J910" s="67">
        <v>0</v>
      </c>
      <c r="K910" s="67">
        <v>0</v>
      </c>
      <c r="L910" s="68">
        <v>0</v>
      </c>
      <c r="M910" s="67">
        <v>0</v>
      </c>
      <c r="N910" s="68">
        <v>0</v>
      </c>
    </row>
    <row r="911" spans="2:14" x14ac:dyDescent="0.25">
      <c r="B911" s="63">
        <v>45397</v>
      </c>
      <c r="C911" s="63">
        <v>45398</v>
      </c>
      <c r="D911" s="64" t="s">
        <v>1676</v>
      </c>
      <c r="E911" s="64" t="s">
        <v>1677</v>
      </c>
      <c r="F911" s="65">
        <v>0</v>
      </c>
      <c r="G911" s="66">
        <v>0</v>
      </c>
      <c r="H911" s="65">
        <v>0</v>
      </c>
      <c r="I911" s="67">
        <v>0</v>
      </c>
      <c r="J911" s="67">
        <v>0</v>
      </c>
      <c r="K911" s="67">
        <v>0</v>
      </c>
      <c r="L911" s="68">
        <v>0</v>
      </c>
      <c r="M911" s="67">
        <v>0</v>
      </c>
      <c r="N911" s="68">
        <v>0</v>
      </c>
    </row>
    <row r="912" spans="2:14" x14ac:dyDescent="0.25">
      <c r="B912" s="63">
        <v>45397</v>
      </c>
      <c r="C912" s="63">
        <v>45398</v>
      </c>
      <c r="D912" s="64" t="s">
        <v>1678</v>
      </c>
      <c r="E912" s="64" t="s">
        <v>1679</v>
      </c>
      <c r="F912" s="65">
        <v>0</v>
      </c>
      <c r="G912" s="66">
        <v>0</v>
      </c>
      <c r="H912" s="65">
        <v>0</v>
      </c>
      <c r="I912" s="67">
        <v>0</v>
      </c>
      <c r="J912" s="67">
        <v>0</v>
      </c>
      <c r="K912" s="67">
        <v>0</v>
      </c>
      <c r="L912" s="68">
        <v>0</v>
      </c>
      <c r="M912" s="67">
        <v>0</v>
      </c>
      <c r="N912" s="68">
        <v>0</v>
      </c>
    </row>
    <row r="913" spans="2:14" x14ac:dyDescent="0.25">
      <c r="B913" s="63">
        <v>45397</v>
      </c>
      <c r="C913" s="63">
        <v>45398</v>
      </c>
      <c r="D913" s="64" t="s">
        <v>1680</v>
      </c>
      <c r="E913" s="64" t="s">
        <v>1681</v>
      </c>
      <c r="F913" s="65">
        <v>14.323676000000001</v>
      </c>
      <c r="G913" s="66">
        <v>0</v>
      </c>
      <c r="H913" s="65">
        <v>0</v>
      </c>
      <c r="I913" s="67">
        <v>0</v>
      </c>
      <c r="J913" s="67">
        <v>0</v>
      </c>
      <c r="K913" s="67">
        <v>0</v>
      </c>
      <c r="L913" s="68">
        <v>0</v>
      </c>
      <c r="M913" s="67">
        <v>0</v>
      </c>
      <c r="N913" s="68">
        <v>0</v>
      </c>
    </row>
    <row r="914" spans="2:14" x14ac:dyDescent="0.25">
      <c r="B914" s="63">
        <v>45397</v>
      </c>
      <c r="C914" s="63">
        <v>45398</v>
      </c>
      <c r="D914" s="64" t="s">
        <v>1682</v>
      </c>
      <c r="E914" s="64" t="s">
        <v>1683</v>
      </c>
      <c r="F914" s="65">
        <v>0</v>
      </c>
      <c r="G914" s="66">
        <v>0</v>
      </c>
      <c r="H914" s="65">
        <v>0</v>
      </c>
      <c r="I914" s="67">
        <v>0</v>
      </c>
      <c r="J914" s="67">
        <v>0</v>
      </c>
      <c r="K914" s="67">
        <v>0</v>
      </c>
      <c r="L914" s="68">
        <v>0</v>
      </c>
      <c r="M914" s="67">
        <v>0</v>
      </c>
      <c r="N914" s="68">
        <v>0</v>
      </c>
    </row>
    <row r="915" spans="2:14" x14ac:dyDescent="0.25">
      <c r="B915" s="63">
        <v>45397</v>
      </c>
      <c r="C915" s="63">
        <v>45398</v>
      </c>
      <c r="D915" s="64" t="s">
        <v>1684</v>
      </c>
      <c r="E915" s="64" t="s">
        <v>1685</v>
      </c>
      <c r="F915" s="65">
        <v>0</v>
      </c>
      <c r="G915" s="66">
        <v>0</v>
      </c>
      <c r="H915" s="65">
        <v>0</v>
      </c>
      <c r="I915" s="67">
        <v>0</v>
      </c>
      <c r="J915" s="67">
        <v>0</v>
      </c>
      <c r="K915" s="67">
        <v>0</v>
      </c>
      <c r="L915" s="68">
        <v>0</v>
      </c>
      <c r="M915" s="67">
        <v>0</v>
      </c>
      <c r="N915" s="68">
        <v>0</v>
      </c>
    </row>
    <row r="916" spans="2:14" x14ac:dyDescent="0.25">
      <c r="B916" s="63">
        <v>45397</v>
      </c>
      <c r="C916" s="63">
        <v>45398</v>
      </c>
      <c r="D916" s="64" t="s">
        <v>1686</v>
      </c>
      <c r="E916" s="64" t="s">
        <v>1687</v>
      </c>
      <c r="F916" s="65">
        <v>0</v>
      </c>
      <c r="G916" s="66">
        <v>0</v>
      </c>
      <c r="H916" s="65">
        <v>0</v>
      </c>
      <c r="I916" s="67">
        <v>0</v>
      </c>
      <c r="J916" s="67">
        <v>0</v>
      </c>
      <c r="K916" s="67">
        <v>0</v>
      </c>
      <c r="L916" s="68">
        <v>0</v>
      </c>
      <c r="M916" s="67">
        <v>0</v>
      </c>
      <c r="N916" s="68">
        <v>0</v>
      </c>
    </row>
    <row r="917" spans="2:14" x14ac:dyDescent="0.25">
      <c r="B917" s="63">
        <v>45397</v>
      </c>
      <c r="C917" s="63">
        <v>45398</v>
      </c>
      <c r="D917" s="64" t="s">
        <v>1688</v>
      </c>
      <c r="E917" s="64" t="s">
        <v>1689</v>
      </c>
      <c r="F917" s="65">
        <v>222.13531</v>
      </c>
      <c r="G917" s="66">
        <v>212.34287213114399</v>
      </c>
      <c r="H917" s="65">
        <v>540</v>
      </c>
      <c r="I917" s="67">
        <v>4.6145079999999998</v>
      </c>
      <c r="J917" s="67">
        <v>39.332999999999998</v>
      </c>
      <c r="K917" s="67">
        <v>39.332999999999998</v>
      </c>
      <c r="L917" s="68">
        <v>100</v>
      </c>
      <c r="M917" s="67">
        <v>39.332999999999998</v>
      </c>
      <c r="N917" s="68">
        <v>0</v>
      </c>
    </row>
    <row r="918" spans="2:14" x14ac:dyDescent="0.25">
      <c r="B918" s="63">
        <v>45397</v>
      </c>
      <c r="C918" s="63">
        <v>45398</v>
      </c>
      <c r="D918" s="64" t="s">
        <v>1690</v>
      </c>
      <c r="E918" s="64" t="s">
        <v>1691</v>
      </c>
      <c r="F918" s="65">
        <v>0</v>
      </c>
      <c r="G918" s="66">
        <v>0</v>
      </c>
      <c r="H918" s="65">
        <v>0</v>
      </c>
      <c r="I918" s="67">
        <v>0</v>
      </c>
      <c r="J918" s="67">
        <v>0</v>
      </c>
      <c r="K918" s="67">
        <v>0</v>
      </c>
      <c r="L918" s="68">
        <v>0</v>
      </c>
      <c r="M918" s="67">
        <v>0</v>
      </c>
      <c r="N918" s="68">
        <v>0</v>
      </c>
    </row>
    <row r="919" spans="2:14" x14ac:dyDescent="0.25">
      <c r="B919" s="63">
        <v>45397</v>
      </c>
      <c r="C919" s="63">
        <v>45398</v>
      </c>
      <c r="D919" s="64" t="s">
        <v>1692</v>
      </c>
      <c r="E919" s="64" t="s">
        <v>1693</v>
      </c>
      <c r="F919" s="65">
        <v>0</v>
      </c>
      <c r="G919" s="66">
        <v>0</v>
      </c>
      <c r="H919" s="65">
        <v>0</v>
      </c>
      <c r="I919" s="67">
        <v>0</v>
      </c>
      <c r="J919" s="67">
        <v>0</v>
      </c>
      <c r="K919" s="67">
        <v>0</v>
      </c>
      <c r="L919" s="68">
        <v>0</v>
      </c>
      <c r="M919" s="67">
        <v>0</v>
      </c>
      <c r="N919" s="68">
        <v>0</v>
      </c>
    </row>
    <row r="920" spans="2:14" x14ac:dyDescent="0.25">
      <c r="B920" s="63">
        <v>45397</v>
      </c>
      <c r="C920" s="63">
        <v>45398</v>
      </c>
      <c r="D920" s="64" t="s">
        <v>1694</v>
      </c>
      <c r="E920" s="64" t="s">
        <v>1695</v>
      </c>
      <c r="F920" s="65">
        <v>0</v>
      </c>
      <c r="G920" s="66">
        <v>0</v>
      </c>
      <c r="H920" s="65">
        <v>0</v>
      </c>
      <c r="I920" s="67">
        <v>0</v>
      </c>
      <c r="J920" s="67">
        <v>0</v>
      </c>
      <c r="K920" s="67">
        <v>0</v>
      </c>
      <c r="L920" s="68">
        <v>0</v>
      </c>
      <c r="M920" s="67">
        <v>0</v>
      </c>
      <c r="N920" s="68">
        <v>0</v>
      </c>
    </row>
    <row r="921" spans="2:14" x14ac:dyDescent="0.25">
      <c r="B921" s="63">
        <v>45397</v>
      </c>
      <c r="C921" s="63">
        <v>45398</v>
      </c>
      <c r="D921" s="64" t="s">
        <v>1696</v>
      </c>
      <c r="E921" s="64" t="s">
        <v>1697</v>
      </c>
      <c r="F921" s="65">
        <v>0</v>
      </c>
      <c r="G921" s="66">
        <v>0</v>
      </c>
      <c r="H921" s="65">
        <v>0</v>
      </c>
      <c r="I921" s="67">
        <v>0</v>
      </c>
      <c r="J921" s="67">
        <v>0</v>
      </c>
      <c r="K921" s="67">
        <v>0</v>
      </c>
      <c r="L921" s="68">
        <v>0</v>
      </c>
      <c r="M921" s="67">
        <v>0</v>
      </c>
      <c r="N921" s="68">
        <v>0</v>
      </c>
    </row>
    <row r="922" spans="2:14" x14ac:dyDescent="0.25">
      <c r="B922" s="63">
        <v>45397</v>
      </c>
      <c r="C922" s="63">
        <v>45398</v>
      </c>
      <c r="D922" s="64" t="s">
        <v>1698</v>
      </c>
      <c r="E922" s="64" t="s">
        <v>1699</v>
      </c>
      <c r="F922" s="65">
        <v>0</v>
      </c>
      <c r="G922" s="66">
        <v>0</v>
      </c>
      <c r="H922" s="65">
        <v>0</v>
      </c>
      <c r="I922" s="67">
        <v>0</v>
      </c>
      <c r="J922" s="67">
        <v>0</v>
      </c>
      <c r="K922" s="67">
        <v>0</v>
      </c>
      <c r="L922" s="68">
        <v>0</v>
      </c>
      <c r="M922" s="67">
        <v>0</v>
      </c>
      <c r="N922" s="68">
        <v>0</v>
      </c>
    </row>
    <row r="923" spans="2:14" x14ac:dyDescent="0.25">
      <c r="B923" s="63">
        <v>45397</v>
      </c>
      <c r="C923" s="63">
        <v>45398</v>
      </c>
      <c r="D923" s="64" t="s">
        <v>1700</v>
      </c>
      <c r="E923" s="64" t="s">
        <v>1701</v>
      </c>
      <c r="F923" s="65">
        <v>0</v>
      </c>
      <c r="G923" s="66">
        <v>0</v>
      </c>
      <c r="H923" s="65">
        <v>0</v>
      </c>
      <c r="I923" s="67">
        <v>0</v>
      </c>
      <c r="J923" s="67">
        <v>0</v>
      </c>
      <c r="K923" s="67">
        <v>0</v>
      </c>
      <c r="L923" s="68">
        <v>0</v>
      </c>
      <c r="M923" s="67">
        <v>0</v>
      </c>
      <c r="N923" s="68">
        <v>0</v>
      </c>
    </row>
    <row r="924" spans="2:14" x14ac:dyDescent="0.25">
      <c r="B924" s="63">
        <v>45397</v>
      </c>
      <c r="C924" s="63">
        <v>45398</v>
      </c>
      <c r="D924" s="64" t="s">
        <v>1702</v>
      </c>
      <c r="E924" s="64" t="s">
        <v>1703</v>
      </c>
      <c r="F924" s="65">
        <v>0</v>
      </c>
      <c r="G924" s="66">
        <v>0</v>
      </c>
      <c r="H924" s="65">
        <v>0</v>
      </c>
      <c r="I924" s="67">
        <v>0</v>
      </c>
      <c r="J924" s="67">
        <v>0</v>
      </c>
      <c r="K924" s="67">
        <v>0</v>
      </c>
      <c r="L924" s="68">
        <v>0</v>
      </c>
      <c r="M924" s="67">
        <v>0</v>
      </c>
      <c r="N924" s="68">
        <v>0</v>
      </c>
    </row>
    <row r="925" spans="2:14" x14ac:dyDescent="0.25">
      <c r="B925" s="63">
        <v>45397</v>
      </c>
      <c r="C925" s="63">
        <v>45398</v>
      </c>
      <c r="D925" s="64" t="s">
        <v>1704</v>
      </c>
      <c r="E925" s="64" t="s">
        <v>1705</v>
      </c>
      <c r="F925" s="65">
        <v>177.88253</v>
      </c>
      <c r="G925" s="66">
        <v>49.031265573774</v>
      </c>
      <c r="H925" s="65">
        <v>170</v>
      </c>
      <c r="I925" s="67">
        <v>4.380045</v>
      </c>
      <c r="J925" s="67">
        <v>28.850118999999999</v>
      </c>
      <c r="K925" s="67">
        <v>28.855</v>
      </c>
      <c r="L925" s="68">
        <v>100</v>
      </c>
      <c r="M925" s="67">
        <v>28.84</v>
      </c>
      <c r="N925" s="68">
        <v>1.0119E-2</v>
      </c>
    </row>
    <row r="926" spans="2:14" x14ac:dyDescent="0.25">
      <c r="B926" s="63">
        <v>45397</v>
      </c>
      <c r="C926" s="63">
        <v>45398</v>
      </c>
      <c r="D926" s="64" t="s">
        <v>1706</v>
      </c>
      <c r="E926" s="64" t="s">
        <v>1707</v>
      </c>
      <c r="F926" s="65">
        <v>0</v>
      </c>
      <c r="G926" s="66">
        <v>0</v>
      </c>
      <c r="H926" s="65">
        <v>0</v>
      </c>
      <c r="I926" s="67">
        <v>0</v>
      </c>
      <c r="J926" s="67">
        <v>0</v>
      </c>
      <c r="K926" s="67">
        <v>0</v>
      </c>
      <c r="L926" s="68">
        <v>0</v>
      </c>
      <c r="M926" s="67">
        <v>0</v>
      </c>
      <c r="N926" s="68">
        <v>0</v>
      </c>
    </row>
    <row r="927" spans="2:14" x14ac:dyDescent="0.25">
      <c r="B927" s="63">
        <v>45397</v>
      </c>
      <c r="C927" s="63">
        <v>45398</v>
      </c>
      <c r="D927" s="64" t="s">
        <v>1708</v>
      </c>
      <c r="E927" s="64" t="s">
        <v>1709</v>
      </c>
      <c r="F927" s="65">
        <v>8.0965299999999996</v>
      </c>
      <c r="G927" s="66">
        <v>0</v>
      </c>
      <c r="H927" s="65">
        <v>0</v>
      </c>
      <c r="I927" s="67">
        <v>0</v>
      </c>
      <c r="J927" s="67">
        <v>0</v>
      </c>
      <c r="K927" s="67">
        <v>0</v>
      </c>
      <c r="L927" s="68">
        <v>0</v>
      </c>
      <c r="M927" s="67">
        <v>0</v>
      </c>
      <c r="N927" s="68">
        <v>0</v>
      </c>
    </row>
    <row r="928" spans="2:14" x14ac:dyDescent="0.25">
      <c r="B928" s="63">
        <v>45397</v>
      </c>
      <c r="C928" s="63">
        <v>45398</v>
      </c>
      <c r="D928" s="64" t="s">
        <v>1710</v>
      </c>
      <c r="E928" s="64" t="s">
        <v>1711</v>
      </c>
      <c r="F928" s="65">
        <v>487.12872299999998</v>
      </c>
      <c r="G928" s="66">
        <v>338.62054127870601</v>
      </c>
      <c r="H928" s="65">
        <v>756.2</v>
      </c>
      <c r="I928" s="67">
        <v>4.4090769999999999</v>
      </c>
      <c r="J928" s="67">
        <v>44.805871000000003</v>
      </c>
      <c r="K928" s="67">
        <v>44.816000000000003</v>
      </c>
      <c r="L928" s="68">
        <v>78.014705000000006</v>
      </c>
      <c r="M928" s="67">
        <v>44.793999999999997</v>
      </c>
      <c r="N928" s="68">
        <v>1.1871E-2</v>
      </c>
    </row>
    <row r="929" spans="2:14" x14ac:dyDescent="0.25">
      <c r="B929" s="63">
        <v>45404</v>
      </c>
      <c r="C929" s="63">
        <v>45405</v>
      </c>
      <c r="D929" s="64" t="s">
        <v>1630</v>
      </c>
      <c r="E929" s="64" t="s">
        <v>1631</v>
      </c>
      <c r="F929" s="65">
        <v>288.15169200000003</v>
      </c>
      <c r="G929" s="66">
        <v>0</v>
      </c>
      <c r="H929" s="65">
        <v>0</v>
      </c>
      <c r="I929" s="67">
        <v>0</v>
      </c>
      <c r="J929" s="67">
        <v>0</v>
      </c>
      <c r="K929" s="67">
        <v>0</v>
      </c>
      <c r="L929" s="68">
        <v>0</v>
      </c>
      <c r="M929" s="67">
        <v>0</v>
      </c>
      <c r="N929" s="68">
        <v>0</v>
      </c>
    </row>
    <row r="930" spans="2:14" x14ac:dyDescent="0.25">
      <c r="B930" s="63">
        <v>45404</v>
      </c>
      <c r="C930" s="63">
        <v>45405</v>
      </c>
      <c r="D930" s="64" t="s">
        <v>1632</v>
      </c>
      <c r="E930" s="64" t="s">
        <v>1633</v>
      </c>
      <c r="F930" s="65">
        <v>0</v>
      </c>
      <c r="G930" s="66">
        <v>0</v>
      </c>
      <c r="H930" s="65">
        <v>0</v>
      </c>
      <c r="I930" s="67">
        <v>0</v>
      </c>
      <c r="J930" s="67">
        <v>0</v>
      </c>
      <c r="K930" s="67">
        <v>0</v>
      </c>
      <c r="L930" s="68">
        <v>0</v>
      </c>
      <c r="M930" s="67">
        <v>0</v>
      </c>
      <c r="N930" s="68">
        <v>0</v>
      </c>
    </row>
    <row r="931" spans="2:14" x14ac:dyDescent="0.25">
      <c r="B931" s="63">
        <v>45404</v>
      </c>
      <c r="C931" s="63">
        <v>45405</v>
      </c>
      <c r="D931" s="64" t="s">
        <v>1634</v>
      </c>
      <c r="E931" s="64" t="s">
        <v>1635</v>
      </c>
      <c r="F931" s="65">
        <v>1168.8779420000001</v>
      </c>
      <c r="G931" s="66">
        <v>633.25486418679498</v>
      </c>
      <c r="H931" s="65">
        <v>734.8</v>
      </c>
      <c r="I931" s="67">
        <v>4.1270600000000002</v>
      </c>
      <c r="J931" s="67">
        <v>86.152072000000004</v>
      </c>
      <c r="K931" s="67">
        <v>86.156000000000006</v>
      </c>
      <c r="L931" s="68">
        <v>66.288208999999995</v>
      </c>
      <c r="M931" s="67">
        <v>86.147000000000006</v>
      </c>
      <c r="N931" s="68">
        <v>5.0720000000000001E-3</v>
      </c>
    </row>
    <row r="932" spans="2:14" x14ac:dyDescent="0.25">
      <c r="B932" s="63">
        <v>45404</v>
      </c>
      <c r="C932" s="63">
        <v>45405</v>
      </c>
      <c r="D932" s="64" t="s">
        <v>1636</v>
      </c>
      <c r="E932" s="64" t="s">
        <v>1637</v>
      </c>
      <c r="F932" s="65">
        <v>13.506164999999999</v>
      </c>
      <c r="G932" s="66">
        <v>0</v>
      </c>
      <c r="H932" s="65">
        <v>0</v>
      </c>
      <c r="I932" s="67">
        <v>0</v>
      </c>
      <c r="J932" s="67">
        <v>0</v>
      </c>
      <c r="K932" s="67">
        <v>0</v>
      </c>
      <c r="L932" s="68">
        <v>0</v>
      </c>
      <c r="M932" s="67">
        <v>0</v>
      </c>
      <c r="N932" s="68">
        <v>0</v>
      </c>
    </row>
    <row r="933" spans="2:14" x14ac:dyDescent="0.25">
      <c r="B933" s="63">
        <v>45404</v>
      </c>
      <c r="C933" s="63">
        <v>45405</v>
      </c>
      <c r="D933" s="64" t="s">
        <v>1638</v>
      </c>
      <c r="E933" s="64" t="s">
        <v>1639</v>
      </c>
      <c r="F933" s="65">
        <v>55.093646999999997</v>
      </c>
      <c r="G933" s="66">
        <v>0</v>
      </c>
      <c r="H933" s="65">
        <v>0</v>
      </c>
      <c r="I933" s="67">
        <v>0</v>
      </c>
      <c r="J933" s="67">
        <v>0</v>
      </c>
      <c r="K933" s="67">
        <v>0</v>
      </c>
      <c r="L933" s="68">
        <v>0</v>
      </c>
      <c r="M933" s="67">
        <v>0</v>
      </c>
      <c r="N933" s="68">
        <v>0</v>
      </c>
    </row>
    <row r="934" spans="2:14" x14ac:dyDescent="0.25">
      <c r="B934" s="63">
        <v>45404</v>
      </c>
      <c r="C934" s="63">
        <v>45405</v>
      </c>
      <c r="D934" s="64" t="s">
        <v>1668</v>
      </c>
      <c r="E934" s="64" t="s">
        <v>1669</v>
      </c>
      <c r="F934" s="65">
        <v>232.79353</v>
      </c>
      <c r="G934" s="66">
        <v>0</v>
      </c>
      <c r="H934" s="65">
        <v>0</v>
      </c>
      <c r="I934" s="67">
        <v>0</v>
      </c>
      <c r="J934" s="67">
        <v>0</v>
      </c>
      <c r="K934" s="67">
        <v>0</v>
      </c>
      <c r="L934" s="68">
        <v>0</v>
      </c>
      <c r="M934" s="67">
        <v>0</v>
      </c>
      <c r="N934" s="68">
        <v>0</v>
      </c>
    </row>
    <row r="935" spans="2:14" x14ac:dyDescent="0.25">
      <c r="B935" s="63">
        <v>45404</v>
      </c>
      <c r="C935" s="63">
        <v>45405</v>
      </c>
      <c r="D935" s="64" t="s">
        <v>1640</v>
      </c>
      <c r="E935" s="64" t="s">
        <v>1641</v>
      </c>
      <c r="F935" s="65">
        <v>0</v>
      </c>
      <c r="G935" s="66">
        <v>0</v>
      </c>
      <c r="H935" s="65">
        <v>0</v>
      </c>
      <c r="I935" s="67">
        <v>0</v>
      </c>
      <c r="J935" s="67">
        <v>0</v>
      </c>
      <c r="K935" s="67">
        <v>0</v>
      </c>
      <c r="L935" s="68">
        <v>0</v>
      </c>
      <c r="M935" s="67">
        <v>0</v>
      </c>
      <c r="N935" s="68">
        <v>0</v>
      </c>
    </row>
    <row r="936" spans="2:14" x14ac:dyDescent="0.25">
      <c r="B936" s="63">
        <v>45404</v>
      </c>
      <c r="C936" s="63">
        <v>45405</v>
      </c>
      <c r="D936" s="64" t="s">
        <v>1642</v>
      </c>
      <c r="E936" s="64" t="s">
        <v>1643</v>
      </c>
      <c r="F936" s="65">
        <v>23.764206999999999</v>
      </c>
      <c r="G936" s="66">
        <v>7.9234024590159997</v>
      </c>
      <c r="H936" s="65">
        <v>10</v>
      </c>
      <c r="I936" s="67">
        <v>4.0412299999999997</v>
      </c>
      <c r="J936" s="67">
        <v>79.233000000000004</v>
      </c>
      <c r="K936" s="67">
        <v>79.233000000000004</v>
      </c>
      <c r="L936" s="68">
        <v>100</v>
      </c>
      <c r="M936" s="67">
        <v>79.233000000000004</v>
      </c>
      <c r="N936" s="68">
        <v>0</v>
      </c>
    </row>
    <row r="937" spans="2:14" x14ac:dyDescent="0.25">
      <c r="B937" s="63">
        <v>45404</v>
      </c>
      <c r="C937" s="63">
        <v>45405</v>
      </c>
      <c r="D937" s="64" t="s">
        <v>1644</v>
      </c>
      <c r="E937" s="64" t="s">
        <v>1645</v>
      </c>
      <c r="F937" s="65">
        <v>158.74697499999999</v>
      </c>
      <c r="G937" s="66">
        <v>158.74697540983999</v>
      </c>
      <c r="H937" s="65">
        <v>150</v>
      </c>
      <c r="I937" s="67">
        <v>4.0476470000000004</v>
      </c>
      <c r="J937" s="67">
        <v>104.040334</v>
      </c>
      <c r="K937" s="67">
        <v>104.05200000000001</v>
      </c>
      <c r="L937" s="68">
        <v>100</v>
      </c>
      <c r="M937" s="67">
        <v>104.02800000000001</v>
      </c>
      <c r="N937" s="68">
        <v>1.2333999999999999E-2</v>
      </c>
    </row>
    <row r="938" spans="2:14" x14ac:dyDescent="0.25">
      <c r="B938" s="63">
        <v>45411</v>
      </c>
      <c r="C938" s="63">
        <v>45412</v>
      </c>
      <c r="D938" s="64" t="s">
        <v>1646</v>
      </c>
      <c r="E938" s="64" t="s">
        <v>1647</v>
      </c>
      <c r="F938" s="65">
        <v>18.920452999999998</v>
      </c>
      <c r="G938" s="66">
        <v>0</v>
      </c>
      <c r="H938" s="65">
        <v>0</v>
      </c>
      <c r="I938" s="67">
        <v>0</v>
      </c>
      <c r="J938" s="67">
        <v>0</v>
      </c>
      <c r="K938" s="67">
        <v>0</v>
      </c>
      <c r="L938" s="68">
        <v>0</v>
      </c>
      <c r="M938" s="67">
        <v>0</v>
      </c>
      <c r="N938" s="68">
        <v>0</v>
      </c>
    </row>
    <row r="939" spans="2:14" x14ac:dyDescent="0.25">
      <c r="B939" s="63">
        <v>45411</v>
      </c>
      <c r="C939" s="63">
        <v>45412</v>
      </c>
      <c r="D939" s="64" t="s">
        <v>1648</v>
      </c>
      <c r="E939" s="64" t="s">
        <v>1649</v>
      </c>
      <c r="F939" s="65">
        <v>0</v>
      </c>
      <c r="G939" s="66">
        <v>0</v>
      </c>
      <c r="H939" s="65">
        <v>0</v>
      </c>
      <c r="I939" s="67">
        <v>0</v>
      </c>
      <c r="J939" s="67">
        <v>0</v>
      </c>
      <c r="K939" s="67">
        <v>0</v>
      </c>
      <c r="L939" s="68">
        <v>0</v>
      </c>
      <c r="M939" s="67">
        <v>0</v>
      </c>
      <c r="N939" s="68">
        <v>0</v>
      </c>
    </row>
    <row r="940" spans="2:14" x14ac:dyDescent="0.25">
      <c r="B940" s="63">
        <v>45411</v>
      </c>
      <c r="C940" s="63">
        <v>45412</v>
      </c>
      <c r="D940" s="64" t="s">
        <v>1670</v>
      </c>
      <c r="E940" s="64" t="s">
        <v>1671</v>
      </c>
      <c r="F940" s="65">
        <v>222.87403800000001</v>
      </c>
      <c r="G940" s="66">
        <v>37.258172999999999</v>
      </c>
      <c r="H940" s="65">
        <v>50</v>
      </c>
      <c r="I940" s="67">
        <v>4.2656390000000002</v>
      </c>
      <c r="J940" s="67">
        <v>74.3</v>
      </c>
      <c r="K940" s="67">
        <v>74.3</v>
      </c>
      <c r="L940" s="68">
        <v>100</v>
      </c>
      <c r="M940" s="67">
        <v>74.3</v>
      </c>
      <c r="N940" s="68">
        <v>0</v>
      </c>
    </row>
    <row r="941" spans="2:14" x14ac:dyDescent="0.25">
      <c r="B941" s="63">
        <v>45411</v>
      </c>
      <c r="C941" s="63">
        <v>45412</v>
      </c>
      <c r="D941" s="64" t="s">
        <v>1650</v>
      </c>
      <c r="E941" s="64" t="s">
        <v>1651</v>
      </c>
      <c r="F941" s="65">
        <v>20.405664999999999</v>
      </c>
      <c r="G941" s="66">
        <v>10.204333</v>
      </c>
      <c r="H941" s="65">
        <v>10</v>
      </c>
      <c r="I941" s="67">
        <v>4.3322079999999996</v>
      </c>
      <c r="J941" s="67">
        <v>101.383</v>
      </c>
      <c r="K941" s="67">
        <v>101.383</v>
      </c>
      <c r="L941" s="68">
        <v>100</v>
      </c>
      <c r="M941" s="67">
        <v>101.383</v>
      </c>
      <c r="N941" s="68">
        <v>0</v>
      </c>
    </row>
    <row r="942" spans="2:14" x14ac:dyDescent="0.25">
      <c r="B942" s="63">
        <v>45411</v>
      </c>
      <c r="C942" s="63">
        <v>45412</v>
      </c>
      <c r="D942" s="64" t="s">
        <v>1652</v>
      </c>
      <c r="E942" s="64" t="s">
        <v>1653</v>
      </c>
      <c r="F942" s="65">
        <v>329.43135599999999</v>
      </c>
      <c r="G942" s="66">
        <v>100.803799</v>
      </c>
      <c r="H942" s="65">
        <v>150</v>
      </c>
      <c r="I942" s="67">
        <v>4.3616159999999997</v>
      </c>
      <c r="J942" s="67">
        <v>67.048000000000002</v>
      </c>
      <c r="K942" s="67">
        <v>67.048000000000002</v>
      </c>
      <c r="L942" s="68">
        <v>100</v>
      </c>
      <c r="M942" s="67">
        <v>67.048000000000002</v>
      </c>
      <c r="N942" s="68">
        <v>0</v>
      </c>
    </row>
    <row r="943" spans="2:14" x14ac:dyDescent="0.25">
      <c r="B943" s="63">
        <v>45411</v>
      </c>
      <c r="C943" s="63">
        <v>45412</v>
      </c>
      <c r="D943" s="64" t="s">
        <v>1654</v>
      </c>
      <c r="E943" s="64" t="s">
        <v>1655</v>
      </c>
      <c r="F943" s="65">
        <v>776.49985100000004</v>
      </c>
      <c r="G943" s="66">
        <v>595.15884800000003</v>
      </c>
      <c r="H943" s="65">
        <v>600</v>
      </c>
      <c r="I943" s="67">
        <v>4.405697</v>
      </c>
      <c r="J943" s="67">
        <v>98.569501000000002</v>
      </c>
      <c r="K943" s="67">
        <v>98.582999999999998</v>
      </c>
      <c r="L943" s="68">
        <v>100</v>
      </c>
      <c r="M943" s="67">
        <v>98.555999999999997</v>
      </c>
      <c r="N943" s="68">
        <v>1.3501000000000001E-2</v>
      </c>
    </row>
    <row r="944" spans="2:14" x14ac:dyDescent="0.25">
      <c r="B944" s="63">
        <v>45411</v>
      </c>
      <c r="C944" s="63">
        <v>45412</v>
      </c>
      <c r="D944" s="64" t="s">
        <v>1656</v>
      </c>
      <c r="E944" s="64" t="s">
        <v>1657</v>
      </c>
      <c r="F944" s="65">
        <v>98.476220999999995</v>
      </c>
      <c r="G944" s="66">
        <v>6.5717809999999997</v>
      </c>
      <c r="H944" s="65">
        <v>9</v>
      </c>
      <c r="I944" s="67">
        <v>4.4826490000000003</v>
      </c>
      <c r="J944" s="67">
        <v>72.763000000000005</v>
      </c>
      <c r="K944" s="67">
        <v>72.763000000000005</v>
      </c>
      <c r="L944" s="68">
        <v>89.999999000000003</v>
      </c>
      <c r="M944" s="67">
        <v>72.763000000000005</v>
      </c>
      <c r="N944" s="68">
        <v>0</v>
      </c>
    </row>
    <row r="945" spans="2:14" x14ac:dyDescent="0.25">
      <c r="B945" s="63">
        <v>45411</v>
      </c>
      <c r="C945" s="63">
        <v>45412</v>
      </c>
      <c r="D945" s="64" t="s">
        <v>1658</v>
      </c>
      <c r="E945" s="64" t="s">
        <v>1659</v>
      </c>
      <c r="F945" s="65">
        <v>20.804366000000002</v>
      </c>
      <c r="G945" s="66">
        <v>0</v>
      </c>
      <c r="H945" s="65">
        <v>0</v>
      </c>
      <c r="I945" s="67">
        <v>0</v>
      </c>
      <c r="J945" s="67">
        <v>0</v>
      </c>
      <c r="K945" s="67">
        <v>0</v>
      </c>
      <c r="L945" s="68">
        <v>0</v>
      </c>
      <c r="M945" s="67">
        <v>0</v>
      </c>
      <c r="N945" s="68">
        <v>0</v>
      </c>
    </row>
    <row r="946" spans="2:14" x14ac:dyDescent="0.25">
      <c r="B946" s="63">
        <v>45411</v>
      </c>
      <c r="C946" s="63">
        <v>45412</v>
      </c>
      <c r="D946" s="64" t="s">
        <v>1660</v>
      </c>
      <c r="E946" s="64" t="s">
        <v>1661</v>
      </c>
      <c r="F946" s="65">
        <v>0</v>
      </c>
      <c r="G946" s="66">
        <v>0</v>
      </c>
      <c r="H946" s="65">
        <v>0</v>
      </c>
      <c r="I946" s="67">
        <v>0</v>
      </c>
      <c r="J946" s="67">
        <v>0</v>
      </c>
      <c r="K946" s="67">
        <v>0</v>
      </c>
      <c r="L946" s="68">
        <v>0</v>
      </c>
      <c r="M946" s="67">
        <v>0</v>
      </c>
      <c r="N946" s="68">
        <v>0</v>
      </c>
    </row>
    <row r="947" spans="2:14" x14ac:dyDescent="0.25">
      <c r="B947" s="63">
        <v>45411</v>
      </c>
      <c r="C947" s="63">
        <v>45412</v>
      </c>
      <c r="D947" s="64" t="s">
        <v>1662</v>
      </c>
      <c r="E947" s="64" t="s">
        <v>1663</v>
      </c>
      <c r="F947" s="65">
        <v>0</v>
      </c>
      <c r="G947" s="65">
        <v>0</v>
      </c>
      <c r="H947" s="65">
        <v>0</v>
      </c>
      <c r="I947" s="67">
        <v>0</v>
      </c>
      <c r="J947" s="67">
        <v>0</v>
      </c>
      <c r="K947" s="67">
        <v>0</v>
      </c>
      <c r="L947" s="68">
        <v>0</v>
      </c>
      <c r="M947" s="67">
        <v>0</v>
      </c>
      <c r="N947" s="68">
        <v>0</v>
      </c>
    </row>
    <row r="948" spans="2:14" x14ac:dyDescent="0.25">
      <c r="B948" s="63">
        <v>45411</v>
      </c>
      <c r="C948" s="63">
        <v>45412</v>
      </c>
      <c r="D948" s="64" t="s">
        <v>1664</v>
      </c>
      <c r="E948" s="64" t="s">
        <v>1665</v>
      </c>
      <c r="F948" s="65">
        <v>29.133921999999998</v>
      </c>
      <c r="G948" s="65">
        <v>0</v>
      </c>
      <c r="H948" s="65">
        <v>0</v>
      </c>
      <c r="I948" s="67">
        <v>0</v>
      </c>
      <c r="J948" s="67">
        <v>0</v>
      </c>
      <c r="K948" s="67">
        <v>0</v>
      </c>
      <c r="L948" s="68">
        <v>0</v>
      </c>
      <c r="M948" s="67">
        <v>0</v>
      </c>
      <c r="N948" s="68">
        <v>0</v>
      </c>
    </row>
    <row r="949" spans="2:14" x14ac:dyDescent="0.25">
      <c r="B949" s="63">
        <v>45411</v>
      </c>
      <c r="C949" s="63">
        <v>45412</v>
      </c>
      <c r="D949" s="64" t="s">
        <v>1666</v>
      </c>
      <c r="E949" s="64" t="s">
        <v>1667</v>
      </c>
      <c r="F949" s="65">
        <v>0</v>
      </c>
      <c r="G949" s="65">
        <v>0</v>
      </c>
      <c r="H949" s="65">
        <v>0</v>
      </c>
      <c r="I949" s="67">
        <v>0</v>
      </c>
      <c r="J949" s="67">
        <v>0</v>
      </c>
      <c r="K949" s="67">
        <v>0</v>
      </c>
      <c r="L949" s="68">
        <v>0</v>
      </c>
      <c r="M949" s="67">
        <v>0</v>
      </c>
      <c r="N949" s="68">
        <v>0</v>
      </c>
    </row>
    <row r="950" spans="2:14" x14ac:dyDescent="0.25">
      <c r="B950" s="63">
        <v>45411</v>
      </c>
      <c r="C950" s="63">
        <v>45412</v>
      </c>
      <c r="D950" s="64" t="s">
        <v>1672</v>
      </c>
      <c r="E950" s="64" t="s">
        <v>1673</v>
      </c>
      <c r="F950" s="65">
        <v>0</v>
      </c>
      <c r="G950" s="65">
        <v>0</v>
      </c>
      <c r="H950" s="65">
        <v>0</v>
      </c>
      <c r="I950" s="67">
        <v>0</v>
      </c>
      <c r="J950" s="67">
        <v>0</v>
      </c>
      <c r="K950" s="67">
        <v>0</v>
      </c>
      <c r="L950" s="68">
        <v>0</v>
      </c>
      <c r="M950" s="67">
        <v>0</v>
      </c>
      <c r="N950" s="68">
        <v>0</v>
      </c>
    </row>
    <row r="951" spans="2:14" x14ac:dyDescent="0.25">
      <c r="B951" s="63">
        <v>45411</v>
      </c>
      <c r="C951" s="63">
        <v>45412</v>
      </c>
      <c r="D951" s="64" t="s">
        <v>1674</v>
      </c>
      <c r="E951" s="64" t="s">
        <v>1675</v>
      </c>
      <c r="F951" s="65">
        <v>214.47506200000001</v>
      </c>
      <c r="G951" s="65">
        <v>0</v>
      </c>
      <c r="H951" s="65">
        <v>0</v>
      </c>
      <c r="I951" s="67">
        <v>0</v>
      </c>
      <c r="J951" s="67">
        <v>0</v>
      </c>
      <c r="K951" s="67">
        <v>0</v>
      </c>
      <c r="L951" s="68">
        <v>0</v>
      </c>
      <c r="M951" s="67">
        <v>0</v>
      </c>
      <c r="N951" s="68">
        <v>0</v>
      </c>
    </row>
    <row r="952" spans="2:14" x14ac:dyDescent="0.25">
      <c r="B952" s="63">
        <v>45425</v>
      </c>
      <c r="C952" s="63">
        <v>45426</v>
      </c>
      <c r="D952" s="63" t="s">
        <v>1630</v>
      </c>
      <c r="E952" s="63" t="s">
        <v>1631</v>
      </c>
      <c r="F952" s="66">
        <v>156.168184</v>
      </c>
      <c r="G952" s="66">
        <v>0</v>
      </c>
      <c r="H952" s="65">
        <v>0</v>
      </c>
      <c r="I952" s="67">
        <v>0</v>
      </c>
      <c r="J952" s="67">
        <v>0</v>
      </c>
      <c r="K952" s="67">
        <v>0</v>
      </c>
      <c r="L952" s="67">
        <v>0</v>
      </c>
      <c r="M952" s="67">
        <v>0</v>
      </c>
      <c r="N952" s="68">
        <v>0</v>
      </c>
    </row>
    <row r="953" spans="2:14" x14ac:dyDescent="0.25">
      <c r="B953" s="63">
        <v>45425</v>
      </c>
      <c r="C953" s="63">
        <v>45426</v>
      </c>
      <c r="D953" s="63" t="s">
        <v>1632</v>
      </c>
      <c r="E953" s="63" t="s">
        <v>1633</v>
      </c>
      <c r="F953" s="66">
        <v>0</v>
      </c>
      <c r="G953" s="66">
        <v>0</v>
      </c>
      <c r="H953" s="65">
        <v>0</v>
      </c>
      <c r="I953" s="67">
        <v>0</v>
      </c>
      <c r="J953" s="67">
        <v>0</v>
      </c>
      <c r="K953" s="67">
        <v>0</v>
      </c>
      <c r="L953" s="67">
        <v>0</v>
      </c>
      <c r="M953" s="67">
        <v>0</v>
      </c>
      <c r="N953" s="68">
        <v>0</v>
      </c>
    </row>
    <row r="954" spans="2:14" x14ac:dyDescent="0.25">
      <c r="B954" s="63">
        <v>45425</v>
      </c>
      <c r="C954" s="63">
        <v>45426</v>
      </c>
      <c r="D954" s="63" t="s">
        <v>1634</v>
      </c>
      <c r="E954" s="63" t="s">
        <v>1635</v>
      </c>
      <c r="F954" s="66">
        <v>988.988474</v>
      </c>
      <c r="G954" s="66">
        <v>555.01903700000003</v>
      </c>
      <c r="H954" s="65">
        <v>641.29999999999995</v>
      </c>
      <c r="I954" s="67">
        <v>4.0754460000000003</v>
      </c>
      <c r="J954" s="67">
        <v>86.510212999999993</v>
      </c>
      <c r="K954" s="67">
        <v>86.513000000000005</v>
      </c>
      <c r="L954" s="67">
        <v>80.043667999999997</v>
      </c>
      <c r="M954" s="67">
        <v>86.507000000000005</v>
      </c>
      <c r="N954" s="68">
        <v>3.2130000000000001E-3</v>
      </c>
    </row>
    <row r="955" spans="2:14" x14ac:dyDescent="0.25">
      <c r="B955" s="63">
        <v>45425</v>
      </c>
      <c r="C955" s="63">
        <v>45426</v>
      </c>
      <c r="D955" s="63" t="s">
        <v>1636</v>
      </c>
      <c r="E955" s="63" t="s">
        <v>1637</v>
      </c>
      <c r="F955" s="66">
        <v>271.59803199999999</v>
      </c>
      <c r="G955" s="66">
        <v>0</v>
      </c>
      <c r="H955" s="65">
        <v>0</v>
      </c>
      <c r="I955" s="67">
        <v>0</v>
      </c>
      <c r="J955" s="67">
        <v>0</v>
      </c>
      <c r="K955" s="67">
        <v>0</v>
      </c>
      <c r="L955" s="67">
        <v>0</v>
      </c>
      <c r="M955" s="67">
        <v>0</v>
      </c>
      <c r="N955" s="68">
        <v>0</v>
      </c>
    </row>
    <row r="956" spans="2:14" x14ac:dyDescent="0.25">
      <c r="B956" s="63">
        <v>45425</v>
      </c>
      <c r="C956" s="63">
        <v>45426</v>
      </c>
      <c r="D956" s="63" t="s">
        <v>1638</v>
      </c>
      <c r="E956" s="63" t="s">
        <v>1639</v>
      </c>
      <c r="F956" s="66">
        <v>164.37983600000001</v>
      </c>
      <c r="G956" s="66">
        <v>0</v>
      </c>
      <c r="H956" s="65">
        <v>0</v>
      </c>
      <c r="I956" s="67">
        <v>0</v>
      </c>
      <c r="J956" s="67">
        <v>0</v>
      </c>
      <c r="K956" s="67">
        <v>0</v>
      </c>
      <c r="L956" s="67">
        <v>0</v>
      </c>
      <c r="M956" s="67">
        <v>0</v>
      </c>
      <c r="N956" s="68">
        <v>0</v>
      </c>
    </row>
    <row r="957" spans="2:14" x14ac:dyDescent="0.25">
      <c r="B957" s="63">
        <v>45425</v>
      </c>
      <c r="C957" s="63">
        <v>45426</v>
      </c>
      <c r="D957" s="63" t="s">
        <v>1668</v>
      </c>
      <c r="E957" s="63" t="s">
        <v>1669</v>
      </c>
      <c r="F957" s="66">
        <v>127.45928499999999</v>
      </c>
      <c r="G957" s="66">
        <v>0</v>
      </c>
      <c r="H957" s="65">
        <v>0</v>
      </c>
      <c r="I957" s="67">
        <v>0</v>
      </c>
      <c r="J957" s="67">
        <v>0</v>
      </c>
      <c r="K957" s="67">
        <v>0</v>
      </c>
      <c r="L957" s="67">
        <v>0</v>
      </c>
      <c r="M957" s="67">
        <v>0</v>
      </c>
      <c r="N957" s="68">
        <v>0</v>
      </c>
    </row>
    <row r="958" spans="2:14" x14ac:dyDescent="0.25">
      <c r="B958" s="63">
        <v>45425</v>
      </c>
      <c r="C958" s="63">
        <v>45426</v>
      </c>
      <c r="D958" s="63" t="s">
        <v>1640</v>
      </c>
      <c r="E958" s="63" t="s">
        <v>1641</v>
      </c>
      <c r="F958" s="66">
        <v>144.44901200000001</v>
      </c>
      <c r="G958" s="66">
        <v>0</v>
      </c>
      <c r="H958" s="65">
        <v>0</v>
      </c>
      <c r="I958" s="67">
        <v>0</v>
      </c>
      <c r="J958" s="67">
        <v>0</v>
      </c>
      <c r="K958" s="67">
        <v>0</v>
      </c>
      <c r="L958" s="67">
        <v>0</v>
      </c>
      <c r="M958" s="67">
        <v>0</v>
      </c>
      <c r="N958" s="68">
        <v>0</v>
      </c>
    </row>
    <row r="959" spans="2:14" x14ac:dyDescent="0.25">
      <c r="B959" s="63">
        <v>45425</v>
      </c>
      <c r="C959" s="63">
        <v>45426</v>
      </c>
      <c r="D959" s="63" t="s">
        <v>1642</v>
      </c>
      <c r="E959" s="63" t="s">
        <v>1643</v>
      </c>
      <c r="F959" s="66">
        <v>19.930434999999999</v>
      </c>
      <c r="G959" s="66">
        <v>0</v>
      </c>
      <c r="H959" s="65">
        <v>0</v>
      </c>
      <c r="I959" s="67">
        <v>0</v>
      </c>
      <c r="J959" s="67">
        <v>0</v>
      </c>
      <c r="K959" s="67">
        <v>0</v>
      </c>
      <c r="L959" s="67">
        <v>0</v>
      </c>
      <c r="M959" s="67">
        <v>0</v>
      </c>
      <c r="N959" s="68">
        <v>0</v>
      </c>
    </row>
    <row r="960" spans="2:14" x14ac:dyDescent="0.25">
      <c r="B960" s="63">
        <v>45425</v>
      </c>
      <c r="C960" s="63">
        <v>45426</v>
      </c>
      <c r="D960" s="63" t="s">
        <v>1644</v>
      </c>
      <c r="E960" s="63" t="s">
        <v>1645</v>
      </c>
      <c r="F960" s="66">
        <v>266.20771100000002</v>
      </c>
      <c r="G960" s="66">
        <v>244.92240699999999</v>
      </c>
      <c r="H960" s="65">
        <v>230</v>
      </c>
      <c r="I960" s="67">
        <v>3.9771920000000001</v>
      </c>
      <c r="J960" s="67">
        <v>104.42447900000001</v>
      </c>
      <c r="K960" s="67">
        <v>104.441</v>
      </c>
      <c r="L960" s="67">
        <v>100</v>
      </c>
      <c r="M960" s="67">
        <v>104.40300000000001</v>
      </c>
      <c r="N960" s="68">
        <v>2.1479000000000002E-2</v>
      </c>
    </row>
    <row r="961" spans="2:14" x14ac:dyDescent="0.25">
      <c r="B961" s="63">
        <v>45432</v>
      </c>
      <c r="C961" s="63">
        <v>45433</v>
      </c>
      <c r="D961" s="63" t="s">
        <v>1646</v>
      </c>
      <c r="E961" s="63" t="s">
        <v>1647</v>
      </c>
      <c r="F961" s="66">
        <v>0</v>
      </c>
      <c r="G961" s="66">
        <v>0</v>
      </c>
      <c r="H961" s="65">
        <v>0</v>
      </c>
      <c r="I961" s="67">
        <v>0</v>
      </c>
      <c r="J961" s="67">
        <v>0</v>
      </c>
      <c r="K961" s="67">
        <v>0</v>
      </c>
      <c r="L961" s="67">
        <v>0</v>
      </c>
      <c r="M961" s="67">
        <v>0</v>
      </c>
      <c r="N961" s="68">
        <v>0</v>
      </c>
    </row>
    <row r="962" spans="2:14" x14ac:dyDescent="0.25">
      <c r="B962" s="63">
        <v>45432</v>
      </c>
      <c r="C962" s="63">
        <v>45433</v>
      </c>
      <c r="D962" s="63" t="s">
        <v>1648</v>
      </c>
      <c r="E962" s="63" t="s">
        <v>1649</v>
      </c>
      <c r="F962" s="66">
        <v>134.376274</v>
      </c>
      <c r="G962" s="66">
        <v>0</v>
      </c>
      <c r="H962" s="65">
        <v>0</v>
      </c>
      <c r="I962" s="67">
        <v>0</v>
      </c>
      <c r="J962" s="67">
        <v>0</v>
      </c>
      <c r="K962" s="67">
        <v>0</v>
      </c>
      <c r="L962" s="67">
        <v>0</v>
      </c>
      <c r="M962" s="67">
        <v>0</v>
      </c>
      <c r="N962" s="68">
        <v>0</v>
      </c>
    </row>
    <row r="963" spans="2:14" x14ac:dyDescent="0.25">
      <c r="B963" s="63">
        <v>45432</v>
      </c>
      <c r="C963" s="63">
        <v>45433</v>
      </c>
      <c r="D963" s="63" t="s">
        <v>1650</v>
      </c>
      <c r="E963" s="63" t="s">
        <v>1651</v>
      </c>
      <c r="F963" s="66">
        <v>0</v>
      </c>
      <c r="G963" s="66">
        <v>0</v>
      </c>
      <c r="H963" s="65">
        <v>0</v>
      </c>
      <c r="I963" s="67">
        <v>0</v>
      </c>
      <c r="J963" s="67">
        <v>0</v>
      </c>
      <c r="K963" s="67">
        <v>0</v>
      </c>
      <c r="L963" s="67">
        <v>0</v>
      </c>
      <c r="M963" s="67">
        <v>0</v>
      </c>
      <c r="N963" s="68">
        <v>0</v>
      </c>
    </row>
    <row r="964" spans="2:14" x14ac:dyDescent="0.25">
      <c r="B964" s="63">
        <v>45432</v>
      </c>
      <c r="C964" s="63">
        <v>45433</v>
      </c>
      <c r="D964" s="63" t="s">
        <v>1652</v>
      </c>
      <c r="E964" s="63" t="s">
        <v>1653</v>
      </c>
      <c r="F964" s="66">
        <v>191.18685300000001</v>
      </c>
      <c r="G964" s="66">
        <v>0</v>
      </c>
      <c r="H964" s="65">
        <v>0</v>
      </c>
      <c r="I964" s="67">
        <v>0</v>
      </c>
      <c r="J964" s="67">
        <v>0</v>
      </c>
      <c r="K964" s="67">
        <v>0</v>
      </c>
      <c r="L964" s="67">
        <v>0</v>
      </c>
      <c r="M964" s="67">
        <v>0</v>
      </c>
      <c r="N964" s="68">
        <v>0</v>
      </c>
    </row>
    <row r="965" spans="2:14" x14ac:dyDescent="0.25">
      <c r="B965" s="63">
        <v>45432</v>
      </c>
      <c r="C965" s="63">
        <v>45433</v>
      </c>
      <c r="D965" s="63" t="s">
        <v>1654</v>
      </c>
      <c r="E965" s="63" t="s">
        <v>1655</v>
      </c>
      <c r="F965" s="66">
        <v>905.98451599999999</v>
      </c>
      <c r="G965" s="66">
        <v>0</v>
      </c>
      <c r="H965" s="65">
        <v>0</v>
      </c>
      <c r="I965" s="67">
        <v>0</v>
      </c>
      <c r="J965" s="67">
        <v>0</v>
      </c>
      <c r="K965" s="67">
        <v>0</v>
      </c>
      <c r="L965" s="67">
        <v>0</v>
      </c>
      <c r="M965" s="67">
        <v>0</v>
      </c>
      <c r="N965" s="68">
        <v>0</v>
      </c>
    </row>
    <row r="966" spans="2:14" x14ac:dyDescent="0.25">
      <c r="B966" s="63">
        <v>45432</v>
      </c>
      <c r="C966" s="63">
        <v>45433</v>
      </c>
      <c r="D966" s="63" t="s">
        <v>1656</v>
      </c>
      <c r="E966" s="63" t="s">
        <v>1657</v>
      </c>
      <c r="F966" s="66">
        <v>37.110827999999998</v>
      </c>
      <c r="G966" s="66">
        <v>0</v>
      </c>
      <c r="H966" s="65">
        <v>0</v>
      </c>
      <c r="I966" s="67">
        <v>0</v>
      </c>
      <c r="J966" s="67">
        <v>0</v>
      </c>
      <c r="K966" s="67">
        <v>0</v>
      </c>
      <c r="L966" s="67">
        <v>0</v>
      </c>
      <c r="M966" s="67">
        <v>0</v>
      </c>
      <c r="N966" s="68">
        <v>0</v>
      </c>
    </row>
    <row r="967" spans="2:14" x14ac:dyDescent="0.25">
      <c r="B967" s="63">
        <v>45432</v>
      </c>
      <c r="C967" s="63">
        <v>45433</v>
      </c>
      <c r="D967" s="63" t="s">
        <v>1658</v>
      </c>
      <c r="E967" s="63" t="s">
        <v>1659</v>
      </c>
      <c r="F967" s="66">
        <v>655.83730300000002</v>
      </c>
      <c r="G967" s="66">
        <v>642.19228089071396</v>
      </c>
      <c r="H967" s="65">
        <v>607.1</v>
      </c>
      <c r="I967" s="67">
        <v>4.4094509999999998</v>
      </c>
      <c r="J967" s="67">
        <v>103.625941</v>
      </c>
      <c r="K967" s="67">
        <v>103.631</v>
      </c>
      <c r="L967" s="67">
        <v>95.96875</v>
      </c>
      <c r="M967" s="67">
        <v>103.621</v>
      </c>
      <c r="N967" s="68">
        <v>4.9410000000000001E-3</v>
      </c>
    </row>
    <row r="968" spans="2:14" x14ac:dyDescent="0.25">
      <c r="B968" s="63">
        <v>45432</v>
      </c>
      <c r="C968" s="63">
        <v>45433</v>
      </c>
      <c r="D968" s="63" t="s">
        <v>1660</v>
      </c>
      <c r="E968" s="63" t="s">
        <v>1661</v>
      </c>
      <c r="F968" s="66">
        <v>243.01898600000001</v>
      </c>
      <c r="G968" s="66">
        <v>107.785791016478</v>
      </c>
      <c r="H968" s="65">
        <v>166.2</v>
      </c>
      <c r="I968" s="67">
        <v>4.4383379999999999</v>
      </c>
      <c r="J968" s="67">
        <v>64.510000000000005</v>
      </c>
      <c r="K968" s="67">
        <v>64.510000000000005</v>
      </c>
      <c r="L968" s="67">
        <v>94.971428000000003</v>
      </c>
      <c r="M968" s="67">
        <v>64.510000000000005</v>
      </c>
      <c r="N968" s="68">
        <v>0</v>
      </c>
    </row>
    <row r="969" spans="2:14" x14ac:dyDescent="0.25">
      <c r="B969" s="63">
        <v>45432</v>
      </c>
      <c r="C969" s="63">
        <v>45433</v>
      </c>
      <c r="D969" s="63" t="s">
        <v>1662</v>
      </c>
      <c r="E969" s="63" t="s">
        <v>1663</v>
      </c>
      <c r="F969" s="66">
        <v>0</v>
      </c>
      <c r="G969" s="66">
        <v>0</v>
      </c>
      <c r="H969" s="65">
        <v>0</v>
      </c>
      <c r="I969" s="67">
        <v>0</v>
      </c>
      <c r="J969" s="67">
        <v>0</v>
      </c>
      <c r="K969" s="67">
        <v>0</v>
      </c>
      <c r="L969" s="67">
        <v>0</v>
      </c>
      <c r="M969" s="67">
        <v>0</v>
      </c>
      <c r="N969" s="68">
        <v>0</v>
      </c>
    </row>
    <row r="970" spans="2:14" x14ac:dyDescent="0.25">
      <c r="B970" s="63">
        <v>45432</v>
      </c>
      <c r="C970" s="63">
        <v>45433</v>
      </c>
      <c r="D970" s="63" t="s">
        <v>1664</v>
      </c>
      <c r="E970" s="63" t="s">
        <v>1665</v>
      </c>
      <c r="F970" s="66">
        <v>59.207957</v>
      </c>
      <c r="G970" s="66">
        <v>0</v>
      </c>
      <c r="H970" s="65">
        <v>0</v>
      </c>
      <c r="I970" s="67">
        <v>0</v>
      </c>
      <c r="J970" s="67">
        <v>0</v>
      </c>
      <c r="K970" s="67">
        <v>0</v>
      </c>
      <c r="L970" s="67">
        <v>0</v>
      </c>
      <c r="M970" s="67">
        <v>0</v>
      </c>
      <c r="N970" s="68">
        <v>0</v>
      </c>
    </row>
    <row r="971" spans="2:14" x14ac:dyDescent="0.25">
      <c r="B971" s="63">
        <v>45432</v>
      </c>
      <c r="C971" s="63">
        <v>45433</v>
      </c>
      <c r="D971" s="63" t="s">
        <v>1666</v>
      </c>
      <c r="E971" s="63" t="s">
        <v>1667</v>
      </c>
      <c r="F971" s="66">
        <v>71.266852</v>
      </c>
      <c r="G971" s="66">
        <v>0</v>
      </c>
      <c r="H971" s="65">
        <v>0</v>
      </c>
      <c r="I971" s="67">
        <v>0</v>
      </c>
      <c r="J971" s="67">
        <v>0</v>
      </c>
      <c r="K971" s="67">
        <v>0</v>
      </c>
      <c r="L971" s="67">
        <v>0</v>
      </c>
      <c r="M971" s="67">
        <v>0</v>
      </c>
      <c r="N971" s="68">
        <v>0</v>
      </c>
    </row>
    <row r="972" spans="2:14" x14ac:dyDescent="0.25">
      <c r="B972" s="63">
        <v>45432</v>
      </c>
      <c r="C972" s="63">
        <v>45433</v>
      </c>
      <c r="D972" s="63" t="s">
        <v>1672</v>
      </c>
      <c r="E972" s="63" t="s">
        <v>1673</v>
      </c>
      <c r="F972" s="66">
        <v>0</v>
      </c>
      <c r="G972" s="66">
        <v>0</v>
      </c>
      <c r="H972" s="65">
        <v>0</v>
      </c>
      <c r="I972" s="67">
        <v>0</v>
      </c>
      <c r="J972" s="67">
        <v>0</v>
      </c>
      <c r="K972" s="67">
        <v>0</v>
      </c>
      <c r="L972" s="67">
        <v>0</v>
      </c>
      <c r="M972" s="67">
        <v>0</v>
      </c>
      <c r="N972" s="68">
        <v>0</v>
      </c>
    </row>
    <row r="973" spans="2:14" x14ac:dyDescent="0.25">
      <c r="B973" s="63">
        <v>45432</v>
      </c>
      <c r="C973" s="63">
        <v>45433</v>
      </c>
      <c r="D973" s="63" t="s">
        <v>1674</v>
      </c>
      <c r="E973" s="63" t="s">
        <v>1675</v>
      </c>
      <c r="F973" s="66">
        <v>0</v>
      </c>
      <c r="G973" s="66">
        <v>0</v>
      </c>
      <c r="H973" s="65">
        <v>0</v>
      </c>
      <c r="I973" s="67">
        <v>0</v>
      </c>
      <c r="J973" s="67">
        <v>0</v>
      </c>
      <c r="K973" s="67">
        <v>0</v>
      </c>
      <c r="L973" s="67">
        <v>0</v>
      </c>
      <c r="M973" s="67">
        <v>0</v>
      </c>
      <c r="N973" s="68">
        <v>0</v>
      </c>
    </row>
    <row r="974" spans="2:14" x14ac:dyDescent="0.25">
      <c r="B974" s="63">
        <v>45442</v>
      </c>
      <c r="C974" s="63">
        <v>45443</v>
      </c>
      <c r="D974" s="63" t="s">
        <v>1676</v>
      </c>
      <c r="E974" s="63" t="s">
        <v>1677</v>
      </c>
      <c r="F974" s="66">
        <v>0</v>
      </c>
      <c r="G974" s="66">
        <v>0</v>
      </c>
      <c r="H974" s="66">
        <v>0</v>
      </c>
      <c r="I974" s="67">
        <v>0</v>
      </c>
      <c r="J974" s="67">
        <v>0</v>
      </c>
      <c r="K974" s="67">
        <v>0</v>
      </c>
      <c r="L974" s="67">
        <v>0</v>
      </c>
      <c r="M974" s="67">
        <v>0</v>
      </c>
      <c r="N974" s="68">
        <v>0</v>
      </c>
    </row>
    <row r="975" spans="2:14" x14ac:dyDescent="0.25">
      <c r="B975" s="63">
        <v>45442</v>
      </c>
      <c r="C975" s="63">
        <v>45443</v>
      </c>
      <c r="D975" s="63" t="s">
        <v>1678</v>
      </c>
      <c r="E975" s="63" t="s">
        <v>1679</v>
      </c>
      <c r="F975" s="66">
        <v>4.8033859999999997</v>
      </c>
      <c r="G975" s="66">
        <v>4.8033869999999999</v>
      </c>
      <c r="H975" s="66">
        <v>10</v>
      </c>
      <c r="I975" s="67">
        <v>4.7703389999999999</v>
      </c>
      <c r="J975" s="67">
        <v>47.743000000000002</v>
      </c>
      <c r="K975" s="67">
        <v>47.743000000000002</v>
      </c>
      <c r="L975" s="67">
        <v>100</v>
      </c>
      <c r="M975" s="67">
        <v>47.743000000000002</v>
      </c>
      <c r="N975" s="68">
        <v>0</v>
      </c>
    </row>
    <row r="976" spans="2:14" x14ac:dyDescent="0.25">
      <c r="B976" s="63">
        <v>45442</v>
      </c>
      <c r="C976" s="63">
        <v>45443</v>
      </c>
      <c r="D976" s="63" t="s">
        <v>1680</v>
      </c>
      <c r="E976" s="63" t="s">
        <v>1681</v>
      </c>
      <c r="F976" s="66">
        <v>0</v>
      </c>
      <c r="G976" s="66">
        <v>0</v>
      </c>
      <c r="H976" s="66">
        <v>0</v>
      </c>
      <c r="I976" s="67">
        <v>0</v>
      </c>
      <c r="J976" s="67">
        <v>0</v>
      </c>
      <c r="K976" s="67">
        <v>0</v>
      </c>
      <c r="L976" s="67">
        <v>0</v>
      </c>
      <c r="M976" s="67">
        <v>0</v>
      </c>
      <c r="N976" s="68">
        <v>0</v>
      </c>
    </row>
    <row r="977" spans="2:14" x14ac:dyDescent="0.25">
      <c r="B977" s="63">
        <v>45442</v>
      </c>
      <c r="C977" s="63">
        <v>45443</v>
      </c>
      <c r="D977" s="63" t="s">
        <v>1682</v>
      </c>
      <c r="E977" s="63" t="s">
        <v>1683</v>
      </c>
      <c r="F977" s="66">
        <v>0</v>
      </c>
      <c r="G977" s="66">
        <v>0</v>
      </c>
      <c r="H977" s="66">
        <v>0</v>
      </c>
      <c r="I977" s="67">
        <v>0</v>
      </c>
      <c r="J977" s="67">
        <v>0</v>
      </c>
      <c r="K977" s="67">
        <v>0</v>
      </c>
      <c r="L977" s="67">
        <v>0</v>
      </c>
      <c r="M977" s="67">
        <v>0</v>
      </c>
      <c r="N977" s="68">
        <v>0</v>
      </c>
    </row>
    <row r="978" spans="2:14" x14ac:dyDescent="0.25">
      <c r="B978" s="63">
        <v>45442</v>
      </c>
      <c r="C978" s="63">
        <v>45443</v>
      </c>
      <c r="D978" s="63" t="s">
        <v>1684</v>
      </c>
      <c r="E978" s="63" t="s">
        <v>1685</v>
      </c>
      <c r="F978" s="66">
        <v>31.265650000000001</v>
      </c>
      <c r="G978" s="66">
        <v>8.5347000000000008</v>
      </c>
      <c r="H978" s="66">
        <v>15</v>
      </c>
      <c r="I978" s="67">
        <v>4.7926390000000003</v>
      </c>
      <c r="J978" s="67">
        <v>56.273000000000003</v>
      </c>
      <c r="K978" s="67">
        <v>56.273000000000003</v>
      </c>
      <c r="L978" s="67">
        <v>100</v>
      </c>
      <c r="M978" s="67">
        <v>56.273000000000003</v>
      </c>
      <c r="N978" s="68">
        <v>0</v>
      </c>
    </row>
    <row r="979" spans="2:14" x14ac:dyDescent="0.25">
      <c r="B979" s="63">
        <v>45442</v>
      </c>
      <c r="C979" s="63">
        <v>45443</v>
      </c>
      <c r="D979" s="63" t="s">
        <v>1686</v>
      </c>
      <c r="E979" s="63" t="s">
        <v>1687</v>
      </c>
      <c r="F979" s="66">
        <v>15.532681</v>
      </c>
      <c r="G979" s="66">
        <v>0</v>
      </c>
      <c r="H979" s="66">
        <v>0</v>
      </c>
      <c r="I979" s="67">
        <v>0</v>
      </c>
      <c r="J979" s="67">
        <v>0</v>
      </c>
      <c r="K979" s="67">
        <v>0</v>
      </c>
      <c r="L979" s="67">
        <v>0</v>
      </c>
      <c r="M979" s="67">
        <v>0</v>
      </c>
      <c r="N979" s="68">
        <v>0</v>
      </c>
    </row>
    <row r="980" spans="2:14" x14ac:dyDescent="0.25">
      <c r="B980" s="63">
        <v>45442</v>
      </c>
      <c r="C980" s="63">
        <v>45443</v>
      </c>
      <c r="D980" s="63" t="s">
        <v>1688</v>
      </c>
      <c r="E980" s="63" t="s">
        <v>1689</v>
      </c>
      <c r="F980" s="66">
        <v>217.148526</v>
      </c>
      <c r="G980" s="66">
        <v>117.466623</v>
      </c>
      <c r="H980" s="66">
        <v>305.5</v>
      </c>
      <c r="I980" s="67">
        <v>4.7415279999999997</v>
      </c>
      <c r="J980" s="67">
        <v>38.384044000000003</v>
      </c>
      <c r="K980" s="67">
        <v>38.402999999999999</v>
      </c>
      <c r="L980" s="67">
        <v>31.115879</v>
      </c>
      <c r="M980" s="67">
        <v>38.323</v>
      </c>
      <c r="N980" s="68">
        <v>6.1044000000000001E-2</v>
      </c>
    </row>
    <row r="981" spans="2:14" x14ac:dyDescent="0.25">
      <c r="B981" s="63">
        <v>45442</v>
      </c>
      <c r="C981" s="63">
        <v>45443</v>
      </c>
      <c r="D981" s="63" t="s">
        <v>1690</v>
      </c>
      <c r="E981" s="63" t="s">
        <v>1691</v>
      </c>
      <c r="F981" s="66">
        <v>135.63761299999999</v>
      </c>
      <c r="G981" s="66">
        <v>0</v>
      </c>
      <c r="H981" s="66">
        <v>0</v>
      </c>
      <c r="I981" s="67">
        <v>0</v>
      </c>
      <c r="J981" s="67">
        <v>0</v>
      </c>
      <c r="K981" s="67">
        <v>0</v>
      </c>
      <c r="L981" s="67">
        <v>0</v>
      </c>
      <c r="M981" s="67">
        <v>0</v>
      </c>
      <c r="N981" s="68">
        <v>0</v>
      </c>
    </row>
    <row r="982" spans="2:14" x14ac:dyDescent="0.25">
      <c r="B982" s="63">
        <v>45442</v>
      </c>
      <c r="C982" s="63">
        <v>45443</v>
      </c>
      <c r="D982" s="63" t="s">
        <v>1692</v>
      </c>
      <c r="E982" s="63" t="s">
        <v>1693</v>
      </c>
      <c r="F982" s="66">
        <v>0</v>
      </c>
      <c r="G982" s="66">
        <v>0</v>
      </c>
      <c r="H982" s="66">
        <v>0</v>
      </c>
      <c r="I982" s="67">
        <v>0</v>
      </c>
      <c r="J982" s="67">
        <v>0</v>
      </c>
      <c r="K982" s="67">
        <v>0</v>
      </c>
      <c r="L982" s="67">
        <v>0</v>
      </c>
      <c r="M982" s="67">
        <v>0</v>
      </c>
      <c r="N982" s="68">
        <v>0</v>
      </c>
    </row>
    <row r="983" spans="2:14" x14ac:dyDescent="0.25">
      <c r="B983" s="63">
        <v>45442</v>
      </c>
      <c r="C983" s="63">
        <v>45443</v>
      </c>
      <c r="D983" s="63" t="s">
        <v>1694</v>
      </c>
      <c r="E983" s="63" t="s">
        <v>1695</v>
      </c>
      <c r="F983" s="66">
        <v>0</v>
      </c>
      <c r="G983" s="66">
        <v>0</v>
      </c>
      <c r="H983" s="66">
        <v>0</v>
      </c>
      <c r="I983" s="67">
        <v>0</v>
      </c>
      <c r="J983" s="67">
        <v>0</v>
      </c>
      <c r="K983" s="67">
        <v>0</v>
      </c>
      <c r="L983" s="67">
        <v>0</v>
      </c>
      <c r="M983" s="67">
        <v>0</v>
      </c>
      <c r="N983" s="68">
        <v>0</v>
      </c>
    </row>
    <row r="984" spans="2:14" x14ac:dyDescent="0.25">
      <c r="B984" s="63">
        <v>45442</v>
      </c>
      <c r="C984" s="63">
        <v>45443</v>
      </c>
      <c r="D984" s="63" t="s">
        <v>1696</v>
      </c>
      <c r="E984" s="63" t="s">
        <v>1697</v>
      </c>
      <c r="F984" s="66">
        <v>121.706581</v>
      </c>
      <c r="G984" s="66">
        <v>0</v>
      </c>
      <c r="H984" s="66">
        <v>0</v>
      </c>
      <c r="I984" s="67">
        <v>0</v>
      </c>
      <c r="J984" s="67">
        <v>0</v>
      </c>
      <c r="K984" s="67">
        <v>0</v>
      </c>
      <c r="L984" s="67">
        <v>0</v>
      </c>
      <c r="M984" s="67">
        <v>0</v>
      </c>
      <c r="N984" s="68">
        <v>0</v>
      </c>
    </row>
    <row r="985" spans="2:14" x14ac:dyDescent="0.25">
      <c r="B985" s="63">
        <v>45442</v>
      </c>
      <c r="C985" s="63">
        <v>45443</v>
      </c>
      <c r="D985" s="63" t="s">
        <v>1698</v>
      </c>
      <c r="E985" s="63" t="s">
        <v>1699</v>
      </c>
      <c r="F985" s="66">
        <v>0</v>
      </c>
      <c r="G985" s="66">
        <v>0</v>
      </c>
      <c r="H985" s="66">
        <v>0</v>
      </c>
      <c r="I985" s="67">
        <v>0</v>
      </c>
      <c r="J985" s="67">
        <v>0</v>
      </c>
      <c r="K985" s="67">
        <v>0</v>
      </c>
      <c r="L985" s="67">
        <v>0</v>
      </c>
      <c r="M985" s="67">
        <v>0</v>
      </c>
      <c r="N985" s="68">
        <v>0</v>
      </c>
    </row>
    <row r="986" spans="2:14" x14ac:dyDescent="0.25">
      <c r="B986" s="63">
        <v>45442</v>
      </c>
      <c r="C986" s="63">
        <v>45443</v>
      </c>
      <c r="D986" s="63" t="s">
        <v>1700</v>
      </c>
      <c r="E986" s="63" t="s">
        <v>1701</v>
      </c>
      <c r="F986" s="66">
        <v>115.01325</v>
      </c>
      <c r="G986" s="66">
        <v>104.82925</v>
      </c>
      <c r="H986" s="66">
        <v>205</v>
      </c>
      <c r="I986" s="67">
        <v>4.7171180000000001</v>
      </c>
      <c r="J986" s="67">
        <v>50.511220999999999</v>
      </c>
      <c r="K986" s="67">
        <v>50.534999999999997</v>
      </c>
      <c r="L986" s="67">
        <v>100</v>
      </c>
      <c r="M986" s="67">
        <v>50.494999999999997</v>
      </c>
      <c r="N986" s="68">
        <v>1.6220999999999999E-2</v>
      </c>
    </row>
    <row r="987" spans="2:14" x14ac:dyDescent="0.25">
      <c r="B987" s="63">
        <v>45442</v>
      </c>
      <c r="C987" s="63">
        <v>45443</v>
      </c>
      <c r="D987" s="63" t="s">
        <v>1702</v>
      </c>
      <c r="E987" s="63" t="s">
        <v>1703</v>
      </c>
      <c r="F987" s="66">
        <v>0</v>
      </c>
      <c r="G987" s="66">
        <v>0</v>
      </c>
      <c r="H987" s="66">
        <v>0</v>
      </c>
      <c r="I987" s="67">
        <v>0</v>
      </c>
      <c r="J987" s="67">
        <v>0</v>
      </c>
      <c r="K987" s="67">
        <v>0</v>
      </c>
      <c r="L987" s="67">
        <v>0</v>
      </c>
      <c r="M987" s="67">
        <v>0</v>
      </c>
      <c r="N987" s="68">
        <v>0</v>
      </c>
    </row>
    <row r="988" spans="2:14" x14ac:dyDescent="0.25">
      <c r="B988" s="63">
        <v>45442</v>
      </c>
      <c r="C988" s="63">
        <v>45443</v>
      </c>
      <c r="D988" s="63" t="s">
        <v>1704</v>
      </c>
      <c r="E988" s="63" t="s">
        <v>1705</v>
      </c>
      <c r="F988" s="66">
        <v>57.757370999999999</v>
      </c>
      <c r="G988" s="66">
        <v>29.606593</v>
      </c>
      <c r="H988" s="66">
        <v>105</v>
      </c>
      <c r="I988" s="67">
        <v>4.4755900000000004</v>
      </c>
      <c r="J988" s="67">
        <v>28.143478999999999</v>
      </c>
      <c r="K988" s="67">
        <v>28.152999999999999</v>
      </c>
      <c r="L988" s="67">
        <v>100</v>
      </c>
      <c r="M988" s="67">
        <v>28.132999999999999</v>
      </c>
      <c r="N988" s="68">
        <v>1.0479E-2</v>
      </c>
    </row>
    <row r="989" spans="2:14" x14ac:dyDescent="0.25">
      <c r="B989" s="63">
        <v>45442</v>
      </c>
      <c r="C989" s="63">
        <v>45443</v>
      </c>
      <c r="D989" s="63" t="s">
        <v>1706</v>
      </c>
      <c r="E989" s="63" t="s">
        <v>1707</v>
      </c>
      <c r="F989" s="66">
        <v>6.1292850000000003</v>
      </c>
      <c r="G989" s="66">
        <v>0</v>
      </c>
      <c r="H989" s="66">
        <v>0</v>
      </c>
      <c r="I989" s="67">
        <v>0</v>
      </c>
      <c r="J989" s="67">
        <v>0</v>
      </c>
      <c r="K989" s="67">
        <v>0</v>
      </c>
      <c r="L989" s="67">
        <v>0</v>
      </c>
      <c r="M989" s="67">
        <v>0</v>
      </c>
      <c r="N989" s="68">
        <v>0</v>
      </c>
    </row>
    <row r="990" spans="2:14" x14ac:dyDescent="0.25">
      <c r="B990" s="63">
        <v>45442</v>
      </c>
      <c r="C990" s="63">
        <v>45443</v>
      </c>
      <c r="D990" s="63" t="s">
        <v>1708</v>
      </c>
      <c r="E990" s="63" t="s">
        <v>1709</v>
      </c>
      <c r="F990" s="66">
        <v>63.172800000000002</v>
      </c>
      <c r="G990" s="66">
        <v>0</v>
      </c>
      <c r="H990" s="66">
        <v>0</v>
      </c>
      <c r="I990" s="67">
        <v>0</v>
      </c>
      <c r="J990" s="67">
        <v>0</v>
      </c>
      <c r="K990" s="67">
        <v>0</v>
      </c>
      <c r="L990" s="67">
        <v>0</v>
      </c>
      <c r="M990" s="67">
        <v>0</v>
      </c>
      <c r="N990" s="68">
        <v>0</v>
      </c>
    </row>
    <row r="991" spans="2:14" x14ac:dyDescent="0.25">
      <c r="B991" s="63">
        <v>45442</v>
      </c>
      <c r="C991" s="63">
        <v>45443</v>
      </c>
      <c r="D991" s="63" t="s">
        <v>1710</v>
      </c>
      <c r="E991" s="63" t="s">
        <v>1711</v>
      </c>
      <c r="F991" s="66">
        <v>334.75160899999997</v>
      </c>
      <c r="G991" s="66">
        <v>334.75161000000003</v>
      </c>
      <c r="H991" s="66">
        <v>764</v>
      </c>
      <c r="I991" s="67">
        <v>4.5207550000000003</v>
      </c>
      <c r="J991" s="67">
        <v>43.642502999999998</v>
      </c>
      <c r="K991" s="67">
        <v>43.658000000000001</v>
      </c>
      <c r="L991" s="67">
        <v>100</v>
      </c>
      <c r="M991" s="67">
        <v>43.627000000000002</v>
      </c>
      <c r="N991" s="68">
        <v>1.5502999999999999E-2</v>
      </c>
    </row>
    <row r="992" spans="2:14" x14ac:dyDescent="0.25">
      <c r="B992" s="63">
        <v>45446</v>
      </c>
      <c r="C992" s="63">
        <v>45447</v>
      </c>
      <c r="D992" s="63" t="s">
        <v>1646</v>
      </c>
      <c r="E992" s="63" t="s">
        <v>1647</v>
      </c>
      <c r="F992" s="66">
        <v>259.29409500000003</v>
      </c>
      <c r="G992" s="66">
        <v>0</v>
      </c>
      <c r="H992" s="65">
        <v>0</v>
      </c>
      <c r="I992" s="67">
        <v>0</v>
      </c>
      <c r="J992" s="67">
        <v>0</v>
      </c>
      <c r="K992" s="67">
        <v>0</v>
      </c>
      <c r="L992" s="67">
        <v>0</v>
      </c>
      <c r="M992" s="67">
        <v>0</v>
      </c>
      <c r="N992" s="68">
        <v>0</v>
      </c>
    </row>
    <row r="993" spans="2:14" x14ac:dyDescent="0.25">
      <c r="B993" s="63">
        <v>45446</v>
      </c>
      <c r="C993" s="63">
        <v>45447</v>
      </c>
      <c r="D993" s="63" t="s">
        <v>1648</v>
      </c>
      <c r="E993" s="63" t="s">
        <v>1649</v>
      </c>
      <c r="F993" s="66">
        <v>0</v>
      </c>
      <c r="G993" s="66">
        <v>0</v>
      </c>
      <c r="H993" s="65">
        <v>0</v>
      </c>
      <c r="I993" s="67">
        <v>0</v>
      </c>
      <c r="J993" s="67">
        <v>0</v>
      </c>
      <c r="K993" s="67">
        <v>0</v>
      </c>
      <c r="L993" s="67">
        <v>0</v>
      </c>
      <c r="M993" s="67">
        <v>0</v>
      </c>
      <c r="N993" s="68">
        <v>0</v>
      </c>
    </row>
    <row r="994" spans="2:14" x14ac:dyDescent="0.25">
      <c r="B994" s="63">
        <v>45446</v>
      </c>
      <c r="C994" s="63">
        <v>45447</v>
      </c>
      <c r="D994" s="63" t="s">
        <v>1670</v>
      </c>
      <c r="E994" s="63" t="s">
        <v>1671</v>
      </c>
      <c r="F994" s="66">
        <v>22.488143999999998</v>
      </c>
      <c r="G994" s="66">
        <v>0</v>
      </c>
      <c r="H994" s="65">
        <v>0</v>
      </c>
      <c r="I994" s="67">
        <v>0</v>
      </c>
      <c r="J994" s="67">
        <v>0</v>
      </c>
      <c r="K994" s="67">
        <v>0</v>
      </c>
      <c r="L994" s="67">
        <v>0</v>
      </c>
      <c r="M994" s="67">
        <v>0</v>
      </c>
      <c r="N994" s="68">
        <v>0</v>
      </c>
    </row>
    <row r="995" spans="2:14" x14ac:dyDescent="0.25">
      <c r="B995" s="63">
        <v>45446</v>
      </c>
      <c r="C995" s="63">
        <v>45447</v>
      </c>
      <c r="D995" s="63" t="s">
        <v>1650</v>
      </c>
      <c r="E995" s="63" t="s">
        <v>1651</v>
      </c>
      <c r="F995" s="66">
        <v>0</v>
      </c>
      <c r="G995" s="66">
        <v>0</v>
      </c>
      <c r="H995" s="65">
        <v>0</v>
      </c>
      <c r="I995" s="67">
        <v>0</v>
      </c>
      <c r="J995" s="67">
        <v>0</v>
      </c>
      <c r="K995" s="67">
        <v>0</v>
      </c>
      <c r="L995" s="67">
        <v>0</v>
      </c>
      <c r="M995" s="67">
        <v>0</v>
      </c>
      <c r="N995" s="68">
        <v>0</v>
      </c>
    </row>
    <row r="996" spans="2:14" x14ac:dyDescent="0.25">
      <c r="B996" s="63">
        <v>45446</v>
      </c>
      <c r="C996" s="63">
        <v>45447</v>
      </c>
      <c r="D996" s="63" t="s">
        <v>1652</v>
      </c>
      <c r="E996" s="63" t="s">
        <v>1653</v>
      </c>
      <c r="F996" s="66">
        <v>940.59984399999996</v>
      </c>
      <c r="G996" s="66">
        <v>350.09076199999998</v>
      </c>
      <c r="H996" s="65">
        <v>517.20000000000005</v>
      </c>
      <c r="I996" s="67">
        <v>4.3321420000000002</v>
      </c>
      <c r="J996" s="67">
        <v>67.474999999999994</v>
      </c>
      <c r="K996" s="67">
        <v>67.474999999999994</v>
      </c>
      <c r="L996" s="67">
        <v>86.199999000000005</v>
      </c>
      <c r="M996" s="67">
        <v>67.474999999999994</v>
      </c>
      <c r="N996" s="68">
        <v>0</v>
      </c>
    </row>
    <row r="997" spans="2:14" x14ac:dyDescent="0.25">
      <c r="B997" s="63">
        <v>45446</v>
      </c>
      <c r="C997" s="63">
        <v>45447</v>
      </c>
      <c r="D997" s="63" t="s">
        <v>1654</v>
      </c>
      <c r="E997" s="63" t="s">
        <v>1655</v>
      </c>
      <c r="F997" s="66">
        <v>599.78311900000006</v>
      </c>
      <c r="G997" s="66">
        <v>399.87341300000003</v>
      </c>
      <c r="H997" s="65">
        <v>400</v>
      </c>
      <c r="I997" s="67">
        <v>4.3655340000000002</v>
      </c>
      <c r="J997" s="67">
        <v>98.9405</v>
      </c>
      <c r="K997" s="67">
        <v>98.944999999999993</v>
      </c>
      <c r="L997" s="67">
        <v>100</v>
      </c>
      <c r="M997" s="67">
        <v>98.936000000000007</v>
      </c>
      <c r="N997" s="68">
        <v>4.4999999999999997E-3</v>
      </c>
    </row>
    <row r="998" spans="2:14" x14ac:dyDescent="0.25">
      <c r="B998" s="63">
        <v>45446</v>
      </c>
      <c r="C998" s="63">
        <v>45447</v>
      </c>
      <c r="D998" s="63" t="s">
        <v>1656</v>
      </c>
      <c r="E998" s="63" t="s">
        <v>1657</v>
      </c>
      <c r="F998" s="66">
        <v>36.872115999999998</v>
      </c>
      <c r="G998" s="66">
        <v>0</v>
      </c>
      <c r="H998" s="65">
        <v>0</v>
      </c>
      <c r="I998" s="67">
        <v>0</v>
      </c>
      <c r="J998" s="67">
        <v>0</v>
      </c>
      <c r="K998" s="67">
        <v>0</v>
      </c>
      <c r="L998" s="67">
        <v>0</v>
      </c>
      <c r="M998" s="67">
        <v>0</v>
      </c>
      <c r="N998" s="68">
        <v>0</v>
      </c>
    </row>
    <row r="999" spans="2:14" x14ac:dyDescent="0.25">
      <c r="B999" s="63">
        <v>45446</v>
      </c>
      <c r="C999" s="63">
        <v>45447</v>
      </c>
      <c r="D999" s="63" t="s">
        <v>1658</v>
      </c>
      <c r="E999" s="63" t="s">
        <v>1659</v>
      </c>
      <c r="F999" s="66">
        <v>0</v>
      </c>
      <c r="G999" s="66">
        <v>0</v>
      </c>
      <c r="H999" s="65">
        <v>0</v>
      </c>
      <c r="I999" s="67">
        <v>0</v>
      </c>
      <c r="J999" s="67">
        <v>0</v>
      </c>
      <c r="K999" s="67">
        <v>0</v>
      </c>
      <c r="L999" s="67">
        <v>0</v>
      </c>
      <c r="M999" s="67">
        <v>0</v>
      </c>
      <c r="N999" s="68">
        <v>0</v>
      </c>
    </row>
    <row r="1000" spans="2:14" x14ac:dyDescent="0.25">
      <c r="B1000" s="63">
        <v>45446</v>
      </c>
      <c r="C1000" s="63">
        <v>45447</v>
      </c>
      <c r="D1000" s="63" t="s">
        <v>1662</v>
      </c>
      <c r="E1000" s="63" t="s">
        <v>1663</v>
      </c>
      <c r="F1000" s="66">
        <v>188.05570599999999</v>
      </c>
      <c r="G1000" s="66">
        <v>0</v>
      </c>
      <c r="H1000" s="65">
        <v>0</v>
      </c>
      <c r="I1000" s="67">
        <v>0</v>
      </c>
      <c r="J1000" s="67">
        <v>0</v>
      </c>
      <c r="K1000" s="67">
        <v>0</v>
      </c>
      <c r="L1000" s="67">
        <v>0</v>
      </c>
      <c r="M1000" s="67">
        <v>0</v>
      </c>
      <c r="N1000" s="68">
        <v>0</v>
      </c>
    </row>
    <row r="1001" spans="2:14" x14ac:dyDescent="0.25">
      <c r="B1001" s="63">
        <v>45446</v>
      </c>
      <c r="C1001" s="63">
        <v>45447</v>
      </c>
      <c r="D1001" s="63" t="s">
        <v>1664</v>
      </c>
      <c r="E1001" s="63" t="s">
        <v>1665</v>
      </c>
      <c r="F1001" s="66">
        <v>0</v>
      </c>
      <c r="G1001" s="66">
        <v>0</v>
      </c>
      <c r="H1001" s="65">
        <v>0</v>
      </c>
      <c r="I1001" s="67">
        <v>0</v>
      </c>
      <c r="J1001" s="67">
        <v>0</v>
      </c>
      <c r="K1001" s="67">
        <v>0</v>
      </c>
      <c r="L1001" s="67">
        <v>0</v>
      </c>
      <c r="M1001" s="67">
        <v>0</v>
      </c>
      <c r="N1001" s="68">
        <v>0</v>
      </c>
    </row>
    <row r="1002" spans="2:14" x14ac:dyDescent="0.25">
      <c r="B1002" s="63">
        <v>45446</v>
      </c>
      <c r="C1002" s="63">
        <v>45447</v>
      </c>
      <c r="D1002" s="63" t="s">
        <v>1666</v>
      </c>
      <c r="E1002" s="63" t="s">
        <v>1667</v>
      </c>
      <c r="F1002" s="66">
        <v>225.84904800000001</v>
      </c>
      <c r="G1002" s="66">
        <v>0</v>
      </c>
      <c r="H1002" s="65">
        <v>0</v>
      </c>
      <c r="I1002" s="67">
        <v>0</v>
      </c>
      <c r="J1002" s="67">
        <v>0</v>
      </c>
      <c r="K1002" s="67">
        <v>0</v>
      </c>
      <c r="L1002" s="67">
        <v>0</v>
      </c>
      <c r="M1002" s="67">
        <v>0</v>
      </c>
      <c r="N1002" s="68">
        <v>0</v>
      </c>
    </row>
    <row r="1003" spans="2:14" x14ac:dyDescent="0.25">
      <c r="B1003" s="63">
        <v>45446</v>
      </c>
      <c r="C1003" s="63">
        <v>45447</v>
      </c>
      <c r="D1003" s="63" t="s">
        <v>1672</v>
      </c>
      <c r="E1003" s="63" t="s">
        <v>1673</v>
      </c>
      <c r="F1003" s="66">
        <v>24.568377999999999</v>
      </c>
      <c r="G1003" s="66">
        <v>0</v>
      </c>
      <c r="H1003" s="65">
        <v>0</v>
      </c>
      <c r="I1003" s="67">
        <v>0</v>
      </c>
      <c r="J1003" s="67">
        <v>0</v>
      </c>
      <c r="K1003" s="67">
        <v>0</v>
      </c>
      <c r="L1003" s="67">
        <v>0</v>
      </c>
      <c r="M1003" s="67">
        <v>0</v>
      </c>
      <c r="N1003" s="68">
        <v>0</v>
      </c>
    </row>
    <row r="1004" spans="2:14" x14ac:dyDescent="0.25">
      <c r="B1004" s="63">
        <v>45446</v>
      </c>
      <c r="C1004" s="63">
        <v>45447</v>
      </c>
      <c r="D1004" s="63" t="s">
        <v>1674</v>
      </c>
      <c r="E1004" s="63" t="s">
        <v>1675</v>
      </c>
      <c r="F1004" s="66">
        <v>24.889928000000001</v>
      </c>
      <c r="G1004" s="66">
        <v>0</v>
      </c>
      <c r="H1004" s="65">
        <v>0</v>
      </c>
      <c r="I1004" s="67">
        <v>0</v>
      </c>
      <c r="J1004" s="67">
        <v>0</v>
      </c>
      <c r="K1004" s="67">
        <v>0</v>
      </c>
      <c r="L1004" s="67">
        <v>0</v>
      </c>
      <c r="M1004" s="67">
        <v>0</v>
      </c>
      <c r="N1004" s="68">
        <v>0</v>
      </c>
    </row>
    <row r="1005" spans="2:14" x14ac:dyDescent="0.25">
      <c r="B1005" s="63">
        <v>45453</v>
      </c>
      <c r="C1005" s="63">
        <v>45454</v>
      </c>
      <c r="D1005" s="63" t="s">
        <v>1630</v>
      </c>
      <c r="E1005" s="63" t="s">
        <v>1631</v>
      </c>
      <c r="F1005" s="66">
        <v>421.76943499999999</v>
      </c>
      <c r="G1005" s="66">
        <v>0</v>
      </c>
      <c r="H1005" s="65">
        <v>0</v>
      </c>
      <c r="I1005" s="67">
        <v>0</v>
      </c>
      <c r="J1005" s="67">
        <v>0</v>
      </c>
      <c r="K1005" s="67">
        <v>0</v>
      </c>
      <c r="L1005" s="67">
        <v>0</v>
      </c>
      <c r="M1005" s="67">
        <v>0</v>
      </c>
      <c r="N1005" s="68">
        <v>0</v>
      </c>
    </row>
    <row r="1006" spans="2:14" x14ac:dyDescent="0.25">
      <c r="B1006" s="63">
        <v>45453</v>
      </c>
      <c r="C1006" s="63">
        <v>45454</v>
      </c>
      <c r="D1006" s="63" t="s">
        <v>1632</v>
      </c>
      <c r="E1006" s="63" t="s">
        <v>1633</v>
      </c>
      <c r="F1006" s="66">
        <v>0</v>
      </c>
      <c r="G1006" s="66">
        <v>0</v>
      </c>
      <c r="H1006" s="65">
        <v>0</v>
      </c>
      <c r="I1006" s="67">
        <v>0</v>
      </c>
      <c r="J1006" s="67">
        <v>0</v>
      </c>
      <c r="K1006" s="67">
        <v>0</v>
      </c>
      <c r="L1006" s="67">
        <v>0</v>
      </c>
      <c r="M1006" s="67">
        <v>0</v>
      </c>
      <c r="N1006" s="68">
        <v>0</v>
      </c>
    </row>
    <row r="1007" spans="2:14" x14ac:dyDescent="0.25">
      <c r="B1007" s="63">
        <v>45453</v>
      </c>
      <c r="C1007" s="63">
        <v>45454</v>
      </c>
      <c r="D1007" s="63" t="s">
        <v>1634</v>
      </c>
      <c r="E1007" s="63" t="s">
        <v>1635</v>
      </c>
      <c r="F1007" s="66">
        <v>1305.435387</v>
      </c>
      <c r="G1007" s="66">
        <v>519.73443999999995</v>
      </c>
      <c r="H1007" s="65">
        <v>602.29999999999995</v>
      </c>
      <c r="I1007" s="67">
        <v>4.2455800000000004</v>
      </c>
      <c r="J1007" s="67">
        <v>86.246291999999997</v>
      </c>
      <c r="K1007" s="67">
        <v>86.248000000000005</v>
      </c>
      <c r="L1007" s="67">
        <v>91.066665999999998</v>
      </c>
      <c r="M1007" s="67">
        <v>86.242999999999995</v>
      </c>
      <c r="N1007" s="68">
        <v>3.2919999999999998E-3</v>
      </c>
    </row>
    <row r="1008" spans="2:14" x14ac:dyDescent="0.25">
      <c r="B1008" s="63">
        <v>45453</v>
      </c>
      <c r="C1008" s="63">
        <v>45454</v>
      </c>
      <c r="D1008" s="63" t="s">
        <v>1636</v>
      </c>
      <c r="E1008" s="63" t="s">
        <v>1637</v>
      </c>
      <c r="F1008" s="66">
        <v>67.618994999999998</v>
      </c>
      <c r="G1008" s="66">
        <v>0</v>
      </c>
      <c r="H1008" s="65">
        <v>0</v>
      </c>
      <c r="I1008" s="67">
        <v>0</v>
      </c>
      <c r="J1008" s="67">
        <v>0</v>
      </c>
      <c r="K1008" s="67">
        <v>0</v>
      </c>
      <c r="L1008" s="67">
        <v>0</v>
      </c>
      <c r="M1008" s="67">
        <v>0</v>
      </c>
      <c r="N1008" s="68">
        <v>0</v>
      </c>
    </row>
    <row r="1009" spans="2:14" x14ac:dyDescent="0.25">
      <c r="B1009" s="63">
        <v>45453</v>
      </c>
      <c r="C1009" s="63">
        <v>45454</v>
      </c>
      <c r="D1009" s="63" t="s">
        <v>1638</v>
      </c>
      <c r="E1009" s="63" t="s">
        <v>1639</v>
      </c>
      <c r="F1009" s="66">
        <v>26.837643</v>
      </c>
      <c r="G1009" s="66">
        <v>0</v>
      </c>
      <c r="H1009" s="65">
        <v>0</v>
      </c>
      <c r="I1009" s="67">
        <v>0</v>
      </c>
      <c r="J1009" s="67">
        <v>0</v>
      </c>
      <c r="K1009" s="67">
        <v>0</v>
      </c>
      <c r="L1009" s="67">
        <v>0</v>
      </c>
      <c r="M1009" s="67">
        <v>0</v>
      </c>
      <c r="N1009" s="68">
        <v>0</v>
      </c>
    </row>
    <row r="1010" spans="2:14" x14ac:dyDescent="0.25">
      <c r="B1010" s="63">
        <v>45453</v>
      </c>
      <c r="C1010" s="63">
        <v>45454</v>
      </c>
      <c r="D1010" s="63" t="s">
        <v>1668</v>
      </c>
      <c r="E1010" s="63" t="s">
        <v>1669</v>
      </c>
      <c r="F1010" s="66">
        <v>0</v>
      </c>
      <c r="G1010" s="66">
        <v>0</v>
      </c>
      <c r="H1010" s="65">
        <v>0</v>
      </c>
      <c r="I1010" s="67">
        <v>0</v>
      </c>
      <c r="J1010" s="67">
        <v>0</v>
      </c>
      <c r="K1010" s="67">
        <v>0</v>
      </c>
      <c r="L1010" s="67">
        <v>0</v>
      </c>
      <c r="M1010" s="67">
        <v>0</v>
      </c>
      <c r="N1010" s="68">
        <v>0</v>
      </c>
    </row>
    <row r="1011" spans="2:14" x14ac:dyDescent="0.25">
      <c r="B1011" s="63">
        <v>45453</v>
      </c>
      <c r="C1011" s="63">
        <v>45454</v>
      </c>
      <c r="D1011" s="63" t="s">
        <v>1640</v>
      </c>
      <c r="E1011" s="63" t="s">
        <v>1641</v>
      </c>
      <c r="F1011" s="66">
        <v>190.05870400000001</v>
      </c>
      <c r="G1011" s="66">
        <v>0</v>
      </c>
      <c r="H1011" s="65">
        <v>0</v>
      </c>
      <c r="I1011" s="67">
        <v>0</v>
      </c>
      <c r="J1011" s="67">
        <v>0</v>
      </c>
      <c r="K1011" s="67">
        <v>0</v>
      </c>
      <c r="L1011" s="67">
        <v>0</v>
      </c>
      <c r="M1011" s="67">
        <v>0</v>
      </c>
      <c r="N1011" s="68">
        <v>0</v>
      </c>
    </row>
    <row r="1012" spans="2:14" x14ac:dyDescent="0.25">
      <c r="B1012" s="63">
        <v>45453</v>
      </c>
      <c r="C1012" s="63">
        <v>45454</v>
      </c>
      <c r="D1012" s="63" t="s">
        <v>1642</v>
      </c>
      <c r="E1012" s="63" t="s">
        <v>1643</v>
      </c>
      <c r="F1012" s="66">
        <v>13.442909</v>
      </c>
      <c r="G1012" s="66">
        <v>0</v>
      </c>
      <c r="H1012" s="65">
        <v>0</v>
      </c>
      <c r="I1012" s="67">
        <v>0</v>
      </c>
      <c r="J1012" s="67">
        <v>0</v>
      </c>
      <c r="K1012" s="67">
        <v>0</v>
      </c>
      <c r="L1012" s="67">
        <v>0</v>
      </c>
      <c r="M1012" s="67">
        <v>0</v>
      </c>
      <c r="N1012" s="68">
        <v>0</v>
      </c>
    </row>
    <row r="1013" spans="2:14" x14ac:dyDescent="0.25">
      <c r="B1013" s="63">
        <v>45453</v>
      </c>
      <c r="C1013" s="63">
        <v>45454</v>
      </c>
      <c r="D1013" s="63" t="s">
        <v>1644</v>
      </c>
      <c r="E1013" s="63" t="s">
        <v>1645</v>
      </c>
      <c r="F1013" s="66">
        <v>629.63853700000004</v>
      </c>
      <c r="G1013" s="66">
        <v>280.202223</v>
      </c>
      <c r="H1013" s="65">
        <v>271</v>
      </c>
      <c r="I1013" s="67">
        <v>4.1566989999999997</v>
      </c>
      <c r="J1013" s="67">
        <v>103.34374099999999</v>
      </c>
      <c r="K1013" s="67">
        <v>103.346</v>
      </c>
      <c r="L1013" s="67">
        <v>100</v>
      </c>
      <c r="M1013" s="67">
        <v>103.343</v>
      </c>
      <c r="N1013" s="68">
        <v>7.4100000000000001E-4</v>
      </c>
    </row>
    <row r="1014" spans="2:14" x14ac:dyDescent="0.25">
      <c r="B1014" s="63">
        <v>45460</v>
      </c>
      <c r="C1014" s="63">
        <v>45461</v>
      </c>
      <c r="D1014" s="63" t="s">
        <v>1676</v>
      </c>
      <c r="E1014" s="63" t="s">
        <v>1677</v>
      </c>
      <c r="F1014" s="66">
        <v>0</v>
      </c>
      <c r="G1014" s="66">
        <v>0</v>
      </c>
      <c r="H1014" s="65">
        <v>0</v>
      </c>
      <c r="I1014" s="67">
        <v>0</v>
      </c>
      <c r="J1014" s="67">
        <v>0</v>
      </c>
      <c r="K1014" s="67">
        <v>0</v>
      </c>
      <c r="L1014" s="67">
        <v>0</v>
      </c>
      <c r="M1014" s="67">
        <v>0</v>
      </c>
      <c r="N1014" s="68">
        <v>0</v>
      </c>
    </row>
    <row r="1015" spans="2:14" x14ac:dyDescent="0.25">
      <c r="B1015" s="63">
        <v>45460</v>
      </c>
      <c r="C1015" s="63">
        <v>45461</v>
      </c>
      <c r="D1015" s="63" t="s">
        <v>1678</v>
      </c>
      <c r="E1015" s="63" t="s">
        <v>1679</v>
      </c>
      <c r="F1015" s="66">
        <v>37.578850000000003</v>
      </c>
      <c r="G1015" s="66">
        <v>20.231549000000001</v>
      </c>
      <c r="H1015" s="65">
        <v>40.299999999999997</v>
      </c>
      <c r="I1015" s="67">
        <v>4.5390350000000002</v>
      </c>
      <c r="J1015" s="67">
        <v>49.868267000000003</v>
      </c>
      <c r="K1015" s="67">
        <v>49.930999999999997</v>
      </c>
      <c r="L1015" s="67">
        <v>84.333332999999996</v>
      </c>
      <c r="M1015" s="67">
        <v>49.831000000000003</v>
      </c>
      <c r="N1015" s="68">
        <v>3.7267000000000002E-2</v>
      </c>
    </row>
    <row r="1016" spans="2:14" x14ac:dyDescent="0.25">
      <c r="B1016" s="63">
        <v>45460</v>
      </c>
      <c r="C1016" s="63">
        <v>45461</v>
      </c>
      <c r="D1016" s="63" t="s">
        <v>1680</v>
      </c>
      <c r="E1016" s="63" t="s">
        <v>1681</v>
      </c>
      <c r="F1016" s="66">
        <v>0</v>
      </c>
      <c r="G1016" s="66">
        <v>0</v>
      </c>
      <c r="H1016" s="65">
        <v>0</v>
      </c>
      <c r="I1016" s="67">
        <v>0</v>
      </c>
      <c r="J1016" s="67">
        <v>0</v>
      </c>
      <c r="K1016" s="67">
        <v>0</v>
      </c>
      <c r="L1016" s="67">
        <v>0</v>
      </c>
      <c r="M1016" s="67">
        <v>0</v>
      </c>
      <c r="N1016" s="68">
        <v>0</v>
      </c>
    </row>
    <row r="1017" spans="2:14" x14ac:dyDescent="0.25">
      <c r="B1017" s="63">
        <v>45460</v>
      </c>
      <c r="C1017" s="63">
        <v>45461</v>
      </c>
      <c r="D1017" s="63" t="s">
        <v>1682</v>
      </c>
      <c r="E1017" s="63" t="s">
        <v>1683</v>
      </c>
      <c r="F1017" s="66">
        <v>0</v>
      </c>
      <c r="G1017" s="66">
        <v>0</v>
      </c>
      <c r="H1017" s="65">
        <v>0</v>
      </c>
      <c r="I1017" s="67">
        <v>0</v>
      </c>
      <c r="J1017" s="67">
        <v>0</v>
      </c>
      <c r="K1017" s="67">
        <v>0</v>
      </c>
      <c r="L1017" s="67">
        <v>0</v>
      </c>
      <c r="M1017" s="67">
        <v>0</v>
      </c>
      <c r="N1017" s="68">
        <v>0</v>
      </c>
    </row>
    <row r="1018" spans="2:14" x14ac:dyDescent="0.25">
      <c r="B1018" s="63">
        <v>45460</v>
      </c>
      <c r="C1018" s="63">
        <v>45461</v>
      </c>
      <c r="D1018" s="63" t="s">
        <v>1684</v>
      </c>
      <c r="E1018" s="63" t="s">
        <v>1685</v>
      </c>
      <c r="F1018" s="66">
        <v>88.805807000000001</v>
      </c>
      <c r="G1018" s="66">
        <v>38.676000000000002</v>
      </c>
      <c r="H1018" s="65">
        <v>65</v>
      </c>
      <c r="I1018" s="67">
        <v>4.5521310000000001</v>
      </c>
      <c r="J1018" s="67">
        <v>58.790011999999997</v>
      </c>
      <c r="K1018" s="67">
        <v>58.81</v>
      </c>
      <c r="L1018" s="67">
        <v>100</v>
      </c>
      <c r="M1018" s="67">
        <v>58.74</v>
      </c>
      <c r="N1018" s="68">
        <v>5.0012000000000001E-2</v>
      </c>
    </row>
    <row r="1019" spans="2:14" x14ac:dyDescent="0.25">
      <c r="B1019" s="63">
        <v>45460</v>
      </c>
      <c r="C1019" s="63">
        <v>45461</v>
      </c>
      <c r="D1019" s="63" t="s">
        <v>1686</v>
      </c>
      <c r="E1019" s="63" t="s">
        <v>1687</v>
      </c>
      <c r="F1019" s="66">
        <v>0</v>
      </c>
      <c r="G1019" s="66">
        <v>0</v>
      </c>
      <c r="H1019" s="65">
        <v>0</v>
      </c>
      <c r="I1019" s="67">
        <v>0</v>
      </c>
      <c r="J1019" s="67">
        <v>0</v>
      </c>
      <c r="K1019" s="67">
        <v>0</v>
      </c>
      <c r="L1019" s="67">
        <v>0</v>
      </c>
      <c r="M1019" s="67">
        <v>0</v>
      </c>
      <c r="N1019" s="68">
        <v>0</v>
      </c>
    </row>
    <row r="1020" spans="2:14" x14ac:dyDescent="0.25">
      <c r="B1020" s="63">
        <v>45460</v>
      </c>
      <c r="C1020" s="63">
        <v>45461</v>
      </c>
      <c r="D1020" s="63" t="s">
        <v>1688</v>
      </c>
      <c r="E1020" s="63" t="s">
        <v>1689</v>
      </c>
      <c r="F1020" s="66">
        <v>177.45216500000001</v>
      </c>
      <c r="G1020" s="66">
        <v>177.45216500000001</v>
      </c>
      <c r="H1020" s="65">
        <v>436</v>
      </c>
      <c r="I1020" s="67">
        <v>4.4943039999999996</v>
      </c>
      <c r="J1020" s="67">
        <v>40.602708</v>
      </c>
      <c r="K1020" s="67">
        <v>40.622999999999998</v>
      </c>
      <c r="L1020" s="67">
        <v>100</v>
      </c>
      <c r="M1020" s="67">
        <v>40.582999999999998</v>
      </c>
      <c r="N1020" s="68">
        <v>1.9708E-2</v>
      </c>
    </row>
    <row r="1021" spans="2:14" x14ac:dyDescent="0.25">
      <c r="B1021" s="63">
        <v>45460</v>
      </c>
      <c r="C1021" s="63">
        <v>45461</v>
      </c>
      <c r="D1021" s="63" t="s">
        <v>1690</v>
      </c>
      <c r="E1021" s="63" t="s">
        <v>1691</v>
      </c>
      <c r="F1021" s="66">
        <v>0</v>
      </c>
      <c r="G1021" s="66">
        <v>0</v>
      </c>
      <c r="H1021" s="65">
        <v>0</v>
      </c>
      <c r="I1021" s="67">
        <v>0</v>
      </c>
      <c r="J1021" s="67">
        <v>0</v>
      </c>
      <c r="K1021" s="67">
        <v>0</v>
      </c>
      <c r="L1021" s="67">
        <v>0</v>
      </c>
      <c r="M1021" s="67">
        <v>0</v>
      </c>
      <c r="N1021" s="68">
        <v>0</v>
      </c>
    </row>
    <row r="1022" spans="2:14" x14ac:dyDescent="0.25">
      <c r="B1022" s="63">
        <v>45460</v>
      </c>
      <c r="C1022" s="63">
        <v>45461</v>
      </c>
      <c r="D1022" s="63" t="s">
        <v>1692</v>
      </c>
      <c r="E1022" s="63" t="s">
        <v>1693</v>
      </c>
      <c r="F1022" s="66">
        <v>39.711626000000003</v>
      </c>
      <c r="G1022" s="66">
        <v>0</v>
      </c>
      <c r="H1022" s="65">
        <v>0</v>
      </c>
      <c r="I1022" s="67">
        <v>0</v>
      </c>
      <c r="J1022" s="67">
        <v>0</v>
      </c>
      <c r="K1022" s="67">
        <v>0</v>
      </c>
      <c r="L1022" s="67">
        <v>0</v>
      </c>
      <c r="M1022" s="67">
        <v>0</v>
      </c>
      <c r="N1022" s="68">
        <v>0</v>
      </c>
    </row>
    <row r="1023" spans="2:14" x14ac:dyDescent="0.25">
      <c r="B1023" s="63">
        <v>45460</v>
      </c>
      <c r="C1023" s="63">
        <v>45461</v>
      </c>
      <c r="D1023" s="63" t="s">
        <v>1694</v>
      </c>
      <c r="E1023" s="63" t="s">
        <v>1695</v>
      </c>
      <c r="F1023" s="66">
        <v>0</v>
      </c>
      <c r="G1023" s="66">
        <v>0</v>
      </c>
      <c r="H1023" s="65">
        <v>0</v>
      </c>
      <c r="I1023" s="67">
        <v>0</v>
      </c>
      <c r="J1023" s="67">
        <v>0</v>
      </c>
      <c r="K1023" s="67">
        <v>0</v>
      </c>
      <c r="L1023" s="67">
        <v>0</v>
      </c>
      <c r="M1023" s="67">
        <v>0</v>
      </c>
      <c r="N1023" s="68">
        <v>0</v>
      </c>
    </row>
    <row r="1024" spans="2:14" x14ac:dyDescent="0.25">
      <c r="B1024" s="63">
        <v>45460</v>
      </c>
      <c r="C1024" s="63">
        <v>45461</v>
      </c>
      <c r="D1024" s="63" t="s">
        <v>1696</v>
      </c>
      <c r="E1024" s="63" t="s">
        <v>1697</v>
      </c>
      <c r="F1024" s="66">
        <v>0</v>
      </c>
      <c r="G1024" s="66">
        <v>0</v>
      </c>
      <c r="H1024" s="65">
        <v>0</v>
      </c>
      <c r="I1024" s="67">
        <v>0</v>
      </c>
      <c r="J1024" s="67">
        <v>0</v>
      </c>
      <c r="K1024" s="67">
        <v>0</v>
      </c>
      <c r="L1024" s="67">
        <v>0</v>
      </c>
      <c r="M1024" s="67">
        <v>0</v>
      </c>
      <c r="N1024" s="68">
        <v>0</v>
      </c>
    </row>
    <row r="1025" spans="2:14" x14ac:dyDescent="0.25">
      <c r="B1025" s="63">
        <v>45460</v>
      </c>
      <c r="C1025" s="63">
        <v>45461</v>
      </c>
      <c r="D1025" s="63" t="s">
        <v>1698</v>
      </c>
      <c r="E1025" s="63" t="s">
        <v>1699</v>
      </c>
      <c r="F1025" s="66">
        <v>0</v>
      </c>
      <c r="G1025" s="66">
        <v>0</v>
      </c>
      <c r="H1025" s="65">
        <v>0</v>
      </c>
      <c r="I1025" s="67">
        <v>0</v>
      </c>
      <c r="J1025" s="67">
        <v>0</v>
      </c>
      <c r="K1025" s="67">
        <v>0</v>
      </c>
      <c r="L1025" s="67">
        <v>0</v>
      </c>
      <c r="M1025" s="67">
        <v>0</v>
      </c>
      <c r="N1025" s="68">
        <v>0</v>
      </c>
    </row>
    <row r="1026" spans="2:14" x14ac:dyDescent="0.25">
      <c r="B1026" s="63">
        <v>45460</v>
      </c>
      <c r="C1026" s="63">
        <v>45461</v>
      </c>
      <c r="D1026" s="63" t="s">
        <v>1700</v>
      </c>
      <c r="E1026" s="63" t="s">
        <v>1701</v>
      </c>
      <c r="F1026" s="66">
        <v>8.0867299999999993</v>
      </c>
      <c r="G1026" s="66">
        <v>8.0867310000000003</v>
      </c>
      <c r="H1026" s="65">
        <v>15</v>
      </c>
      <c r="I1026" s="67">
        <v>4.4733549999999997</v>
      </c>
      <c r="J1026" s="67">
        <v>53.2</v>
      </c>
      <c r="K1026" s="67">
        <v>53.2</v>
      </c>
      <c r="L1026" s="67">
        <v>100</v>
      </c>
      <c r="M1026" s="67">
        <v>53.2</v>
      </c>
      <c r="N1026" s="68">
        <v>0</v>
      </c>
    </row>
    <row r="1027" spans="2:14" x14ac:dyDescent="0.25">
      <c r="B1027" s="63">
        <v>45460</v>
      </c>
      <c r="C1027" s="63">
        <v>45461</v>
      </c>
      <c r="D1027" s="63" t="s">
        <v>1702</v>
      </c>
      <c r="E1027" s="63" t="s">
        <v>1703</v>
      </c>
      <c r="F1027" s="66">
        <v>0</v>
      </c>
      <c r="G1027" s="66">
        <v>0</v>
      </c>
      <c r="H1027" s="65">
        <v>0</v>
      </c>
      <c r="I1027" s="67">
        <v>0</v>
      </c>
      <c r="J1027" s="67">
        <v>0</v>
      </c>
      <c r="K1027" s="67">
        <v>0</v>
      </c>
      <c r="L1027" s="67">
        <v>0</v>
      </c>
      <c r="M1027" s="67">
        <v>0</v>
      </c>
      <c r="N1027" s="68">
        <v>0</v>
      </c>
    </row>
    <row r="1028" spans="2:14" x14ac:dyDescent="0.25">
      <c r="B1028" s="63">
        <v>45460</v>
      </c>
      <c r="C1028" s="63">
        <v>45461</v>
      </c>
      <c r="D1028" s="63" t="s">
        <v>1704</v>
      </c>
      <c r="E1028" s="63" t="s">
        <v>1705</v>
      </c>
      <c r="F1028" s="66">
        <v>0</v>
      </c>
      <c r="G1028" s="66">
        <v>0</v>
      </c>
      <c r="H1028" s="65">
        <v>0</v>
      </c>
      <c r="I1028" s="67">
        <v>0</v>
      </c>
      <c r="J1028" s="67">
        <v>0</v>
      </c>
      <c r="K1028" s="67">
        <v>0</v>
      </c>
      <c r="L1028" s="67">
        <v>0</v>
      </c>
      <c r="M1028" s="67">
        <v>0</v>
      </c>
      <c r="N1028" s="68">
        <v>0</v>
      </c>
    </row>
    <row r="1029" spans="2:14" x14ac:dyDescent="0.25">
      <c r="B1029" s="63">
        <v>45460</v>
      </c>
      <c r="C1029" s="63">
        <v>45461</v>
      </c>
      <c r="D1029" s="63" t="s">
        <v>1706</v>
      </c>
      <c r="E1029" s="63" t="s">
        <v>1707</v>
      </c>
      <c r="F1029" s="66">
        <v>0</v>
      </c>
      <c r="G1029" s="66">
        <v>0</v>
      </c>
      <c r="H1029" s="65">
        <v>0</v>
      </c>
      <c r="I1029" s="67">
        <v>0</v>
      </c>
      <c r="J1029" s="67">
        <v>0</v>
      </c>
      <c r="K1029" s="67">
        <v>0</v>
      </c>
      <c r="L1029" s="67">
        <v>0</v>
      </c>
      <c r="M1029" s="67">
        <v>0</v>
      </c>
      <c r="N1029" s="68">
        <v>0</v>
      </c>
    </row>
    <row r="1030" spans="2:14" x14ac:dyDescent="0.25">
      <c r="B1030" s="63">
        <v>45460</v>
      </c>
      <c r="C1030" s="63">
        <v>45461</v>
      </c>
      <c r="D1030" s="63" t="s">
        <v>1708</v>
      </c>
      <c r="E1030" s="63" t="s">
        <v>1709</v>
      </c>
      <c r="F1030" s="66">
        <v>0</v>
      </c>
      <c r="G1030" s="66">
        <v>0</v>
      </c>
      <c r="H1030" s="65">
        <v>0</v>
      </c>
      <c r="I1030" s="67">
        <v>0</v>
      </c>
      <c r="J1030" s="67">
        <v>0</v>
      </c>
      <c r="K1030" s="67">
        <v>0</v>
      </c>
      <c r="L1030" s="67">
        <v>0</v>
      </c>
      <c r="M1030" s="67">
        <v>0</v>
      </c>
      <c r="N1030" s="68">
        <v>0</v>
      </c>
    </row>
    <row r="1031" spans="2:14" x14ac:dyDescent="0.25">
      <c r="B1031" s="63">
        <v>45460</v>
      </c>
      <c r="C1031" s="63">
        <v>45461</v>
      </c>
      <c r="D1031" s="63" t="s">
        <v>1710</v>
      </c>
      <c r="E1031" s="63" t="s">
        <v>1711</v>
      </c>
      <c r="F1031" s="66">
        <v>355.51268299999998</v>
      </c>
      <c r="G1031" s="66">
        <v>355.51268399999998</v>
      </c>
      <c r="H1031" s="65">
        <v>764</v>
      </c>
      <c r="I1031" s="67">
        <v>4.2833909999999999</v>
      </c>
      <c r="J1031" s="67">
        <v>46.280003000000001</v>
      </c>
      <c r="K1031" s="67">
        <v>46.296999999999997</v>
      </c>
      <c r="L1031" s="67">
        <v>100</v>
      </c>
      <c r="M1031" s="67">
        <v>46.262999999999998</v>
      </c>
      <c r="N1031" s="68">
        <v>1.7003000000000001E-2</v>
      </c>
    </row>
    <row r="1032" spans="2:14" x14ac:dyDescent="0.25">
      <c r="B1032" s="63">
        <v>45467</v>
      </c>
      <c r="C1032" s="63">
        <v>45468</v>
      </c>
      <c r="D1032" s="63" t="s">
        <v>1646</v>
      </c>
      <c r="E1032" s="63" t="s">
        <v>1647</v>
      </c>
      <c r="F1032" s="66">
        <v>0</v>
      </c>
      <c r="G1032" s="66">
        <v>0</v>
      </c>
      <c r="H1032" s="65">
        <v>0</v>
      </c>
      <c r="I1032" s="67">
        <v>0</v>
      </c>
      <c r="J1032" s="67">
        <v>0</v>
      </c>
      <c r="K1032" s="67">
        <v>0</v>
      </c>
      <c r="L1032" s="67">
        <v>0</v>
      </c>
      <c r="M1032" s="67">
        <v>0</v>
      </c>
      <c r="N1032" s="68">
        <v>0</v>
      </c>
    </row>
    <row r="1033" spans="2:14" x14ac:dyDescent="0.25">
      <c r="B1033" s="63">
        <v>45467</v>
      </c>
      <c r="C1033" s="63">
        <v>45468</v>
      </c>
      <c r="D1033" s="63" t="s">
        <v>1648</v>
      </c>
      <c r="E1033" s="63" t="s">
        <v>1649</v>
      </c>
      <c r="F1033" s="66">
        <v>0</v>
      </c>
      <c r="G1033" s="66">
        <v>0</v>
      </c>
      <c r="H1033" s="65">
        <v>0</v>
      </c>
      <c r="I1033" s="67">
        <v>0</v>
      </c>
      <c r="J1033" s="67">
        <v>0</v>
      </c>
      <c r="K1033" s="67">
        <v>0</v>
      </c>
      <c r="L1033" s="67">
        <v>0</v>
      </c>
      <c r="M1033" s="67">
        <v>0</v>
      </c>
      <c r="N1033" s="68">
        <v>0</v>
      </c>
    </row>
    <row r="1034" spans="2:14" x14ac:dyDescent="0.25">
      <c r="B1034" s="63">
        <v>45467</v>
      </c>
      <c r="C1034" s="63">
        <v>45468</v>
      </c>
      <c r="D1034" s="63" t="s">
        <v>1670</v>
      </c>
      <c r="E1034" s="63" t="s">
        <v>1671</v>
      </c>
      <c r="F1034" s="66">
        <v>0</v>
      </c>
      <c r="G1034" s="66">
        <v>0</v>
      </c>
      <c r="H1034" s="65">
        <v>0</v>
      </c>
      <c r="I1034" s="67">
        <v>0</v>
      </c>
      <c r="J1034" s="67">
        <v>0</v>
      </c>
      <c r="K1034" s="67">
        <v>0</v>
      </c>
      <c r="L1034" s="67">
        <v>0</v>
      </c>
      <c r="M1034" s="67">
        <v>0</v>
      </c>
      <c r="N1034" s="68">
        <v>0</v>
      </c>
    </row>
    <row r="1035" spans="2:14" x14ac:dyDescent="0.25">
      <c r="B1035" s="63">
        <v>45467</v>
      </c>
      <c r="C1035" s="63">
        <v>45468</v>
      </c>
      <c r="D1035" s="63" t="s">
        <v>1650</v>
      </c>
      <c r="E1035" s="63" t="s">
        <v>1651</v>
      </c>
      <c r="F1035" s="66">
        <v>47.015998000000003</v>
      </c>
      <c r="G1035" s="66">
        <v>0</v>
      </c>
      <c r="H1035" s="65">
        <v>0</v>
      </c>
      <c r="I1035" s="67">
        <v>0</v>
      </c>
      <c r="J1035" s="67">
        <v>0</v>
      </c>
      <c r="K1035" s="67">
        <v>0</v>
      </c>
      <c r="L1035" s="67">
        <v>0</v>
      </c>
      <c r="M1035" s="67">
        <v>0</v>
      </c>
      <c r="N1035" s="68">
        <v>0</v>
      </c>
    </row>
    <row r="1036" spans="2:14" x14ac:dyDescent="0.25">
      <c r="B1036" s="63">
        <v>45467</v>
      </c>
      <c r="C1036" s="63">
        <v>45468</v>
      </c>
      <c r="D1036" s="63" t="s">
        <v>1652</v>
      </c>
      <c r="E1036" s="63" t="s">
        <v>1653</v>
      </c>
      <c r="F1036" s="66">
        <v>380.66427700000003</v>
      </c>
      <c r="G1036" s="66">
        <v>380.66427700000003</v>
      </c>
      <c r="H1036" s="65">
        <v>550</v>
      </c>
      <c r="I1036" s="67">
        <v>4.1417349999999997</v>
      </c>
      <c r="J1036" s="67">
        <v>68.960999999999999</v>
      </c>
      <c r="K1036" s="67">
        <v>68.960999999999999</v>
      </c>
      <c r="L1036" s="67">
        <v>100</v>
      </c>
      <c r="M1036" s="67">
        <v>68.960999999999999</v>
      </c>
      <c r="N1036" s="68">
        <v>0</v>
      </c>
    </row>
    <row r="1037" spans="2:14" x14ac:dyDescent="0.25">
      <c r="B1037" s="63">
        <v>45467</v>
      </c>
      <c r="C1037" s="63">
        <v>45468</v>
      </c>
      <c r="D1037" s="63" t="s">
        <v>1654</v>
      </c>
      <c r="E1037" s="63" t="s">
        <v>1655</v>
      </c>
      <c r="F1037" s="66">
        <v>962.10174500000005</v>
      </c>
      <c r="G1037" s="66">
        <v>369.30059999999997</v>
      </c>
      <c r="H1037" s="65">
        <v>362.3</v>
      </c>
      <c r="I1037" s="67">
        <v>4.1773340000000001</v>
      </c>
      <c r="J1037" s="67">
        <v>100.661886</v>
      </c>
      <c r="K1037" s="67">
        <v>100.67100000000001</v>
      </c>
      <c r="L1037" s="67">
        <v>1.916666</v>
      </c>
      <c r="M1037" s="67">
        <v>100.64400000000001</v>
      </c>
      <c r="N1037" s="68">
        <v>1.7885999999999999E-2</v>
      </c>
    </row>
    <row r="1038" spans="2:14" x14ac:dyDescent="0.25">
      <c r="B1038" s="63">
        <v>45467</v>
      </c>
      <c r="C1038" s="63">
        <v>45468</v>
      </c>
      <c r="D1038" s="63" t="s">
        <v>1656</v>
      </c>
      <c r="E1038" s="63" t="s">
        <v>1657</v>
      </c>
      <c r="F1038" s="66">
        <v>0</v>
      </c>
      <c r="G1038" s="66">
        <v>0</v>
      </c>
      <c r="H1038" s="65">
        <v>0</v>
      </c>
      <c r="I1038" s="67">
        <v>0</v>
      </c>
      <c r="J1038" s="67">
        <v>0</v>
      </c>
      <c r="K1038" s="67">
        <v>0</v>
      </c>
      <c r="L1038" s="67">
        <v>0</v>
      </c>
      <c r="M1038" s="67">
        <v>0</v>
      </c>
      <c r="N1038" s="68">
        <v>0</v>
      </c>
    </row>
    <row r="1039" spans="2:14" x14ac:dyDescent="0.25">
      <c r="B1039" s="63">
        <v>45467</v>
      </c>
      <c r="C1039" s="63">
        <v>45468</v>
      </c>
      <c r="D1039" s="63" t="s">
        <v>1658</v>
      </c>
      <c r="E1039" s="63" t="s">
        <v>1659</v>
      </c>
      <c r="F1039" s="66">
        <v>0</v>
      </c>
      <c r="G1039" s="66">
        <v>0</v>
      </c>
      <c r="H1039" s="65">
        <v>0</v>
      </c>
      <c r="I1039" s="67">
        <v>0</v>
      </c>
      <c r="J1039" s="67">
        <v>0</v>
      </c>
      <c r="K1039" s="67">
        <v>0</v>
      </c>
      <c r="L1039" s="67">
        <v>0</v>
      </c>
      <c r="M1039" s="67">
        <v>0</v>
      </c>
      <c r="N1039" s="68">
        <v>0</v>
      </c>
    </row>
    <row r="1040" spans="2:14" x14ac:dyDescent="0.25">
      <c r="B1040" s="63">
        <v>45467</v>
      </c>
      <c r="C1040" s="63">
        <v>45468</v>
      </c>
      <c r="D1040" s="63" t="s">
        <v>1662</v>
      </c>
      <c r="E1040" s="63" t="s">
        <v>1663</v>
      </c>
      <c r="F1040" s="66">
        <v>49.762689999999999</v>
      </c>
      <c r="G1040" s="66">
        <v>0</v>
      </c>
      <c r="H1040" s="65">
        <v>0</v>
      </c>
      <c r="I1040" s="67">
        <v>0</v>
      </c>
      <c r="J1040" s="67">
        <v>0</v>
      </c>
      <c r="K1040" s="67">
        <v>0</v>
      </c>
      <c r="L1040" s="67">
        <v>0</v>
      </c>
      <c r="M1040" s="67">
        <v>0</v>
      </c>
      <c r="N1040" s="68">
        <v>0</v>
      </c>
    </row>
    <row r="1041" spans="2:14" x14ac:dyDescent="0.25">
      <c r="B1041" s="63">
        <v>45467</v>
      </c>
      <c r="C1041" s="63">
        <v>45468</v>
      </c>
      <c r="D1041" s="63" t="s">
        <v>1664</v>
      </c>
      <c r="E1041" s="63" t="s">
        <v>1665</v>
      </c>
      <c r="F1041" s="66">
        <v>0</v>
      </c>
      <c r="G1041" s="66">
        <v>0</v>
      </c>
      <c r="H1041" s="65">
        <v>0</v>
      </c>
      <c r="I1041" s="67">
        <v>0</v>
      </c>
      <c r="J1041" s="67">
        <v>0</v>
      </c>
      <c r="K1041" s="67">
        <v>0</v>
      </c>
      <c r="L1041" s="67">
        <v>0</v>
      </c>
      <c r="M1041" s="67">
        <v>0</v>
      </c>
      <c r="N1041" s="68">
        <v>0</v>
      </c>
    </row>
    <row r="1042" spans="2:14" x14ac:dyDescent="0.25">
      <c r="B1042" s="63">
        <v>45467</v>
      </c>
      <c r="C1042" s="63">
        <v>45468</v>
      </c>
      <c r="D1042" s="63" t="s">
        <v>1666</v>
      </c>
      <c r="E1042" s="63" t="s">
        <v>1667</v>
      </c>
      <c r="F1042" s="66">
        <v>55.592621000000001</v>
      </c>
      <c r="G1042" s="66">
        <v>0</v>
      </c>
      <c r="H1042" s="65">
        <v>0</v>
      </c>
      <c r="I1042" s="67">
        <v>0</v>
      </c>
      <c r="J1042" s="67">
        <v>0</v>
      </c>
      <c r="K1042" s="67">
        <v>0</v>
      </c>
      <c r="L1042" s="67">
        <v>0</v>
      </c>
      <c r="M1042" s="67">
        <v>0</v>
      </c>
      <c r="N1042" s="68">
        <v>0</v>
      </c>
    </row>
    <row r="1043" spans="2:14" x14ac:dyDescent="0.25">
      <c r="B1043" s="63">
        <v>45467</v>
      </c>
      <c r="C1043" s="63">
        <v>45468</v>
      </c>
      <c r="D1043" s="63" t="s">
        <v>1672</v>
      </c>
      <c r="E1043" s="63" t="s">
        <v>1673</v>
      </c>
      <c r="F1043" s="66">
        <v>0</v>
      </c>
      <c r="G1043" s="66">
        <v>0</v>
      </c>
      <c r="H1043" s="65">
        <v>0</v>
      </c>
      <c r="I1043" s="67">
        <v>0</v>
      </c>
      <c r="J1043" s="67">
        <v>0</v>
      </c>
      <c r="K1043" s="67">
        <v>0</v>
      </c>
      <c r="L1043" s="67">
        <v>0</v>
      </c>
      <c r="M1043" s="67">
        <v>0</v>
      </c>
      <c r="N1043" s="68">
        <v>0</v>
      </c>
    </row>
    <row r="1044" spans="2:14" x14ac:dyDescent="0.25">
      <c r="B1044" s="63">
        <v>45467</v>
      </c>
      <c r="C1044" s="63">
        <v>45468</v>
      </c>
      <c r="D1044" s="63" t="s">
        <v>1674</v>
      </c>
      <c r="E1044" s="63" t="s">
        <v>1675</v>
      </c>
      <c r="F1044" s="66">
        <v>25.438777999999999</v>
      </c>
      <c r="G1044" s="66">
        <v>0</v>
      </c>
      <c r="H1044" s="65">
        <v>0</v>
      </c>
      <c r="I1044" s="67">
        <v>0</v>
      </c>
      <c r="J1044" s="67">
        <v>0</v>
      </c>
      <c r="K1044" s="67">
        <v>0</v>
      </c>
      <c r="L1044" s="67">
        <v>0</v>
      </c>
      <c r="M1044" s="67">
        <v>0</v>
      </c>
      <c r="N1044" s="68">
        <v>0</v>
      </c>
    </row>
    <row r="1045" spans="2:14" x14ac:dyDescent="0.25">
      <c r="B1045" s="63">
        <v>45474</v>
      </c>
      <c r="C1045" s="63">
        <v>45475</v>
      </c>
      <c r="D1045" s="63" t="s">
        <v>1676</v>
      </c>
      <c r="E1045" s="63" t="s">
        <v>1677</v>
      </c>
      <c r="F1045" s="66">
        <v>8.5797690000000006</v>
      </c>
      <c r="G1045" s="66">
        <v>8.5797690000000006</v>
      </c>
      <c r="H1045" s="65">
        <v>10</v>
      </c>
      <c r="I1045" s="67">
        <v>4.7044389999999998</v>
      </c>
      <c r="J1045" s="67">
        <v>84.24</v>
      </c>
      <c r="K1045" s="67">
        <v>84.24</v>
      </c>
      <c r="L1045" s="67">
        <v>100</v>
      </c>
      <c r="M1045" s="67">
        <v>84.24</v>
      </c>
      <c r="N1045" s="68">
        <v>0</v>
      </c>
    </row>
    <row r="1046" spans="2:14" x14ac:dyDescent="0.25">
      <c r="B1046" s="63">
        <v>45474</v>
      </c>
      <c r="C1046" s="63">
        <v>45475</v>
      </c>
      <c r="D1046" s="63" t="s">
        <v>1678</v>
      </c>
      <c r="E1046" s="63" t="s">
        <v>1679</v>
      </c>
      <c r="F1046" s="66">
        <v>0</v>
      </c>
      <c r="G1046" s="66">
        <v>0</v>
      </c>
      <c r="H1046" s="65">
        <v>0</v>
      </c>
      <c r="I1046" s="67">
        <v>0</v>
      </c>
      <c r="J1046" s="67">
        <v>0</v>
      </c>
      <c r="K1046" s="67">
        <v>0</v>
      </c>
      <c r="L1046" s="67">
        <v>0</v>
      </c>
      <c r="M1046" s="67">
        <v>0</v>
      </c>
      <c r="N1046" s="68">
        <v>0</v>
      </c>
    </row>
    <row r="1047" spans="2:14" x14ac:dyDescent="0.25">
      <c r="B1047" s="63">
        <v>45474</v>
      </c>
      <c r="C1047" s="63">
        <v>45475</v>
      </c>
      <c r="D1047" s="63" t="s">
        <v>1680</v>
      </c>
      <c r="E1047" s="63" t="s">
        <v>1681</v>
      </c>
      <c r="F1047" s="66">
        <v>0</v>
      </c>
      <c r="G1047" s="66">
        <v>0</v>
      </c>
      <c r="H1047" s="65">
        <v>0</v>
      </c>
      <c r="I1047" s="67">
        <v>0</v>
      </c>
      <c r="J1047" s="67">
        <v>0</v>
      </c>
      <c r="K1047" s="67">
        <v>0</v>
      </c>
      <c r="L1047" s="67">
        <v>0</v>
      </c>
      <c r="M1047" s="67">
        <v>0</v>
      </c>
      <c r="N1047" s="68">
        <v>0</v>
      </c>
    </row>
    <row r="1048" spans="2:14" x14ac:dyDescent="0.25">
      <c r="B1048" s="63">
        <v>45474</v>
      </c>
      <c r="C1048" s="63">
        <v>45475</v>
      </c>
      <c r="D1048" s="63" t="s">
        <v>1682</v>
      </c>
      <c r="E1048" s="63" t="s">
        <v>1683</v>
      </c>
      <c r="F1048" s="66">
        <v>0</v>
      </c>
      <c r="G1048" s="66">
        <v>0</v>
      </c>
      <c r="H1048" s="65">
        <v>0</v>
      </c>
      <c r="I1048" s="67">
        <v>0</v>
      </c>
      <c r="J1048" s="67">
        <v>0</v>
      </c>
      <c r="K1048" s="67">
        <v>0</v>
      </c>
      <c r="L1048" s="67">
        <v>0</v>
      </c>
      <c r="M1048" s="67">
        <v>0</v>
      </c>
      <c r="N1048" s="68">
        <v>0</v>
      </c>
    </row>
    <row r="1049" spans="2:14" x14ac:dyDescent="0.25">
      <c r="B1049" s="63">
        <v>45474</v>
      </c>
      <c r="C1049" s="63">
        <v>45475</v>
      </c>
      <c r="D1049" s="63" t="s">
        <v>1684</v>
      </c>
      <c r="E1049" s="63" t="s">
        <v>1685</v>
      </c>
      <c r="F1049" s="66">
        <v>14.527210999999999</v>
      </c>
      <c r="G1049" s="66">
        <v>14.527212</v>
      </c>
      <c r="H1049" s="65">
        <v>25</v>
      </c>
      <c r="I1049" s="67">
        <v>4.6962890000000002</v>
      </c>
      <c r="J1049" s="67">
        <v>57.33</v>
      </c>
      <c r="K1049" s="67">
        <v>57.33</v>
      </c>
      <c r="L1049" s="67">
        <v>100</v>
      </c>
      <c r="M1049" s="67">
        <v>57.33</v>
      </c>
      <c r="N1049" s="68">
        <v>0</v>
      </c>
    </row>
    <row r="1050" spans="2:14" x14ac:dyDescent="0.25">
      <c r="B1050" s="63">
        <v>45474</v>
      </c>
      <c r="C1050" s="63">
        <v>45475</v>
      </c>
      <c r="D1050" s="63" t="s">
        <v>1686</v>
      </c>
      <c r="E1050" s="63" t="s">
        <v>1687</v>
      </c>
      <c r="F1050" s="66">
        <v>69.092725000000002</v>
      </c>
      <c r="G1050" s="66">
        <v>0</v>
      </c>
      <c r="H1050" s="65">
        <v>0</v>
      </c>
      <c r="I1050" s="67">
        <v>0</v>
      </c>
      <c r="J1050" s="67">
        <v>0</v>
      </c>
      <c r="K1050" s="67">
        <v>0</v>
      </c>
      <c r="L1050" s="67">
        <v>0</v>
      </c>
      <c r="M1050" s="67">
        <v>0</v>
      </c>
      <c r="N1050" s="68">
        <v>0</v>
      </c>
    </row>
    <row r="1051" spans="2:14" x14ac:dyDescent="0.25">
      <c r="B1051" s="63">
        <v>45474</v>
      </c>
      <c r="C1051" s="63">
        <v>45475</v>
      </c>
      <c r="D1051" s="63" t="s">
        <v>1688</v>
      </c>
      <c r="E1051" s="63" t="s">
        <v>1689</v>
      </c>
      <c r="F1051" s="66">
        <v>0</v>
      </c>
      <c r="G1051" s="66">
        <v>0</v>
      </c>
      <c r="H1051" s="65">
        <v>0</v>
      </c>
      <c r="I1051" s="67">
        <v>0</v>
      </c>
      <c r="J1051" s="67">
        <v>0</v>
      </c>
      <c r="K1051" s="67">
        <v>0</v>
      </c>
      <c r="L1051" s="67">
        <v>0</v>
      </c>
      <c r="M1051" s="67">
        <v>0</v>
      </c>
      <c r="N1051" s="68">
        <v>0</v>
      </c>
    </row>
    <row r="1052" spans="2:14" x14ac:dyDescent="0.25">
      <c r="B1052" s="63">
        <v>45474</v>
      </c>
      <c r="C1052" s="63">
        <v>45475</v>
      </c>
      <c r="D1052" s="63" t="s">
        <v>1690</v>
      </c>
      <c r="E1052" s="63" t="s">
        <v>1691</v>
      </c>
      <c r="F1052" s="66">
        <v>126.963892</v>
      </c>
      <c r="G1052" s="66">
        <v>21.649785000000001</v>
      </c>
      <c r="H1052" s="65">
        <v>45</v>
      </c>
      <c r="I1052" s="67">
        <v>4.6866709999999996</v>
      </c>
      <c r="J1052" s="67">
        <v>47.585222999999999</v>
      </c>
      <c r="K1052" s="67">
        <v>47.6</v>
      </c>
      <c r="L1052" s="67">
        <v>100</v>
      </c>
      <c r="M1052" s="67">
        <v>47.581000000000003</v>
      </c>
      <c r="N1052" s="68">
        <v>4.2230000000000002E-3</v>
      </c>
    </row>
    <row r="1053" spans="2:14" x14ac:dyDescent="0.25">
      <c r="B1053" s="63">
        <v>45474</v>
      </c>
      <c r="C1053" s="63">
        <v>45475</v>
      </c>
      <c r="D1053" s="63" t="s">
        <v>1692</v>
      </c>
      <c r="E1053" s="63" t="s">
        <v>1693</v>
      </c>
      <c r="F1053" s="66">
        <v>0</v>
      </c>
      <c r="G1053" s="66">
        <v>0</v>
      </c>
      <c r="H1053" s="65">
        <v>0</v>
      </c>
      <c r="I1053" s="67">
        <v>0</v>
      </c>
      <c r="J1053" s="67">
        <v>0</v>
      </c>
      <c r="K1053" s="67">
        <v>0</v>
      </c>
      <c r="L1053" s="67">
        <v>0</v>
      </c>
      <c r="M1053" s="67">
        <v>0</v>
      </c>
      <c r="N1053" s="68">
        <v>0</v>
      </c>
    </row>
    <row r="1054" spans="2:14" x14ac:dyDescent="0.25">
      <c r="B1054" s="63">
        <v>45474</v>
      </c>
      <c r="C1054" s="63">
        <v>45475</v>
      </c>
      <c r="D1054" s="63" t="s">
        <v>1694</v>
      </c>
      <c r="E1054" s="63" t="s">
        <v>1695</v>
      </c>
      <c r="F1054" s="66">
        <v>30.011896</v>
      </c>
      <c r="G1054" s="66">
        <v>0</v>
      </c>
      <c r="H1054" s="65">
        <v>0</v>
      </c>
      <c r="I1054" s="67">
        <v>0</v>
      </c>
      <c r="J1054" s="67">
        <v>0</v>
      </c>
      <c r="K1054" s="67">
        <v>0</v>
      </c>
      <c r="L1054" s="67">
        <v>0</v>
      </c>
      <c r="M1054" s="67">
        <v>0</v>
      </c>
      <c r="N1054" s="68">
        <v>0</v>
      </c>
    </row>
    <row r="1055" spans="2:14" x14ac:dyDescent="0.25">
      <c r="B1055" s="63">
        <v>45474</v>
      </c>
      <c r="C1055" s="63">
        <v>45475</v>
      </c>
      <c r="D1055" s="63" t="s">
        <v>1696</v>
      </c>
      <c r="E1055" s="63" t="s">
        <v>1697</v>
      </c>
      <c r="F1055" s="66">
        <v>250.131137</v>
      </c>
      <c r="G1055" s="66">
        <v>98.092785000000006</v>
      </c>
      <c r="H1055" s="65">
        <v>191.8</v>
      </c>
      <c r="I1055" s="67">
        <v>4.6758860000000002</v>
      </c>
      <c r="J1055" s="67">
        <v>50.828049</v>
      </c>
      <c r="K1055" s="67">
        <v>50.91</v>
      </c>
      <c r="L1055" s="67">
        <v>56.941175999999999</v>
      </c>
      <c r="M1055" s="67">
        <v>50.814999999999998</v>
      </c>
      <c r="N1055" s="68">
        <v>1.3049E-2</v>
      </c>
    </row>
    <row r="1056" spans="2:14" x14ac:dyDescent="0.25">
      <c r="B1056" s="63">
        <v>45474</v>
      </c>
      <c r="C1056" s="63">
        <v>45475</v>
      </c>
      <c r="D1056" s="63" t="s">
        <v>1698</v>
      </c>
      <c r="E1056" s="63" t="s">
        <v>1699</v>
      </c>
      <c r="F1056" s="66">
        <v>0</v>
      </c>
      <c r="G1056" s="66">
        <v>0</v>
      </c>
      <c r="H1056" s="65">
        <v>0</v>
      </c>
      <c r="I1056" s="67">
        <v>0</v>
      </c>
      <c r="J1056" s="67">
        <v>0</v>
      </c>
      <c r="K1056" s="67">
        <v>0</v>
      </c>
      <c r="L1056" s="67">
        <v>0</v>
      </c>
      <c r="M1056" s="67">
        <v>0</v>
      </c>
      <c r="N1056" s="68">
        <v>0</v>
      </c>
    </row>
    <row r="1057" spans="2:14" x14ac:dyDescent="0.25">
      <c r="B1057" s="63">
        <v>45474</v>
      </c>
      <c r="C1057" s="63">
        <v>45475</v>
      </c>
      <c r="D1057" s="63" t="s">
        <v>1700</v>
      </c>
      <c r="E1057" s="63" t="s">
        <v>1701</v>
      </c>
      <c r="F1057" s="66">
        <v>141.05478400000001</v>
      </c>
      <c r="G1057" s="66">
        <v>102.12065</v>
      </c>
      <c r="H1057" s="65">
        <v>195</v>
      </c>
      <c r="I1057" s="67">
        <v>4.621245</v>
      </c>
      <c r="J1057" s="67">
        <v>51.590727000000001</v>
      </c>
      <c r="K1057" s="67">
        <v>51.65</v>
      </c>
      <c r="L1057" s="67">
        <v>100</v>
      </c>
      <c r="M1057" s="67">
        <v>51.582000000000001</v>
      </c>
      <c r="N1057" s="68">
        <v>8.7270000000000004E-3</v>
      </c>
    </row>
    <row r="1058" spans="2:14" x14ac:dyDescent="0.25">
      <c r="B1058" s="63">
        <v>45474</v>
      </c>
      <c r="C1058" s="63">
        <v>45475</v>
      </c>
      <c r="D1058" s="63" t="s">
        <v>1702</v>
      </c>
      <c r="E1058" s="63" t="s">
        <v>1703</v>
      </c>
      <c r="F1058" s="66">
        <v>0</v>
      </c>
      <c r="G1058" s="66">
        <v>0</v>
      </c>
      <c r="H1058" s="65">
        <v>0</v>
      </c>
      <c r="I1058" s="67">
        <v>0</v>
      </c>
      <c r="J1058" s="67">
        <v>0</v>
      </c>
      <c r="K1058" s="67">
        <v>0</v>
      </c>
      <c r="L1058" s="67">
        <v>0</v>
      </c>
      <c r="M1058" s="67">
        <v>0</v>
      </c>
      <c r="N1058" s="68">
        <v>0</v>
      </c>
    </row>
    <row r="1059" spans="2:14" x14ac:dyDescent="0.25">
      <c r="B1059" s="63">
        <v>45474</v>
      </c>
      <c r="C1059" s="63">
        <v>45475</v>
      </c>
      <c r="D1059" s="63" t="s">
        <v>1704</v>
      </c>
      <c r="E1059" s="63" t="s">
        <v>1705</v>
      </c>
      <c r="F1059" s="66">
        <v>0</v>
      </c>
      <c r="G1059" s="66">
        <v>0</v>
      </c>
      <c r="H1059" s="65">
        <v>0</v>
      </c>
      <c r="I1059" s="67">
        <v>0</v>
      </c>
      <c r="J1059" s="67">
        <v>0</v>
      </c>
      <c r="K1059" s="67">
        <v>0</v>
      </c>
      <c r="L1059" s="67">
        <v>0</v>
      </c>
      <c r="M1059" s="67">
        <v>0</v>
      </c>
      <c r="N1059" s="68">
        <v>0</v>
      </c>
    </row>
    <row r="1060" spans="2:14" x14ac:dyDescent="0.25">
      <c r="B1060" s="63">
        <v>45474</v>
      </c>
      <c r="C1060" s="63">
        <v>45475</v>
      </c>
      <c r="D1060" s="63" t="s">
        <v>1706</v>
      </c>
      <c r="E1060" s="63" t="s">
        <v>1707</v>
      </c>
      <c r="F1060" s="66">
        <v>0</v>
      </c>
      <c r="G1060" s="66">
        <v>0</v>
      </c>
      <c r="H1060" s="65">
        <v>0</v>
      </c>
      <c r="I1060" s="67">
        <v>0</v>
      </c>
      <c r="J1060" s="67">
        <v>0</v>
      </c>
      <c r="K1060" s="67">
        <v>0</v>
      </c>
      <c r="L1060" s="67">
        <v>0</v>
      </c>
      <c r="M1060" s="67">
        <v>0</v>
      </c>
      <c r="N1060" s="68">
        <v>0</v>
      </c>
    </row>
    <row r="1061" spans="2:14" x14ac:dyDescent="0.25">
      <c r="B1061" s="63">
        <v>45474</v>
      </c>
      <c r="C1061" s="63">
        <v>45475</v>
      </c>
      <c r="D1061" s="63" t="s">
        <v>1708</v>
      </c>
      <c r="E1061" s="63" t="s">
        <v>1709</v>
      </c>
      <c r="F1061" s="66">
        <v>0</v>
      </c>
      <c r="G1061" s="66">
        <v>0</v>
      </c>
      <c r="H1061" s="65">
        <v>0</v>
      </c>
      <c r="I1061" s="67">
        <v>0</v>
      </c>
      <c r="J1061" s="67">
        <v>0</v>
      </c>
      <c r="K1061" s="67">
        <v>0</v>
      </c>
      <c r="L1061" s="67">
        <v>0</v>
      </c>
      <c r="M1061" s="67">
        <v>0</v>
      </c>
      <c r="N1061" s="68">
        <v>0</v>
      </c>
    </row>
    <row r="1062" spans="2:14" x14ac:dyDescent="0.25">
      <c r="B1062" s="63">
        <v>45474</v>
      </c>
      <c r="C1062" s="63">
        <v>45475</v>
      </c>
      <c r="D1062" s="63" t="s">
        <v>1710</v>
      </c>
      <c r="E1062" s="63" t="s">
        <v>1711</v>
      </c>
      <c r="F1062" s="66">
        <v>425.139906</v>
      </c>
      <c r="G1062" s="66">
        <v>404.98228999999998</v>
      </c>
      <c r="H1062" s="65">
        <v>900</v>
      </c>
      <c r="I1062" s="67">
        <v>4.4267479999999999</v>
      </c>
      <c r="J1062" s="67">
        <v>44.682805000000002</v>
      </c>
      <c r="K1062" s="67">
        <v>44.704000000000001</v>
      </c>
      <c r="L1062" s="67">
        <v>100</v>
      </c>
      <c r="M1062" s="67">
        <v>44.661000000000001</v>
      </c>
      <c r="N1062" s="68">
        <v>2.1805000000000001E-2</v>
      </c>
    </row>
    <row r="1063" spans="2:14" x14ac:dyDescent="0.25">
      <c r="B1063" s="63">
        <v>45488</v>
      </c>
      <c r="C1063" s="63">
        <v>45489</v>
      </c>
      <c r="D1063" s="63" t="s">
        <v>1630</v>
      </c>
      <c r="E1063" s="63" t="s">
        <v>1631</v>
      </c>
      <c r="F1063" s="66">
        <v>227.948489</v>
      </c>
      <c r="G1063" s="66">
        <v>0</v>
      </c>
      <c r="H1063" s="65">
        <v>0</v>
      </c>
      <c r="I1063" s="67">
        <v>0</v>
      </c>
      <c r="J1063" s="67">
        <v>0</v>
      </c>
      <c r="K1063" s="67">
        <v>0</v>
      </c>
      <c r="L1063" s="67">
        <v>0</v>
      </c>
      <c r="M1063" s="67">
        <v>0</v>
      </c>
      <c r="N1063" s="68">
        <v>0</v>
      </c>
    </row>
    <row r="1064" spans="2:14" x14ac:dyDescent="0.25">
      <c r="B1064" s="63">
        <v>45488</v>
      </c>
      <c r="C1064" s="63">
        <v>45489</v>
      </c>
      <c r="D1064" s="63" t="s">
        <v>1632</v>
      </c>
      <c r="E1064" s="63" t="s">
        <v>1633</v>
      </c>
      <c r="F1064" s="66">
        <v>238.79157000000001</v>
      </c>
      <c r="G1064" s="66">
        <v>238.79157000000001</v>
      </c>
      <c r="H1064" s="65">
        <v>236</v>
      </c>
      <c r="I1064" s="67">
        <v>4.01661</v>
      </c>
      <c r="J1064" s="67">
        <v>100.73</v>
      </c>
      <c r="K1064" s="67">
        <v>100.733</v>
      </c>
      <c r="L1064" s="67">
        <v>100</v>
      </c>
      <c r="M1064" s="67">
        <v>100.727</v>
      </c>
      <c r="N1064" s="68">
        <v>3.0000000000000001E-3</v>
      </c>
    </row>
    <row r="1065" spans="2:14" x14ac:dyDescent="0.25">
      <c r="B1065" s="63">
        <v>45488</v>
      </c>
      <c r="C1065" s="63">
        <v>45489</v>
      </c>
      <c r="D1065" s="63" t="s">
        <v>1634</v>
      </c>
      <c r="E1065" s="63" t="s">
        <v>1635</v>
      </c>
      <c r="F1065" s="66">
        <v>1027.9997989999999</v>
      </c>
      <c r="G1065" s="66">
        <v>483.233766</v>
      </c>
      <c r="H1065" s="65">
        <v>552</v>
      </c>
      <c r="I1065" s="67">
        <v>3.9464899999999998</v>
      </c>
      <c r="J1065" s="67">
        <v>87.484999999999999</v>
      </c>
      <c r="K1065" s="67">
        <v>87.494</v>
      </c>
      <c r="L1065" s="67">
        <v>100</v>
      </c>
      <c r="M1065" s="67">
        <v>87.475999999999999</v>
      </c>
      <c r="N1065" s="68">
        <v>8.9999999999999993E-3</v>
      </c>
    </row>
    <row r="1066" spans="2:14" x14ac:dyDescent="0.25">
      <c r="B1066" s="63">
        <v>45488</v>
      </c>
      <c r="C1066" s="63">
        <v>45489</v>
      </c>
      <c r="D1066" s="63" t="s">
        <v>1636</v>
      </c>
      <c r="E1066" s="63" t="s">
        <v>1637</v>
      </c>
      <c r="F1066" s="66">
        <v>15.543456000000001</v>
      </c>
      <c r="G1066" s="66">
        <v>0</v>
      </c>
      <c r="H1066" s="65">
        <v>0</v>
      </c>
      <c r="I1066" s="67">
        <v>0</v>
      </c>
      <c r="J1066" s="67">
        <v>0</v>
      </c>
      <c r="K1066" s="67">
        <v>0</v>
      </c>
      <c r="L1066" s="67">
        <v>0</v>
      </c>
      <c r="M1066" s="67">
        <v>0</v>
      </c>
      <c r="N1066" s="68">
        <v>0</v>
      </c>
    </row>
    <row r="1067" spans="2:14" x14ac:dyDescent="0.25">
      <c r="B1067" s="63">
        <v>45488</v>
      </c>
      <c r="C1067" s="63">
        <v>45489</v>
      </c>
      <c r="D1067" s="63" t="s">
        <v>1638</v>
      </c>
      <c r="E1067" s="63" t="s">
        <v>1639</v>
      </c>
      <c r="F1067" s="66">
        <v>27.224836</v>
      </c>
      <c r="G1067" s="66">
        <v>0</v>
      </c>
      <c r="H1067" s="65">
        <v>0</v>
      </c>
      <c r="I1067" s="67">
        <v>0</v>
      </c>
      <c r="J1067" s="67">
        <v>0</v>
      </c>
      <c r="K1067" s="67">
        <v>0</v>
      </c>
      <c r="L1067" s="67">
        <v>0</v>
      </c>
      <c r="M1067" s="67">
        <v>0</v>
      </c>
      <c r="N1067" s="68">
        <v>0</v>
      </c>
    </row>
    <row r="1068" spans="2:14" x14ac:dyDescent="0.25">
      <c r="B1068" s="63">
        <v>45488</v>
      </c>
      <c r="C1068" s="63">
        <v>45489</v>
      </c>
      <c r="D1068" s="63" t="s">
        <v>1668</v>
      </c>
      <c r="E1068" s="63" t="s">
        <v>1669</v>
      </c>
      <c r="F1068" s="66">
        <v>43.019697000000001</v>
      </c>
      <c r="G1068" s="66">
        <v>0</v>
      </c>
      <c r="H1068" s="65">
        <v>0</v>
      </c>
      <c r="I1068" s="67">
        <v>0</v>
      </c>
      <c r="J1068" s="67">
        <v>0</v>
      </c>
      <c r="K1068" s="67">
        <v>0</v>
      </c>
      <c r="L1068" s="67">
        <v>0</v>
      </c>
      <c r="M1068" s="67">
        <v>0</v>
      </c>
      <c r="N1068" s="68">
        <v>0</v>
      </c>
    </row>
    <row r="1069" spans="2:14" x14ac:dyDescent="0.25">
      <c r="B1069" s="63">
        <v>45488</v>
      </c>
      <c r="C1069" s="63">
        <v>45489</v>
      </c>
      <c r="D1069" s="63" t="s">
        <v>1640</v>
      </c>
      <c r="E1069" s="63" t="s">
        <v>1641</v>
      </c>
      <c r="F1069" s="66">
        <v>293.09162900000001</v>
      </c>
      <c r="G1069" s="66">
        <v>0</v>
      </c>
      <c r="H1069" s="65">
        <v>0</v>
      </c>
      <c r="I1069" s="67">
        <v>0</v>
      </c>
      <c r="J1069" s="67">
        <v>0</v>
      </c>
      <c r="K1069" s="67">
        <v>0</v>
      </c>
      <c r="L1069" s="67">
        <v>0</v>
      </c>
      <c r="M1069" s="67">
        <v>0</v>
      </c>
      <c r="N1069" s="68">
        <v>0</v>
      </c>
    </row>
    <row r="1070" spans="2:14" x14ac:dyDescent="0.25">
      <c r="B1070" s="63">
        <v>45488</v>
      </c>
      <c r="C1070" s="63">
        <v>45489</v>
      </c>
      <c r="D1070" s="63" t="s">
        <v>1642</v>
      </c>
      <c r="E1070" s="63" t="s">
        <v>1643</v>
      </c>
      <c r="F1070" s="66">
        <v>64.474671999999998</v>
      </c>
      <c r="G1070" s="66">
        <v>0</v>
      </c>
      <c r="H1070" s="65">
        <v>0</v>
      </c>
      <c r="I1070" s="67">
        <v>0</v>
      </c>
      <c r="J1070" s="67">
        <v>0</v>
      </c>
      <c r="K1070" s="67">
        <v>0</v>
      </c>
      <c r="L1070" s="67">
        <v>0</v>
      </c>
      <c r="M1070" s="67">
        <v>0</v>
      </c>
      <c r="N1070" s="68">
        <v>0</v>
      </c>
    </row>
    <row r="1071" spans="2:14" x14ac:dyDescent="0.25">
      <c r="B1071" s="63">
        <v>45488</v>
      </c>
      <c r="C1071" s="63">
        <v>45489</v>
      </c>
      <c r="D1071" s="63" t="s">
        <v>1644</v>
      </c>
      <c r="E1071" s="63" t="s">
        <v>1645</v>
      </c>
      <c r="F1071" s="66">
        <v>556.25358100000005</v>
      </c>
      <c r="G1071" s="66">
        <v>77.901947000000007</v>
      </c>
      <c r="H1071" s="65">
        <v>74.2</v>
      </c>
      <c r="I1071" s="67">
        <v>3.949017</v>
      </c>
      <c r="J1071" s="67">
        <v>104.483</v>
      </c>
      <c r="K1071" s="67">
        <v>104.483</v>
      </c>
      <c r="L1071" s="67">
        <v>32.977777000000003</v>
      </c>
      <c r="M1071" s="67">
        <v>104.483</v>
      </c>
      <c r="N1071" s="68">
        <v>0</v>
      </c>
    </row>
    <row r="1072" spans="2:14" x14ac:dyDescent="0.25">
      <c r="B1072" s="63">
        <v>45495</v>
      </c>
      <c r="C1072" s="63">
        <v>45496</v>
      </c>
      <c r="D1072" s="63" t="s">
        <v>1646</v>
      </c>
      <c r="E1072" s="63" t="s">
        <v>1647</v>
      </c>
      <c r="F1072" s="66">
        <v>162.54046099999999</v>
      </c>
      <c r="G1072" s="66">
        <v>0</v>
      </c>
      <c r="H1072" s="65">
        <v>0</v>
      </c>
      <c r="I1072" s="67">
        <v>0</v>
      </c>
      <c r="J1072" s="67">
        <v>0</v>
      </c>
      <c r="K1072" s="67">
        <v>0</v>
      </c>
      <c r="L1072" s="67">
        <v>0</v>
      </c>
      <c r="M1072" s="67">
        <v>0</v>
      </c>
      <c r="N1072" s="68">
        <v>0</v>
      </c>
    </row>
    <row r="1073" spans="2:14" x14ac:dyDescent="0.25">
      <c r="B1073" s="63">
        <v>45495</v>
      </c>
      <c r="C1073" s="63">
        <v>45496</v>
      </c>
      <c r="D1073" s="63" t="s">
        <v>1648</v>
      </c>
      <c r="E1073" s="63" t="s">
        <v>1649</v>
      </c>
      <c r="F1073" s="66">
        <v>398.037846</v>
      </c>
      <c r="G1073" s="66">
        <v>0</v>
      </c>
      <c r="H1073" s="65">
        <v>0</v>
      </c>
      <c r="I1073" s="67">
        <v>0</v>
      </c>
      <c r="J1073" s="67">
        <v>0</v>
      </c>
      <c r="K1073" s="67">
        <v>0</v>
      </c>
      <c r="L1073" s="67">
        <v>0</v>
      </c>
      <c r="M1073" s="67">
        <v>0</v>
      </c>
      <c r="N1073" s="68">
        <v>0</v>
      </c>
    </row>
    <row r="1074" spans="2:14" x14ac:dyDescent="0.25">
      <c r="B1074" s="63">
        <v>45495</v>
      </c>
      <c r="C1074" s="63">
        <v>45496</v>
      </c>
      <c r="D1074" s="63" t="s">
        <v>1670</v>
      </c>
      <c r="E1074" s="63" t="s">
        <v>1671</v>
      </c>
      <c r="F1074" s="66">
        <v>0</v>
      </c>
      <c r="G1074" s="66">
        <v>0</v>
      </c>
      <c r="H1074" s="65">
        <v>0</v>
      </c>
      <c r="I1074" s="67">
        <v>0</v>
      </c>
      <c r="J1074" s="67">
        <v>0</v>
      </c>
      <c r="K1074" s="67">
        <v>0</v>
      </c>
      <c r="L1074" s="67">
        <v>0</v>
      </c>
      <c r="M1074" s="67">
        <v>0</v>
      </c>
      <c r="N1074" s="68">
        <v>0</v>
      </c>
    </row>
    <row r="1075" spans="2:14" x14ac:dyDescent="0.25">
      <c r="B1075" s="63">
        <v>45495</v>
      </c>
      <c r="C1075" s="63">
        <v>45496</v>
      </c>
      <c r="D1075" s="63" t="s">
        <v>1650</v>
      </c>
      <c r="E1075" s="63" t="s">
        <v>1651</v>
      </c>
      <c r="F1075" s="66">
        <v>31.305150000000001</v>
      </c>
      <c r="G1075" s="66">
        <v>0</v>
      </c>
      <c r="H1075" s="65">
        <v>0</v>
      </c>
      <c r="I1075" s="67">
        <v>0</v>
      </c>
      <c r="J1075" s="67">
        <v>0</v>
      </c>
      <c r="K1075" s="67">
        <v>0</v>
      </c>
      <c r="L1075" s="67">
        <v>0</v>
      </c>
      <c r="M1075" s="67">
        <v>0</v>
      </c>
      <c r="N1075" s="68">
        <v>0</v>
      </c>
    </row>
    <row r="1076" spans="2:14" x14ac:dyDescent="0.25">
      <c r="B1076" s="63">
        <v>45495</v>
      </c>
      <c r="C1076" s="63">
        <v>45496</v>
      </c>
      <c r="D1076" s="63" t="s">
        <v>1652</v>
      </c>
      <c r="E1076" s="63" t="s">
        <v>1653</v>
      </c>
      <c r="F1076" s="66">
        <v>941.85550499999999</v>
      </c>
      <c r="G1076" s="66">
        <v>419.84820000000002</v>
      </c>
      <c r="H1076" s="65">
        <v>610.9</v>
      </c>
      <c r="I1076" s="67">
        <v>4.1966349999999997</v>
      </c>
      <c r="J1076" s="67">
        <v>68.739911000000006</v>
      </c>
      <c r="K1076" s="67">
        <v>68.745000000000005</v>
      </c>
      <c r="L1076" s="67">
        <v>38.862499999999997</v>
      </c>
      <c r="M1076" s="67">
        <v>68.734999999999999</v>
      </c>
      <c r="N1076" s="68">
        <v>4.9109999999999996E-3</v>
      </c>
    </row>
    <row r="1077" spans="2:14" x14ac:dyDescent="0.25">
      <c r="B1077" s="63">
        <v>45495</v>
      </c>
      <c r="C1077" s="63">
        <v>45496</v>
      </c>
      <c r="D1077" s="63" t="s">
        <v>1654</v>
      </c>
      <c r="E1077" s="63" t="s">
        <v>1655</v>
      </c>
      <c r="F1077" s="66">
        <v>660.88987499999996</v>
      </c>
      <c r="G1077" s="66">
        <v>305.09924999999998</v>
      </c>
      <c r="H1077" s="65">
        <v>300</v>
      </c>
      <c r="I1077" s="67">
        <v>4.2378970000000002</v>
      </c>
      <c r="J1077" s="67">
        <v>100.10599999999999</v>
      </c>
      <c r="K1077" s="67">
        <v>100.111</v>
      </c>
      <c r="L1077" s="67">
        <v>100</v>
      </c>
      <c r="M1077" s="67">
        <v>100.101</v>
      </c>
      <c r="N1077" s="68">
        <v>5.0000000000000001E-3</v>
      </c>
    </row>
    <row r="1078" spans="2:14" x14ac:dyDescent="0.25">
      <c r="B1078" s="63">
        <v>45495</v>
      </c>
      <c r="C1078" s="63">
        <v>45496</v>
      </c>
      <c r="D1078" s="63" t="s">
        <v>1656</v>
      </c>
      <c r="E1078" s="63" t="s">
        <v>1657</v>
      </c>
      <c r="F1078" s="66">
        <v>0</v>
      </c>
      <c r="G1078" s="66">
        <v>0</v>
      </c>
      <c r="H1078" s="65">
        <v>0</v>
      </c>
      <c r="I1078" s="67">
        <v>0</v>
      </c>
      <c r="J1078" s="67">
        <v>0</v>
      </c>
      <c r="K1078" s="67">
        <v>0</v>
      </c>
      <c r="L1078" s="67">
        <v>0</v>
      </c>
      <c r="M1078" s="67">
        <v>0</v>
      </c>
      <c r="N1078" s="68">
        <v>0</v>
      </c>
    </row>
    <row r="1079" spans="2:14" x14ac:dyDescent="0.25">
      <c r="B1079" s="63">
        <v>45495</v>
      </c>
      <c r="C1079" s="63">
        <v>45496</v>
      </c>
      <c r="D1079" s="63" t="s">
        <v>1658</v>
      </c>
      <c r="E1079" s="63" t="s">
        <v>1659</v>
      </c>
      <c r="F1079" s="66">
        <v>0</v>
      </c>
      <c r="G1079" s="66">
        <v>0</v>
      </c>
      <c r="H1079" s="65">
        <v>0</v>
      </c>
      <c r="I1079" s="67">
        <v>0</v>
      </c>
      <c r="J1079" s="67">
        <v>0</v>
      </c>
      <c r="K1079" s="67">
        <v>0</v>
      </c>
      <c r="L1079" s="67">
        <v>0</v>
      </c>
      <c r="M1079" s="67">
        <v>0</v>
      </c>
      <c r="N1079" s="68">
        <v>0</v>
      </c>
    </row>
    <row r="1080" spans="2:14" x14ac:dyDescent="0.25">
      <c r="B1080" s="63">
        <v>45495</v>
      </c>
      <c r="C1080" s="63">
        <v>45496</v>
      </c>
      <c r="D1080" s="63" t="s">
        <v>1662</v>
      </c>
      <c r="E1080" s="63" t="s">
        <v>1663</v>
      </c>
      <c r="F1080" s="66">
        <v>0</v>
      </c>
      <c r="G1080" s="66">
        <v>0</v>
      </c>
      <c r="H1080" s="65">
        <v>0</v>
      </c>
      <c r="I1080" s="67">
        <v>0</v>
      </c>
      <c r="J1080" s="67">
        <v>0</v>
      </c>
      <c r="K1080" s="67">
        <v>0</v>
      </c>
      <c r="L1080" s="67">
        <v>0</v>
      </c>
      <c r="M1080" s="67">
        <v>0</v>
      </c>
      <c r="N1080" s="68">
        <v>0</v>
      </c>
    </row>
    <row r="1081" spans="2:14" x14ac:dyDescent="0.25">
      <c r="B1081" s="63">
        <v>45495</v>
      </c>
      <c r="C1081" s="63">
        <v>45496</v>
      </c>
      <c r="D1081" s="63" t="s">
        <v>1664</v>
      </c>
      <c r="E1081" s="63" t="s">
        <v>1665</v>
      </c>
      <c r="F1081" s="66">
        <v>0</v>
      </c>
      <c r="G1081" s="66">
        <v>0</v>
      </c>
      <c r="H1081" s="65">
        <v>0</v>
      </c>
      <c r="I1081" s="67">
        <v>0</v>
      </c>
      <c r="J1081" s="67">
        <v>0</v>
      </c>
      <c r="K1081" s="67">
        <v>0</v>
      </c>
      <c r="L1081" s="67">
        <v>0</v>
      </c>
      <c r="M1081" s="67">
        <v>0</v>
      </c>
      <c r="N1081" s="68">
        <v>0</v>
      </c>
    </row>
    <row r="1082" spans="2:14" x14ac:dyDescent="0.25">
      <c r="B1082" s="63">
        <v>45495</v>
      </c>
      <c r="C1082" s="63">
        <v>45496</v>
      </c>
      <c r="D1082" s="63" t="s">
        <v>1666</v>
      </c>
      <c r="E1082" s="63" t="s">
        <v>1667</v>
      </c>
      <c r="F1082" s="66">
        <v>60.314207000000003</v>
      </c>
      <c r="G1082" s="66">
        <v>0</v>
      </c>
      <c r="H1082" s="65">
        <v>0</v>
      </c>
      <c r="I1082" s="67">
        <v>0</v>
      </c>
      <c r="J1082" s="67">
        <v>0</v>
      </c>
      <c r="K1082" s="67">
        <v>0</v>
      </c>
      <c r="L1082" s="67">
        <v>0</v>
      </c>
      <c r="M1082" s="67">
        <v>0</v>
      </c>
      <c r="N1082" s="68">
        <v>0</v>
      </c>
    </row>
    <row r="1083" spans="2:14" x14ac:dyDescent="0.25">
      <c r="B1083" s="63">
        <v>45495</v>
      </c>
      <c r="C1083" s="63">
        <v>45496</v>
      </c>
      <c r="D1083" s="63" t="s">
        <v>1672</v>
      </c>
      <c r="E1083" s="63" t="s">
        <v>1673</v>
      </c>
      <c r="F1083" s="66">
        <v>0</v>
      </c>
      <c r="G1083" s="66">
        <v>0</v>
      </c>
      <c r="H1083" s="65">
        <v>0</v>
      </c>
      <c r="I1083" s="67">
        <v>0</v>
      </c>
      <c r="J1083" s="67">
        <v>0</v>
      </c>
      <c r="K1083" s="67">
        <v>0</v>
      </c>
      <c r="L1083" s="67">
        <v>0</v>
      </c>
      <c r="M1083" s="67">
        <v>0</v>
      </c>
      <c r="N1083" s="68">
        <v>0</v>
      </c>
    </row>
    <row r="1084" spans="2:14" x14ac:dyDescent="0.25">
      <c r="B1084" s="63">
        <v>45495</v>
      </c>
      <c r="C1084" s="63">
        <v>45496</v>
      </c>
      <c r="D1084" s="63" t="s">
        <v>1674</v>
      </c>
      <c r="E1084" s="63" t="s">
        <v>1675</v>
      </c>
      <c r="F1084" s="66">
        <v>99.147597000000005</v>
      </c>
      <c r="G1084" s="66">
        <v>0</v>
      </c>
      <c r="H1084" s="65">
        <v>0</v>
      </c>
      <c r="I1084" s="67">
        <v>0</v>
      </c>
      <c r="J1084" s="67">
        <v>0</v>
      </c>
      <c r="K1084" s="67">
        <v>0</v>
      </c>
      <c r="L1084" s="67">
        <v>0</v>
      </c>
      <c r="M1084" s="67">
        <v>0</v>
      </c>
      <c r="N1084" s="68">
        <v>0</v>
      </c>
    </row>
    <row r="1085" spans="2:14" x14ac:dyDescent="0.25">
      <c r="B1085" s="63">
        <v>45502</v>
      </c>
      <c r="C1085" s="63">
        <v>45503</v>
      </c>
      <c r="D1085" s="63" t="s">
        <v>1632</v>
      </c>
      <c r="E1085" s="63" t="s">
        <v>1633</v>
      </c>
      <c r="F1085" s="66">
        <v>0</v>
      </c>
      <c r="G1085" s="66">
        <v>0</v>
      </c>
      <c r="H1085" s="65">
        <v>0</v>
      </c>
      <c r="I1085" s="67">
        <v>0</v>
      </c>
      <c r="J1085" s="67">
        <v>0</v>
      </c>
      <c r="K1085" s="67">
        <v>0</v>
      </c>
      <c r="L1085" s="67">
        <v>0</v>
      </c>
      <c r="M1085" s="67">
        <v>0</v>
      </c>
      <c r="N1085" s="68">
        <v>0</v>
      </c>
    </row>
    <row r="1086" spans="2:14" x14ac:dyDescent="0.25">
      <c r="B1086" s="63">
        <v>45502</v>
      </c>
      <c r="C1086" s="63">
        <v>45503</v>
      </c>
      <c r="D1086" s="63" t="s">
        <v>1634</v>
      </c>
      <c r="E1086" s="63" t="s">
        <v>1635</v>
      </c>
      <c r="F1086" s="66">
        <v>849.25342599999999</v>
      </c>
      <c r="G1086" s="66">
        <v>605.72057700000005</v>
      </c>
      <c r="H1086" s="65">
        <v>688</v>
      </c>
      <c r="I1086" s="67">
        <v>3.803966</v>
      </c>
      <c r="J1086" s="67">
        <v>88.041128</v>
      </c>
      <c r="K1086" s="67">
        <v>88.057000000000002</v>
      </c>
      <c r="L1086" s="67">
        <v>100</v>
      </c>
      <c r="M1086" s="67">
        <v>87.995999999999995</v>
      </c>
      <c r="N1086" s="68">
        <v>4.5128000000000001E-2</v>
      </c>
    </row>
    <row r="1087" spans="2:14" x14ac:dyDescent="0.25">
      <c r="B1087" s="63">
        <v>45502</v>
      </c>
      <c r="C1087" s="63">
        <v>45503</v>
      </c>
      <c r="D1087" s="63" t="s">
        <v>1636</v>
      </c>
      <c r="E1087" s="63" t="s">
        <v>1637</v>
      </c>
      <c r="F1087" s="66">
        <v>0</v>
      </c>
      <c r="G1087" s="66">
        <v>0</v>
      </c>
      <c r="H1087" s="65">
        <v>0</v>
      </c>
      <c r="I1087" s="67">
        <v>0</v>
      </c>
      <c r="J1087" s="67">
        <v>0</v>
      </c>
      <c r="K1087" s="67">
        <v>0</v>
      </c>
      <c r="L1087" s="67">
        <v>0</v>
      </c>
      <c r="M1087" s="67">
        <v>0</v>
      </c>
      <c r="N1087" s="68">
        <v>0</v>
      </c>
    </row>
    <row r="1088" spans="2:14" x14ac:dyDescent="0.25">
      <c r="B1088" s="63">
        <v>45502</v>
      </c>
      <c r="C1088" s="63">
        <v>45503</v>
      </c>
      <c r="D1088" s="63" t="s">
        <v>1638</v>
      </c>
      <c r="E1088" s="63" t="s">
        <v>1639</v>
      </c>
      <c r="F1088" s="66">
        <v>0</v>
      </c>
      <c r="G1088" s="66">
        <v>0</v>
      </c>
      <c r="H1088" s="65">
        <v>0</v>
      </c>
      <c r="I1088" s="67">
        <v>0</v>
      </c>
      <c r="J1088" s="67">
        <v>0</v>
      </c>
      <c r="K1088" s="67">
        <v>0</v>
      </c>
      <c r="L1088" s="67">
        <v>0</v>
      </c>
      <c r="M1088" s="67">
        <v>0</v>
      </c>
      <c r="N1088" s="68">
        <v>0</v>
      </c>
    </row>
    <row r="1089" spans="2:14" x14ac:dyDescent="0.25">
      <c r="B1089" s="63">
        <v>45502</v>
      </c>
      <c r="C1089" s="63">
        <v>45503</v>
      </c>
      <c r="D1089" s="63" t="s">
        <v>1668</v>
      </c>
      <c r="E1089" s="63" t="s">
        <v>1669</v>
      </c>
      <c r="F1089" s="66">
        <v>301.51609200000001</v>
      </c>
      <c r="G1089" s="66">
        <v>68.971901000000003</v>
      </c>
      <c r="H1089" s="65">
        <v>80</v>
      </c>
      <c r="I1089" s="67">
        <v>3.8646669999999999</v>
      </c>
      <c r="J1089" s="67">
        <v>86.216250000000002</v>
      </c>
      <c r="K1089" s="67">
        <v>86.224999999999994</v>
      </c>
      <c r="L1089" s="67">
        <v>100</v>
      </c>
      <c r="M1089" s="67">
        <v>86.210999999999999</v>
      </c>
      <c r="N1089" s="68">
        <v>5.2500000000000003E-3</v>
      </c>
    </row>
    <row r="1090" spans="2:14" x14ac:dyDescent="0.25">
      <c r="B1090" s="63">
        <v>45502</v>
      </c>
      <c r="C1090" s="63">
        <v>45503</v>
      </c>
      <c r="D1090" s="63" t="s">
        <v>1640</v>
      </c>
      <c r="E1090" s="63" t="s">
        <v>1641</v>
      </c>
      <c r="F1090" s="66">
        <v>36.337605000000003</v>
      </c>
      <c r="G1090" s="66">
        <v>27.693937999999999</v>
      </c>
      <c r="H1090" s="65">
        <v>32</v>
      </c>
      <c r="I1090" s="67">
        <v>3.785568</v>
      </c>
      <c r="J1090" s="67">
        <v>86.306882000000002</v>
      </c>
      <c r="K1090" s="67">
        <v>86.32</v>
      </c>
      <c r="L1090" s="67">
        <v>100</v>
      </c>
      <c r="M1090" s="67">
        <v>86.26</v>
      </c>
      <c r="N1090" s="68">
        <v>4.6882E-2</v>
      </c>
    </row>
    <row r="1091" spans="2:14" x14ac:dyDescent="0.25">
      <c r="B1091" s="63">
        <v>45502</v>
      </c>
      <c r="C1091" s="63">
        <v>45503</v>
      </c>
      <c r="D1091" s="63" t="s">
        <v>1642</v>
      </c>
      <c r="E1091" s="63" t="s">
        <v>1643</v>
      </c>
      <c r="F1091" s="66">
        <v>121.799651</v>
      </c>
      <c r="G1091" s="66">
        <v>97.610563999999997</v>
      </c>
      <c r="H1091" s="65">
        <v>120.2</v>
      </c>
      <c r="I1091" s="67">
        <v>3.8109419999999998</v>
      </c>
      <c r="J1091" s="67">
        <v>81.105378999999999</v>
      </c>
      <c r="K1091" s="67">
        <v>81.16</v>
      </c>
      <c r="L1091" s="67">
        <v>70.2</v>
      </c>
      <c r="M1091" s="67">
        <v>81.069999999999993</v>
      </c>
      <c r="N1091" s="68">
        <v>3.5379000000000001E-2</v>
      </c>
    </row>
    <row r="1092" spans="2:14" x14ac:dyDescent="0.25">
      <c r="B1092" s="63">
        <v>45502</v>
      </c>
      <c r="C1092" s="63">
        <v>45503</v>
      </c>
      <c r="D1092" s="63" t="s">
        <v>1644</v>
      </c>
      <c r="E1092" s="63" t="s">
        <v>1645</v>
      </c>
      <c r="F1092" s="66">
        <v>0</v>
      </c>
      <c r="G1092" s="66">
        <v>0</v>
      </c>
      <c r="H1092" s="65">
        <v>0</v>
      </c>
      <c r="I1092" s="67">
        <v>0</v>
      </c>
      <c r="J1092" s="67">
        <v>0</v>
      </c>
      <c r="K1092" s="67">
        <v>0</v>
      </c>
      <c r="L1092" s="67">
        <v>0</v>
      </c>
      <c r="M1092" s="67">
        <v>0</v>
      </c>
      <c r="N1092" s="68">
        <v>0</v>
      </c>
    </row>
    <row r="1093" spans="2:14" x14ac:dyDescent="0.25">
      <c r="B1093" s="63">
        <v>45509</v>
      </c>
      <c r="C1093" s="63">
        <v>45510</v>
      </c>
      <c r="D1093" s="63" t="s">
        <v>1648</v>
      </c>
      <c r="E1093" s="63" t="s">
        <v>1649</v>
      </c>
      <c r="F1093" s="66">
        <v>0</v>
      </c>
      <c r="G1093" s="66">
        <v>0</v>
      </c>
      <c r="H1093" s="65">
        <v>0</v>
      </c>
      <c r="I1093" s="67">
        <v>0</v>
      </c>
      <c r="J1093" s="67">
        <v>0</v>
      </c>
      <c r="K1093" s="67">
        <v>0</v>
      </c>
      <c r="L1093" s="67">
        <v>0</v>
      </c>
      <c r="M1093" s="67">
        <v>0</v>
      </c>
      <c r="N1093" s="68">
        <v>0</v>
      </c>
    </row>
    <row r="1094" spans="2:14" x14ac:dyDescent="0.25">
      <c r="B1094" s="63">
        <v>45509</v>
      </c>
      <c r="C1094" s="63">
        <v>45510</v>
      </c>
      <c r="D1094" s="63" t="s">
        <v>1670</v>
      </c>
      <c r="E1094" s="63" t="s">
        <v>1671</v>
      </c>
      <c r="F1094" s="66">
        <v>46.930059</v>
      </c>
      <c r="G1094" s="66">
        <v>27.388992999999999</v>
      </c>
      <c r="H1094" s="65">
        <v>35</v>
      </c>
      <c r="I1094" s="67">
        <v>3.7505039999999998</v>
      </c>
      <c r="J1094" s="67">
        <v>78.239999999999995</v>
      </c>
      <c r="K1094" s="67">
        <v>78.239999999999995</v>
      </c>
      <c r="L1094" s="67">
        <v>100</v>
      </c>
      <c r="M1094" s="67">
        <v>78.239999999999995</v>
      </c>
      <c r="N1094" s="68">
        <v>0</v>
      </c>
    </row>
    <row r="1095" spans="2:14" x14ac:dyDescent="0.25">
      <c r="B1095" s="63">
        <v>45509</v>
      </c>
      <c r="C1095" s="63">
        <v>45510</v>
      </c>
      <c r="D1095" s="63" t="s">
        <v>1650</v>
      </c>
      <c r="E1095" s="63" t="s">
        <v>1651</v>
      </c>
      <c r="F1095" s="66">
        <v>32.216608000000001</v>
      </c>
      <c r="G1095" s="66">
        <v>32.216608999999998</v>
      </c>
      <c r="H1095" s="65">
        <v>30</v>
      </c>
      <c r="I1095" s="67">
        <v>3.833415</v>
      </c>
      <c r="J1095" s="67">
        <v>105.53</v>
      </c>
      <c r="K1095" s="67">
        <v>105.53</v>
      </c>
      <c r="L1095" s="67">
        <v>100</v>
      </c>
      <c r="M1095" s="67">
        <v>105.53</v>
      </c>
      <c r="N1095" s="68">
        <v>0</v>
      </c>
    </row>
    <row r="1096" spans="2:14" x14ac:dyDescent="0.25">
      <c r="B1096" s="63">
        <v>45509</v>
      </c>
      <c r="C1096" s="63">
        <v>45510</v>
      </c>
      <c r="D1096" s="63" t="s">
        <v>1652</v>
      </c>
      <c r="E1096" s="63" t="s">
        <v>1653</v>
      </c>
      <c r="F1096" s="66">
        <v>96.014756000000006</v>
      </c>
      <c r="G1096" s="66">
        <v>6.1944169999999996</v>
      </c>
      <c r="H1096" s="65">
        <v>8.6999999999999993</v>
      </c>
      <c r="I1096" s="67">
        <v>3.8696860000000002</v>
      </c>
      <c r="J1096" s="67">
        <v>71.19</v>
      </c>
      <c r="K1096" s="67">
        <v>71.19</v>
      </c>
      <c r="L1096" s="67">
        <v>34.799999999999997</v>
      </c>
      <c r="M1096" s="67">
        <v>71.19</v>
      </c>
      <c r="N1096" s="68">
        <v>0</v>
      </c>
    </row>
    <row r="1097" spans="2:14" x14ac:dyDescent="0.25">
      <c r="B1097" s="63">
        <v>45509</v>
      </c>
      <c r="C1097" s="63">
        <v>45510</v>
      </c>
      <c r="D1097" s="63" t="s">
        <v>1654</v>
      </c>
      <c r="E1097" s="63" t="s">
        <v>1655</v>
      </c>
      <c r="F1097" s="66">
        <v>681.96132599999999</v>
      </c>
      <c r="G1097" s="66">
        <v>629.78360899999996</v>
      </c>
      <c r="H1097" s="65">
        <v>600</v>
      </c>
      <c r="I1097" s="67">
        <v>3.9028119999999999</v>
      </c>
      <c r="J1097" s="67">
        <v>103.208501</v>
      </c>
      <c r="K1097" s="67">
        <v>103.223</v>
      </c>
      <c r="L1097" s="67">
        <v>100</v>
      </c>
      <c r="M1097" s="67">
        <v>103.194</v>
      </c>
      <c r="N1097" s="68">
        <v>1.4501E-2</v>
      </c>
    </row>
    <row r="1098" spans="2:14" x14ac:dyDescent="0.25">
      <c r="B1098" s="63">
        <v>45509</v>
      </c>
      <c r="C1098" s="63">
        <v>45510</v>
      </c>
      <c r="D1098" s="63" t="s">
        <v>1656</v>
      </c>
      <c r="E1098" s="63" t="s">
        <v>1657</v>
      </c>
      <c r="F1098" s="66">
        <v>0</v>
      </c>
      <c r="G1098" s="66">
        <v>0</v>
      </c>
      <c r="H1098" s="65">
        <v>0</v>
      </c>
      <c r="I1098" s="67">
        <v>0</v>
      </c>
      <c r="J1098" s="67">
        <v>0</v>
      </c>
      <c r="K1098" s="67">
        <v>0</v>
      </c>
      <c r="L1098" s="67">
        <v>0</v>
      </c>
      <c r="M1098" s="67">
        <v>0</v>
      </c>
      <c r="N1098" s="68">
        <v>0</v>
      </c>
    </row>
    <row r="1099" spans="2:14" x14ac:dyDescent="0.25">
      <c r="B1099" s="63">
        <v>45509</v>
      </c>
      <c r="C1099" s="63">
        <v>45510</v>
      </c>
      <c r="D1099" s="63" t="s">
        <v>1658</v>
      </c>
      <c r="E1099" s="63" t="s">
        <v>1659</v>
      </c>
      <c r="F1099" s="66">
        <v>0</v>
      </c>
      <c r="G1099" s="66">
        <v>0</v>
      </c>
      <c r="H1099" s="65">
        <v>0</v>
      </c>
      <c r="I1099" s="67">
        <v>0</v>
      </c>
      <c r="J1099" s="67">
        <v>0</v>
      </c>
      <c r="K1099" s="67">
        <v>0</v>
      </c>
      <c r="L1099" s="67">
        <v>0</v>
      </c>
      <c r="M1099" s="67">
        <v>0</v>
      </c>
      <c r="N1099" s="68">
        <v>0</v>
      </c>
    </row>
    <row r="1100" spans="2:14" x14ac:dyDescent="0.25">
      <c r="B1100" s="63">
        <v>45509</v>
      </c>
      <c r="C1100" s="63">
        <v>45510</v>
      </c>
      <c r="D1100" s="63" t="s">
        <v>1662</v>
      </c>
      <c r="E1100" s="63" t="s">
        <v>1663</v>
      </c>
      <c r="F1100" s="66">
        <v>0</v>
      </c>
      <c r="G1100" s="66">
        <v>0</v>
      </c>
      <c r="H1100" s="65">
        <v>0</v>
      </c>
      <c r="I1100" s="67">
        <v>0</v>
      </c>
      <c r="J1100" s="67">
        <v>0</v>
      </c>
      <c r="K1100" s="67">
        <v>0</v>
      </c>
      <c r="L1100" s="67">
        <v>0</v>
      </c>
      <c r="M1100" s="67">
        <v>0</v>
      </c>
      <c r="N1100" s="68">
        <v>0</v>
      </c>
    </row>
    <row r="1101" spans="2:14" x14ac:dyDescent="0.25">
      <c r="B1101" s="63">
        <v>45509</v>
      </c>
      <c r="C1101" s="63">
        <v>45510</v>
      </c>
      <c r="D1101" s="63" t="s">
        <v>1664</v>
      </c>
      <c r="E1101" s="63" t="s">
        <v>1665</v>
      </c>
      <c r="F1101" s="66">
        <v>125.473834</v>
      </c>
      <c r="G1101" s="66">
        <v>29.393198999999999</v>
      </c>
      <c r="H1101" s="65">
        <v>29</v>
      </c>
      <c r="I1101" s="67">
        <v>4.1934459999999998</v>
      </c>
      <c r="J1101" s="67">
        <v>100.659137</v>
      </c>
      <c r="K1101" s="67">
        <v>100.66</v>
      </c>
      <c r="L1101" s="67">
        <v>100</v>
      </c>
      <c r="M1101" s="67">
        <v>100.655</v>
      </c>
      <c r="N1101" s="68">
        <v>4.1370000000000001E-3</v>
      </c>
    </row>
    <row r="1102" spans="2:14" x14ac:dyDescent="0.25">
      <c r="B1102" s="63">
        <v>45509</v>
      </c>
      <c r="C1102" s="63">
        <v>45510</v>
      </c>
      <c r="D1102" s="63" t="s">
        <v>1666</v>
      </c>
      <c r="E1102" s="63" t="s">
        <v>1667</v>
      </c>
      <c r="F1102" s="66">
        <v>51.309617000000003</v>
      </c>
      <c r="G1102" s="66">
        <v>0</v>
      </c>
      <c r="H1102" s="65">
        <v>0</v>
      </c>
      <c r="I1102" s="67">
        <v>0</v>
      </c>
      <c r="J1102" s="67">
        <v>0</v>
      </c>
      <c r="K1102" s="67">
        <v>0</v>
      </c>
      <c r="L1102" s="67">
        <v>0</v>
      </c>
      <c r="M1102" s="67">
        <v>0</v>
      </c>
      <c r="N1102" s="68">
        <v>0</v>
      </c>
    </row>
    <row r="1103" spans="2:14" x14ac:dyDescent="0.25">
      <c r="B1103" s="63">
        <v>45509</v>
      </c>
      <c r="C1103" s="63">
        <v>45510</v>
      </c>
      <c r="D1103" s="63" t="s">
        <v>1672</v>
      </c>
      <c r="E1103" s="63" t="s">
        <v>1673</v>
      </c>
      <c r="F1103" s="66">
        <v>0</v>
      </c>
      <c r="G1103" s="66">
        <v>0</v>
      </c>
      <c r="H1103" s="65">
        <v>0</v>
      </c>
      <c r="I1103" s="67">
        <v>0</v>
      </c>
      <c r="J1103" s="67">
        <v>0</v>
      </c>
      <c r="K1103" s="67">
        <v>0</v>
      </c>
      <c r="L1103" s="67">
        <v>0</v>
      </c>
      <c r="M1103" s="67">
        <v>0</v>
      </c>
      <c r="N1103" s="68">
        <v>0</v>
      </c>
    </row>
    <row r="1104" spans="2:14" x14ac:dyDescent="0.25">
      <c r="B1104" s="63">
        <v>45509</v>
      </c>
      <c r="C1104" s="63">
        <v>45510</v>
      </c>
      <c r="D1104" s="63" t="s">
        <v>1674</v>
      </c>
      <c r="E1104" s="63" t="s">
        <v>1675</v>
      </c>
      <c r="F1104" s="66">
        <v>64.175104000000005</v>
      </c>
      <c r="G1104" s="66">
        <v>0</v>
      </c>
      <c r="H1104" s="65">
        <v>0</v>
      </c>
      <c r="I1104" s="67">
        <v>0</v>
      </c>
      <c r="J1104" s="67">
        <v>0</v>
      </c>
      <c r="K1104" s="67">
        <v>0</v>
      </c>
      <c r="L1104" s="67">
        <v>0</v>
      </c>
      <c r="M1104" s="67">
        <v>0</v>
      </c>
      <c r="N1104" s="68">
        <v>0</v>
      </c>
    </row>
    <row r="1105" spans="2:23" x14ac:dyDescent="0.25">
      <c r="B1105" s="63">
        <v>45516</v>
      </c>
      <c r="C1105" s="63">
        <v>45517</v>
      </c>
      <c r="D1105" s="63" t="s">
        <v>1632</v>
      </c>
      <c r="E1105" s="63" t="s">
        <v>1633</v>
      </c>
      <c r="F1105" s="66">
        <v>0</v>
      </c>
      <c r="G1105" s="66">
        <v>0</v>
      </c>
      <c r="H1105" s="65">
        <v>0</v>
      </c>
      <c r="I1105" s="67">
        <v>0</v>
      </c>
      <c r="J1105" s="67">
        <v>0</v>
      </c>
      <c r="K1105" s="67">
        <v>0</v>
      </c>
      <c r="L1105" s="67">
        <v>0</v>
      </c>
      <c r="M1105" s="67">
        <v>0</v>
      </c>
      <c r="N1105" s="68">
        <v>0</v>
      </c>
    </row>
    <row r="1106" spans="2:23" x14ac:dyDescent="0.25">
      <c r="B1106" s="63">
        <v>45516</v>
      </c>
      <c r="C1106" s="63">
        <v>45517</v>
      </c>
      <c r="D1106" s="63" t="s">
        <v>1634</v>
      </c>
      <c r="E1106" s="63" t="s">
        <v>1635</v>
      </c>
      <c r="F1106" s="66">
        <v>691.39049199999999</v>
      </c>
      <c r="G1106" s="66">
        <v>629.38070200000004</v>
      </c>
      <c r="H1106" s="65">
        <v>710</v>
      </c>
      <c r="I1106" s="67">
        <v>3.6446830000000001</v>
      </c>
      <c r="J1106" s="67">
        <v>88.640754000000001</v>
      </c>
      <c r="K1106" s="67">
        <v>88.649000000000001</v>
      </c>
      <c r="L1106" s="67">
        <v>100</v>
      </c>
      <c r="M1106" s="67">
        <v>88.614999999999995</v>
      </c>
      <c r="N1106" s="68">
        <v>2.5753999999999999E-2</v>
      </c>
    </row>
    <row r="1107" spans="2:23" x14ac:dyDescent="0.25">
      <c r="B1107" s="63">
        <v>45516</v>
      </c>
      <c r="C1107" s="63">
        <v>45517</v>
      </c>
      <c r="D1107" s="63" t="s">
        <v>1636</v>
      </c>
      <c r="E1107" s="63" t="s">
        <v>1637</v>
      </c>
      <c r="F1107" s="66">
        <v>0</v>
      </c>
      <c r="G1107" s="66">
        <v>0</v>
      </c>
      <c r="H1107" s="65">
        <v>0</v>
      </c>
      <c r="I1107" s="67">
        <v>0</v>
      </c>
      <c r="J1107" s="67">
        <v>0</v>
      </c>
      <c r="K1107" s="67">
        <v>0</v>
      </c>
      <c r="L1107" s="67">
        <v>0</v>
      </c>
      <c r="M1107" s="67">
        <v>0</v>
      </c>
      <c r="N1107" s="68">
        <v>0</v>
      </c>
    </row>
    <row r="1108" spans="2:23" x14ac:dyDescent="0.25">
      <c r="B1108" s="63">
        <v>45516</v>
      </c>
      <c r="C1108" s="63">
        <v>45517</v>
      </c>
      <c r="D1108" s="63" t="s">
        <v>1638</v>
      </c>
      <c r="E1108" s="63" t="s">
        <v>1639</v>
      </c>
      <c r="F1108" s="66">
        <v>0</v>
      </c>
      <c r="G1108" s="66">
        <v>0</v>
      </c>
      <c r="H1108" s="65">
        <v>0</v>
      </c>
      <c r="I1108" s="67">
        <v>0</v>
      </c>
      <c r="J1108" s="67">
        <v>0</v>
      </c>
      <c r="K1108" s="67">
        <v>0</v>
      </c>
      <c r="L1108" s="67">
        <v>0</v>
      </c>
      <c r="M1108" s="67">
        <v>0</v>
      </c>
      <c r="N1108" s="68">
        <v>0</v>
      </c>
    </row>
    <row r="1109" spans="2:23" x14ac:dyDescent="0.25">
      <c r="B1109" s="63">
        <v>45516</v>
      </c>
      <c r="C1109" s="63">
        <v>45517</v>
      </c>
      <c r="D1109" s="63" t="s">
        <v>1668</v>
      </c>
      <c r="E1109" s="63" t="s">
        <v>1669</v>
      </c>
      <c r="F1109" s="66">
        <v>199.32842500000001</v>
      </c>
      <c r="G1109" s="66">
        <v>0</v>
      </c>
      <c r="H1109" s="65">
        <v>0</v>
      </c>
      <c r="I1109" s="67">
        <v>0</v>
      </c>
      <c r="J1109" s="67">
        <v>0</v>
      </c>
      <c r="K1109" s="67">
        <v>0</v>
      </c>
      <c r="L1109" s="67">
        <v>0</v>
      </c>
      <c r="M1109" s="67">
        <v>0</v>
      </c>
      <c r="N1109" s="68">
        <v>0</v>
      </c>
    </row>
    <row r="1110" spans="2:23" x14ac:dyDescent="0.25">
      <c r="B1110" s="63">
        <v>45516</v>
      </c>
      <c r="C1110" s="63">
        <v>45517</v>
      </c>
      <c r="D1110" s="63" t="s">
        <v>1640</v>
      </c>
      <c r="E1110" s="63" t="s">
        <v>1641</v>
      </c>
      <c r="F1110" s="66">
        <v>34.817059999999998</v>
      </c>
      <c r="G1110" s="66">
        <v>0</v>
      </c>
      <c r="H1110" s="65">
        <v>0</v>
      </c>
      <c r="I1110" s="67">
        <v>0</v>
      </c>
      <c r="J1110" s="67">
        <v>0</v>
      </c>
      <c r="K1110" s="67">
        <v>0</v>
      </c>
      <c r="L1110" s="67">
        <v>0</v>
      </c>
      <c r="M1110" s="67">
        <v>0</v>
      </c>
      <c r="N1110" s="68">
        <v>0</v>
      </c>
    </row>
    <row r="1111" spans="2:23" x14ac:dyDescent="0.25">
      <c r="B1111" s="63">
        <v>45516</v>
      </c>
      <c r="C1111" s="63">
        <v>45517</v>
      </c>
      <c r="D1111" s="63" t="s">
        <v>1642</v>
      </c>
      <c r="E1111" s="63" t="s">
        <v>1643</v>
      </c>
      <c r="F1111" s="66">
        <v>0</v>
      </c>
      <c r="G1111" s="66">
        <v>0</v>
      </c>
      <c r="H1111" s="65">
        <v>0</v>
      </c>
      <c r="I1111" s="67">
        <v>0</v>
      </c>
      <c r="J1111" s="67">
        <v>0</v>
      </c>
      <c r="K1111" s="67">
        <v>0</v>
      </c>
      <c r="L1111" s="67">
        <v>0</v>
      </c>
      <c r="M1111" s="67">
        <v>0</v>
      </c>
      <c r="N1111" s="68">
        <v>0</v>
      </c>
    </row>
    <row r="1112" spans="2:23" x14ac:dyDescent="0.25">
      <c r="B1112" s="63">
        <v>45516</v>
      </c>
      <c r="C1112" s="63">
        <v>45517</v>
      </c>
      <c r="D1112" s="63" t="s">
        <v>1644</v>
      </c>
      <c r="E1112" s="63" t="s">
        <v>1645</v>
      </c>
      <c r="F1112" s="66">
        <v>398.44325800000001</v>
      </c>
      <c r="G1112" s="66">
        <v>170.61317</v>
      </c>
      <c r="H1112" s="65">
        <v>160.5</v>
      </c>
      <c r="I1112" s="67">
        <v>3.7746140000000001</v>
      </c>
      <c r="J1112" s="67">
        <v>105.431504</v>
      </c>
      <c r="K1112" s="67">
        <v>105.435</v>
      </c>
      <c r="L1112" s="67">
        <v>1</v>
      </c>
      <c r="M1112" s="67">
        <v>105.413</v>
      </c>
      <c r="N1112" s="68">
        <v>1.8504E-2</v>
      </c>
    </row>
    <row r="1113" spans="2:23" x14ac:dyDescent="0.25">
      <c r="B1113" s="63">
        <v>45516</v>
      </c>
      <c r="C1113" s="63">
        <v>45517</v>
      </c>
      <c r="D1113" s="63" t="s">
        <v>1646</v>
      </c>
      <c r="E1113" s="63" t="s">
        <v>1647</v>
      </c>
      <c r="F1113" s="66">
        <v>149.46777900000001</v>
      </c>
      <c r="G1113" s="66">
        <v>0</v>
      </c>
      <c r="H1113" s="65">
        <v>0</v>
      </c>
      <c r="I1113" s="67">
        <v>0</v>
      </c>
      <c r="J1113" s="67">
        <v>0</v>
      </c>
      <c r="K1113" s="67">
        <v>0</v>
      </c>
      <c r="L1113" s="67">
        <v>0</v>
      </c>
      <c r="M1113" s="67">
        <v>0</v>
      </c>
      <c r="N1113" s="68">
        <v>0</v>
      </c>
    </row>
    <row r="1114" spans="2:23" x14ac:dyDescent="0.25">
      <c r="B1114" s="63">
        <v>45523</v>
      </c>
      <c r="C1114" s="63">
        <v>45524</v>
      </c>
      <c r="D1114" s="63" t="s">
        <v>1648</v>
      </c>
      <c r="E1114" s="63" t="s">
        <v>1649</v>
      </c>
      <c r="F1114" s="66">
        <v>129.863112</v>
      </c>
      <c r="G1114" s="66">
        <v>25.990321999999999</v>
      </c>
      <c r="H1114" s="65">
        <v>25</v>
      </c>
      <c r="I1114" s="67">
        <v>3.7861440000000002</v>
      </c>
      <c r="J1114" s="67">
        <v>103.102</v>
      </c>
      <c r="K1114" s="67">
        <v>103.102</v>
      </c>
      <c r="L1114" s="67">
        <v>100</v>
      </c>
      <c r="M1114" s="67">
        <v>103.102</v>
      </c>
      <c r="N1114" s="68">
        <v>0</v>
      </c>
    </row>
    <row r="1115" spans="2:23" x14ac:dyDescent="0.25">
      <c r="B1115" s="63">
        <v>45523</v>
      </c>
      <c r="C1115" s="63">
        <v>45524</v>
      </c>
      <c r="D1115" s="63" t="s">
        <v>1670</v>
      </c>
      <c r="E1115" s="63" t="s">
        <v>1671</v>
      </c>
      <c r="F1115" s="66">
        <v>0</v>
      </c>
      <c r="G1115" s="66">
        <v>0</v>
      </c>
      <c r="H1115" s="65">
        <v>0</v>
      </c>
      <c r="I1115" s="67">
        <v>0</v>
      </c>
      <c r="J1115" s="67">
        <v>0</v>
      </c>
      <c r="K1115" s="67">
        <v>0</v>
      </c>
      <c r="L1115" s="67">
        <v>0</v>
      </c>
      <c r="M1115" s="67">
        <v>0</v>
      </c>
      <c r="N1115" s="68">
        <v>0</v>
      </c>
    </row>
    <row r="1116" spans="2:23" x14ac:dyDescent="0.25">
      <c r="B1116" s="63">
        <v>45523</v>
      </c>
      <c r="C1116" s="63">
        <v>45524</v>
      </c>
      <c r="D1116" s="63" t="s">
        <v>1650</v>
      </c>
      <c r="E1116" s="63" t="s">
        <v>1651</v>
      </c>
      <c r="F1116" s="66">
        <v>132.81886399999999</v>
      </c>
      <c r="G1116" s="66">
        <v>18.624181</v>
      </c>
      <c r="H1116" s="65">
        <v>17.5</v>
      </c>
      <c r="I1116" s="67">
        <v>3.965347</v>
      </c>
      <c r="J1116" s="67">
        <v>104.39400000000001</v>
      </c>
      <c r="K1116" s="67">
        <v>104.39400000000001</v>
      </c>
      <c r="L1116" s="67">
        <v>69.999999000000003</v>
      </c>
      <c r="M1116" s="67">
        <v>104.39400000000001</v>
      </c>
      <c r="N1116" s="68">
        <v>0</v>
      </c>
      <c r="O1116" s="66"/>
      <c r="P1116" s="66"/>
      <c r="Q1116" s="65"/>
      <c r="R1116" s="67"/>
      <c r="S1116" s="67"/>
      <c r="T1116" s="67"/>
      <c r="U1116" s="67"/>
      <c r="V1116" s="67"/>
      <c r="W1116" s="68"/>
    </row>
    <row r="1117" spans="2:23" x14ac:dyDescent="0.25">
      <c r="B1117" s="63">
        <v>45523</v>
      </c>
      <c r="C1117" s="63">
        <v>45524</v>
      </c>
      <c r="D1117" s="63" t="s">
        <v>1652</v>
      </c>
      <c r="E1117" s="63" t="s">
        <v>1653</v>
      </c>
      <c r="F1117" s="66">
        <v>179.56636599999999</v>
      </c>
      <c r="G1117" s="66">
        <v>126.778391</v>
      </c>
      <c r="H1117" s="65">
        <v>180</v>
      </c>
      <c r="I1117" s="67">
        <v>3.9890819999999998</v>
      </c>
      <c r="J1117" s="67">
        <v>70.398471999999998</v>
      </c>
      <c r="K1117" s="67">
        <v>70.424999999999997</v>
      </c>
      <c r="L1117" s="67">
        <v>100</v>
      </c>
      <c r="M1117" s="67">
        <v>70.39</v>
      </c>
      <c r="N1117" s="68">
        <v>8.4720000000000004E-3</v>
      </c>
    </row>
    <row r="1118" spans="2:23" x14ac:dyDescent="0.25">
      <c r="B1118" s="63">
        <v>45523</v>
      </c>
      <c r="C1118" s="63">
        <v>45524</v>
      </c>
      <c r="D1118" s="63" t="s">
        <v>1654</v>
      </c>
      <c r="E1118" s="63" t="s">
        <v>1655</v>
      </c>
      <c r="F1118" s="66">
        <v>753.11151600000005</v>
      </c>
      <c r="G1118" s="66">
        <v>498.87657400000001</v>
      </c>
      <c r="H1118" s="65">
        <v>480</v>
      </c>
      <c r="I1118" s="67">
        <v>4.0298059999999998</v>
      </c>
      <c r="J1118" s="67">
        <v>102.01550400000001</v>
      </c>
      <c r="K1118" s="67">
        <v>102.04300000000001</v>
      </c>
      <c r="L1118" s="67">
        <v>100</v>
      </c>
      <c r="M1118" s="67">
        <v>101.988</v>
      </c>
      <c r="N1118" s="68">
        <v>2.7504000000000001E-2</v>
      </c>
    </row>
    <row r="1119" spans="2:23" x14ac:dyDescent="0.25">
      <c r="B1119" s="63">
        <v>45523</v>
      </c>
      <c r="C1119" s="63">
        <v>45524</v>
      </c>
      <c r="D1119" s="63" t="s">
        <v>1656</v>
      </c>
      <c r="E1119" s="63" t="s">
        <v>1657</v>
      </c>
      <c r="F1119" s="66">
        <v>96.493251999999998</v>
      </c>
      <c r="G1119" s="66">
        <v>0</v>
      </c>
      <c r="H1119" s="65">
        <v>0</v>
      </c>
      <c r="I1119" s="67">
        <v>0</v>
      </c>
      <c r="J1119" s="67">
        <v>0</v>
      </c>
      <c r="K1119" s="67">
        <v>0</v>
      </c>
      <c r="L1119" s="67">
        <v>0</v>
      </c>
      <c r="M1119" s="67">
        <v>0</v>
      </c>
      <c r="N1119" s="68">
        <v>0</v>
      </c>
    </row>
    <row r="1120" spans="2:23" x14ac:dyDescent="0.25">
      <c r="B1120" s="63">
        <v>45523</v>
      </c>
      <c r="C1120" s="63">
        <v>45524</v>
      </c>
      <c r="D1120" s="63" t="s">
        <v>1658</v>
      </c>
      <c r="E1120" s="63" t="s">
        <v>1659</v>
      </c>
      <c r="F1120" s="66">
        <v>115.54724299999999</v>
      </c>
      <c r="G1120" s="66">
        <v>0</v>
      </c>
      <c r="H1120" s="65">
        <v>0</v>
      </c>
      <c r="I1120" s="67">
        <v>0</v>
      </c>
      <c r="J1120" s="67">
        <v>0</v>
      </c>
      <c r="K1120" s="67">
        <v>0</v>
      </c>
      <c r="L1120" s="67">
        <v>0</v>
      </c>
      <c r="M1120" s="67">
        <v>0</v>
      </c>
      <c r="N1120" s="68">
        <v>0</v>
      </c>
    </row>
    <row r="1121" spans="2:14" x14ac:dyDescent="0.25">
      <c r="B1121" s="63">
        <v>45523</v>
      </c>
      <c r="C1121" s="63">
        <v>45524</v>
      </c>
      <c r="D1121" s="63" t="s">
        <v>1662</v>
      </c>
      <c r="E1121" s="63" t="s">
        <v>1663</v>
      </c>
      <c r="F1121" s="66">
        <v>0</v>
      </c>
      <c r="G1121" s="66">
        <v>0</v>
      </c>
      <c r="H1121" s="65">
        <v>0</v>
      </c>
      <c r="I1121" s="67">
        <v>0</v>
      </c>
      <c r="J1121" s="67">
        <v>0</v>
      </c>
      <c r="K1121" s="67">
        <v>0</v>
      </c>
      <c r="L1121" s="67">
        <v>0</v>
      </c>
      <c r="M1121" s="67">
        <v>0</v>
      </c>
      <c r="N1121" s="68">
        <v>0</v>
      </c>
    </row>
    <row r="1122" spans="2:14" x14ac:dyDescent="0.25">
      <c r="B1122" s="63">
        <v>45523</v>
      </c>
      <c r="C1122" s="63">
        <v>45524</v>
      </c>
      <c r="D1122" s="63" t="s">
        <v>1664</v>
      </c>
      <c r="E1122" s="63" t="s">
        <v>1665</v>
      </c>
      <c r="F1122" s="66">
        <v>20.068256999999999</v>
      </c>
      <c r="G1122" s="66">
        <v>20.068258</v>
      </c>
      <c r="H1122" s="65">
        <v>20</v>
      </c>
      <c r="I1122" s="67">
        <v>4.2940509999999996</v>
      </c>
      <c r="J1122" s="67">
        <v>99.481999999999999</v>
      </c>
      <c r="K1122" s="67">
        <v>99.481999999999999</v>
      </c>
      <c r="L1122" s="67">
        <v>100</v>
      </c>
      <c r="M1122" s="67">
        <v>99.481999999999999</v>
      </c>
      <c r="N1122" s="68">
        <v>0</v>
      </c>
    </row>
    <row r="1123" spans="2:14" x14ac:dyDescent="0.25">
      <c r="B1123" s="63">
        <v>45523</v>
      </c>
      <c r="C1123" s="63">
        <v>45524</v>
      </c>
      <c r="D1123" s="63" t="s">
        <v>1666</v>
      </c>
      <c r="E1123" s="63" t="s">
        <v>1667</v>
      </c>
      <c r="F1123" s="66">
        <v>6.3680830000000004</v>
      </c>
      <c r="G1123" s="66">
        <v>6.3680839999999996</v>
      </c>
      <c r="H1123" s="65">
        <v>10</v>
      </c>
      <c r="I1123" s="67">
        <v>4.2956219999999998</v>
      </c>
      <c r="J1123" s="67">
        <v>63.271000000000001</v>
      </c>
      <c r="K1123" s="67">
        <v>63.271000000000001</v>
      </c>
      <c r="L1123" s="67">
        <v>100</v>
      </c>
      <c r="M1123" s="67">
        <v>63.271000000000001</v>
      </c>
      <c r="N1123" s="68">
        <v>0</v>
      </c>
    </row>
    <row r="1124" spans="2:14" x14ac:dyDescent="0.25">
      <c r="B1124" s="63">
        <v>45523</v>
      </c>
      <c r="C1124" s="63">
        <v>45524</v>
      </c>
      <c r="D1124" s="63" t="s">
        <v>1672</v>
      </c>
      <c r="E1124" s="63" t="s">
        <v>1673</v>
      </c>
      <c r="F1124" s="66">
        <v>0</v>
      </c>
      <c r="G1124" s="66">
        <v>0</v>
      </c>
      <c r="H1124" s="65">
        <v>0</v>
      </c>
      <c r="I1124" s="67">
        <v>0</v>
      </c>
      <c r="J1124" s="67">
        <v>0</v>
      </c>
      <c r="K1124" s="67">
        <v>0</v>
      </c>
      <c r="L1124" s="67">
        <v>0</v>
      </c>
      <c r="M1124" s="67">
        <v>0</v>
      </c>
      <c r="N1124" s="68">
        <v>0</v>
      </c>
    </row>
    <row r="1125" spans="2:14" x14ac:dyDescent="0.25">
      <c r="B1125" s="63">
        <v>45523</v>
      </c>
      <c r="C1125" s="63">
        <v>45524</v>
      </c>
      <c r="D1125" s="63" t="s">
        <v>1674</v>
      </c>
      <c r="E1125" s="63" t="s">
        <v>1675</v>
      </c>
      <c r="F1125" s="66">
        <v>28.189957</v>
      </c>
      <c r="G1125" s="66">
        <v>28.189958000000001</v>
      </c>
      <c r="H1125" s="65">
        <v>33</v>
      </c>
      <c r="I1125" s="67">
        <v>4.3929470000000004</v>
      </c>
      <c r="J1125" s="67">
        <v>85.168000000000006</v>
      </c>
      <c r="K1125" s="67">
        <v>85.168000000000006</v>
      </c>
      <c r="L1125" s="67">
        <v>100</v>
      </c>
      <c r="M1125" s="67">
        <v>85.168000000000006</v>
      </c>
      <c r="N1125" s="68">
        <v>0</v>
      </c>
    </row>
  </sheetData>
  <pageMargins left="0.75" right="0.75" top="1" bottom="1" header="0" footer="0"/>
  <pageSetup paperSize="9" orientation="portrait" r:id="rId1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10</vt:i4>
      </vt:variant>
      <vt:variant>
        <vt:lpstr>Charts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20" baseType="lpstr">
      <vt:lpstr>Chart Data</vt:lpstr>
      <vt:lpstr>Market expectations</vt:lpstr>
      <vt:lpstr>MPR Chart 2.16</vt:lpstr>
      <vt:lpstr>MPR Chart 2.21</vt:lpstr>
      <vt:lpstr>HAVERM</vt:lpstr>
      <vt:lpstr>HAVERD</vt:lpstr>
      <vt:lpstr>HAVERQ</vt:lpstr>
      <vt:lpstr>GMW</vt:lpstr>
      <vt:lpstr>Maturity Profile of APF (Table)</vt:lpstr>
      <vt:lpstr>APF gilt sales</vt:lpstr>
      <vt:lpstr>Chart1</vt:lpstr>
      <vt:lpstr>Chart2</vt:lpstr>
      <vt:lpstr>Chart2 - monthly</vt:lpstr>
      <vt:lpstr>Chart3</vt:lpstr>
      <vt:lpstr>Chart4</vt:lpstr>
      <vt:lpstr>Chart4a</vt:lpstr>
      <vt:lpstr>Chart5</vt:lpstr>
      <vt:lpstr>_DLX1.INC</vt:lpstr>
      <vt:lpstr>_DLX2.INC</vt:lpstr>
      <vt:lpstr>_DLX3.INC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2023-12-04T16:04:37Z</dcterms:created>
  <dcterms:modified xsi:type="dcterms:W3CDTF">2024-09-10T09:54:05Z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2023-12-04T16:18:37Z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b15ee26c-70ef-4cef-9e2f-031606cb8bef</vt:lpwstr>
  </property>
  <property fmtid="{D5CDD505-2E9C-101B-9397-08002B2CF9AE}" pid="8" name="MSIP_Label_231f5784-19ed-4d1e-9a93-4ea41014d730_ContentBits">
    <vt:lpwstr>0</vt:lpwstr>
  </property>
</Properties>
</file>