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D09C359D-A663-426D-B001-FA3E7884958C}" xr6:coauthVersionLast="47" xr6:coauthVersionMax="47" xr10:uidLastSave="{00000000-0000-0000-0000-000000000000}"/>
  <bookViews>
    <workbookView xWindow="-120" yWindow="-120" windowWidth="29040" windowHeight="15840" xr2:uid="{24145D7C-EF19-44BA-9077-3730693EF83D}"/>
  </bookViews>
  <sheets>
    <sheet name="Chart1" sheetId="24" r:id="rId1"/>
    <sheet name="Chart Data" sheetId="1" r:id="rId2"/>
    <sheet name="Maturity Profile of APF (Table)" sheetId="20" r:id="rId3"/>
    <sheet name="APF gilt sales" sheetId="21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123Graph_A" hidden="1">'[1]Model inputs'!#REF!</definedName>
    <definedName name="__123Graph_AALLTAX" hidden="1">'[2]Forecast data'!#REF!</definedName>
    <definedName name="__123Graph_ACHGSPD1" hidden="1">'[3]CHGSPD19.FIN'!$B$10:$B$20</definedName>
    <definedName name="__123Graph_ACHGSPD2" hidden="1">'[3]CHGSPD19.FIN'!$E$11:$E$20</definedName>
    <definedName name="__123Graph_AEFF" hidden="1">'[4]T3 Page 1'!#REF!</definedName>
    <definedName name="__123Graph_AGR14PBF1" hidden="1">'[5]HIS19FIN(A)'!$AF$70:$AF$81</definedName>
    <definedName name="__123Graph_AHOMEVAT" hidden="1">'[2]Forecast data'!#REF!</definedName>
    <definedName name="__123Graph_AIMPORT" hidden="1">'[2]Forecast data'!#REF!</definedName>
    <definedName name="__123Graph_ALBFFIN" hidden="1">'[4]FC Page 1'!#REF!</definedName>
    <definedName name="__123Graph_ALBFFIN2" hidden="1">'[5]HIS19FIN(A)'!$K$59:$Q$59</definedName>
    <definedName name="__123Graph_ALBFHIC2" hidden="1">'[5]HIS19FIN(A)'!$D$59:$J$59</definedName>
    <definedName name="__123Graph_ALCB" hidden="1">'[5]HIS19FIN(A)'!$D$83:$I$83</definedName>
    <definedName name="__123Graph_ANACFIN" hidden="1">'[5]HIS19FIN(A)'!$K$97:$Q$97</definedName>
    <definedName name="__123Graph_ANACHIC" hidden="1">'[5]HIS19FIN(A)'!$D$97:$J$97</definedName>
    <definedName name="__123Graph_APIC" hidden="1">'[4]T3 Page 1'!#REF!</definedName>
    <definedName name="__123Graph_ATOBREV" hidden="1">'[2]Forecast data'!#REF!</definedName>
    <definedName name="__123Graph_ATOTAL" hidden="1">'[2]Forecast data'!#REF!</definedName>
    <definedName name="__123Graph_B" hidden="1">'[1]Model inputs'!#REF!</definedName>
    <definedName name="__123Graph_BCHGSPD1" hidden="1">'[3]CHGSPD19.FIN'!$H$10:$H$25</definedName>
    <definedName name="__123Graph_BCHGSPD2" hidden="1">'[3]CHGSPD19.FIN'!$I$11:$I$25</definedName>
    <definedName name="__123Graph_BEFF" hidden="1">'[4]T3 Page 1'!#REF!</definedName>
    <definedName name="__123Graph_BHOMEVAT" hidden="1">'[2]Forecast data'!#REF!</definedName>
    <definedName name="__123Graph_BIMPORT" hidden="1">'[2]Forecast data'!#REF!</definedName>
    <definedName name="__123Graph_BLBF" hidden="1">'[4]T3 Page 1'!#REF!</definedName>
    <definedName name="__123Graph_BLBFFIN" hidden="1">'[4]FC Page 1'!#REF!</definedName>
    <definedName name="__123Graph_BLCB" hidden="1">'[5]HIS19FIN(A)'!$D$79:$I$79</definedName>
    <definedName name="__123Graph_BPIC" hidden="1">'[4]T3 Page 1'!#REF!</definedName>
    <definedName name="__123Graph_BTOTAL" hidden="1">'[2]Forecast data'!#REF!</definedName>
    <definedName name="__123Graph_CACT13BUD" hidden="1">'[4]FC Page 1'!#REF!</definedName>
    <definedName name="__123Graph_CEFF" hidden="1">'[4]T3 Page 1'!#REF!</definedName>
    <definedName name="__123Graph_CGR14PBF1" hidden="1">'[5]HIS19FIN(A)'!$AK$70:$AK$81</definedName>
    <definedName name="__123Graph_CLBF" hidden="1">'[4]T3 Page 1'!#REF!</definedName>
    <definedName name="__123Graph_CPIC" hidden="1">'[4]T3 Page 1'!#REF!</definedName>
    <definedName name="__123Graph_DACT13BUD" hidden="1">'[4]FC Page 1'!#REF!</definedName>
    <definedName name="__123Graph_DEFF" hidden="1">'[4]T3 Page 1'!#REF!</definedName>
    <definedName name="__123Graph_DGR14PBF1" hidden="1">'[5]HIS19FIN(A)'!$AH$70:$AH$81</definedName>
    <definedName name="__123Graph_DLBF" hidden="1">'[4]T3 Page 1'!#REF!</definedName>
    <definedName name="__123Graph_DPIC" hidden="1">'[4]T3 Page 1'!#REF!</definedName>
    <definedName name="__123Graph_EACT13BUD" hidden="1">'[4]FC Page 1'!#REF!</definedName>
    <definedName name="__123Graph_EEFF" hidden="1">'[4]T3 Page 1'!#REF!</definedName>
    <definedName name="__123Graph_EEFFHIC" hidden="1">'[4]FC Page 1'!#REF!</definedName>
    <definedName name="__123Graph_EGR14PBF1" hidden="1">'[5]HIS19FIN(A)'!$AG$67:$AG$67</definedName>
    <definedName name="__123Graph_ELBF" hidden="1">'[4]T3 Page 1'!#REF!</definedName>
    <definedName name="__123Graph_EPIC" hidden="1">'[4]T3 Page 1'!#REF!</definedName>
    <definedName name="__123Graph_FACT13BUD" hidden="1">'[4]FC Page 1'!#REF!</definedName>
    <definedName name="__123Graph_FEFF" hidden="1">'[4]T3 Page 1'!#REF!</definedName>
    <definedName name="__123Graph_FEFFHIC" hidden="1">'[4]FC Page 1'!#REF!</definedName>
    <definedName name="__123Graph_FGR14PBF1" hidden="1">'[5]HIS19FIN(A)'!$AH$67:$AH$67</definedName>
    <definedName name="__123Graph_FLBF" hidden="1">'[4]T3 Page 1'!#REF!</definedName>
    <definedName name="__123Graph_FPIC" hidden="1">'[4]T3 Page 1'!#REF!</definedName>
    <definedName name="__123Graph_LBL_ARESID" hidden="1">'[5]HIS19FIN(A)'!$R$3:$W$3</definedName>
    <definedName name="__123Graph_LBL_BRESID" hidden="1">'[5]HIS19FIN(A)'!$R$3:$W$3</definedName>
    <definedName name="__123Graph_X" hidden="1">'[2]Forecast data'!#REF!</definedName>
    <definedName name="__123Graph_XACTHIC" hidden="1">'[4]FC Page 1'!#REF!</definedName>
    <definedName name="__123Graph_XALLTAX" hidden="1">'[2]Forecast data'!#REF!</definedName>
    <definedName name="__123Graph_XCHGSPD1" hidden="1">'[3]CHGSPD19.FIN'!$A$10:$A$25</definedName>
    <definedName name="__123Graph_XCHGSPD2" hidden="1">'[3]CHGSPD19.FIN'!$A$11:$A$25</definedName>
    <definedName name="__123Graph_XEFF" hidden="1">'[4]T3 Page 1'!#REF!</definedName>
    <definedName name="__123Graph_XGR14PBF1" hidden="1">'[5]HIS19FIN(A)'!$AL$70:$AL$81</definedName>
    <definedName name="__123Graph_XHOMEVAT" hidden="1">'[2]Forecast data'!#REF!</definedName>
    <definedName name="__123Graph_XIMPORT" hidden="1">'[2]Forecast data'!#REF!</definedName>
    <definedName name="__123Graph_XLBF" hidden="1">'[4]T3 Page 1'!#REF!</definedName>
    <definedName name="__123Graph_XLBFFIN2" hidden="1">'[5]HIS19FIN(A)'!$K$61:$Q$61</definedName>
    <definedName name="__123Graph_XLBFHIC" hidden="1">'[5]HIS19FIN(A)'!$D$61:$J$61</definedName>
    <definedName name="__123Graph_XLBFHIC2" hidden="1">'[5]HIS19FIN(A)'!$D$61:$J$61</definedName>
    <definedName name="__123Graph_XLCB" hidden="1">'[5]HIS19FIN(A)'!$D$79:$I$79</definedName>
    <definedName name="__123Graph_XNACFIN" hidden="1">'[5]HIS19FIN(A)'!$K$95:$Q$95</definedName>
    <definedName name="__123Graph_XNACHIC" hidden="1">'[5]HIS19FIN(A)'!$D$95:$J$95</definedName>
    <definedName name="__123Graph_XPIC" hidden="1">'[4]T3 Page 1'!#REF!</definedName>
    <definedName name="__123Graph_XSTAG2ALL" hidden="1">'[2]Forecast data'!#REF!</definedName>
    <definedName name="__123Graph_XSTAG2EC" hidden="1">'[2]Forecast data'!#REF!</definedName>
    <definedName name="__123Graph_XTOBREV" hidden="1">'[2]Forecast data'!#REF!</definedName>
    <definedName name="__123Graph_XTOTAL" hidden="1">'[2]Forecast data'!#REF!</definedName>
    <definedName name="_DLX1.INC">#REF!</definedName>
    <definedName name="_DLX2.INC">#REF!</definedName>
    <definedName name="_DLX3.INC">#REF!</definedName>
    <definedName name="_Fill" hidden="1">'[2]Forecast data'!#REF!</definedName>
    <definedName name="_xlnm._FilterDatabase" localSheetId="3" hidden="1">'APF gilt sales'!$A$2:$M$1931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TMAutoChart1Names" hidden="1">{"Chart","Chart 1028","Chart Chart 1028"}</definedName>
    <definedName name="_TMAutoChart1Refs" hidden="1">{"'Chart'!$J$4","'Chart'!$J$5","","","","","","","",""}</definedName>
    <definedName name="_TMAutoChartCount" hidden="1">1</definedName>
    <definedName name="anscount" hidden="1">2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BLPH1" hidden="1">'[6]4.6 ten year bonds'!$A$4</definedName>
    <definedName name="BLPH10" hidden="1">'[7]ROE data'!$Q$5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[8]Data!$D$8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[8]Data!$G$8</definedName>
    <definedName name="BLPH121" hidden="1">#REF!</definedName>
    <definedName name="BLPH122" hidden="1">#REF!</definedName>
    <definedName name="BLPH123" hidden="1">#REF!</definedName>
    <definedName name="BLPH128" hidden="1">[9]German!$B$5</definedName>
    <definedName name="BLPH129" hidden="1">[9]German!$F$5</definedName>
    <definedName name="BLPH13" hidden="1">[8]Data!$J$8</definedName>
    <definedName name="BLPH130" hidden="1">[9]German!$J$5</definedName>
    <definedName name="BLPH131" hidden="1">[9]German!$N$5</definedName>
    <definedName name="BLPH132" hidden="1">[9]French!$B$5</definedName>
    <definedName name="BLPH133" hidden="1">[9]French!$F$5</definedName>
    <definedName name="BLPH134" hidden="1">[9]French!#REF!</definedName>
    <definedName name="BLPH135" hidden="1">[9]Italian!$B$6</definedName>
    <definedName name="BLPH136" hidden="1">[9]Italian!$F$6</definedName>
    <definedName name="BLPH137" hidden="1">[9]Italian!$J$6</definedName>
    <definedName name="BLPH138" hidden="1">[9]Spanish!$B$5</definedName>
    <definedName name="BLPH139" hidden="1">[9]Spanish!$F$5</definedName>
    <definedName name="BLPH14" hidden="1">[8]Data!$M$8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[8]Data!#REF!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6" hidden="1">[10]Europeans!$F$6</definedName>
    <definedName name="BLPH165" hidden="1">'[11]H-Y spreads'!#REF!</definedName>
    <definedName name="BLPH166" hidden="1">'[11]H-Y spreads'!#REF!</definedName>
    <definedName name="BLPH167" hidden="1">'[11]H-Y spreads'!#REF!</definedName>
    <definedName name="BLPH168" hidden="1">'[12]sub-debt'!#REF!</definedName>
    <definedName name="BLPH17" hidden="1">[10]Europeans!$B$6</definedName>
    <definedName name="BLPH173" hidden="1">#REF!</definedName>
    <definedName name="BLPH174" hidden="1">#REF!</definedName>
    <definedName name="BLPH175" hidden="1">#REF!</definedName>
    <definedName name="BLPH18" hidden="1">[10]Europeans!$J$6</definedName>
    <definedName name="BLPH189" hidden="1">'[12]sub-debt'!#REF!</definedName>
    <definedName name="BLPH19" hidden="1">[10]Europeans!$N$6</definedName>
    <definedName name="BLPH190" hidden="1">'[12]sub-debt'!#REF!</definedName>
    <definedName name="BLPH191" hidden="1">'[12]sub-debt'!#REF!</definedName>
    <definedName name="BLPH192" hidden="1">'[12]sub-debt'!#REF!</definedName>
    <definedName name="BLPH193" hidden="1">'[12]sub-debt'!#REF!</definedName>
    <definedName name="BLPH194" hidden="1">'[12]sub-debt'!$B$165</definedName>
    <definedName name="BLPH195" hidden="1">'[12]sub-debt'!#REF!</definedName>
    <definedName name="BLPH196" hidden="1">'[12]sub-debt'!#REF!</definedName>
    <definedName name="BLPH197" hidden="1">'[12]sub-debt'!$B$164</definedName>
    <definedName name="BLPH198" hidden="1">'[12]sub-debt'!$E$164</definedName>
    <definedName name="BLPH199" hidden="1">'[12]sub-debt'!$H$164</definedName>
    <definedName name="BLPH2" hidden="1">'[6]4.6 ten year bonds'!$D$4</definedName>
    <definedName name="BLPH20" hidden="1">[10]Europeans!$V$6</definedName>
    <definedName name="BLPH200" hidden="1">'[12]sub-debt'!$K$164</definedName>
    <definedName name="BLPH201" hidden="1">'[12]sub-debt'!$N$164</definedName>
    <definedName name="BLPH202" hidden="1">'[12]sub-debt'!$Q$164</definedName>
    <definedName name="BLPH203" hidden="1">'[12]sub-debt'!#REF!</definedName>
    <definedName name="BLPH204" hidden="1">'[12]sub-debt'!$K$170</definedName>
    <definedName name="BLPH205" hidden="1">'[13]Bond data'!$J$2517:$HE$59909</definedName>
    <definedName name="BLPH206" hidden="1">'[13]Bond data'!$J$2665:$HE$59909</definedName>
    <definedName name="BLPH207" hidden="1">'[13]Bond data'!$J$2665:$HE$59909</definedName>
    <definedName name="BLPH208" hidden="1">'[13]Bond data'!$P$1210</definedName>
    <definedName name="BLPH209" hidden="1">#REF!</definedName>
    <definedName name="BLPH21" hidden="1">[10]Europeans!$R$6</definedName>
    <definedName name="BLPH210" hidden="1">'[13]Bond data'!$D$1208</definedName>
    <definedName name="BLPH211" hidden="1">'[13]Bond data'!$D$1213</definedName>
    <definedName name="BLPH212" hidden="1">[12]Bankruptcies!$B$7</definedName>
    <definedName name="BLPH22" hidden="1">'[10]US '!$B$5</definedName>
    <definedName name="BLPH222" hidden="1">#REF!</definedName>
    <definedName name="BLPH223" hidden="1">#REF!</definedName>
    <definedName name="BLPH224" hidden="1">#REF!</definedName>
    <definedName name="BLPH225" hidden="1">[12]Bankruptcies!$C$249</definedName>
    <definedName name="BLPH228" hidden="1">'[12]sub-debt'!#REF!</definedName>
    <definedName name="BLPH229" hidden="1">'[13]Bond data'!$AJ$5</definedName>
    <definedName name="BLPH23" hidden="1">'[10]US '!$F$5</definedName>
    <definedName name="BLPH230" hidden="1">'[13]Bond data'!$AG$5</definedName>
    <definedName name="BLPH231" hidden="1">'[13]Bond data'!$AL$5</definedName>
    <definedName name="BLPH232" hidden="1">'[13]Bond data'!$AI$5</definedName>
    <definedName name="BLPH233" hidden="1">'[13]Bond data'!$AF$5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4" hidden="1">'[10]US '!$J$5</definedName>
    <definedName name="BLPH25" hidden="1">'[10]US '!$N$5</definedName>
    <definedName name="BLPH26" hidden="1">'[10]US '!$R$5</definedName>
    <definedName name="BLPH27" hidden="1">'[10]US '!$V$5</definedName>
    <definedName name="BLPH28" hidden="1">'[10]US '!$Z$5</definedName>
    <definedName name="BLPH29" hidden="1">'[10]US '!$AD$5</definedName>
    <definedName name="BLPH3" hidden="1">'[6]4.6 ten year bonds'!$G$4</definedName>
    <definedName name="BLPH30" hidden="1">'[14]equity prices'!$R$5</definedName>
    <definedName name="BLPH31" hidden="1">'[14]equity prices'!$J$5</definedName>
    <definedName name="BLPH32" hidden="1">'[14]equity prices'!$F$5</definedName>
    <definedName name="BLPH33" hidden="1">'[14]equity prices'!$N$5</definedName>
    <definedName name="BLPH34" hidden="1">'[14]equity prices'!$B$5</definedName>
    <definedName name="BLPH35" hidden="1">'[14]equity prices'!$V$5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'[6]4.6 ten year bonds'!$J$4</definedName>
    <definedName name="BLPH40" hidden="1">#REF!</definedName>
    <definedName name="BLPH41" hidden="1">#REF!</definedName>
    <definedName name="BLPH42" hidden="1">#REF!</definedName>
    <definedName name="BLPH43" hidden="1">'[11]oil price'!#REF!</definedName>
    <definedName name="BLPH44" hidden="1">#REF!</definedName>
    <definedName name="BLPH45" hidden="1">'[11]US CP spreads'!#REF!</definedName>
    <definedName name="BLPH46" hidden="1">'[11]US CP spreads'!#REF!</definedName>
    <definedName name="BLPH47" hidden="1">'[11]US CP spreads'!#REF!</definedName>
    <definedName name="BLPH48" hidden="1">#REF!</definedName>
    <definedName name="BLPH49" hidden="1">'[11]Gov bond imp vols'!#REF!</definedName>
    <definedName name="BLPH5" hidden="1">'[6]4.6 ten year bonds'!$M$4</definedName>
    <definedName name="BLPH50" hidden="1">'[11]Gov bond imp vols'!#REF!</definedName>
    <definedName name="BLPH51" hidden="1">'[11]Gov bond imp vols'!#REF!</definedName>
    <definedName name="BLPH52" hidden="1">[11]banks!#REF!</definedName>
    <definedName name="BLPH53" hidden="1">[11]banks!#REF!</definedName>
    <definedName name="BLPH54" hidden="1">[11]banks!#REF!</definedName>
    <definedName name="BLPH55" hidden="1">[11]banks!#REF!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'[7]ROE data'!$A$34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'[11]cp iss'!#REF!</definedName>
    <definedName name="BLPH66" hidden="1">'[11]cp iss'!#REF!</definedName>
    <definedName name="BLPH67" hidden="1">'[11]cp iss'!#REF!</definedName>
    <definedName name="BLPH68" hidden="1">'[11]cp iss'!#REF!</definedName>
    <definedName name="BLPH69" hidden="1">'[11]cp iss'!#REF!</definedName>
    <definedName name="BLPH7" hidden="1">'[7]ROE data'!$E$7</definedName>
    <definedName name="BLPH70" hidden="1">'[11]cp iss'!#REF!</definedName>
    <definedName name="BLPH71" hidden="1">'[11]Jap prem'!#REF!</definedName>
    <definedName name="BLPH72" hidden="1">'[11]Jap prem'!#REF!</definedName>
    <definedName name="BLPH73" hidden="1">'[11]Jap prem'!#REF!</definedName>
    <definedName name="BLPH74" hidden="1">'[11]euro indices'!#REF!</definedName>
    <definedName name="BLPH75" hidden="1">'[11]euro indices'!#REF!</definedName>
    <definedName name="BLPH76" hidden="1">'[11]euro indices'!#REF!</definedName>
    <definedName name="BLPH77" hidden="1">'[11]euro indices'!#REF!</definedName>
    <definedName name="BLPH78" hidden="1">'[11]euro indices'!#REF!</definedName>
    <definedName name="BLPH79" hidden="1">'[11]euro indices'!#REF!</definedName>
    <definedName name="BLPH8" hidden="1">'[7]ROE data'!$I$43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'[7]ROE data'!$M$23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CIQWBGuid" hidden="1">"fa5452a5-43fc-463b-968d-1ded947c4d33"</definedName>
    <definedName name="CIQWBInfo" hidden="1">"{ ""CIQVersion"":""9.49.2423.4439"" }"</definedName>
    <definedName name="Data">[15]sheet0!$C$2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istribution" hidden="1">#REF!</definedName>
    <definedName name="ExtraProfiles" hidden="1">#REF!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fyu" hidden="1">'[2]Forecast data'!#REF!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Img_ML_1y7a6c1t" hidden="1">"IMG_6"</definedName>
    <definedName name="Img_ML_2f4p3r6p" hidden="1">"IMG_6"</definedName>
    <definedName name="Img_ML_2j6i5k6b" hidden="1">"IMG_6"</definedName>
    <definedName name="Img_ML_2v6s9i5c" hidden="1">"IMG_6"</definedName>
    <definedName name="Img_ML_2x1b8j5c" hidden="1">"IMG_6"</definedName>
    <definedName name="Img_ML_3b3j3x9k" hidden="1">"IMG_6"</definedName>
    <definedName name="Img_ML_3e2q4k7i" hidden="1">"IMG_6"</definedName>
    <definedName name="Img_ML_3h2n3p4v" hidden="1">"IMG_6"</definedName>
    <definedName name="Img_ML_3p2b9c6w" hidden="1">"IMG_6"</definedName>
    <definedName name="Img_ML_3x8m5t8j" hidden="1">"IMG_6"</definedName>
    <definedName name="Img_ML_4m3p5r8j" hidden="1">"IMG_18"</definedName>
    <definedName name="Img_ML_5d3i8b5s" hidden="1">"IMG_6"</definedName>
    <definedName name="Img_ML_5e7s6t2u" hidden="1">"IMG_18"</definedName>
    <definedName name="Img_ML_5f9x9u4u" hidden="1">"IMG_6"</definedName>
    <definedName name="Img_ML_5h6q3g8u" hidden="1">"IMG_6"</definedName>
    <definedName name="Img_ML_6f2p1m9g" hidden="1">"IMG_6"</definedName>
    <definedName name="Img_ML_6p3m8v1n" hidden="1">"IMG_6"</definedName>
    <definedName name="Img_ML_6y9f7y3n" hidden="1">"IMG_6"</definedName>
    <definedName name="Img_ML_7n6h3t1t" hidden="1">"IMG_6"</definedName>
    <definedName name="Img_ML_7w3j1h9t" hidden="1">"IMG_6"</definedName>
    <definedName name="Img_ML_8b4s3j4n" hidden="1">"IMG_6"</definedName>
    <definedName name="Img_ML_8b9j5t1p" hidden="1">"IMG_6"</definedName>
    <definedName name="Img_ML_8r1k8t4y" hidden="1">"IMG_6"</definedName>
    <definedName name="Img_ML_8t3m5u6f" hidden="1">"IMG_6"</definedName>
    <definedName name="Img_ML_9c9p6w6g" hidden="1">"IMG_6"</definedName>
    <definedName name="Img_ML_9g2r1i7c" hidden="1">"IMG_6"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"05/28/2015 10:38:17"</definedName>
    <definedName name="IQ_QTD" hidden="1">750000</definedName>
    <definedName name="IQ_TODAY" hidden="1">0</definedName>
    <definedName name="IQ_YTDMONTH" hidden="1">130000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Pop" hidden="1">[16]Population!#REF!</definedName>
    <definedName name="Population" hidden="1">#REF!</definedName>
    <definedName name="Profiles" hidden="1">#REF!</definedName>
    <definedName name="Projections" hidden="1">#REF!</definedName>
    <definedName name="Results" hidden="1">[17]UK99!$A$1:$A$1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encount" hidden="1">1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SpreadsheetBuilder_1" hidden="1">#REF!</definedName>
    <definedName name="SpreadsheetBuilder_2" hidden="1">#REF!</definedName>
    <definedName name="T4.9i" hidden="1">{#N/A,#N/A,FALSE,"TMCOMP96";#N/A,#N/A,FALSE,"MAT96";#N/A,#N/A,FALSE,"FANDA96";#N/A,#N/A,FALSE,"INTRAN96";#N/A,#N/A,FALSE,"NAA9697";#N/A,#N/A,FALSE,"ECWEBB";#N/A,#N/A,FALSE,"MFT96";#N/A,#N/A,FALSE,"CTrecon"}</definedName>
    <definedName name="T4.9j" hidden="1">{#N/A,#N/A,FALSE,"TMCOMP96";#N/A,#N/A,FALSE,"MAT96";#N/A,#N/A,FALSE,"FANDA96";#N/A,#N/A,FALSE,"INTRAN96";#N/A,#N/A,FALSE,"NAA9697";#N/A,#N/A,FALSE,"ECWEBB";#N/A,#N/A,FALSE,"MFT96";#N/A,#N/A,FALSE,"CTrecon"}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TRNR_0003e307e35943e69373a96f27511f32_720_2" hidden="1">#REF!</definedName>
    <definedName name="TRNR_000c6c9fd50a4caab7934b859e0281e3_294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007e390b58cf483cbf331df064b0cfb7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0087a30793e44327b0ab117720afff8f_291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00a4756b50464b6c9c7cdf11d25629c3_98_0" hidden="1">#REF!</definedName>
    <definedName name="TRNR_00abc12c19f64e34b8490c9ecc0eb605_288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00c93028e44b42e9b3492224346e6507_97_0" hidden="1">#REF!</definedName>
    <definedName name="TRNR_00f6a069d7164399af1ca7cba34a983e_413_1" hidden="1">#REF!</definedName>
    <definedName name="TRNR_017f59ac8ada43dba1be9e9a7d0d6273_98_0" hidden="1">#REF!</definedName>
    <definedName name="TRNR_018a8bded5da4bf0911bfb11c7b08474_283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02b9ee1f8a6c465b91fa1b33bc62aa58_112_195" hidden="1">#REF!</definedName>
    <definedName name="TRNR_02da124853504d05a5310d0bc39fd57b_198_8" hidden="1">#REF!</definedName>
    <definedName name="TRNR_0319965cf9014397959857430e043e17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03683c3f21334ef08b07cb89a5f9d31a_99_0" hidden="1">#REF!</definedName>
    <definedName name="TRNR_04e7d0670e6e4177a9c861a8fd8a45e1_310_7" hidden="1" xml:space="preserve">                                                                                                        '[18]Manuf delivery times'!$AK$4</definedName>
    <definedName name="TRNR_0631b139eda4413c89dac3f9a7340827_700_1" hidden="1">#REF!</definedName>
    <definedName name="TRNR_0643949265a240d0b2d092f41828b016_98_0" hidden="1">#REF!</definedName>
    <definedName name="TRNR_068edef156064ca38f001532b6e8736a_100_0" hidden="1">#REF!</definedName>
    <definedName name="TRNR_06f632dffb0648028005f92d6d913a6f_393_1" hidden="1">#REF!</definedName>
    <definedName name="TRNR_0710045a27574290b3d25fe947a77795_17_1" hidden="1">'[19]Regional data'!#REF!</definedName>
    <definedName name="TRNR_0797f627283c438d843908b0f764ec0e_311_7" hidden="1" xml:space="preserve">                                                                                                        '[18]Manuf delivery times'!$M$4</definedName>
    <definedName name="TRNR_0841ccc78ce241eb9055b046f360b6b3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08c12954c625474db199beac6961aedf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0931077f409d4debb2939d23f96b4c66_308_9" hidden="1" xml:space="preserve">                            '[18]Manuf PMIs'!$B$2</definedName>
    <definedName name="TRNR_094404681c0049aaaf105e6207cd0a9e_307_7" hidden="1" xml:space="preserve">                                                                                                        '[18]Manuf delivery times'!$M$4</definedName>
    <definedName name="TRNR_09a5fab5be8f4e2cb526c15ed0a59fa5_566_20" hidden="1">#REF!</definedName>
    <definedName name="TRNR_0a2275184c224813bc434b7e194df988_306_10" hidden="1" xml:space="preserve">                                                                                                        '[18]Composite PMIs'!$B$2</definedName>
    <definedName name="TRNR_0a325c2905d84576800bb1c6ebe8120e_315_8" hidden="1" xml:space="preserve">                                                                                                                                                '[18]Future PMIs'!$B$2</definedName>
    <definedName name="TRNR_0b5fe29dfa8d4faaac79fb438f207750_99_0" hidden="1">#REF!</definedName>
    <definedName name="TRNR_0b867d12c4f54c8f91d734197b3fd986_302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0c3ad9423e954a7e898e08a3a1d748bc_25_1" hidden="1">#REF!</definedName>
    <definedName name="TRNR_0c4ceb59db6343918e58d2ab16ce5388_307_7" hidden="1" xml:space="preserve">                            '[18]Manuf delivery times'!$B$4</definedName>
    <definedName name="TRNR_0cf23562878c43eb8b81a2986277632d_307_7" hidden="1" xml:space="preserve">                                                                                                        '[18]Manuf delivery times'!$M$4</definedName>
    <definedName name="TRNR_0d23b50afba04e2ab9430a3092fc16be_302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0d2461d9577344f98dc90df7dba79405_99_0" hidden="1">#REF!</definedName>
    <definedName name="TRNR_0d73f390a8474c3bbe1d7790da6d221b_307_7" hidden="1" xml:space="preserve">                                                                                                        '[18]Manuf delivery times'!$M$4</definedName>
    <definedName name="TRNR_0de00e6859e647ca9e5a9148ac8649db_98_0" hidden="1">#REF!</definedName>
    <definedName name="TRNR_0df742395f1f4a3fbaa7cf0e1aaf53cb_97_0" hidden="1">#REF!</definedName>
    <definedName name="TRNR_0e1285c88ca0470a9c6ca002132db23e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 PMIs'!$B$2</definedName>
    <definedName name="TRNR_0e68130afcab48d28f1902e2ab7ff44b_303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0ea8eef462cd4cf38c642af8600aed43_288_9" hidden="1" xml:space="preserve">                                                                                                                                                                                                            '[18]Manuf output PMIs'!$B$2</definedName>
    <definedName name="TRNR_0ef0034bfc944ccbbd0090460f71e0d5_98_0" hidden="1">#REF!</definedName>
    <definedName name="TRNR_0f44d734271040758f3cdbd14083d189_299_2" hidden="1">#REF!</definedName>
    <definedName name="TRNR_0f87b575b01c4904aa2be0fa7f1eaec1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0fbf97d0f7e24b04a1da147f4f6b0fad_112_180" hidden="1">#REF!</definedName>
    <definedName name="TRNR_0ff7eb090b204c91a3fe99e5ab7c926d_442_1" hidden="1">#REF!</definedName>
    <definedName name="TRNR_105939f09d9c49f4af81b018483c162d_719_2" hidden="1">#REF!</definedName>
    <definedName name="TRNR_1091c81026194364b4922fbaec09bfea_309_10" hidden="1" xml:space="preserve">                                                                                                        '[18]Manuf export PMIs'!$B$2</definedName>
    <definedName name="TRNR_10dd9d8b67d941aaa75a539b7d1a46d9_459_1" hidden="1">#REF!</definedName>
    <definedName name="TRNR_1137a7995b1e48a0bb357ae20bb96270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11b7f68bf37248119bd4215023647041_97_0" hidden="1">#REF!</definedName>
    <definedName name="TRNR_11ebe626973141a38af243c8d3f452b0_294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12812b8577e741d9916de3f66b9c82e6_98_1" hidden="1">#REF!</definedName>
    <definedName name="TRNR_12a6a666d94d4e229f70186b460c1df3_100_0" hidden="1">#REF!</definedName>
    <definedName name="TRNR_12a8f17b2e42433f84da20e17bf0778a_715_2" hidden="1">#REF!</definedName>
    <definedName name="TRNR_12ff7a83937147228270dfa635b334ee_281_6" hidden="1" xml:space="preserve">                                                                                                                    '[18]Manuf export PMIs'!$B$2</definedName>
    <definedName name="TRNR_1306d575d79040c89dd14611aea25382_310_7" hidden="1" xml:space="preserve">                            '[18]Manuf delivery times'!$M$4</definedName>
    <definedName name="TRNR_13bb93b88a48472fb0dee0149424460a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13c1665b63da47928df6996d40ee089e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140b526ab528435aa0d8c2094c9e044a_703_2" hidden="1">#REF!</definedName>
    <definedName name="TRNR_146ed7794dd14df0bca571c37abbad05_311_7" hidden="1" xml:space="preserve">                                                                                                        '[18]Manuf output'!$B$2</definedName>
    <definedName name="TRNR_14bb27092ba842f8a4a16d9ffe806e5c_98_0" hidden="1">#REF!</definedName>
    <definedName name="TRNR_14bd52c3dbac40a294b1118159a402e3_97_0" hidden="1">#REF!</definedName>
    <definedName name="TRNR_14fd0601c7514ccf8bc3007e5f450633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15572f8c3f4649d99c7be7dd112d1a3f_112_195" hidden="1">#REF!</definedName>
    <definedName name="TRNR_1574c9cacaf54b90bdb29dc1ce22a931_713_2" hidden="1">#REF!</definedName>
    <definedName name="TRNR_167b71cfd1a04bdfaf0962c49c87577a_99_0" hidden="1">#REF!</definedName>
    <definedName name="TRNR_17806c636444488d9fe0dc0f2f26792f_310_7" hidden="1" xml:space="preserve">                                                                                                        '[18]Manuf delivery times'!$B$4</definedName>
    <definedName name="TRNR_17d4195441624fdb85ecc12c95160d28_306_7" hidden="1" xml:space="preserve">                                                                        '[18]Composite output prices'!$B$2</definedName>
    <definedName name="TRNR_18584e92ca3e4467b687f1fa4863c5c8_299_8" hidden="1">#REF!</definedName>
    <definedName name="TRNR_1860ee5716ef455890ae4f5752761f85_442_1" hidden="1">#REF!</definedName>
    <definedName name="TRNR_18b4a61acf35430992af7ae0f561922f_156_11" hidden="1">#REF!</definedName>
    <definedName name="TRNR_190c01370b3f4edc9c1f237b59d44428_98_0" hidden="1">#REF!</definedName>
    <definedName name="TRNR_193b541aac9d4a649f7634d42cec389c_291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1a2335dd01314fe4a925b6eafd31798a_285_8" hidden="1" xml:space="preserve">                                                                                                                                                                '[18]Services PMIs'!$B$2</definedName>
    <definedName name="TRNR_1ad129cc110a4cd9979577f97ddc7e04_99_0" hidden="1">#REF!</definedName>
    <definedName name="TRNR_1bb0a669ed3c4e03a99462230824f86c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1bff51e4ad1c44b09a1ece8051e89492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1c563c349f3a426da56a9af4660802ad_182_8" hidden="1">#REF!</definedName>
    <definedName name="TRNR_1c900e0b25e84a1aa0015fe187cc90db_11_2" hidden="1">#REF!</definedName>
    <definedName name="TRNR_1ca6a69e2ae94614bb1675ea8f15f62c_99_0" hidden="1">#REF!</definedName>
    <definedName name="TRNR_1de07743b4ca48aa8c8d0a254cdc4440_307_7" hidden="1" xml:space="preserve">                                                                                                        '[18]Manuf output'!$B$2</definedName>
    <definedName name="TRNR_1e26865f923c445685571d047fd5314e_112_142" hidden="1">#REF!</definedName>
    <definedName name="TRNR_1e974028a759484d9ed777b81e5a5182_315_9" hidden="1" xml:space="preserve">                                                                                                        '[18]Manuf PMIs'!$B$2</definedName>
    <definedName name="TRNR_1ebc73d5b0f844d185a92b1316de8e3d_192_8" hidden="1">#REF!</definedName>
    <definedName name="TRNR_1ee17ecc7ece468ea038cece0dadbeaf_309_10" hidden="1" xml:space="preserve">                                                                                                        '[18]Composite PMIs'!$B$2</definedName>
    <definedName name="TRNR_1f38f8a002bf4c65a49d023159d813c3_706_2" hidden="1">#REF!</definedName>
    <definedName name="TRNR_1f588fb2ba7d4e87b9b213297a0cd0da_307_7" hidden="1" xml:space="preserve">                                                                                                        '[18]Manuf delivery times'!$M$4</definedName>
    <definedName name="TRNR_1f7c0dcffb574fa6b389f96d9af75021_98_1" hidden="1">#REF!</definedName>
    <definedName name="TRNR_1fa2d05f96874b9ab7234cf641b1c53f_289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1fda2f5e7b24416386edaf0ab1869a96_285_6" hidden="1" xml:space="preserve">                                                                                                                        '[18]Manuf export PMIs'!$B$2</definedName>
    <definedName name="TRNR_2005b639bbfe4130ae9c5c03cab5e4b8_98_0" hidden="1">#REF!</definedName>
    <definedName name="TRNR_2067e9e1a13a4686b778792d319cdf06_112_180" hidden="1">#REF!</definedName>
    <definedName name="TRNR_20937dca423d479fb8ded61363eceff2_99_0" hidden="1">#REF!</definedName>
    <definedName name="TRNR_20caa7c1780044a5b74e8021c43f1e41_98_0" hidden="1">#REF!</definedName>
    <definedName name="TRNR_20d55f04ddc34f19aaa8c5a1304cc163_171_6" hidden="1">#REF!</definedName>
    <definedName name="TRNR_20ee9b556e584633b8b5db3288199198_99_0" hidden="1">#REF!</definedName>
    <definedName name="TRNR_21080d19f34546f38d7c61f6ca0cbd2f_291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21cbf3f8f8fc4a86b6d385903cbb654e_118_7" hidden="1">#REF!</definedName>
    <definedName name="TRNR_21dcb34392a64084b78d11d1269d61ff_98_0" hidden="1">#REF!</definedName>
    <definedName name="TRNR_21e66bee47d644f0a6842d78e1d06759_302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22d5838926d94e2a88bdfd81ed43b011_98_0" hidden="1">#REF!</definedName>
    <definedName name="TRNR_2303a443a13b462795f53c1ce8914872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231574b02a37483c867a222af4aea2eb_286_9" hidden="1" xml:space="preserve">                                                                                                                                                                '[18]Composite PMIs'!$B$2</definedName>
    <definedName name="TRNR_235157c26c76476ab2da6a108867ac11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244d76835dd14d00b12c658eb91b9e9b_445_1" hidden="1">#REF!</definedName>
    <definedName name="TRNR_2502f5ac6f3e4533a0096661f99a085b_112_184" hidden="1">#REF!</definedName>
    <definedName name="TRNR_254447efdbf24fad89f07f925b2644f7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256e3560897646388e7e92f5e397db44_283_6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61200156d7a40e3bb3a0f8e4c29deec_193_8" hidden="1">#REF!</definedName>
    <definedName name="TRNR_2621c99a64554ec597f7ce2571464ccb_99_0" hidden="1">#REF!</definedName>
    <definedName name="TRNR_26b660f7a8354059980ad7a1f86e7e2d_707_1" hidden="1">#REF!</definedName>
    <definedName name="TRNR_26bea5062da2427eb03adff7a634fd5f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6f9aa30711e45dca714f40e2f3f79ec_303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6fb02711e804429ae5ee9a8dd86f859_98_0" hidden="1">#REF!</definedName>
    <definedName name="TRNR_276b397384de4d0789d55c19986412d7_112_121" hidden="1">#REF!</definedName>
    <definedName name="TRNR_288749616af2418899e47f8eaf18fff7_31_1" hidden="1">#REF!</definedName>
    <definedName name="TRNR_291ed13ff7ba4d198c4f2fcf99e18879_284_7" hidden="1" xml:space="preserve">                                                                                                                    '[18]Manuf PMIs'!$B$2</definedName>
    <definedName name="TRNR_29255f630752495894b8181d016863a6_277_7" hidden="1" xml:space="preserve">                        '[18]Composite PMIs'!$B$2</definedName>
    <definedName name="TRNR_29849db848c047caba75f61c4ee02415_98_0" hidden="1">#REF!</definedName>
    <definedName name="TRNR_298d51306f164c88b1714f3fd368c61f_288_9" hidden="1" xml:space="preserve">                                                                                                                                                                                                            '[18]Services PMIs'!$B$2</definedName>
    <definedName name="TRNR_29bc39c1e3c446e2adcb23e6f12c4846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9d65e013b4c49f0a5df8e14a969433d_100_0" hidden="1">#REF!</definedName>
    <definedName name="TRNR_29dfba2253614dcfb456569f00ba90ea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29e77c11cc3a48e4813ef9409878f420_112_177" hidden="1">#REF!</definedName>
    <definedName name="TRNR_2a1f8d24f79542ee9e8dc53bdc6b40f9_97_0" hidden="1">#REF!</definedName>
    <definedName name="TRNR_2a9e467260a8419d94ca9c88c3e1ffb6_98_0" hidden="1">#REF!</definedName>
    <definedName name="TRNR_2aa9a146c60049c2a9c4b426f978c95b_443_1" hidden="1">#REF!</definedName>
    <definedName name="TRNR_2b2aa526d448427aa797eff58a554249_296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2b31c5ea66d2415fa72afded35f03706_98_0" hidden="1">#REF!</definedName>
    <definedName name="TRNR_2be0e0978d0648e5a2df0a144c949fe8_278_7" hidden="1" xml:space="preserve">                        '[18]Manuf output'!$B$2</definedName>
    <definedName name="TRNR_2c7a7989ae7340f1aaa30158d1a91381_290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2cfa8bcac109407592c805bbea426bc3_395_1" hidden="1">#REF!</definedName>
    <definedName name="TRNR_2d4a108ae20f4a299d4c6b3498b226e1_311_7" hidden="1" xml:space="preserve">                                                                                                        '[18]Manuf delivery times'!$B$4</definedName>
    <definedName name="TRNR_2d676351e36947d4955178221d325df2_278_9" hidden="1" xml:space="preserve">                        '[18]Composite PMIs'!$B$2</definedName>
    <definedName name="TRNR_2deca9f7eb3544aca741cbf6ad1dfc1f_387_1" hidden="1">#REF!</definedName>
    <definedName name="TRNR_2e9cf882210e41988af24d7f2a45a757_286_9" hidden="1" xml:space="preserve">                                                                                                                                                                '[18]Manuf export PMIs'!$B$2</definedName>
    <definedName name="TRNR_2eeb96657c9a4064a24bba63f65810d6_349_1" hidden="1">'[20]All data and charts'!#REF!</definedName>
    <definedName name="TRNR_2ef4674371254e9ea3b9a4106ee1e124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2f03bd505b674d4e83f3401ec2af04e6_99_0" hidden="1">#REF!</definedName>
    <definedName name="TRNR_2f16e18fbffc4d04bbbd242b5d4098b4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2f8c547136e242b691842bc5362af6d6_98_1" hidden="1">#REF!</definedName>
    <definedName name="TRNR_2fbeea7cdb99473fb093752a53c5d2cf_307_7" hidden="1" xml:space="preserve">                                                                                                        '[18]Manuf delivery times'!$M$4</definedName>
    <definedName name="TRNR_2fc2126c92af4937980b72519cddabbb_283_7" hidden="1" xml:space="preserve">                                                                                                                    '[18]Manuf PMIs'!$B$2</definedName>
    <definedName name="TRNR_3028f1d7923f442e803aaab5c198fd66_98_0" hidden="1">#REF!</definedName>
    <definedName name="TRNR_30566eae70a84e9e826179d12a40b857_288_9" hidden="1" xml:space="preserve">                                                                                                                                                                                                            '[18]Manuf export PMIs'!$B$2</definedName>
    <definedName name="TRNR_309a98ab8f7a487db3ebbe9f69749d53_384_1" hidden="1">#REF!</definedName>
    <definedName name="TRNR_30e6009392f3433aadf269c31dcf8d6f_97_0" hidden="1">#REF!</definedName>
    <definedName name="TRNR_30f713e4b1f14e8db066d528ff87cbd0_283_9" hidden="1" xml:space="preserve">                                                                                                                    '[18]Composite PMIs'!$B$2</definedName>
    <definedName name="TRNR_311b974cda114b86b3d7147d4ca13f4b_721_2" hidden="1">#REF!</definedName>
    <definedName name="TRNR_313edd9cf460428cb411e40fbd2411c8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3177270a867a468b8dd7c40b917b2f6d_380_1" hidden="1">#REF!</definedName>
    <definedName name="TRNR_31e5cdee19b6402aac86f4f4ca58f28c_452_1" hidden="1">#REF!</definedName>
    <definedName name="TRNR_320895a0c4d549e38300165740baa16e_706_1" hidden="1">#REF!</definedName>
    <definedName name="TRNR_322799367f6846e29f9610f024f058cc_216_114" hidden="1">#REF!</definedName>
    <definedName name="TRNR_32809883206a42dc91f7132e1ca6318d_705_1" hidden="1">#REF!</definedName>
    <definedName name="TRNR_32bee6d90e1646019edbf0bc46e058bc_440_1" hidden="1">#REF!</definedName>
    <definedName name="TRNR_32e7045a29e34a17a3c5f24787c72899_309_9" hidden="1" xml:space="preserve">                                                                                                        '[18]Services PMIs'!$B$2</definedName>
    <definedName name="TRNR_32fbebc0c5a6406193c01e638192f651_26_4" hidden="1">#REF!</definedName>
    <definedName name="TRNR_32fcf8dbfa704b8fbfbb5e3fb0853a1b_112_117" hidden="1">#REF!</definedName>
    <definedName name="TRNR_3364fc349b4b4805963ddda363f027c2_112_143" hidden="1">#REF!</definedName>
    <definedName name="TRNR_3405653761aa440aa1eb0c71e92ee44b_291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341e8ba510014c0ab1d571bbcf21597d_98_0" hidden="1">#REF!</definedName>
    <definedName name="TRNR_342b1d6c6520424b8eacaa7f49a30473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34bed4f94b964f5d9e52ccbcd57636c7_279_2" hidden="1">#REF!</definedName>
    <definedName name="TRNR_34cb5b8f18bc48b692ba64b049a532eb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3555a747017a4846a918f52ea17b5701_98_0" hidden="1">#REF!</definedName>
    <definedName name="TRNR_3578bd6196174e80961094790cd5295e_285_9" hidden="1" xml:space="preserve">                                                                                                                        '[18]Composite PMIs'!$B$2</definedName>
    <definedName name="TRNR_3597b151fd374377b9a63a737b1c5121_98_0" hidden="1">#REF!</definedName>
    <definedName name="TRNR_35f27a856fa44e33a26fb8987fbb6c9f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36553b495ae245f3a533330b3da14dc0_315_7" hidden="1" xml:space="preserve">                                                                                                        '[18]Composite input prices'!$B$2</definedName>
    <definedName name="TRNR_36d7e675f87c427bb979bd3088b2ea57_286_7" hidden="1" xml:space="preserve">                                                                                                                                                                '[18]Manuf output'!$B$2</definedName>
    <definedName name="TRNR_3729d02bdd5640dfb8e0707252f4c536_288_9" hidden="1" xml:space="preserve">                                                                                                                                                                                                            '[18]Manuf PMIs'!$B$2</definedName>
    <definedName name="TRNR_378d71762ff64318826f324bd5f2e52d_97_0" hidden="1">#REF!</definedName>
    <definedName name="TRNR_37b732b18dfa4db1b0c31ab94ea1cad5_100_0" hidden="1">#REF!</definedName>
    <definedName name="TRNR_38779692e88d489387350c1864690787_723_2" hidden="1">#REF!</definedName>
    <definedName name="TRNR_391f594cb9e9457fadbb2905a100cf8b_310_10" hidden="1" xml:space="preserve">                                                                                                        '[18]Manuf export PMIs'!$B$2</definedName>
    <definedName name="TRNR_3997129a5c014648ad189419faad6fb9_705_2" hidden="1">#REF!</definedName>
    <definedName name="TRNR_39c48992742e4a9686f9fb8252c7e881_196_8" hidden="1">#REF!</definedName>
    <definedName name="TRNR_3a5a6fa53ee640229212a86c22e30934_97_0" hidden="1">#REF!</definedName>
    <definedName name="TRNR_3a9d6d2f499440c0b5fdf1a6329887d8_306_7" hidden="1" xml:space="preserve">                                                                                                        '[18]Manuf output'!$B$2</definedName>
    <definedName name="TRNR_3ac4f96c44514e0a8f9d333c99baa30b_99_0" hidden="1">#REF!</definedName>
    <definedName name="TRNR_3af34af805614162a48fe19ad4e91983_703_2" hidden="1">#REF!</definedName>
    <definedName name="TRNR_3b09db52974849b5bb7da16cd1046abf_703_2" hidden="1">#REF!</definedName>
    <definedName name="TRNR_3bb78cd505a8473fbe8f24119bbdc4b9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3c017e62cde44e8c866f6ed3403ab13d_315_10" hidden="1">#REF!</definedName>
    <definedName name="TRNR_3c47826343e44169b6de9271fcb2d7e4_279_9" hidden="1" xml:space="preserve">                                                                    '[18]Composite PMIs'!$B$2</definedName>
    <definedName name="TRNR_3c714f82ea0a441ca831ada1abe484ed_702_1" hidden="1">#REF!</definedName>
    <definedName name="TRNR_3cbc35ea55384710a7071c6b1b12815c_194_8" hidden="1">#REF!</definedName>
    <definedName name="TRNR_3ccd173591d341e6a00a96b14d1c5753_98_0" hidden="1">#REF!</definedName>
    <definedName name="TRNR_3cff5cffb727441a9dac38c0dc13e414_315_8" hidden="1" xml:space="preserve">                                                                                                                                                                                        [21]Reuters!$B$2</definedName>
    <definedName name="TRNR_3d3cbcfe40044479a887d5a3a4342fa0_98_0" hidden="1">#REF!</definedName>
    <definedName name="TRNR_3d49446b1af84177ab4590e2fed649c4_287_2" hidden="1">#REF!</definedName>
    <definedName name="TRNR_3d7430ca0386434d9e13c11f335f2412_308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3dc6eb9da8ab4c72bdf8531e8c18e042_407_1" hidden="1">#REF!</definedName>
    <definedName name="TRNR_3e4000216e774990ba08df339a5ca023_98_1" hidden="1">#REF!</definedName>
    <definedName name="TRNR_3e82d8cfc9704c488a2be3711633c844_285_8" hidden="1" xml:space="preserve">                                                                                                                                                                '[18]Manuf PMIs'!$B$2</definedName>
    <definedName name="TRNR_3eeca1394b9943ec965c40ba4e305fe2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3ef9b2834b7b4f8a8502a3f87f1de34e_281_2" hidden="1">#REF!</definedName>
    <definedName name="TRNR_3f1f2ee27ae1456aa9fe4db376791860_280_6" hidden="1">#REF!</definedName>
    <definedName name="TRNR_3f9f43395379445ebb70e15598e77a5b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3fcf8d14f1c7492bb91003bd9b5c61db_717_1" hidden="1">#REF!</definedName>
    <definedName name="TRNR_3ff3b6f68e2c477aa2725fa510e77414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4063527510b74345baadfd37941dacd9_112_176" hidden="1">#REF!</definedName>
    <definedName name="TRNR_40842c0b11e6471c8c1a512142d9fb49_112_179" hidden="1">#REF!</definedName>
    <definedName name="TRNR_408dfc60899d4228823351ece3cae1f6_112_149" hidden="1">#REF!</definedName>
    <definedName name="TRNR_40f8ab44181a4916b40050aeb30726fc_310_9" hidden="1" xml:space="preserve">                                                                                                        '[18]Manuf output PMIs'!$B$2</definedName>
    <definedName name="TRNR_411fd349272b442ca456a3b6e01fb3d0_281_6" hidden="1" xml:space="preserve">                                                '[18]Manuf export PMIs'!$B$2</definedName>
    <definedName name="TRNR_41584f61e7cd44c2bccbfc9ca1b75b9d_307_7" hidden="1" xml:space="preserve">                                                                                                        '[18]Manuf delivery times'!$M$4</definedName>
    <definedName name="TRNR_419dd23e85704223bd489abc4159da24_315_7" hidden="1" xml:space="preserve">                                                                                                        '[18]Manuf delivery times'!$AK$4</definedName>
    <definedName name="TRNR_41a16b8feca74cb7aae552bc62dc93b7_667_1" hidden="1">#REF!</definedName>
    <definedName name="TRNR_4258f162d01948dfbe94951e438fecbb_100_0" hidden="1">#REF!</definedName>
    <definedName name="TRNR_42ac4705a58b4e60bdb0f1c3f4ff5462_97_0" hidden="1">#REF!</definedName>
    <definedName name="TRNR_42b8a21f18594fba9079504eb2f73e12_286_9" hidden="1" xml:space="preserve">                                                                                                                                                                '[18]Composite PMIs'!$B$2</definedName>
    <definedName name="TRNR_42f872313d344abf898cde8f80a36b5a_315_9" hidden="1" xml:space="preserve">                                                                                                        '[18]Services PMIs'!$B$2</definedName>
    <definedName name="TRNR_431c7532105e4117bb38a3e7bdbd6c2e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43375f26a0ed46baaadb0e0b18b5fe51_302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4386c43276014c989311c91119f594cc_99_0" hidden="1">#REF!</definedName>
    <definedName name="TRNR_44a1db3b2c3f4734b68f10c350bfc498_310_7" hidden="1" xml:space="preserve">                                                                                                        '[18]Manuf delivery times'!$AK$4</definedName>
    <definedName name="TRNR_453bb1f701da4a109f19c60857266ec6_112_177" hidden="1">#REF!</definedName>
    <definedName name="TRNR_454092e01bfe4aa989f8f09add181d65_98_0" hidden="1">#REF!</definedName>
    <definedName name="TRNR_45b379c471b34315864700adca07a504_315_9" hidden="1" xml:space="preserve">                                                                                                        '[18]Services PMIs'!$B$2</definedName>
    <definedName name="TRNR_45ccd6a4e4a84fb697072b68dff5070d_318_7" hidden="1" xml:space="preserve">                                                                                [21]Reuters!$B$2</definedName>
    <definedName name="TRNR_45d5855463bf4f999a6e80087150fbd2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4614ae3f00f445d4af89c1c88502f6bb_98_0" hidden="1">#REF!</definedName>
    <definedName name="TRNR_46358a84dd6a4983acf72e34d0485b22_98_0" hidden="1">#REF!</definedName>
    <definedName name="TRNR_4652f26893fc480899bae1fc94510fcf_447_1" hidden="1">#REF!</definedName>
    <definedName name="TRNR_4655e3ae33e144c8ab0807e5601a9e3f_306_7" hidden="1" xml:space="preserve">                                '[18]Composite input prices'!$B$2</definedName>
    <definedName name="TRNR_46d25b77349e47c9ba0fab839fd07856_112_178" hidden="1">#REF!</definedName>
    <definedName name="TRNR_46efc2cf0b5d4ef4a09387edc65ffbe8_277_9" hidden="1" xml:space="preserve">                        '[18]Composite PMIs'!$B$2</definedName>
    <definedName name="TRNR_472d4ea01a68426986565d36553e71bf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479cac9e67b2476093e00fa80f551e29_290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4814dd04edd24e2f9e1e001b99d6983e_303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48a6cd8095d946b184a43c6b701af1e2_98_0" hidden="1">#REF!</definedName>
    <definedName name="TRNR_48e0bb1b4c9f4484bf1ac4e52d5ab58c_98_0" hidden="1">#REF!</definedName>
    <definedName name="TRNR_498c476858a0491886616d4a24ff444d_310_7" hidden="1" xml:space="preserve">                                                                                                        '[18]Manuf delivery times'!$Y$4</definedName>
    <definedName name="TRNR_49d32ab095a1485fbdfdc19091f083ca_155_11" hidden="1">#REF!</definedName>
    <definedName name="TRNR_4a7b675b7c514ab68cb6ecada4c929c3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4b1f55213cd04778943ad890490e6f3c_315_10" hidden="1" xml:space="preserve">                                                                                                        '[18]Composite PMIs'!$B$2</definedName>
    <definedName name="TRNR_4be0df85f5e24a92b42ece544f917348_707_2" hidden="1">#REF!</definedName>
    <definedName name="TRNR_4c0402295499435289bc3839d65cd2cc_97_0" hidden="1">#REF!</definedName>
    <definedName name="TRNR_4c3b3a5537294a99aaf5386378113afe_47_2" hidden="1">#REF!</definedName>
    <definedName name="TRNR_4cfbffd509be4bdfb7a7bf41cb337077_279_6" hidden="1" xml:space="preserve">                            '[18]Manuf export PMIs'!$B$2</definedName>
    <definedName name="TRNR_4d156476711d4198a1aa4cedc4d7c2de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4d50b9e1bcf3489fa25cf6d8032a252a_306_7" hidden="1" xml:space="preserve">                                                                        '[18]Composite output prices'!$B$2</definedName>
    <definedName name="TRNR_4d886a59d20f4786bb23bbab0792d8f9_283_7" hidden="1" xml:space="preserve">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4e43979341694c739d8161fd1d0ee338_284_7" hidden="1" xml:space="preserve">                                                                                                                    '[18]Manuf output'!$B$2</definedName>
    <definedName name="TRNR_4edf133c00d044b58804bbb0b26bc04e_98_0" hidden="1">#REF!</definedName>
    <definedName name="TRNR_4ef50f5713f0403bac46470070bf537e_202_8" hidden="1">#REF!</definedName>
    <definedName name="TRNR_4efc07f281844fd184f2cd71c8a95c1c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4f136458ba51493f98cace81d7083b43_98_0" hidden="1">#REF!</definedName>
    <definedName name="TRNR_4f22633b4ba44be3aa1b3d55aeaf6418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4f37d90c142347269e2d4f2d3f317372_306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4fbc285ab3504259862d01c2c9105992_315_9" hidden="1" xml:space="preserve">                                                                                                        '[18]Manuf PMIs'!$B$2</definedName>
    <definedName name="TRNR_501d2b38390f4b3b8610a5e889a99e86_98_0" hidden="1">#REF!</definedName>
    <definedName name="TRNR_5071a39a5a35436591ff362e60146b73_98_0" hidden="1">#REF!</definedName>
    <definedName name="TRNR_50bfa0e43b6543329c72f619f4e53ad1_99_1" hidden="1">#REF!</definedName>
    <definedName name="TRNR_50cb516a77c4455ebb6908c2a65db952_569_1" hidden="1">#REF!</definedName>
    <definedName name="TRNR_50cf63ffdb234adaa98cef25f860b2a4_281_7" hidden="1" xml:space="preserve">                                                                                                                    '[18]Manuf output'!$B$2</definedName>
    <definedName name="TRNR_50e3097de13e4d38baf4a0eb1f7b06d2_713_2" hidden="1">#REF!</definedName>
    <definedName name="TRNR_5195a2b9e9ff48ef9b168a3b1cb8648b_447_1" hidden="1">#REF!</definedName>
    <definedName name="TRNR_51b4d383dd1d481fbde86275edab3234_97_1" hidden="1">#REF!</definedName>
    <definedName name="TRNR_51eb20c32d194120a0a2c8054688a979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51ef163e40c84ccba2404333fb1c13df_98_0" hidden="1">#REF!</definedName>
    <definedName name="TRNR_526c6638a314405894f291905437a5d1_99_0" hidden="1">#REF!</definedName>
    <definedName name="TRNR_52b4a9e6ecd24b19a9a8d4c7c3c6a646_112_116" hidden="1">#REF!</definedName>
    <definedName name="TRNR_52c5c9faab6240a99379b01181a5e40d_97_0" hidden="1">#REF!</definedName>
    <definedName name="TRNR_52e75611969e43db8dd4de3b82232854_307_7" hidden="1" xml:space="preserve">                                                                                                        '[18]Manuf delivery times'!$M$4</definedName>
    <definedName name="TRNR_52f821e2901c4e00860258c8f1fd7c49_99_1" hidden="1">#REF!</definedName>
    <definedName name="TRNR_5363153b6d8d4ec78d278f405ef30fa7_259_14" hidden="1">#REF!</definedName>
    <definedName name="TRNR_536b827c28874e5188de57074c5d737c_98_0" hidden="1">#REF!</definedName>
    <definedName name="TRNR_5391e7dd39b345e8874f824dfd83b7fc_99_0" hidden="1">#REF!</definedName>
    <definedName name="TRNR_541da4bbf31b4f1f88719eb34b1cc2f2_283_9" hidden="1" xml:space="preserve">                                                                                                                    '[18]Composite PMIs'!$B$2</definedName>
    <definedName name="TRNR_5441e8dffcb74079b6c73a23e91d7b35_156_11" hidden="1">#REF!</definedName>
    <definedName name="TRNR_54df269e11f54b71aef067fe71817653_704_2" hidden="1">#REF!</definedName>
    <definedName name="TRNR_54e06503c8e54762bbd5fa45a37b11da_315_10" hidden="1" xml:space="preserve">                                                                                                                                                '[18]Future PMIs'!$B$2</definedName>
    <definedName name="TRNR_54fd4dd03da1462b8e521cd0d8006809_653_1" hidden="1">#REF!</definedName>
    <definedName name="TRNR_55229ce4c97f4364ba49c92c83d5c6a7_286_9" hidden="1" xml:space="preserve">                                                                                                                                                                '[18]Manuf export PMIs'!$B$2</definedName>
    <definedName name="TRNR_55545c09b8ce4ec39dcab3da27c5dbf8_286_9" hidden="1" xml:space="preserve">                                                                                                                                                                '[18]Manuf PMIs'!$B$2</definedName>
    <definedName name="TRNR_55545da0a92644eb8c37c5b42cd11cc0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PMIs'!$B$2</definedName>
    <definedName name="TRNR_55dcc582237741d1af5af98c65eecfd4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562e5133316b40228b0283515bf5c1ec_310_7" hidden="1" xml:space="preserve">                                                                                                        '[18]Composite input prices'!$B$2</definedName>
    <definedName name="TRNR_56a499d6abc942b4ae6d57e5223453eb_157_11" hidden="1">#REF!</definedName>
    <definedName name="TRNR_56d6afec88a244c684c6b3c777b639b7_97_0" hidden="1">#REF!</definedName>
    <definedName name="TRNR_57056536ca2c4b848526967645728338_309_7" hidden="1" xml:space="preserve">                                                                                                                                                                                                                '[18]Composite input prices'!$B$2</definedName>
    <definedName name="TRNR_571120b4aca9497dae10ff9ad6072d73_294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5733d1fbb01b4746812b048570a8b77a_97_0" hidden="1">#REF!</definedName>
    <definedName name="TRNR_57351a39f95243349b912827d6031fd6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5740a8a980894cdfaee534352acd1fac_183_8" hidden="1">#REF!</definedName>
    <definedName name="TRNR_57669617256841e79b0cc43311025525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5772289de2484f5a9d665032d423e87e_100_0" hidden="1">#REF!</definedName>
    <definedName name="TRNR_579875e00d5b4613bd4f73b0218536e3_281_7" hidden="1" xml:space="preserve">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57e971dfb2a84c68a5ec355f5e9b3acc_98_0" hidden="1">#REF!</definedName>
    <definedName name="TRNR_58ba6a5c98ef4ad1914b190731ec1440_98_0" hidden="1">#REF!</definedName>
    <definedName name="TRNR_58f0add449f54ab9ae67705414cb6043_306_7" hidden="1" xml:space="preserve">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58fadf4842ec499b83e9afbf3e082258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590767d0622a4cc2bdd040d648224730_97_0" hidden="1">#REF!</definedName>
    <definedName name="TRNR_59445df5cd9e431b9953cf892bb8d33f_281_7" hidden="1" xml:space="preserve">                                                                                                                    '[18]Manuf output'!$B$2</definedName>
    <definedName name="TRNR_5953e668d9684415a790c7655944470c_112_127" hidden="1">#REF!</definedName>
    <definedName name="TRNR_598a957fab1847a2b4ec1acff33897a2_316_7" hidden="1" xml:space="preserve">                                                                                [21]Reuters!$B$2</definedName>
    <definedName name="TRNR_599c7f799c66426698f32afb66367fa4_709_2" hidden="1">#REF!</definedName>
    <definedName name="TRNR_59b3d9c7d7a24081b99918c48305e3d3_97_1" hidden="1">#REF!</definedName>
    <definedName name="TRNR_5a021ce6c2bd42d2a3e45365553afe32_310_9" hidden="1" xml:space="preserve">                                                                                                        '[18]Services PMIs'!$B$2</definedName>
    <definedName name="TRNR_5a072383c8b74ef3a3ed93719682c167_97_0" hidden="1">#REF!</definedName>
    <definedName name="TRNR_5ac8be497c4645bfb47b0421a75c7a3b_290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5be0e0fdcc1847fd9b2a00e30286cece_98_0" hidden="1">#REF!</definedName>
    <definedName name="TRNR_5c25558eb19142c092ab724ab8909976_290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5c83308e42fe441bb628c6d6ed19f693_96_9" hidden="1">#REF!</definedName>
    <definedName name="TRNR_5c9023ec161d4a96935568bb49ea755e_98_0" hidden="1">#REF!</definedName>
    <definedName name="TRNR_5cfd1b00882145bca272c525039f99f6_310_7" hidden="1" xml:space="preserve">                                                                                                        '[18]Manuf delivery times'!$Y$4</definedName>
    <definedName name="TRNR_5d4e431e79c74821876762a11491a144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5d59acd1609d4d44bc1aa20fb653fce9_100_0" hidden="1">#REF!</definedName>
    <definedName name="TRNR_5d94f54bd78a4da68f556474442fb39b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5dccfa00e9f848fd9e9a996da639f06c_286_9" hidden="1" xml:space="preserve">                                                                                                                                                                '[18]Manuf PMIs'!$B$2</definedName>
    <definedName name="TRNR_5e0c063c176747f7b7f6bfa0ce55691b_306_7" hidden="1" xml:space="preserve">                                '[18]Composite input prices'!$B$2</definedName>
    <definedName name="TRNR_5e40ff51b67c49f6bbbe952a8d085f9d_285_7" hidden="1" xml:space="preserve">                                                                                                                        '[18]Manuf PMIs'!$B$2</definedName>
    <definedName name="TRNR_5e5420b484924b24a197b9e00a454363_704_2" hidden="1">#REF!</definedName>
    <definedName name="TRNR_5fa96268210e4375822ae6a2b9c038ff_700_1" hidden="1">#REF!</definedName>
    <definedName name="TRNR_5fcd21bc0c7f46c685a1ef2914f80fad_99_0" hidden="1">#REF!</definedName>
    <definedName name="TRNR_603c40efdef04adeb8dd66897a1a23b7_283_6" hidden="1" xml:space="preserve">                                                                                                                    '[18]Manuf export PMIs'!$B$2</definedName>
    <definedName name="TRNR_6073805a27e04524b69b79c11d500780_100_0" hidden="1">#REF!</definedName>
    <definedName name="TRNR_60a66ba42d454eb8a7174d78b543e85f_98_0" hidden="1">#REF!</definedName>
    <definedName name="TRNR_60c469fd77e849368a53b3ed7a6ee627_98_0" hidden="1">#REF!</definedName>
    <definedName name="TRNR_60e668a8cc454362bdbf8983704f994d_98_0" hidden="1">#REF!</definedName>
    <definedName name="TRNR_60f90830f9654e7883552f545cad1b44_112_123" hidden="1">#REF!</definedName>
    <definedName name="TRNR_611472cb10474a73a40d71fc15fcfb1e_283_6" hidden="1" xml:space="preserve">                                                                                                                    '[18]Manuf export PMIs'!$B$2</definedName>
    <definedName name="TRNR_61380d45f06d4fbcaebe0fd74765419d_98_0" hidden="1">#REF!</definedName>
    <definedName name="TRNR_62099eea001e4f10ae5daa2d70e4d11a_112_124" hidden="1">#REF!</definedName>
    <definedName name="TRNR_6240a5cf637c46b5a8307d630d946348_10_13" hidden="1">#REF!</definedName>
    <definedName name="TRNR_627c57c1d889401c8de7099472c21275_280_7" hidden="1" xml:space="preserve">                                                                                                                                                '[18]Manuf PMIs'!$B$2</definedName>
    <definedName name="TRNR_62aea05a0f1946c081e649cb691900c7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62c051b33bba49cc81e917b72fb938e0_290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63de082a102c426fa020f5de3cc31ca5_98_0" hidden="1">#REF!</definedName>
    <definedName name="TRNR_641ef2122d984a399384b374414369a5_99_0" hidden="1">#REF!</definedName>
    <definedName name="TRNR_6440b1e2e74241358b242b7ff334adbe_181_8" hidden="1">#REF!</definedName>
    <definedName name="TRNR_65170fc970bc41e4a45abfd74a758dd2_280_7" hidden="1" xml:space="preserve">                                                                                                                                        '[18]Manuf output'!$B$2</definedName>
    <definedName name="TRNR_65468318650048ad8301b906ba7d606e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65bfcc7c66664ef6b85fa7d2c7116df5_288_9" hidden="1" xml:space="preserve">                                                                                                                                                                                                            '[18]Manuf export PMIs'!$B$2</definedName>
    <definedName name="TRNR_65c3885f861d457c8c9b2e73cf2f436e_99_0" hidden="1">#REF!</definedName>
    <definedName name="TRNR_65e52080d0594fd496ad0b4bad424339_279_7" hidden="1" xml:space="preserve">                                                '[18]Manuf PMIs'!$B$2</definedName>
    <definedName name="TRNR_6653fffe1e274787bf4172293afb4a9e_98_0" hidden="1">#REF!</definedName>
    <definedName name="TRNR_6696cdce334f45a3ab80ccf96cba5bab_97_1" hidden="1">#REF!</definedName>
    <definedName name="TRNR_669e5313d3d541d1b783f1ce030a0b4f_318_7" hidden="1" xml:space="preserve">                                                                                [21]Reuters!$B$2</definedName>
    <definedName name="TRNR_66f493e79c7b486db31bcfea2e5d3bae_1080_3" hidden="1">#REF!</definedName>
    <definedName name="TRNR_66fc55f523f14b77aa6a3bd79dc4b571_288_9" hidden="1" xml:space="preserve">                                                                                                                                                                                                            '[18]Services PMIs'!$B$2</definedName>
    <definedName name="TRNR_66ff7493938d4066a42fe6d24e1cf83b_112_131" hidden="1">#REF!</definedName>
    <definedName name="TRNR_6779789569cf49bc93359a6a307378e6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67aa71d9c648469ab4204ee54b98cbed_97_0" hidden="1">#REF!</definedName>
    <definedName name="TRNR_67bcfc69906b417898c526159e7fe7dc_171_6" hidden="1">#REF!</definedName>
    <definedName name="TRNR_67eb88a07173414a8ffcc2d28aa8c4d2_306_9" hidden="1" xml:space="preserve">                                                                                                        '[18]Manuf PMIs'!$B$2</definedName>
    <definedName name="TRNR_67f221b191cd44aeab109bac23e95b46_315_9" hidden="1" xml:space="preserve">                                                                                                        '[18]Manuf PMIs'!$B$2</definedName>
    <definedName name="TRNR_68647ef34e3a47b8870401c03573cdcc_281_7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68861c636c444fda845a5c6a7d6b1068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692fca88c0614913af791bf1d5ae5f6f_97_0" hidden="1">#REF!</definedName>
    <definedName name="TRNR_6963b818e6e24d4abf842e139c4be345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699f2f4ee94443ccab9cb3774bd8b3cf_100_0" hidden="1">#REF!</definedName>
    <definedName name="TRNR_69c2be9d0ad944888d5fbfc878cc7826_188_8" hidden="1">#REF!</definedName>
    <definedName name="TRNR_6a34239821684ee7a55446e656f8f388_288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6a601a20c91a4b0f8e17a5c5d5560d6a_701_1" hidden="1">#REF!</definedName>
    <definedName name="TRNR_6b6b16c180a14330a360768b2ccafbb0_282_9" hidden="1" xml:space="preserve">                                                                                                                    '[18]Composite PMIs'!$B$2</definedName>
    <definedName name="TRNR_6ba191fa25f54f74824d55a69cf7b0a4_671_1" hidden="1">#REF!</definedName>
    <definedName name="TRNR_6c23a638b74645c3ac55dbbc6c0f9e90_97_0" hidden="1">#REF!</definedName>
    <definedName name="TRNR_6d20c39b831c4fcba05293ed8bf7318f_290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6da400fee26449b7834a15573e4f3fb9_281_2" hidden="1">#REF!</definedName>
    <definedName name="TRNR_6e049d66ec26490b9e10ac9396a55d82_286_8" hidden="1" xml:space="preserve">                                                                                                                                                                '[18]Manuf PMIs'!$B$2</definedName>
    <definedName name="TRNR_6e707e3ccbd545d0bbce4db4d56ae265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6e7349c153374e82b1f99e03320408dc_698_1" hidden="1">#REF!</definedName>
    <definedName name="TRNR_6eaaa571346848ae9b6496a79e41a711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6ecade6a199a475797466980359cbf95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6ed154f88aca4f75b1fc72284bc34375_98_0" hidden="1">#REF!</definedName>
    <definedName name="TRNR_6ed3ef1c46df4715956ff01aaee1944a_106_1" hidden="1">#REF!</definedName>
    <definedName name="TRNR_6f01a7e798cb4ad38d4801a1f5c8bab9_97_0" hidden="1">#REF!</definedName>
    <definedName name="TRNR_6f4ebf63b9744cdd98f312f8845c2ac7_382_1" hidden="1">#REF!</definedName>
    <definedName name="TRNR_6fba2992c14947f180ddb34a994826b9_98_0" hidden="1">#REF!</definedName>
    <definedName name="TRNR_6fe4b3151c014406a4f21cf919cf370c_700_1" hidden="1">#REF!</definedName>
    <definedName name="TRNR_6fe7dcc0d78548cdaff5c67b8fe9d32d_286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703554c85802411a9c89e08427322fd1_449_1" hidden="1">#REF!</definedName>
    <definedName name="TRNR_707ee32c9019465c9744511927faa873_278_6" hidden="1" xml:space="preserve">                        '[18]Manuf export PMIs'!$B$2</definedName>
    <definedName name="TRNR_70a143575fbe4f55aed3ca3890e779d5_99_0" hidden="1">#REF!</definedName>
    <definedName name="TRNR_70a4051452944240b6cd48e8bbdb25da_289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70fd1542ae0d4ff38395449291d63ca8_310_7" hidden="1" xml:space="preserve">                                                                                                        '[18]Manuf output'!$B$2</definedName>
    <definedName name="TRNR_71c3bc57fcda41c0a080afa972057d7c_286_8" hidden="1" xml:space="preserve">                                                                                                                                                                '[18]Manuf PMIs'!$B$2</definedName>
    <definedName name="TRNR_72829a14872c4d5b883d5a2444aef57c_97_0" hidden="1">#REF!</definedName>
    <definedName name="TRNR_72c371f334e546d7b1c464d301e31a88_310_8" hidden="1" xml:space="preserve">                                                                                                        '[18]Manuf output PMIs'!$B$2</definedName>
    <definedName name="TRNR_734401364ef0400b9b66d73cbec4b06c_299_2" hidden="1">#REF!</definedName>
    <definedName name="TRNR_74075b3009e34169bb4103afc3da651a_99_0" hidden="1">#REF!</definedName>
    <definedName name="TRNR_74341e6822d84dd48fd94c0cfbf6b118_302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7482c4254c6c4c6c909790eb92e1d576_184_8" hidden="1">#REF!</definedName>
    <definedName name="TRNR_7573544af4e645c48b6fd91089902179_9_1" hidden="1">'[19]Regional data'!#REF!</definedName>
    <definedName name="TRNR_75baabd9b69747daa1912375aa32d91a_716_2" hidden="1">#REF!</definedName>
    <definedName name="TRNR_75cdae5814454297a5cdfdaa4a3defd3_98_0" hidden="1">#REF!</definedName>
    <definedName name="TRNR_75f7e4ace5064a8ab4b85e0b677140d6_385_1" hidden="1">#REF!</definedName>
    <definedName name="TRNR_766fcfeebb1f42cc8a583f6e010d0cbb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76904e7ef166485fa5fc9dc15d1befca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76f05a82b7364c55992d50493880db49_98_1" hidden="1">#REF!</definedName>
    <definedName name="TRNR_77123872ec9f44f1ae91cde308a9ecb3_279_7" hidden="1" xml:space="preserve">                                                                                                                                '[18]Manuf output'!$B$2</definedName>
    <definedName name="TRNR_772f48a6a9324023be21c76a6e24b2e3_99_0" hidden="1">#REF!</definedName>
    <definedName name="TRNR_77df256bca62436e8ae8de65fd5bb61d_97_0" hidden="1">#REF!</definedName>
    <definedName name="TRNR_77fc4495f4ad463c8a56aef3bbd95359_112_151" hidden="1">#REF!</definedName>
    <definedName name="TRNR_786e612bae064d028ee3be9af0830413_98_0" hidden="1">#REF!</definedName>
    <definedName name="TRNR_787cf38ece054332b4d063d8106f0642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78d2b36147334f1ea945aa259d8fd6e1_315_10" hidden="1">#REF!</definedName>
    <definedName name="TRNR_78d93fce0c2b46c7ae4e7e24b0a2d2bc_286_9" hidden="1" xml:space="preserve">                                                                                                                                                                '[18]Manuf PMIs'!$B$2</definedName>
    <definedName name="TRNR_78e2bed6081348bdbb72fc0539d80b0d_99_0" hidden="1">#REF!</definedName>
    <definedName name="TRNR_79345e43bafd441d90bd8b5cb9c318f0_10_5" hidden="1">#REF!</definedName>
    <definedName name="TRNR_793a24404b704713b5431c21da581b8d_703_2" hidden="1">#REF!</definedName>
    <definedName name="TRNR_799a07a6c0a4455da0537fcc234c44fa_415_1" hidden="1">#REF!</definedName>
    <definedName name="TRNR_79b06d6a77f8411b84f028e7ffe12649_315_10" hidden="1">#REF!</definedName>
    <definedName name="TRNR_79b73824ba35462dbe4d1304813f09ad_100_0" hidden="1">#REF!</definedName>
    <definedName name="TRNR_79b7eab912df448d8282e4e39a390149_112_118" hidden="1">#REF!</definedName>
    <definedName name="TRNR_7a5424c48dc3466ba6ef98d23add4972_172_4" hidden="1">#REF!</definedName>
    <definedName name="TRNR_7a5ca36d17ec4ea09ae2fe3d53a0d86c_527_1" hidden="1">[22]Other!#REF!</definedName>
    <definedName name="TRNR_7a672cc4e96b4b4ebdda5817e05c7792_302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7a789ccff9104c0f858305d723e192f8_97_0" hidden="1">#REF!</definedName>
    <definedName name="TRNR_7a922471fd1746be9789b262e3cc490c_310_9" hidden="1" xml:space="preserve">                                                                                                        '[18]Manuf PMIs'!$B$2</definedName>
    <definedName name="TRNR_7af2d4ec593e4601b7b3c482b6f411e9_112_136" hidden="1">#REF!</definedName>
    <definedName name="TRNR_7b18653423e14fb195f0bc21e6b8f5f1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7b29221370a94655939fff95e8399c67_290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7b4f9f28fd4d4d6bae975ad3621b24d9_315_8" hidden="1" xml:space="preserve">                                                                                                        '[18]Manuf output PMIs'!$B$2</definedName>
    <definedName name="TRNR_7b72459449d8454d99ec1d9dc07659ad_97_1" hidden="1">#REF!</definedName>
    <definedName name="TRNR_7bb0265e0a6949c095dc8f8ab329ff02_711_2" hidden="1">#REF!</definedName>
    <definedName name="TRNR_7c7c0e79db884216a0c91eb59d8dad56_112_183" hidden="1">#REF!</definedName>
    <definedName name="TRNR_7ca007883bfc4d89b7fc5c3988969a24_285_7" hidden="1" xml:space="preserve">                                                                                                                                                                '[18]Manuf output'!$B$2</definedName>
    <definedName name="TRNR_7d030e5f07a14cb98343d0465c5117d2_310_7" hidden="1" xml:space="preserve">                                                                                                        '[18]Manuf delivery times'!$M$4</definedName>
    <definedName name="TRNR_7d82786cbff341468014539a844f6882_444_1" hidden="1">#REF!</definedName>
    <definedName name="TRNR_7dcffb23cac14750b94462592fcdbaa4_282_7" hidden="1" xml:space="preserve">                                                                                                                    '[18]Manuf PMIs'!$B$2</definedName>
    <definedName name="TRNR_7e6a960e5ba04fba9afb043631cffc90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7f11bdc15d384a3fb8b5fcff3b942328_200_8" hidden="1">#REF!</definedName>
    <definedName name="TRNR_7fa05f7caa6948a582976963d8e07e1e_284_7" hidden="1" xml:space="preserve">                                                                                                                    '[18]Manuf output'!$B$2</definedName>
    <definedName name="TRNR_7fdf8b83a35e4221953169ec02bc5bb3_99_0" hidden="1">#REF!</definedName>
    <definedName name="TRNR_7fe965c3e72b49019667edfe2a619363_97_0" hidden="1">#REF!</definedName>
    <definedName name="TRNR_7ffa49b5cd0d49418e5a28ad2c28f45e_286_8" hidden="1" xml:space="preserve">                                                                                                                                                                '[18]Manuf PMIs'!$B$2</definedName>
    <definedName name="TRNR_800187d5e3df4809ba905859f9e65b35_315_10" hidden="1" xml:space="preserve">                                                                                                        '[18]Composite PMIs'!$B$2</definedName>
    <definedName name="TRNR_8006c12b68c04e4fae97dd6c1f32448f_307_7" hidden="1" xml:space="preserve">                                                                                                        '[18]Manuf delivery times'!$B$4</definedName>
    <definedName name="TRNR_800dfaeca06941a58fa2b19214e68cfc_288_9" hidden="1" xml:space="preserve">                                                                                                                                                                                                            '[18]Composite PMIs'!$B$2</definedName>
    <definedName name="TRNR_802efca6818744bcad3be70d3449f100_718_2" hidden="1">#REF!</definedName>
    <definedName name="TRNR_8079344611ad4cd7bd0e8594ba403a21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807dbfa75faa44e9ac75c62116d4499a_112_120" hidden="1">#REF!</definedName>
    <definedName name="TRNR_821b5d54081d4de0a50018e8dde20aee_291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82d9f7f67bba4af28dc8ee72b487aac8_98_0" hidden="1">#REF!</definedName>
    <definedName name="TRNR_836e40eed8944a2791c06b60ff03d8a6_99_0" hidden="1">#REF!</definedName>
    <definedName name="TRNR_83b022fd806249b1a04744eec1e102e1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842f1b6b321c4d1c8f6e9601e44280af_185_8" hidden="1">#REF!</definedName>
    <definedName name="TRNR_844518d8164743eaa5b486b4916b825e_277_9" hidden="1" xml:space="preserve">                        '[18]Composite PMIs'!$B$2</definedName>
    <definedName name="TRNR_84dd5aa359384e97bc87bd3f94d7d6bf_286_9" hidden="1" xml:space="preserve">                                                                                                                                                                '[18]Manuf export PMIs'!$B$2</definedName>
    <definedName name="TRNR_856509193a8c4fe69d6cd43caff79f85_284_7" hidden="1" xml:space="preserve">                                                                                                                    '[18]Manuf output'!$B$2</definedName>
    <definedName name="TRNR_859c976c1e7c45c18da142155ddf4f97_710_1" hidden="1">#REF!</definedName>
    <definedName name="TRNR_8645d4ead831420599794418fb96da68_306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869d23d7eb504342b55e7b994bb3d594_315_10" hidden="1">#REF!</definedName>
    <definedName name="TRNR_86c4ea5297ca42d3a1ccb54331480898_280_8" hidden="1">#REF!</definedName>
    <definedName name="TRNR_86e66eeb218d46efa220473d160c5907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873d726f0e0f480fad5b3c10c5e9e7a7_673_1" hidden="1">#REF!</definedName>
    <definedName name="TRNR_8758434eab614caaae77258020f28627_442_1" hidden="1">#REF!</definedName>
    <definedName name="TRNR_87710451908b47ceab46962b6dc6e281_281_6" hidden="1" xml:space="preserve">                                                                                                                    '[18]Manuf export PMIs'!$B$2</definedName>
    <definedName name="TRNR_87e0f68624d94b7a92ed828d9ae65128_283_7" hidden="1" xml:space="preserve">                                                                                                                    '[18]Manuf PMIs'!$B$2</definedName>
    <definedName name="TRNR_87eff291a7ca483ab7c2db911a0295df_97_0" hidden="1">#REF!</definedName>
    <definedName name="TRNR_88785580929340d6b95fe031401eebbb_699_1" hidden="1">#REF!</definedName>
    <definedName name="TRNR_889ee84ac46c40368b6e90329925b658_98_0" hidden="1">#REF!</definedName>
    <definedName name="TRNR_88c45a2bbe6e4f6c96a7850352b68f0a_112_129" hidden="1">#REF!</definedName>
    <definedName name="TRNR_8908a718344f4c61a066b5eef8b3b418_307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89586dfa858b46f58b5d4d7fc7fdf4a5_277_6" hidden="1" xml:space="preserve">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89676ee1566b4381b6a518f27d10e278_310_7" hidden="1" xml:space="preserve">                                                                                                        '[18]Manuf output'!$B$2</definedName>
    <definedName name="TRNR_8980747b8bd14de6b73f5259d460a37a_98_0" hidden="1">#REF!</definedName>
    <definedName name="TRNR_8b04eed165184b92ba4368d028314a53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8ba4e956e1af49e6a1a2a00156a83a95_98_0" hidden="1">#REF!</definedName>
    <definedName name="TRNR_8bc65e14fdc543098e3fcbe42dfc1a2a_97_0" hidden="1">#REF!</definedName>
    <definedName name="TRNR_8c1e2325c1e647aca83301f98ae8c998_100_0" hidden="1">#REF!</definedName>
    <definedName name="TRNR_8c4355a64741450788d772d0395ad4aa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8ca3e2aefe794a65aac1c48ee2f47db2_322_7" hidden="1" xml:space="preserve">                                        [21]Reuters!$B$2</definedName>
    <definedName name="TRNR_8cce189903884c0cb67413724b89553d_99_0" hidden="1">#REF!</definedName>
    <definedName name="TRNR_8d9eb727bdec433da47852007d4e828a_286_8" hidden="1" xml:space="preserve">                                                                                                                                                                '[18]Manuf PMIs'!$B$2</definedName>
    <definedName name="TRNR_8d9ff03875944fe8ac8246a56c90c49b_99_0" hidden="1">#REF!</definedName>
    <definedName name="TRNR_8df98887a23646769a9786605e38714c_112_178" hidden="1">#REF!</definedName>
    <definedName name="TRNR_8e8004903aa04947b13a3426469e1aa7_100_0" hidden="1">#REF!</definedName>
    <definedName name="TRNR_8ebb80fe9e4b4bd99c401fb6685085ed_98_0" hidden="1">#REF!</definedName>
    <definedName name="TRNR_8ebeec02d36e4e77be4b084eef70afb9_284_7" hidden="1" xml:space="preserve">                                                                                                                    '[18]Manuf output'!$B$2</definedName>
    <definedName name="TRNR_8ec40826c7914b08962fb7ad11c2940d_278_7" hidden="1" xml:space="preserve">                        '[18]Manuf output'!$B$2</definedName>
    <definedName name="TRNR_8f3a7637fe204bc78e8342a2001d42a8_288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8f64c0b308c140e78d2bc319e1b2a63b_186_8" hidden="1">#REF!</definedName>
    <definedName name="TRNR_8fb41b9b8f7d4aec9364e9c72426c568_199_8" hidden="1">#REF!</definedName>
    <definedName name="TRNR_8fd443098df74b08a1f1390a75b52fcd_98_0" hidden="1">#REF!</definedName>
    <definedName name="TRNR_8feda689e6214b5583cb6d98c265d1a1_306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906b082cf8114423b582b33f853438a4_566_21" hidden="1">#REF!</definedName>
    <definedName name="TRNR_90ba5793479f4c978ec5b6ba2e9bcd00_99_1" hidden="1">#REF!</definedName>
    <definedName name="TRNR_90c77e8a0e284b1384bc5cb70bd66d46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90cad421b289409f9945e09d242d124e_99_0" hidden="1">#REF!</definedName>
    <definedName name="TRNR_91b10e2b2dc14e129c698c080c55b0c3_315_9" hidden="1" xml:space="preserve">                                                                                                        '[18]Services PMIs'!$B$2</definedName>
    <definedName name="TRNR_9286b4a30457482996e7f6104a34818b_441_1" hidden="1">#REF!</definedName>
    <definedName name="TRNR_930dca76fb744f78b9a61c120cd48f5a_135_8" hidden="1">#REF!</definedName>
    <definedName name="TRNR_93330c8e5b424b8a94e2bf971dec1b01_194_8" hidden="1">#REF!</definedName>
    <definedName name="TRNR_939b2d9458dd410cb1dd8961ecdb280a_662_1" hidden="1">#REF!</definedName>
    <definedName name="TRNR_93b482638cc444cc8eafddf0f477add9_315_10" hidden="1" xml:space="preserve">                                                                                                        '[18]Composite PMIs'!$B$2</definedName>
    <definedName name="TRNR_94233686610247878051ff46473c3c74_155_8" hidden="1">#REF!</definedName>
    <definedName name="TRNR_943fbb0757e74dcea1a52069a9d0d174_664_1" hidden="1">#REF!</definedName>
    <definedName name="TRNR_949a0139c6844a6d9ff3767d3babeecc_291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94ae754d740d4bbc88a2c4287d5f47f4_97_0" hidden="1">#REF!</definedName>
    <definedName name="TRNR_94c2376d888c44c7b300546ac1b3a983_306_7" hidden="1" xml:space="preserve">                                '[18]Composite input prices'!$B$2</definedName>
    <definedName name="TRNR_94d7ca058cd64d2c83734fb10bd9d11e_100_0" hidden="1">#REF!</definedName>
    <definedName name="TRNR_9565f90c916e4f918d7903555fb973a4_259_5" hidden="1">#REF!</definedName>
    <definedName name="TRNR_956f01171cb447908f5a99e3d4153320_41_8" hidden="1">#REF!</definedName>
    <definedName name="TRNR_9574d97f5c8c489eaa5b78f94509e7d0_196_8" hidden="1">#REF!</definedName>
    <definedName name="TRNR_9583ac94f2b4420798b7951d603e5752_183_8" hidden="1">#REF!</definedName>
    <definedName name="TRNR_96388d5a8ace4260b7a87cb842821e6f_112_176" hidden="1">#REF!</definedName>
    <definedName name="TRNR_9648df8f9d9e466c917a52a939b2a133_648_1" hidden="1">#REF!</definedName>
    <definedName name="TRNR_9660dc7b7f554407b5b02bc64fe1558c_180_8" hidden="1">#REF!</definedName>
    <definedName name="TRNR_96fece27d65542d99f67cf424aa5df75_724_2" hidden="1">#REF!</definedName>
    <definedName name="TRNR_970b718934714653afe075722f1b2207_285_7" hidden="1" xml:space="preserve">                                                                                                                                                                '[18]Services PMIs'!$B$2</definedName>
    <definedName name="TRNR_9713ce85c6a8480ca98636ec616c7d36_290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972e9f2989dd4d6eb02578800a9b7ab4_405_1" hidden="1">#REF!</definedName>
    <definedName name="TRNR_9780abec9ca640e1b9a7f0607009b81e_97_0" hidden="1">#REF!</definedName>
    <definedName name="TRNR_97b06d3d586048aeb294efb7c0ea27f6_179_8" hidden="1">#REF!</definedName>
    <definedName name="TRNR_97d88169617347be957aaf9014949391_99_0" hidden="1">#REF!</definedName>
    <definedName name="TRNR_97ddd0a4e2f4410e9c3238fcdf568af8_277_9" hidden="1" xml:space="preserve">                        '[18]Composite PMIs'!$B$2</definedName>
    <definedName name="TRNR_98135532731d4a1a8d8ddf1a00d096a4_98_0" hidden="1">#REF!</definedName>
    <definedName name="TRNR_98f2d47b650b449d9fc6e8685ad0455c_112_178" hidden="1">#REF!</definedName>
    <definedName name="TRNR_98f84ea53b364812bbe92acd628474d5_307_10" hidden="1" xml:space="preserve">                                                                                                        '[18]Manuf export PMIs'!$B$2</definedName>
    <definedName name="TRNR_993bb6f2de8646ec80a07b082f9bf806_150_8" hidden="1">#REF!</definedName>
    <definedName name="TRNR_9a07050b1dc64ba497d833205868a50b_277_10" hidden="1" xml:space="preserve">                        '[18]Composite PMIs'!$B$2</definedName>
    <definedName name="TRNR_9a19bcb5d2894ffca9fdb048187425d4_299_13" hidden="1">#REF!</definedName>
    <definedName name="TRNR_9a237aba316248e3aac4ad69123b75d0_138_8" hidden="1">#REF!</definedName>
    <definedName name="TRNR_9af2d753d28b4061a8513da6da2541f2_289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9af536fe990c475ca127d247d5ab1fff_710_2" hidden="1">#REF!</definedName>
    <definedName name="TRNR_9af86e55e2c646fca0dae478c75267a8_297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9b2b29aee51347ce900e848207da02c1_98_0" hidden="1">#REF!</definedName>
    <definedName name="TRNR_9b391ce8f5634c6f904540a49c252f2f_713_1" hidden="1">#REF!</definedName>
    <definedName name="TRNR_9b4714d6431b49409d8cddbf7d5ec02c_315_9" hidden="1" xml:space="preserve">                                                                                                        '[18]Manuf PMIs'!$B$2</definedName>
    <definedName name="TRNR_9bad214f5f374a3dbc27637f802c08f3_703_2" hidden="1">#REF!</definedName>
    <definedName name="TRNR_9bba9b48fa1844d2b6caa71220b8cbe8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9c813ac25ec94097b1de4274ebf5c447_281_6" hidden="1" xml:space="preserve">                                                                                                                    '[18]Manuf export PMIs'!$B$2</definedName>
    <definedName name="TRNR_9c97a70b97d344d3883efdad503793eb_112_185" hidden="1">#REF!</definedName>
    <definedName name="TRNR_9c9ff6037c1e4f2cb1982048e8534153_302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9cd9e756aca947d1890dc3f6c51b44eb_99_0" hidden="1">#REF!</definedName>
    <definedName name="TRNR_9dad44a7adfa425a9960c440847da055_190_8" hidden="1">#REF!</definedName>
    <definedName name="TRNR_9db1173f20f24526bb0a8047289567da_281_7" hidden="1" xml:space="preserve">                                                                                                                    '[18]Manuf output'!$B$2</definedName>
    <definedName name="TRNR_9e40e591580a402798ea3b437b158105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9e5f9d1912a442afac9c3233046269b6_100_1" hidden="1">#REF!</definedName>
    <definedName name="TRNR_9f00fdbed2634b32b30f9e6cb15a7d9e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9f125976917a4a74a97354575ec038e2_708_2" hidden="1">#REF!</definedName>
    <definedName name="TRNR_9f76416b8d27445a898e074943e425ec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9fa9ebbc4ad84f199757353a1d76c09b_154_11" hidden="1">#REF!</definedName>
    <definedName name="TRNR_a05784b4867641f5a840d37fb13d35f5_288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a0ff40226c8a47c4bfcae1c4a49dc1fd_291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a10e2e6c9c234da18003dbea400f4c73_97_0" hidden="1">#REF!</definedName>
    <definedName name="TRNR_a12d59655c904d029ae9fd823e43e2aa_126_8" hidden="1">#REF!</definedName>
    <definedName name="TRNR_a13d868c895d4603917081d7caa9f613_651_1" hidden="1">#REF!</definedName>
    <definedName name="TRNR_a22b1c16dbcb4786b562121e6c045caa_1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a23c8cbf6ac840328fc36730fa49523b_672_1" hidden="1">#REF!</definedName>
    <definedName name="TRNR_a28e233c35f74bde9f0de0c89a932898_93_8" hidden="1">'[19]Regional data'!#REF!</definedName>
    <definedName name="TRNR_a40fdaab5f7e467ca07960b5ff05ecd4_315_7" hidden="1" xml:space="preserve">                                                                                                                        [21]Reuters!$B$2</definedName>
    <definedName name="TRNR_a44abfa29bfb46e9a03e8ce9917a48b2_650_1" hidden="1">#REF!</definedName>
    <definedName name="TRNR_a44c0c9d0e4c49d99e945936c4156161_284_7" hidden="1" xml:space="preserve">                                                                                                                    '[18]Manuf output'!$B$2</definedName>
    <definedName name="TRNR_a4eee254973c4c2aa1836ec2a8f719e9_703_2" hidden="1">#REF!</definedName>
    <definedName name="TRNR_a5998ca51cd7444c86ec3cde7f938380_112_126" hidden="1">#REF!</definedName>
    <definedName name="TRNR_a5c0431184bb4b67ab9993aa8a6a13c3_665_1" hidden="1">#REF!</definedName>
    <definedName name="TRNR_a6485b9854f74ac090ff268423cea287_281_8" hidden="1">#REF!</definedName>
    <definedName name="TRNR_a65863b1e8354bf0be8efb921afa858f_288_9" hidden="1" xml:space="preserve">                                                                                                                                                                                                            '[18]Manuf output PMIs'!$B$2</definedName>
    <definedName name="TRNR_a6cbcfa6085d45cdbe72a2402106d9ea_282_6" hidden="1" xml:space="preserve">                                                                                                                    '[18]Manuf export PMIs'!$B$2</definedName>
    <definedName name="TRNR_a723b8bf509b4104869b94a56dc326ba_308_9" hidden="1" xml:space="preserve">                                                                                                        '[18]Services PMIs'!$B$2</definedName>
    <definedName name="TRNR_a7dedf9708d5451fa2c452c9941ada14_99_0" hidden="1">#REF!</definedName>
    <definedName name="TRNR_a7e87a7053074cbb8b9678ba95a5c57d_288_9" hidden="1" xml:space="preserve">                                                                                                                                                                                                            '[18]Composite PMIs'!$B$2</definedName>
    <definedName name="TRNR_a81ed87b330046e2ba3be61de024d95e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a953c40aa1c74d738cbd31f300831270_137_8" hidden="1">#REF!</definedName>
    <definedName name="TRNR_a9842f294ea34daba98da365a35c179a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a9be088c282f41ef8cd0f51d65ac4b95_717_2" hidden="1">#REF!</definedName>
    <definedName name="TRNR_a9ec335c30db4b3a9f820220c551a5c9_97_0" hidden="1">#REF!</definedName>
    <definedName name="TRNR_aa211c959bae4d848d636a24ff6f0787_98_0" hidden="1">#REF!</definedName>
    <definedName name="TRNR_ab7957ba02084b29a5025226588defd2_279_6" hidden="1" xml:space="preserve">                                                                    '[18]Manuf export PMIs'!$B$2</definedName>
    <definedName name="TRNR_aba39d8439e24644b1be8208d24c2f48_281_7" hidden="1" xml:space="preserve">                                                                                                                    '[18]Manuf output'!$B$2</definedName>
    <definedName name="TRNR_ac6b41957d2c4e089efcc4965cb4fe81_98_0" hidden="1">#REF!</definedName>
    <definedName name="TRNR_ad3cfbac61e443c283cc104efa45a3bf_25_1" hidden="1">#REF!</definedName>
    <definedName name="TRNR_ad973f205c914887a3410a8baf7a9daf_101_3" hidden="1">'[19]Regional data'!#REF!</definedName>
    <definedName name="TRNR_adc0f23ac2204b5f849daecfeb2ce49e_99_0" hidden="1">#REF!</definedName>
    <definedName name="TRNR_add6a2c6dbc04defbfeea8f8f02a7ba7_459_1" hidden="1">#REF!</definedName>
    <definedName name="TRNR_ae1ded1753114e5cb009d00ffa0386b2_118_7" hidden="1">#REF!</definedName>
    <definedName name="TRNR_ae22be3169bb47da837ce899c1bf2353_112_182" hidden="1">#REF!</definedName>
    <definedName name="TRNR_ae4028ff160742ce9660b0bad5af1a03_290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ae4b89076339430a92a086c477fb06c9_698_1" hidden="1">#REF!</definedName>
    <definedName name="TRNR_aebfa3f4c82348bc941cd300f45f3d10_314_7" hidden="1" xml:space="preserve">                                                                                                        '[18]Manuf output'!$B$2</definedName>
    <definedName name="TRNR_af05abc4e6294f91b2636cb3183b6b0e_284_6" hidden="1" xml:space="preserve">                                                                                                                    '[18]Manuf export PMIs'!$B$2</definedName>
    <definedName name="TRNR_af09873f219d42179a34b4a25957bbe0_277_9" hidden="1" xml:space="preserve">                        '[18]Composite PMIs'!$B$2</definedName>
    <definedName name="TRNR_affaf14fd42c468dac7a2a3afdb93d23_315_10" hidden="1" xml:space="preserve">                                                                                                        '[18]Composite PMIs'!$B$2</definedName>
    <definedName name="TRNR_b050c63e1ac24ce084a54e193d34700f_287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b05b96e62aca49ee8fe80d985c569d07_285_7" hidden="1" xml:space="preserve">                                                                                                                                                                '[18]Services PMIs'!$B$2</definedName>
    <definedName name="TRNR_b0a97af200694497a3f7513bb176baae_8_1" hidden="1">'[22]Brent oil futures'!#REF!</definedName>
    <definedName name="TRNR_b0e16859ef5e4fe2ae2d84756cb10856_703_2" hidden="1">#REF!</definedName>
    <definedName name="TRNR_b0e7cac81dca4556b95666ceb1000b9d_703_1" hidden="1">#REF!</definedName>
    <definedName name="TRNR_b273326b883c4a149013eaf92125e87c_311_7" hidden="1" xml:space="preserve">                                                                                                        '[18]Manuf delivery times'!$Y$4</definedName>
    <definedName name="TRNR_b29e04d5b346434db643679e11a38553_307_7" hidden="1" xml:space="preserve">                                                                                                        '[18]Manuf output'!$B$2</definedName>
    <definedName name="TRNR_b2fe6770ac184a078b12494eabee8032_99_0" hidden="1">#REF!</definedName>
    <definedName name="TRNR_b32be7342410400a8fc1401c6f6414fc_306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b3b587a002ef40c4ad315123a6284e29_112_141" hidden="1">#REF!</definedName>
    <definedName name="TRNR_b401c4314c464ceea79403b6597653a8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b40f47897b86449b9b8c0f40bb36047d_99_0" hidden="1">#REF!</definedName>
    <definedName name="TRNR_b416559ccdb04601b610a2c7a415597b_153_8" hidden="1">#REF!</definedName>
    <definedName name="TRNR_b4c66bb5ad6a4d95aaeadfdaeb502132_98_1" hidden="1">#REF!</definedName>
    <definedName name="TRNR_b51ef0ff8434464ca0b108ef8fa29dbe_100_0" hidden="1">#REF!</definedName>
    <definedName name="TRNR_b59b6321bb2d4ceb846b3415bf7f799f_315_8" hidden="1" xml:space="preserve">                                                                                                        '[18]Manuf output PMIs'!$B$2</definedName>
    <definedName name="TRNR_b5cdc3062d4c405ab047f30b1f20ae64_309_9" hidden="1" xml:space="preserve">                                                                                                        '[18]Manuf PMIs'!$B$2</definedName>
    <definedName name="TRNR_b62d56ae6232493386140a331a48439b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b6553f0a14eb48529884103664acb898_283_6" hidden="1" xml:space="preserve">                                                                                                                    '[18]Manuf export PMIs'!$B$2</definedName>
    <definedName name="TRNR_b684f579ea82470281ea8f0eb0bb21c5_98_0" hidden="1">#REF!</definedName>
    <definedName name="TRNR_b6e37a83c86f495bb966cf16444444ad_98_0" hidden="1">#REF!</definedName>
    <definedName name="TRNR_b708a5219e2f407caf0ac48e85423916_440_1" hidden="1">#REF!</definedName>
    <definedName name="TRNR_b71ac3ed96de47cca7b2cd7bb04ded0e_281_7" hidden="1" xml:space="preserve">                                                                                                                    '[18]Manuf PMIs'!$B$2</definedName>
    <definedName name="TRNR_b73ab56719304231b5d2349210fc7af8_140_8" hidden="1">#REF!</definedName>
    <definedName name="TRNR_b792012fa624485e9039685e83c9329b_672_1" hidden="1">#REF!</definedName>
    <definedName name="TRNR_b82d647a00fa47869de730b8e28c3571_310_7" hidden="1" xml:space="preserve">                            '[18]Manuf delivery times'!$B$4</definedName>
    <definedName name="TRNR_b8e11cf35945473282b32660a22cfba1_282_7" hidden="1" xml:space="preserve">                                                                                                                    '[18]Manuf output'!$B$2</definedName>
    <definedName name="TRNR_b92d7d83e25e4b5e956870c37e1af432_285_8" hidden="1" xml:space="preserve">                                                                                                                                                                '[18]Services PMIs'!$B$2</definedName>
    <definedName name="TRNR_b97aae73b9f6458280dd08a45aaf148b_25_0" hidden="1">#REF!</definedName>
    <definedName name="TRNR_b9f4f3f57e1b47b896785fffdc7b4984_706_2" hidden="1">#REF!</definedName>
    <definedName name="TRNR_ba29e1f9d5df4fc2ae475a2d2c684fe6_100_0" hidden="1">#REF!</definedName>
    <definedName name="TRNR_ba537a0d777e42418d3d2456dfefeee4_285_8" hidden="1" xml:space="preserve">                                                                                                                                                                '[18]Services PMIs'!$B$2</definedName>
    <definedName name="TRNR_ba56bf6263e8423e8c7968e5d49cbea1_97_0" hidden="1">#REF!</definedName>
    <definedName name="TRNR_ba59e6bfe1b244e8a7d38bffe41bd821_99_0" hidden="1">#REF!</definedName>
    <definedName name="TRNR_ba6bbb72c3a84fdba811ce47174e4aca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ba9b2806012a4c01b0f569978484eea1_315_7" hidden="1" xml:space="preserve">                                                                                                        '[18]Manuf delivery times'!$B$4</definedName>
    <definedName name="TRNR_baac39cf767d4ecf952f2db825541529_287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bb511f0aa1184c808f0e90c12332041a_285_9" hidden="1" xml:space="preserve">                                                                                                                                                                '[18]Manuf export PMIs'!$B$2</definedName>
    <definedName name="TRNR_bb79a476cc7b450391769e1cab488a73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bbad3bf026e94843a77f54152998e9ae_98_1" hidden="1">#REF!</definedName>
    <definedName name="TRNR_bc1d1e88e59b4b15981d858abca0f86d_310_7" hidden="1" xml:space="preserve">                                                                                                        '[18]Manuf output'!$B$2</definedName>
    <definedName name="TRNR_bc4d9805a8a141a683da896c5e0abe27_98_1" hidden="1">#REF!</definedName>
    <definedName name="TRNR_bc8826efebb04ce7b5899253a7897cc8_315_7" hidden="1" xml:space="preserve">                                                                                                        '[18]Manuf delivery times'!$Y$4</definedName>
    <definedName name="TRNR_bca6a702c4ff4105b0f6d337e88ede0b_315_10" hidden="1" xml:space="preserve">                                                                                                        '[18]Composite PMIs'!$B$2</definedName>
    <definedName name="TRNR_bcd184f4e0374b2780b96dd42be6c09e_325_2" hidden="1">#REF!</definedName>
    <definedName name="TRNR_bd606e18cccf473dab2b248a56c6abfd_1_2" hidden="1">#REF!</definedName>
    <definedName name="TRNR_be0fa6848c7c4da280fab54069760559_306_7" hidden="1" xml:space="preserve">                                                                        '[18]Composite output prices'!$B$2</definedName>
    <definedName name="TRNR_be78a457ca6842d4bd629f3884ad4708_98_0" hidden="1">#REF!</definedName>
    <definedName name="TRNR_becc47eae9e943bab269f89366c867b6_29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becc946b44424a27a13912d4f6716c7f_9_1" hidden="1">[23]Futures!#REF!</definedName>
    <definedName name="TRNR_bf10308949d14ed9ba32e4104a3a0acb_97_0" hidden="1">#REF!</definedName>
    <definedName name="TRNR_bf5a13747a0048949d92bbef60df50d7_1_7" hidden="1" xml:space="preserve">                                                                        '[18]Composite output prices'!$B$2</definedName>
    <definedName name="TRNR_bf7654a83401463ea63302dd8edc2a72_195_8" hidden="1">#REF!</definedName>
    <definedName name="TRNR_bfc850e9d2964f1e9d03cde4c6afce15_98_0" hidden="1">#REF!</definedName>
    <definedName name="TRNR_c026e033725b4c22b64231cac695f8cf_128_8" hidden="1">#REF!</definedName>
    <definedName name="TRNR_c038f2daff804a3887c65d34a2689ecb_154_8" hidden="1">#REF!</definedName>
    <definedName name="TRNR_c04813e44fd9478e88db0dad0edbf364_99_0" hidden="1">#REF!</definedName>
    <definedName name="TRNR_c0d3f1f5895a4b21bc60017e53c2c423_315_7" hidden="1" xml:space="preserve">                                                                                                        '[18]Manuf delivery times'!$M$4</definedName>
    <definedName name="TRNR_c0d68073ba6c4718afd28eca1f19739c_285_9" hidden="1" xml:space="preserve">                                                                                                                                                                '[18]Composite PMIs'!$B$2</definedName>
    <definedName name="TRNR_c0e6d022d2154205ad5913afd6ae9410_98_0" hidden="1">#REF!</definedName>
    <definedName name="TRNR_c0f795789b0e47ae8bbf6ebe7e4acffb_89_14" hidden="1">#REF!</definedName>
    <definedName name="TRNR_c16782b730f44d84a77ebfa2bb3b4326_289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c1b341fc261a4738a0f9f71c2a2bb796_98_0" hidden="1">#REF!</definedName>
    <definedName name="TRNR_c1ff11bbea794a1da9d206b53b760be0_297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c2210d10cf2747d4a868f7ba6ed71be4_283_7" hidden="1" xml:space="preserve">                                                                                                                    '[18]Manuf output'!$B$2</definedName>
    <definedName name="TRNR_c2ccb9b8e41c49568bd06558d40756b0_97_0" hidden="1">#REF!</definedName>
    <definedName name="TRNR_c2d22215423e48cf9aacdd736193fd5a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c38141f1704947949209bb1560b6132d_309_9" hidden="1" xml:space="preserve">                                                                                                        '[18]Manuf output PMIs'!$B$2</definedName>
    <definedName name="TRNR_c383cabc4d3b42b3a0127d090215f3a3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c3ad5c81df2049d294b4da486b093f79_288_9" hidden="1" xml:space="preserve">                                                                                                                                                                                                            '[18]Manuf PMIs'!$B$2</definedName>
    <definedName name="TRNR_c3d353524a5f485e977c0a50c2e8a1a4_291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c3e5a15ca3d7495db1374bff85e24cc2_705_1" hidden="1">#REF!</definedName>
    <definedName name="TRNR_c468eaa206b544199489f5e758559e8c_279_6" hidden="1" xml:space="preserve">                                                        '[18]Manuf export PMIs'!$B$2</definedName>
    <definedName name="TRNR_c4ced292b7994952bcc19c3180ddd67b_98_0" hidden="1">#REF!</definedName>
    <definedName name="TRNR_c4d71313c9d5451b900930aca6fc1074_93_9" hidden="1">'[19]Regional data'!#REF!</definedName>
    <definedName name="TRNR_c555ec499e1b4d05a5b90cb966df51f9_179_8" hidden="1">#REF!</definedName>
    <definedName name="TRNR_c567e98468014a9badc01769edb0bd9d_455_1" hidden="1">#REF!</definedName>
    <definedName name="TRNR_c6378a7601f544498fac2898ffba420e_277_13" hidden="1" xml:space="preserve">                        '[18]Composite PMIs'!$B$2</definedName>
    <definedName name="TRNR_c666beaefbde4f76848484f902e72ed6_98_0" hidden="1">#REF!</definedName>
    <definedName name="TRNR_c6aff14f09e44ac09cc926db9a25d4be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c6c62fd7d56246559edeb6f2b982892d_98_0" hidden="1">#REF!</definedName>
    <definedName name="TRNR_c74feed572be4809aa5a85366fd8a191_156_11" hidden="1">#REF!</definedName>
    <definedName name="TRNR_c7f85c41944c4aafb092dbf672abe2c3_112_182" hidden="1">#REF!</definedName>
    <definedName name="TRNR_c8181e1645fa43ba82c83617e1e3d649_285_7" hidden="1" xml:space="preserve">                                                                                                                                                                '[18]Services PMIs'!$B$2</definedName>
    <definedName name="TRNR_c881600e062b4e1b91b5049a842974d3_283_6" hidden="1" xml:space="preserve">                                                                                                                    '[18]Manuf export PMIs'!$B$2</definedName>
    <definedName name="TRNR_c891e64a28a94c1dab34e13febd677ab_289_9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c8fc7042b3404ed18bef2f7ee90a5521_285_8" hidden="1" xml:space="preserve">                                                                                                                                                                '[18]Manuf export PMIs'!$B$2</definedName>
    <definedName name="TRNR_c9504bd313ae45f097b7896c11348961_97_1" hidden="1">#REF!</definedName>
    <definedName name="TRNR_c9521c97b287495a8578e28eebc351ec_98_0" hidden="1">#REF!</definedName>
    <definedName name="TRNR_c99f38492d93448cbd0489dc183d204d_112_181" hidden="1">#REF!</definedName>
    <definedName name="TRNR_c9bfcaf3f53646f5bc4ebed9d93f085e_389_1" hidden="1">#REF!</definedName>
    <definedName name="TRNR_c9eb7d0e77d24244846bbdbdeb5e0fb9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ca20d47d79364c41bfe25cd1659e22a7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ca9f2ac137254deba162139c6e4dfe76_289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cacec59a01c941978f6dcd40508e89b3_112_144" hidden="1">#REF!</definedName>
    <definedName name="TRNR_cb0961e6b4474d40a529e6f81fde66a6_315_10" hidden="1" xml:space="preserve">                                                                                                        '[18]Composite PMIs'!$B$2</definedName>
    <definedName name="TRNR_cb0fa6aebb4546a3819da6e2939078de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cb5e62ba48f84e0bb257172f207ab879_315_2" hidden="1" xml:space="preserve">                                                                                                                                                '[18]Future PMIs'!$B$2</definedName>
    <definedName name="TRNR_cb622918caee42f6ae3ce556cb6e70db_98_0" hidden="1">#REF!</definedName>
    <definedName name="TRNR_cb7d716561c240b4a8b71f482a2c8a70_307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cbf13a1a56f844e4a843d1d4f229ce0e_99_1" hidden="1">#REF!</definedName>
    <definedName name="TRNR_cc0bdf94361149fab355a7c037d359f5_118_8" hidden="1">#REF!</definedName>
    <definedName name="TRNR_cc2fb2016b5642fdb43f3954fd548eef_315_1" hidden="1" xml:space="preserve">                                                                                                                                                '[18]Future PMIs'!$B$2</definedName>
    <definedName name="TRNR_cc5eb8dbea284527a705ce3b6731cb68_302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cc7a24932dd449cabbbb743c2de3abc3_97_9" hidden="1" xml:space="preserve">        '[19]Regional data'!$A$5</definedName>
    <definedName name="TRNR_cce6468b42c04507aebfe40c33bc4554_99_0" hidden="1">#REF!</definedName>
    <definedName name="TRNR_cd1a4c48d4164b7f9c25c54c46deeab1_97_0" hidden="1">#REF!</definedName>
    <definedName name="TRNR_cd3afada9f13459d9e36fb2caa702b6f_97_0" hidden="1">#REF!</definedName>
    <definedName name="TRNR_cd4238a9364d477589b29a089fbef903_408_1" hidden="1">#REF!</definedName>
    <definedName name="TRNR_cea44949dcff467a9483df07d412512e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cea6c6693aec40679e80a4117abad7a8_98_1" hidden="1">#REF!</definedName>
    <definedName name="TRNR_cfb3137be8784b95a647e3fbedfa602b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cfbc8cd5c388460680114737719b48b5_281_7" hidden="1" xml:space="preserve">                                                                                                                    '[18]Manuf PMIs'!$B$2</definedName>
    <definedName name="TRNR_cff49944570c466698cbb380538f74a1_131_8" hidden="1">#REF!</definedName>
    <definedName name="TRNR_d0a49953ade24884a519e8de753e1517_98_0" hidden="1">#REF!</definedName>
    <definedName name="TRNR_d0b23859ccff4904a66e32eac85a6be7_290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d0c39f962edb4218b91f02c987bac850_98_0" hidden="1">#REF!</definedName>
    <definedName name="TRNR_d0d3407d0681427f8b6f7315ebdb31d3_97_0" hidden="1">#REF!</definedName>
    <definedName name="TRNR_d0ec4fafdc3747319c205ae3d98726e1_283_2" hidden="1">#REF!</definedName>
    <definedName name="TRNR_d1318cfe243542238ff27954b577227e_283_7" hidden="1" xml:space="preserve">                                                                                                                    '[18]Manuf PMIs'!$B$2</definedName>
    <definedName name="TRNR_d19a34a69b494094aaa59ecde11501bb_299_2" hidden="1">#REF!</definedName>
    <definedName name="TRNR_d1a80af695d64308b50eca3fbeb6bf12_722_2" hidden="1">#REF!</definedName>
    <definedName name="TRNR_d1d5c7a39ed04ecd8dd5d0806a63ee46_112_182" hidden="1">#REF!</definedName>
    <definedName name="TRNR_d21142a2eecd4c63a9954b4aca270276_98_0" hidden="1">#REF!</definedName>
    <definedName name="TRNR_d21d3d3120e84ef2acdbac4aa77d73c3_112_176" hidden="1">#REF!</definedName>
    <definedName name="TRNR_d29d44a82c9d423f9e70dd46151cf811_454_1" hidden="1">#REF!</definedName>
    <definedName name="TRNR_d29ee74d526f46c48933229c44f47242_121_8" hidden="1">#REF!</definedName>
    <definedName name="TRNR_d2bed874f5874711a57981a64ee998f4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d311ff1c06e34a498aa64102d04dd6cf_315_10" hidden="1">#REF!</definedName>
    <definedName name="TRNR_d31bdca7f87240749cfef48cb57b1fa3_306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d3331dcd914b43a7b16a3edab005524d_307_9" hidden="1" xml:space="preserve">                                                                                                        '[18]Manuf output PMIs'!$B$2</definedName>
    <definedName name="TRNR_d36490e3625b46c5a5c42f9332878968_97_0" hidden="1">#REF!</definedName>
    <definedName name="TRNR_d37774bdc7324e819ce3041b27e2eb0e_99_0" hidden="1">#REF!</definedName>
    <definedName name="TRNR_d3942e9853034f6ca4d28d33175964f2_99_1" hidden="1">#REF!</definedName>
    <definedName name="TRNR_d3d228b8513d4401b7ec1b86814bd711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d40322496aad4639b01e37dc9ee16d37_290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d4438217755841f78a7af28ee63aa693_25_3" hidden="1">#REF!</definedName>
    <definedName name="TRNR_d4511d1bb29f43c0b4414102a9f62ee0_100_0" hidden="1">#REF!</definedName>
    <definedName name="TRNR_d4eee4ee64174fdba83cf2fde29f566d_100_0" hidden="1">#REF!</definedName>
    <definedName name="TRNR_d4ffb02af7c94746a0293e1b115059ed_288_9" hidden="1" xml:space="preserve">                                                                                                                                                                                                            '[18]Manuf PMIs'!$B$2</definedName>
    <definedName name="TRNR_d51e5b3f873447c8a270feabb316a59a_98_1" hidden="1">#REF!</definedName>
    <definedName name="TRNR_d5d80e1cb0ab4e3f903c30ce366f29f8_448_1" hidden="1">#REF!</definedName>
    <definedName name="TRNR_d60c05ddef694f7497e39f85e459a311_335_13" hidden="1">#REF!</definedName>
    <definedName name="TRNR_d6c43d0c959e49b6900afd89eab534e3_34_5" hidden="1">#REF!</definedName>
    <definedName name="TRNR_d70d8310009949c4b7a8dc65d447fd01_315_9" hidden="1" xml:space="preserve">                                                                                                        '[18]Services PMIs'!$B$2</definedName>
    <definedName name="TRNR_d722cb1ee590432daab3a3f28eca462c_440_1" hidden="1">#REF!</definedName>
    <definedName name="TRNR_d7282baf18934f88988b9d45e7d16094_141_8" hidden="1">#REF!</definedName>
    <definedName name="TRNR_d7ba4fcff0eb475baa6125eda3aa7f99_286_9" hidden="1" xml:space="preserve">                                                                                                                                                                '[18]Services PMIs'!$B$2</definedName>
    <definedName name="TRNR_d7c7907abcf14031af422e762f641633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d81c355ade204bc68e01dc8909ad9d52_699_2" hidden="1">#REF!</definedName>
    <definedName name="TRNR_d86c948179654523ab9a0dd62525a26d_288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d8ea48be9a484605af9dc44272aa4a55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d96b16a2245946fdafac029e8a8a0b1d_198_8" hidden="1">#REF!</definedName>
    <definedName name="TRNR_da35348c8a4849b192c4b6a3b73ec353_191_8" hidden="1">#REF!</definedName>
    <definedName name="TRNR_da38853cf32b43e4bbba11b3c9b5ca49_307_7" hidden="1" xml:space="preserve">                                                                                                        '[18]Manuf output'!$B$2</definedName>
    <definedName name="TRNR_da49afb611d44929bfb22e1dbe9884a9_100_0" hidden="1">#REF!</definedName>
    <definedName name="TRNR_da9068957f294234bab0084953878698_310_7" hidden="1" xml:space="preserve">                                                                                                        '[18]Manuf delivery times'!$Y$4</definedName>
    <definedName name="TRNR_da98858b93344f1a853735dbc247dd68_288_9" hidden="1" xml:space="preserve">                                                                                                                                                                                                            '[18]Manuf export PMIs'!$B$2</definedName>
    <definedName name="TRNR_dafd58a173744edab815069c16ecbc59_390_1" hidden="1">#REF!</definedName>
    <definedName name="TRNR_db7ec86611fb45f6ac694c35e17774ea_281_9" hidden="1" xml:space="preserve">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dbb04face6ca41a9b1210efe3d8608eb_97_0" hidden="1">#REF!</definedName>
    <definedName name="TRNR_dc190217676842a0aae0dce1c2031d85_388_1" hidden="1">#REF!</definedName>
    <definedName name="TRNR_dc3124e17fd84240b7ac6377f31d1222_100_0" hidden="1">#REF!</definedName>
    <definedName name="TRNR_dc7d3c48d4244b0e871c073a3e768049_309_10" hidden="1" xml:space="preserve">                                                                                                        '[18]Composite PMIs'!$B$2</definedName>
    <definedName name="TRNR_dca9981ec06c433ea710f6f150cbc4b9_98_0" hidden="1">#REF!</definedName>
    <definedName name="TRNR_dcb3c767593244ddbc80d260503343a1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dcb97c9414074ffc8f0173e033c52b8e_98_0" hidden="1">#REF!</definedName>
    <definedName name="TRNR_dd03783a904c4194b6d9e20ac6831437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ddbdbeb0b48e4faf992796bfc5d0a8d7_130_8" hidden="1">#REF!</definedName>
    <definedName name="TRNR_ddc3c77d8f0242da937c601b56dedb37_186_8" hidden="1">#REF!</definedName>
    <definedName name="TRNR_de0b9b24db054167b6ad73ffec2d09d4_199_8" hidden="1">#REF!</definedName>
    <definedName name="TRNR_de4445355df040efa08a17f4b94ab546_406_1" hidden="1">#REF!</definedName>
    <definedName name="TRNR_dee2a6351bad4c948d16569a9fae8101_288_9" hidden="1" xml:space="preserve">                                                                                                                                                                                                            '[18]Services PMIs'!$B$2</definedName>
    <definedName name="TRNR_deed701d45ca445683efa29ef088d068_100_1" hidden="1">#REF!</definedName>
    <definedName name="TRNR_df73ed4366cd492db3eab55452dc5cf5_145_8" hidden="1">#REF!</definedName>
    <definedName name="TRNR_df7f1c873aaf462687bee2d06fba17f2_112_188" hidden="1">#REF!</definedName>
    <definedName name="TRNR_df88efa3a28c4f678b0e3539c295fbbc_285_6" hidden="1" xml:space="preserve">                                                                                                                                                                '[18]Services PMIs'!$B$2</definedName>
    <definedName name="TRNR_dfdbb6410c964b0c8caa9b507ee50648_725_2" hidden="1">#REF!</definedName>
    <definedName name="TRNR_dfe68b4010794d38969c083753fbbfe8_291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e01c2655ebb24b45a2fcca724bff50e1_148_8" hidden="1">#REF!</definedName>
    <definedName name="TRNR_e0466355a9ad474485016b497df0cb08_285_6" hidden="1" xml:space="preserve">                                                                                                                                                                '[18]Manuf export PMIs'!$B$2</definedName>
    <definedName name="TRNR_e128f8fd4ede458fbaa2757db43db5d0_717_1" hidden="1">#REF!</definedName>
    <definedName name="TRNR_e1ac9ac3280c4f4796b9dbf312accd91_285_7" hidden="1" xml:space="preserve">                                                                                                                                                                '[18]Manuf PMIs'!$B$2</definedName>
    <definedName name="TRNR_e1aead008cce4390a51ff12c0ac1dff1_100_0" hidden="1">#REF!</definedName>
    <definedName name="TRNR_e21786cc6fa04f1da9becc54805e6bd2_98_0" hidden="1">#REF!</definedName>
    <definedName name="TRNR_e2816e6a819d4ceabb78eb83eebcdde3_100_0" hidden="1">#REF!</definedName>
    <definedName name="TRNR_e2b1478666174f47afa50ed4a6c1ba6b_97_0" hidden="1">#REF!</definedName>
    <definedName name="TRNR_e30b5cdc4c7b42d0ba18da23b724bdbe_288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e3795762572949dfb31fe9fc59e2037b_100_0" hidden="1">#REF!</definedName>
    <definedName name="TRNR_e37d947b848c459381a3c5088cdee919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3d070af8ad341ad8c61a277d6d17d7a_97_0" hidden="1">#REF!</definedName>
    <definedName name="TRNR_e3f0883d458549f0a3c75f54e1c75868_285_7" hidden="1" xml:space="preserve">                                                                                                                                                                '[18]Services PMIs'!$B$2</definedName>
    <definedName name="TRNR_e4538e58dbb341deb57f1d338e0c3726_112_190" hidden="1">#REF!</definedName>
    <definedName name="TRNR_e4891adc1a4448eb99ece0cf94cf2644_285_7" hidden="1" xml:space="preserve">                                                                                                                                                                '[18]Manuf PMIs'!$B$2</definedName>
    <definedName name="TRNR_e4d79c395cfc4c118436ef9565abacfe_97_0" hidden="1">#REF!</definedName>
    <definedName name="TRNR_e4e024f22ad247b78d5b15a7090acd10_197_8" hidden="1">#REF!</definedName>
    <definedName name="TRNR_e4f0d0254e054dc9b27e9784a6bd9206_311_7" hidden="1" xml:space="preserve">                                                                                                        '[18]Manuf delivery times'!$AK$4</definedName>
    <definedName name="TRNR_e5937374e72e4b2796612100232ab67a_286_7" hidden="1" xml:space="preserve">                                                                                                                                                                '[18]Manuf output'!$B$2</definedName>
    <definedName name="TRNR_e5b0c1659ed74946ad479892711c0ba0_291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e5c6adc2bb0340f699bd16856de399c0_98_0" hidden="1">#REF!</definedName>
    <definedName name="TRNR_e5da5010394d484c80b36d0f195d6087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e5f7e424be5c4a2eb166f693677d3b5c_446_1" hidden="1">#REF!</definedName>
    <definedName name="TRNR_e623b84850b24c6aa37a3547fa040af9_282_9" hidden="1" xml:space="preserve">                                                                                                                    '[18]Composite PMIs'!$B$2</definedName>
    <definedName name="TRNR_e666509946c74f528157aa470e99691b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7242cc34ea748f09b9f462c06ce9db1_98_0" hidden="1">#REF!</definedName>
    <definedName name="TRNR_e7515cbee2ef4a8a80598d086589be2a_112_183" hidden="1">#REF!</definedName>
    <definedName name="TRNR_e76235956b494e218dfad2012f488224_719_2" hidden="1">#REF!</definedName>
    <definedName name="TRNR_e8056e1bbfd546b09bd350c0205dfec0_721_2" hidden="1">#REF!</definedName>
    <definedName name="TRNR_e84bc457b2394b22a102fb752bbda8e0_99_0" hidden="1">#REF!</definedName>
    <definedName name="TRNR_e8608c67e9184903b8451fff873f38ad_283_7" hidden="1" xml:space="preserve">                                                                                                                                                                                                                                '[18]Manuf PMIs'!$B$2</definedName>
    <definedName name="TRNR_e89ca8aa8141435eb161629544381ec1_278_7" hidden="1" xml:space="preserve">                        '[18]Manuf PMIs'!$B$2</definedName>
    <definedName name="TRNR_e8c7d992aa344994acca814ebf67ad8c_98_0" hidden="1">#REF!</definedName>
    <definedName name="TRNR_e91e2b3fa0ac45a9a805410e76a1de7e_702_1" hidden="1">#REF!</definedName>
    <definedName name="TRNR_e921797bb6c14357ae658eb9d965e3cf_717_2" hidden="1">#REF!</definedName>
    <definedName name="TRNR_e9bbba062d50403981d9069bf7f709bb_307_9" hidden="1" xml:space="preserve">                                                                                                        '[18]Manuf output PMIs'!$B$2</definedName>
    <definedName name="TRNR_e9bd8e3872404f98995e55d107d68063_302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a03ea19c4374cd6bed42a83e6023982_663_1" hidden="1">#REF!</definedName>
    <definedName name="TRNR_ea28e96a31f04a21af8a9e8b2708657f_99_0" hidden="1">#REF!</definedName>
    <definedName name="TRNR_eb098552faef45dab6d77ceeb55e814c_286_7" hidden="1" xml:space="preserve">                                                                                                                                                                '[18]Manuf output'!$B$2</definedName>
    <definedName name="TRNR_eb415100d8e04adc803b4a984eb38ac6_290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b90d7c136f7416fb0c07495b8f92d1d_299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ec5855de2bc8436c94705323e8df1362_171_8" hidden="1">#REF!</definedName>
    <definedName name="TRNR_ed0b570d9baa4815a29f232c2811146c_181_8" hidden="1">#REF!</definedName>
    <definedName name="TRNR_ed0ea9385ba640a5a967ce21e2fd1347_290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ed6ec5fb7f0e485b844d6d84ac3687c5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ed7a3547896b432ea4a448eeb566cdcd_97_0" hidden="1">#REF!</definedName>
    <definedName name="TRNR_ed7b09615f4e41c1af9b96ee257a90de_310_7" hidden="1" xml:space="preserve">                            '[18]Manuf delivery times'!$B$4</definedName>
    <definedName name="TRNR_eda75043308043ac8feb8b29c9b5ee8a_279_9" hidden="1" xml:space="preserve">                                                '[18]Composite PMIs'!$B$2</definedName>
    <definedName name="TRNR_edd75e2f067d4f5cae27d9ba8f184ea4_281_7" hidden="1" xml:space="preserve">                                                                                                                                                        '[18]Manuf PMIs'!$B$2</definedName>
    <definedName name="TRNR_ee72680fcc00486f9aa7993bfdb69a83_112_191" hidden="1">#REF!</definedName>
    <definedName name="TRNR_eea43a61bdf84f0c807d1613d66cb2d4_704_1" hidden="1">#REF!</definedName>
    <definedName name="TRNR_eec461feff7a4d0a9e09a6776797d7ba_98_0" hidden="1">#REF!</definedName>
    <definedName name="TRNR_ef42713f2d3e41c19af69b56bd2b86c6_282_7" hidden="1" xml:space="preserve">                                                                                                                    '[18]Manuf PMIs'!$B$2</definedName>
    <definedName name="TRNR_ef4b1001af884622a0cbee0cb268d3fd_291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f08b6ea18ac44015a06c16a0e8a0ba5d_310_7" hidden="1" xml:space="preserve">                                                                                                                                                                                                                '[18]Composite output prices'!$B$2</definedName>
    <definedName name="TRNR_f0b1b94ef08b4219bb61b17cd6e904d1_288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f0d0e750e34e45e1a61b31601bf0f789_302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f116bb4426c94c7398ad834b84485d9d_149_8" hidden="1">#REF!</definedName>
    <definedName name="TRNR_f1a5019585e949c8ae7cc8840f12c423_444_1" hidden="1">#REF!</definedName>
    <definedName name="TRNR_f224807b876e464d80453e7b715359eb_310_7" hidden="1" xml:space="preserve">                                                                                                        '[18]Manuf delivery times'!$M$4</definedName>
    <definedName name="TRNR_f23ec8e4b3aa410796578d6bdb0bd83a_134_8" hidden="1">#REF!</definedName>
    <definedName name="TRNR_f31fc68b9d504cd6b57ea3e95e94bd35_325_2" hidden="1">#REF!</definedName>
    <definedName name="TRNR_f35d89935b8a4db7a5e8e1feab186bbc_97_0" hidden="1">#REF!</definedName>
    <definedName name="TRNR_f3d67dfdb408469dbc10764324ad326f_112_128" hidden="1">#REF!</definedName>
    <definedName name="TRNR_f3fbc9c0127a4f73a38e54d091c967d2_201_8" hidden="1">#REF!</definedName>
    <definedName name="TRNR_f4052bef0bf64e59baf29ea3635d8133_285_7" hidden="1" xml:space="preserve">                                                                                                                                                                '[18]Services PMIs'!$B$2</definedName>
    <definedName name="TRNR_f45a145abfd249d38bb6be277f3cd5e0_310_7" hidden="1" xml:space="preserve">                                                                                                        '[18]Manuf delivery times'!$AK$4</definedName>
    <definedName name="TRNR_f47f44e0c9514690be6d2d00d368326a_315_8" hidden="1" xml:space="preserve">                                                                                                                        [21]Reuters!$B$2</definedName>
    <definedName name="TRNR_f537c8d3f42d45108ca929b90c316704_97_1" hidden="1">#REF!</definedName>
    <definedName name="TRNR_f58b3fd9f8c64fd3ae13ac8a19b0daaa_97_0" hidden="1">#REF!</definedName>
    <definedName name="TRNR_f5c0cfd13e3e4a36a21dba5995be3e4d_279_7" hidden="1" xml:space="preserve">                                                                    '[18]Manuf PMIs'!$B$2</definedName>
    <definedName name="TRNR_f5c846a404814ef4ada504650c6ea3bf_285_7" hidden="1" xml:space="preserve">                                                                                                                                                                '[18]Manuf export PMIs'!$B$2</definedName>
    <definedName name="TRNR_f5dc711bd11844feb0dbf5f643e89840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f6e29ca6032a44c19f16a17b5b603031_100_1" hidden="1">#REF!</definedName>
    <definedName name="TRNR_f6ef3bec5771465db23691b1696a31a5_99_0" hidden="1">#REF!</definedName>
    <definedName name="TRNR_f80b180a34c94893aff8720c72b7962b_172_6" hidden="1">#REF!</definedName>
    <definedName name="TRNR_f8253d9db38e4217b5a38c9d31553d20_99_0" hidden="1">#REF!</definedName>
    <definedName name="TRNR_f84cfbbfe053471c95fcdff4516b1ea2_285_9" hidden="1" xml:space="preserve">                                                                                                                                                                '[18]Services PMIs'!$B$2</definedName>
    <definedName name="TRNR_f8514fdce17c4600a3d834475667ea8e_98_0" hidden="1">#REF!</definedName>
    <definedName name="TRNR_f8531e962f484ea58d5647b98316e9e1_135_8" hidden="1">#REF!</definedName>
    <definedName name="TRNR_f859688cdfcb4d6fac73e6e43bf94689_129_8" hidden="1">#REF!</definedName>
    <definedName name="TRNR_f863ee52d6c549c9aead3bccb58ac4e6_97_0" hidden="1">#REF!</definedName>
    <definedName name="TRNR_f869a783ce71424b8dfff2171d0ae22c_100_0" hidden="1">#REF!</definedName>
    <definedName name="TRNR_f892cefaab3b4bc1b995305a945cbb32_100_0" hidden="1">#REF!</definedName>
    <definedName name="TRNR_f8edb7825f7547d0a2ac9179d04cda7a_315_10" hidden="1">#REF!</definedName>
    <definedName name="TRNR_f8fe39879ced47c3a5c472600a590536_288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f9d58d55e3cd455ebd5ee454518952a6_302_6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f9e391a3005b426883db105d49431747_41_16" hidden="1">'[24]DS - US (S weight source)'!#REF!</definedName>
    <definedName name="TRNR_f9ebf7143fca4d3d839d7983485850eb_98_0" hidden="1">#REF!</definedName>
    <definedName name="TRNR_fa5941c56d534fa9b9238ca7f406e7f9_310_9" hidden="1" xml:space="preserve">                                                                                                        '[18]Manuf output PMIs'!$B$2</definedName>
    <definedName name="TRNR_faa04832bd24487ba426f1b1769ea6c6_381_1" hidden="1">#REF!</definedName>
    <definedName name="TRNR_faa8d879b7274ea394d3eeb57cfe1b0e_392_1" hidden="1">#REF!</definedName>
    <definedName name="TRNR_fab6dc251994465baa9f3d0ce48968a1_283_7" hidden="1" xml:space="preserve">                                                                                                                    '[18]Manuf output'!$B$2</definedName>
    <definedName name="TRNR_fbad745966c0469aa229f1e80438fde5_280_7" hidden="1">#REF!</definedName>
    <definedName name="TRNR_fbfca71792f94155b6d78e7427713323_89_41" hidden="1">#REF!</definedName>
    <definedName name="TRNR_fc4c095bc7cc4cf390aba26448a90113_97_0" hidden="1">#REF!</definedName>
    <definedName name="TRNR_fc60c10b2ee5491dae183eba96670b53_181_8" hidden="1">#REF!</definedName>
    <definedName name="TRNR_fd5fb0c04cad45dd81c78381208dc79d_698_1" hidden="1">#REF!</definedName>
    <definedName name="TRNR_fd65caac9b614f7facfe9ee766d16283_657_1" hidden="1">#REF!</definedName>
    <definedName name="TRNR_fdc0d8e8ed6f4923b7125cc3bcb4e7c6_156_11" hidden="1">#REF!</definedName>
    <definedName name="TRNR_fde751bd1c894cd286ecbca7217e65eb_391_1" hidden="1">#REF!</definedName>
    <definedName name="TRNR_fdf5b1c2094e430596062172e1654d29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fe112d94a93c41cc94822ea31d97c891_127_8" hidden="1">#REF!</definedName>
    <definedName name="TRNR_fe62ba7c4390471e82e866de424f4c4a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fe8846b0f020452e851778a78f848521_310_7" hidden="1" xml:space="preserve">                                                                                                        '[18]Composite input prices'!$B$2</definedName>
    <definedName name="TRNR_febfa3a17ccb40f189f272c489b66cfb_98_0" hidden="1">#REF!</definedName>
    <definedName name="TRNR_ff65267a183f41a4afa49882419efbfb_290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ff8a662699ac41b28d19531a52365bc3_157_11" hidden="1">#REF!</definedName>
    <definedName name="TRNR_ffc2fc75dfbe46dabdb054faf21089dd_712_1" hidden="1">#REF!</definedName>
    <definedName name="TRNR_fff94229ce9e428e883ae4629c82e66d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wrn.table1." hidden="1">{#N/A,#N/A,FALSE,"CGBR95C"}</definedName>
    <definedName name="wrn.table2." hidden="1">{#N/A,#N/A,FALSE,"CGBR95C"}</definedName>
    <definedName name="wrn.tablea." hidden="1">{#N/A,#N/A,FALSE,"CGBR95C"}</definedName>
    <definedName name="wrn.tableb." hidden="1">{#N/A,#N/A,FALSE,"CGBR95C"}</definedName>
    <definedName name="wrn.tableq." hidden="1">{#N/A,#N/A,FALSE,"CGBR95C"}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G3" i="1"/>
  <c r="G4" i="1"/>
  <c r="C3" i="1"/>
  <c r="C4" i="1"/>
  <c r="B6" i="1" l="1"/>
  <c r="B7" i="1"/>
  <c r="D7" i="1" s="1"/>
  <c r="E7" i="1" s="1"/>
  <c r="B8" i="1"/>
  <c r="B5" i="1"/>
  <c r="E4" i="1"/>
  <c r="E3" i="1"/>
  <c r="K9" i="20"/>
  <c r="H9" i="20"/>
  <c r="H8" i="20"/>
  <c r="H7" i="20"/>
  <c r="H6" i="20"/>
  <c r="K6" i="20" s="1"/>
  <c r="K5" i="20"/>
  <c r="K4" i="20"/>
  <c r="H5" i="20"/>
  <c r="H4" i="20"/>
  <c r="D8" i="1" l="1"/>
  <c r="E8" i="1" s="1"/>
  <c r="E5" i="1"/>
  <c r="D6" i="1"/>
  <c r="E6" i="1" s="1"/>
  <c r="K7" i="20"/>
  <c r="K8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Goodwin</author>
  </authors>
  <commentList>
    <comment ref="B3" authorId="0" shapeId="0" xr:uid="{AAE80253-41AE-44EB-86E5-FE77710E2DC2}">
      <text>
        <r>
          <rPr>
            <b/>
            <sz val="9"/>
            <color indexed="81"/>
            <rFont val="Tahoma"/>
            <family val="2"/>
          </rPr>
          <t>Andrew Goodwin:</t>
        </r>
        <r>
          <rPr>
            <sz val="9"/>
            <color indexed="81"/>
            <rFont val="Tahoma"/>
            <family val="2"/>
          </rPr>
          <t xml:space="preserve">
V:\Teams\Data Team\Collaboration\Macro Team\UKEO\Jul2024\Charts\BoE MAPS survey.xlsx
'BoE balance sheet'</t>
        </r>
      </text>
    </comment>
    <comment ref="B4" authorId="0" shapeId="0" xr:uid="{510DD94E-96A2-4043-9E51-DD1CFBD27382}">
      <text>
        <r>
          <rPr>
            <b/>
            <sz val="9"/>
            <color indexed="81"/>
            <rFont val="Tahoma"/>
            <family val="2"/>
          </rPr>
          <t>Andrew Goodwin:</t>
        </r>
        <r>
          <rPr>
            <sz val="9"/>
            <color indexed="81"/>
            <rFont val="Tahoma"/>
            <family val="2"/>
          </rPr>
          <t xml:space="preserve">
Andrew Goodwin:
V:\Teams\Data Team\Collaboration\Macro Team\UKEO\Jul2024\Charts\BoE MAPS survey.xlsx
'BoE balance sheet'</t>
        </r>
      </text>
    </comment>
  </commentList>
</comments>
</file>

<file path=xl/sharedStrings.xml><?xml version="1.0" encoding="utf-8"?>
<sst xmlns="http://schemas.openxmlformats.org/spreadsheetml/2006/main" count="2344" uniqueCount="175">
  <si>
    <t>Table: Maturity Profile of the stock of gilts held in the APF</t>
  </si>
  <si>
    <t xml:space="preserve">Gilt </t>
  </si>
  <si>
    <t>Maturity Date</t>
  </si>
  <si>
    <t>Total Purchase Nominal (£bn)</t>
  </si>
  <si>
    <t>Total Purchase Proceeds
(£bn)</t>
  </si>
  <si>
    <t>Remaining Stock of APF 
Gilt Holdings (£bn)</t>
  </si>
  <si>
    <t>Current stock of holdings</t>
  </si>
  <si>
    <t>2¾% Treasury Gilt 2024</t>
  </si>
  <si>
    <t>0¼% Treasury Gilt 2025</t>
  </si>
  <si>
    <t>5% Treasury Stock 2025</t>
  </si>
  <si>
    <t>0 ⅝% Treasury Gilt 2025</t>
  </si>
  <si>
    <t>2% Treasury Gilt 2025</t>
  </si>
  <si>
    <t>0 1/8% Treasury Gilt 2026</t>
  </si>
  <si>
    <t>1½% Treasury Gilt 2026</t>
  </si>
  <si>
    <t>0 3/8% Treasury Gilt 2026</t>
  </si>
  <si>
    <t>1¼% Treasury Gilt 2027</t>
  </si>
  <si>
    <t>4¼% Treasury Gilt 2027</t>
  </si>
  <si>
    <t>0 1/8% Treasury Gilt 2028</t>
  </si>
  <si>
    <t>1 5/8% Treasury Gilt 2028</t>
  </si>
  <si>
    <t>6% Treasury Stock 2028</t>
  </si>
  <si>
    <t>0½% Treasury Gilt 2029</t>
  </si>
  <si>
    <t>0 7/8% Treasury Gilt 2029</t>
  </si>
  <si>
    <t>0 3/8% Treasury Gilt 2030</t>
  </si>
  <si>
    <t>4¾% Treasury Gilt 2030</t>
  </si>
  <si>
    <t>0¼% Treasury Gilt 2031</t>
  </si>
  <si>
    <t>4¼% Treasury Stock 2032</t>
  </si>
  <si>
    <t>0 7/8% Green Gilt 2033</t>
  </si>
  <si>
    <t>4½% Treasury Gilt 2034</t>
  </si>
  <si>
    <t>0 5/8% Treasury Gilt 2035</t>
  </si>
  <si>
    <t>4¼% Treasury Stock 2036</t>
  </si>
  <si>
    <t>1¾% Treasury Gilt 2037</t>
  </si>
  <si>
    <t>4¾% Treasury Stock 2038</t>
  </si>
  <si>
    <t>4¼% Treasury Gilt 2039</t>
  </si>
  <si>
    <t>4¼% Treasury Gilt 2040</t>
  </si>
  <si>
    <t>1¼ % Treasury Gilt 2041</t>
  </si>
  <si>
    <t>4½% Treasury Gilt 2042</t>
  </si>
  <si>
    <t>3¼% Treasury Gilt 2044</t>
  </si>
  <si>
    <t>3½% Treasury Gilt 2045</t>
  </si>
  <si>
    <t>0 7/8% Treasury Gilt 2046</t>
  </si>
  <si>
    <t>4¼% Treasury Gilt 2046</t>
  </si>
  <si>
    <t>1½% Treasury Gilt 2047</t>
  </si>
  <si>
    <t>1¾% Treasury Gilt 2049</t>
  </si>
  <si>
    <t>4¼% Treasury Gilt 2049</t>
  </si>
  <si>
    <t>0 5/8% Treasury Gilt 2050</t>
  </si>
  <si>
    <t>1¼% Treasury Gilt 2051</t>
  </si>
  <si>
    <t>3¾% Treasury Gilt 2052</t>
  </si>
  <si>
    <t>1½% Green Gilt 2053</t>
  </si>
  <si>
    <t>1 5/8% Treasury Gilt 2054</t>
  </si>
  <si>
    <t>4¼% Treasury Gilt 2055</t>
  </si>
  <si>
    <t>1¾% Treasury Gilt 2057</t>
  </si>
  <si>
    <t>4% Treasury Gilt 2060</t>
  </si>
  <si>
    <t>0½% Treasury Gilt 2061</t>
  </si>
  <si>
    <t>2½% Treasury Gilt 2065</t>
  </si>
  <si>
    <t>3½% Treasury Gilt 2068</t>
  </si>
  <si>
    <t>1 5/8% Treasury Gilt 2071</t>
  </si>
  <si>
    <t>2024/2025</t>
  </si>
  <si>
    <t>2025/2026</t>
  </si>
  <si>
    <t>2026/2027</t>
  </si>
  <si>
    <t>2027/2028</t>
  </si>
  <si>
    <t>2028/2029</t>
  </si>
  <si>
    <t>2029/2030</t>
  </si>
  <si>
    <t>Gilt Sales</t>
  </si>
  <si>
    <t/>
  </si>
  <si>
    <t>Operation date</t>
  </si>
  <si>
    <t>Settlement date</t>
  </si>
  <si>
    <t>ISIN</t>
  </si>
  <si>
    <t xml:space="preserve">Bond
</t>
  </si>
  <si>
    <t>Total offers received (proceeds £mn)</t>
  </si>
  <si>
    <t>Total allocation (proceeds £mn)</t>
  </si>
  <si>
    <t>Total allocation (nominal £mn)</t>
  </si>
  <si>
    <t>Weighted Average Accepted Yield (%)</t>
  </si>
  <si>
    <t>Weighted Average Accepted Price</t>
  </si>
  <si>
    <t>Highest accepted price</t>
  </si>
  <si>
    <t>Allocated at highest price (%)</t>
  </si>
  <si>
    <t>Lowest accepted price</t>
  </si>
  <si>
    <t xml:space="preserve">Tail
</t>
  </si>
  <si>
    <t>GB00BL68HJ26</t>
  </si>
  <si>
    <t>UKT_0.125_300126</t>
  </si>
  <si>
    <t>GB00BYZW3G56</t>
  </si>
  <si>
    <t>UKT_1.5_220726</t>
  </si>
  <si>
    <t>GB00BNNGP668</t>
  </si>
  <si>
    <t>UKT_0.375_221026</t>
  </si>
  <si>
    <t>GB00BDRHNP05</t>
  </si>
  <si>
    <t>UKT_1.25_220727</t>
  </si>
  <si>
    <t>GB00B16NNR78</t>
  </si>
  <si>
    <t>UKT_4.25_071227</t>
  </si>
  <si>
    <t>GB00BMBL1G81</t>
  </si>
  <si>
    <t>UKT_0.125_310128</t>
  </si>
  <si>
    <t>GB00BFX0ZL78</t>
  </si>
  <si>
    <t>UKT_1.625_221028</t>
  </si>
  <si>
    <t>GB0002404191</t>
  </si>
  <si>
    <t>UKT_6_071228</t>
  </si>
  <si>
    <t>GB00BJMHB534</t>
  </si>
  <si>
    <t>UKT_0.875_221029</t>
  </si>
  <si>
    <t>GB00BL68HH02</t>
  </si>
  <si>
    <t>UKT_0.375_221030</t>
  </si>
  <si>
    <t>GB00B24FF097</t>
  </si>
  <si>
    <t>UKT_4.75_071230</t>
  </si>
  <si>
    <t>GB00BMGR2809</t>
  </si>
  <si>
    <t>UKT_0.25_310731</t>
  </si>
  <si>
    <t>GB0004893086</t>
  </si>
  <si>
    <t>UKT_4.25_070632</t>
  </si>
  <si>
    <t>GB00B52WS153</t>
  </si>
  <si>
    <t>UKT_4.5_070934</t>
  </si>
  <si>
    <t>GB00BMGR2916</t>
  </si>
  <si>
    <t>UKT_0.625_310735</t>
  </si>
  <si>
    <t>GB0032452392</t>
  </si>
  <si>
    <t>UKT_4.25_070336</t>
  </si>
  <si>
    <t>GB00BZB26Y51</t>
  </si>
  <si>
    <t>UKT_1.75_070937</t>
  </si>
  <si>
    <t>GB00B00NY175</t>
  </si>
  <si>
    <t>UKT_4.75_071238</t>
  </si>
  <si>
    <t>GB00BLPK7334</t>
  </si>
  <si>
    <t>UKT_1.125_310139</t>
  </si>
  <si>
    <t>GB00B3KJDS62</t>
  </si>
  <si>
    <t>UKT_4.25_070939</t>
  </si>
  <si>
    <t>GB00B6460505</t>
  </si>
  <si>
    <t>UKT_4.25_071240</t>
  </si>
  <si>
    <t>GB00BJQWYH73</t>
  </si>
  <si>
    <t>UKT_1.25_221041</t>
  </si>
  <si>
    <t>GB00BLPK7227</t>
  </si>
  <si>
    <t>UKT_0.5_310129</t>
  </si>
  <si>
    <t>GB00BM8Z2S21</t>
  </si>
  <si>
    <t>UKT_0.875_310733</t>
  </si>
  <si>
    <t>GB00B1VWPJ53</t>
  </si>
  <si>
    <t>UKT_4.5_071242</t>
  </si>
  <si>
    <t>GB00B84Z9V04</t>
  </si>
  <si>
    <t>UKT_3.25_220144</t>
  </si>
  <si>
    <t>GB00BN65R313</t>
  </si>
  <si>
    <t>UKT_3.5_220145</t>
  </si>
  <si>
    <t>GB00BNNGP775</t>
  </si>
  <si>
    <t>UKT_0.875_310146</t>
  </si>
  <si>
    <t>GB00B128DP45</t>
  </si>
  <si>
    <t>UKT_4.25_071246</t>
  </si>
  <si>
    <t>GB00BDCHBW80</t>
  </si>
  <si>
    <t>UKT_1.5_220747</t>
  </si>
  <si>
    <t>GB00BFWFPP71</t>
  </si>
  <si>
    <t>UKT_1.75_220149</t>
  </si>
  <si>
    <t>GB00B39R3707</t>
  </si>
  <si>
    <t>UKT_4.25_071249</t>
  </si>
  <si>
    <t>GB00BMBL1F74</t>
  </si>
  <si>
    <t>UKT_0.625_221050</t>
  </si>
  <si>
    <t>GB00BLH38158</t>
  </si>
  <si>
    <t>UKT_1.25_310751</t>
  </si>
  <si>
    <t>GB00B6RNH572</t>
  </si>
  <si>
    <t>UKT_3.75_220752</t>
  </si>
  <si>
    <t>GB00BM8Z2V59</t>
  </si>
  <si>
    <t>UKT_1.5_310753</t>
  </si>
  <si>
    <t>GB00BJLR0J16</t>
  </si>
  <si>
    <t>UKT_1.625_221054</t>
  </si>
  <si>
    <t>GB00B06YGN05</t>
  </si>
  <si>
    <t>UKT_4.25_071255</t>
  </si>
  <si>
    <t>GB00BD0XH204</t>
  </si>
  <si>
    <t>UKT_1.75_220757</t>
  </si>
  <si>
    <t>GB00B54QLM75</t>
  </si>
  <si>
    <t>UKT_4_220160</t>
  </si>
  <si>
    <t>GB00BMBL1D50</t>
  </si>
  <si>
    <t>UKT_0.5_221061</t>
  </si>
  <si>
    <t>GB00BYYMZX75</t>
  </si>
  <si>
    <t>UKT_2.5_220765</t>
  </si>
  <si>
    <t>GB00BBJNQY21</t>
  </si>
  <si>
    <t>UKT_3.5_220768</t>
  </si>
  <si>
    <t>GB00BFMCN652</t>
  </si>
  <si>
    <t>UKT_1.625_221071</t>
  </si>
  <si>
    <t>APF run down</t>
  </si>
  <si>
    <t>Redemptions</t>
  </si>
  <si>
    <t>Gilt sales</t>
  </si>
  <si>
    <t>Total run down</t>
  </si>
  <si>
    <t>2022/
2023</t>
  </si>
  <si>
    <t>2023/
2024</t>
  </si>
  <si>
    <t>2024/
2025</t>
  </si>
  <si>
    <t>2025/
2026</t>
  </si>
  <si>
    <t>2026/
2027</t>
  </si>
  <si>
    <t>2027/
2028</t>
  </si>
  <si>
    <t>Gilt sales implied by BoE MaPS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</si>
</sst>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0.0"/>
    <numFmt numFmtId="171" formatCode="\ dd\-mmm\-yyyy"/>
    <numFmt numFmtId="172" formatCode="_(* #,##0.00_);_(* \(#,##0.00\);_(* &quot;-&quot;??_);_(@_)"/>
    <numFmt numFmtId="173" formatCode="[$-10409]0.000"/>
    <numFmt numFmtId="174" formatCode="[$-10409]0.00"/>
    <numFmt numFmtId="175" formatCode="[$-10409]dd/mm/yyyy"/>
    <numFmt numFmtId="176" formatCode="[$-10409]0.0"/>
    <numFmt numFmtId="177" formatCode="[$-10409]0.0;\(0.0\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4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0" fontId="3" fillId="0" borderId="0"/>
    <xf numFmtId="0" fontId="4" fillId="0" borderId="0"/>
    <xf numFmtId="0" fontId="5" fillId="0" borderId="0"/>
    <xf numFmtId="0" fontId="8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5">
    <xf numFmtId="0" fontId="0" fillId="0" borderId="0" xfId="0"/>
    <xf numFmtId="165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2" fillId="0" borderId="0" xfId="0" applyFont="1"/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7" fillId="0" borderId="2" xfId="0" applyFont="1" applyBorder="1" applyAlignment="1">
      <alignment vertical="top"/>
    </xf>
    <xf numFmtId="171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165" fontId="0" fillId="0" borderId="2" xfId="0" applyNumberFormat="1" applyBorder="1"/>
    <xf numFmtId="2" fontId="0" fillId="0" borderId="2" xfId="0" applyNumberFormat="1" applyBorder="1"/>
    <xf numFmtId="0" fontId="0" fillId="0" borderId="2" xfId="0" applyBorder="1" applyAlignment="1">
      <alignment vertical="top"/>
    </xf>
    <xf numFmtId="2" fontId="0" fillId="0" borderId="2" xfId="0" applyNumberFormat="1" applyBorder="1" applyAlignment="1">
      <alignment vertical="top"/>
    </xf>
    <xf numFmtId="0" fontId="0" fillId="0" borderId="0" xfId="0" applyAlignment="1">
      <alignment vertical="top"/>
    </xf>
    <xf numFmtId="171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172" fontId="0" fillId="0" borderId="0" xfId="0" applyNumberFormat="1"/>
    <xf numFmtId="0" fontId="7" fillId="0" borderId="0" xfId="0" applyFont="1"/>
    <xf numFmtId="0" fontId="9" fillId="0" borderId="0" xfId="5" applyFont="1" applyAlignment="1">
      <alignment horizontal="center" vertical="top" wrapText="1" readingOrder="1"/>
    </xf>
    <xf numFmtId="0" fontId="10" fillId="0" borderId="0" xfId="5" applyFont="1" applyAlignment="1">
      <alignment horizontal="center" vertical="top" wrapText="1" readingOrder="1"/>
    </xf>
    <xf numFmtId="173" fontId="10" fillId="0" borderId="0" xfId="5" applyNumberFormat="1" applyFont="1" applyAlignment="1">
      <alignment horizontal="center" vertical="top" wrapText="1" readingOrder="1"/>
    </xf>
    <xf numFmtId="174" fontId="10" fillId="0" borderId="0" xfId="5" applyNumberFormat="1" applyFont="1" applyAlignment="1">
      <alignment horizontal="center" vertical="top" wrapText="1" readingOrder="1"/>
    </xf>
    <xf numFmtId="0" fontId="6" fillId="0" borderId="0" xfId="5" applyFont="1"/>
    <xf numFmtId="175" fontId="11" fillId="0" borderId="0" xfId="5" applyNumberFormat="1" applyFont="1" applyAlignment="1">
      <alignment horizontal="center" vertical="top" wrapText="1" readingOrder="1"/>
    </xf>
    <xf numFmtId="0" fontId="11" fillId="0" borderId="0" xfId="5" applyFont="1" applyAlignment="1">
      <alignment horizontal="center" vertical="top" wrapText="1" readingOrder="1"/>
    </xf>
    <xf numFmtId="176" fontId="11" fillId="0" borderId="0" xfId="5" applyNumberFormat="1" applyFont="1" applyAlignment="1">
      <alignment horizontal="center" vertical="top" wrapText="1" readingOrder="1"/>
    </xf>
    <xf numFmtId="177" fontId="11" fillId="0" borderId="0" xfId="5" applyNumberFormat="1" applyFont="1" applyAlignment="1">
      <alignment horizontal="center" vertical="top" wrapText="1" readingOrder="1"/>
    </xf>
    <xf numFmtId="173" fontId="11" fillId="0" borderId="0" xfId="5" applyNumberFormat="1" applyFont="1" applyAlignment="1">
      <alignment horizontal="center" vertical="top" wrapText="1" readingOrder="1"/>
    </xf>
    <xf numFmtId="174" fontId="11" fillId="0" borderId="0" xfId="5" applyNumberFormat="1" applyFont="1" applyAlignment="1">
      <alignment horizontal="center" vertical="top" wrapText="1" readingOrder="1"/>
    </xf>
    <xf numFmtId="175" fontId="11" fillId="0" borderId="0" xfId="6" applyNumberFormat="1" applyFont="1" applyAlignment="1">
      <alignment horizontal="center" vertical="top" wrapText="1" readingOrder="1"/>
    </xf>
    <xf numFmtId="0" fontId="11" fillId="0" borderId="0" xfId="6" applyFont="1" applyAlignment="1">
      <alignment horizontal="center" vertical="top" wrapText="1" readingOrder="1"/>
    </xf>
    <xf numFmtId="176" fontId="11" fillId="0" borderId="0" xfId="6" applyNumberFormat="1" applyFont="1" applyAlignment="1">
      <alignment horizontal="center" vertical="top" wrapText="1" readingOrder="1"/>
    </xf>
    <xf numFmtId="177" fontId="11" fillId="0" borderId="0" xfId="6" applyNumberFormat="1" applyFont="1" applyAlignment="1">
      <alignment horizontal="center" vertical="top" wrapText="1" readingOrder="1"/>
    </xf>
    <xf numFmtId="173" fontId="11" fillId="0" borderId="0" xfId="6" applyNumberFormat="1" applyFont="1" applyAlignment="1">
      <alignment horizontal="center" vertical="top" wrapText="1" readingOrder="1"/>
    </xf>
    <xf numFmtId="174" fontId="11" fillId="0" borderId="0" xfId="6" applyNumberFormat="1" applyFont="1" applyAlignment="1">
      <alignment horizontal="center" vertical="top" wrapText="1" readingOrder="1"/>
    </xf>
    <xf numFmtId="175" fontId="11" fillId="0" borderId="0" xfId="7" applyNumberFormat="1" applyFont="1" applyAlignment="1">
      <alignment horizontal="center" vertical="top" wrapText="1" readingOrder="1"/>
    </xf>
    <xf numFmtId="0" fontId="11" fillId="0" borderId="0" xfId="7" applyFont="1" applyAlignment="1">
      <alignment horizontal="center" vertical="top" wrapText="1" readingOrder="1"/>
    </xf>
    <xf numFmtId="176" fontId="11" fillId="0" borderId="0" xfId="7" applyNumberFormat="1" applyFont="1" applyAlignment="1">
      <alignment horizontal="center" vertical="top" wrapText="1" readingOrder="1"/>
    </xf>
    <xf numFmtId="177" fontId="11" fillId="0" borderId="0" xfId="7" applyNumberFormat="1" applyFont="1" applyAlignment="1">
      <alignment horizontal="center" vertical="top" wrapText="1" readingOrder="1"/>
    </xf>
    <xf numFmtId="173" fontId="11" fillId="0" borderId="0" xfId="7" applyNumberFormat="1" applyFont="1" applyAlignment="1">
      <alignment horizontal="center" vertical="top" wrapText="1" readingOrder="1"/>
    </xf>
    <xf numFmtId="174" fontId="11" fillId="0" borderId="0" xfId="7" applyNumberFormat="1" applyFont="1" applyAlignment="1">
      <alignment horizontal="center" vertical="top" wrapText="1" readingOrder="1"/>
    </xf>
    <xf numFmtId="175" fontId="11" fillId="0" borderId="0" xfId="8" applyNumberFormat="1" applyFont="1" applyAlignment="1">
      <alignment horizontal="center" vertical="top" wrapText="1" readingOrder="1"/>
    </xf>
    <xf numFmtId="177" fontId="11" fillId="0" borderId="0" xfId="8" applyNumberFormat="1" applyFont="1" applyAlignment="1">
      <alignment horizontal="center" vertical="top" wrapText="1" readingOrder="1"/>
    </xf>
    <xf numFmtId="176" fontId="11" fillId="0" borderId="0" xfId="8" applyNumberFormat="1" applyFont="1" applyAlignment="1">
      <alignment horizontal="center" vertical="top" wrapText="1" readingOrder="1"/>
    </xf>
    <xf numFmtId="173" fontId="11" fillId="0" borderId="0" xfId="8" applyNumberFormat="1" applyFont="1" applyAlignment="1">
      <alignment horizontal="center" vertical="top" wrapText="1" readingOrder="1"/>
    </xf>
    <xf numFmtId="174" fontId="11" fillId="0" borderId="0" xfId="8" applyNumberFormat="1" applyFont="1" applyAlignment="1">
      <alignment horizontal="center" vertical="top" wrapText="1" readingOrder="1"/>
    </xf>
    <xf numFmtId="175" fontId="11" fillId="0" borderId="0" xfId="9" applyNumberFormat="1" applyFont="1" applyAlignment="1">
      <alignment horizontal="center" vertical="top" wrapText="1" readingOrder="1"/>
    </xf>
    <xf numFmtId="0" fontId="11" fillId="0" borderId="0" xfId="9" applyFont="1" applyAlignment="1">
      <alignment horizontal="center" vertical="top" wrapText="1" readingOrder="1"/>
    </xf>
    <xf numFmtId="176" fontId="11" fillId="0" borderId="0" xfId="9" applyNumberFormat="1" applyFont="1" applyAlignment="1">
      <alignment horizontal="center" vertical="top" wrapText="1" readingOrder="1"/>
    </xf>
    <xf numFmtId="177" fontId="11" fillId="0" borderId="0" xfId="9" applyNumberFormat="1" applyFont="1" applyAlignment="1">
      <alignment horizontal="center" vertical="top" wrapText="1" readingOrder="1"/>
    </xf>
    <xf numFmtId="173" fontId="11" fillId="0" borderId="0" xfId="9" applyNumberFormat="1" applyFont="1" applyAlignment="1">
      <alignment horizontal="center" vertical="top" wrapText="1" readingOrder="1"/>
    </xf>
    <xf numFmtId="174" fontId="11" fillId="0" borderId="0" xfId="9" applyNumberFormat="1" applyFont="1" applyAlignment="1">
      <alignment horizontal="center" vertical="top" wrapText="1" readingOrder="1"/>
    </xf>
    <xf numFmtId="175" fontId="11" fillId="0" borderId="0" xfId="10" applyNumberFormat="1" applyFont="1" applyAlignment="1">
      <alignment horizontal="center" vertical="top" wrapText="1" readingOrder="1"/>
    </xf>
    <xf numFmtId="177" fontId="11" fillId="0" borderId="0" xfId="10" applyNumberFormat="1" applyFont="1" applyAlignment="1">
      <alignment horizontal="center" vertical="top" wrapText="1" readingOrder="1"/>
    </xf>
    <xf numFmtId="176" fontId="11" fillId="0" borderId="0" xfId="10" applyNumberFormat="1" applyFont="1" applyAlignment="1">
      <alignment horizontal="center" vertical="top" wrapText="1" readingOrder="1"/>
    </xf>
    <xf numFmtId="173" fontId="11" fillId="0" borderId="0" xfId="10" applyNumberFormat="1" applyFont="1" applyAlignment="1">
      <alignment horizontal="center" vertical="top" wrapText="1" readingOrder="1"/>
    </xf>
    <xf numFmtId="174" fontId="11" fillId="0" borderId="0" xfId="10" applyNumberFormat="1" applyFont="1" applyAlignment="1">
      <alignment horizontal="center" vertical="top" wrapText="1" readingOrder="1"/>
    </xf>
    <xf numFmtId="175" fontId="11" fillId="0" borderId="0" xfId="11" applyNumberFormat="1" applyFont="1" applyAlignment="1">
      <alignment horizontal="center" vertical="top" wrapText="1" readingOrder="1"/>
    </xf>
    <xf numFmtId="177" fontId="11" fillId="0" borderId="0" xfId="11" applyNumberFormat="1" applyFont="1" applyAlignment="1">
      <alignment horizontal="center" vertical="top" wrapText="1" readingOrder="1"/>
    </xf>
    <xf numFmtId="176" fontId="11" fillId="0" borderId="0" xfId="11" applyNumberFormat="1" applyFont="1" applyAlignment="1">
      <alignment horizontal="center" vertical="top" wrapText="1" readingOrder="1"/>
    </xf>
    <xf numFmtId="173" fontId="11" fillId="0" borderId="0" xfId="11" applyNumberFormat="1" applyFont="1" applyAlignment="1">
      <alignment horizontal="center" vertical="top" wrapText="1" readingOrder="1"/>
    </xf>
    <xf numFmtId="174" fontId="11" fillId="0" borderId="0" xfId="11" applyNumberFormat="1" applyFont="1" applyAlignment="1">
      <alignment horizontal="center" vertical="top" wrapText="1" readingOrder="1"/>
    </xf>
    <xf numFmtId="174" fontId="6" fillId="0" borderId="0" xfId="5" applyNumberFormat="1" applyFont="1"/>
    <xf numFmtId="0" fontId="2" fillId="0" borderId="1" xfId="0" applyFont="1" applyBorder="1"/>
  </cellXfs>
  <cellStyles count="12">
    <cellStyle name="Normal" xfId="0" builtinId="0"/>
    <cellStyle name="Normal 2" xfId="4" xr:uid="{D9B3FF26-FD06-4C90-96AA-59956B2BB5B6}"/>
    <cellStyle name="Normal 2 4" xfId="6" xr:uid="{D09B721C-6308-44DE-97AD-2746661E3366}"/>
    <cellStyle name="Normal 25" xfId="7" xr:uid="{DDB6F244-19BC-4F5B-A7E6-FFB3A741D849}"/>
    <cellStyle name="Normal 26" xfId="8" xr:uid="{06C2253C-3EFB-4D1B-AE90-99541FAE3A1D}"/>
    <cellStyle name="Normal 27" xfId="9" xr:uid="{4C7286ED-A9F9-41A0-82EE-B3C0154AFF89}"/>
    <cellStyle name="Normal 28" xfId="10" xr:uid="{884EF3BA-5875-430A-B513-A0B771FB4EC2}"/>
    <cellStyle name="Normal 3" xfId="3" xr:uid="{0118705C-69CC-48D5-AE36-56CF2605F615}"/>
    <cellStyle name="Normal 30" xfId="11" xr:uid="{91C3FFC0-B5E4-4073-939A-E10DBDA028BF}"/>
    <cellStyle name="Normal 4" xfId="5" xr:uid="{5883A11E-0FFD-42DA-8B5B-99256B3F5631}"/>
    <cellStyle name="Normal 4 2 2" xfId="1" xr:uid="{DD98B68A-A53C-4410-8481-3F7EF100D17F}"/>
    <cellStyle name="Normal 5" xfId="2" xr:uid="{76074B6A-6A1A-4755-944D-4ACAAABE69B4}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2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2" Type="http://schemas.openxmlformats.org/officeDocument/2006/relationships/worksheet" Target="worksheets/sheet1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theme" Target="theme/theme1.xml"/><Relationship Id="rId1" Type="http://schemas.openxmlformats.org/officeDocument/2006/relationships/chartsheet" Target="chart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6926407491278243E-2"/>
          <c:y val="0.14714391023940784"/>
          <c:w val="0.92307359250872179"/>
          <c:h val="0.6674525726049148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Redemptions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>
                  <a:lumMod val="100000"/>
                </a:srgbClr>
              </a:solidFill>
              <a:prstDash val="solid"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Data'!$A$3:$A$8</c:f>
              <c:strCache>
                <c:ptCount val="6"/>
                <c:pt idx="0">
                  <c:v>2022/
2023</c:v>
                </c:pt>
                <c:pt idx="1">
                  <c:v>2023/
2024</c:v>
                </c:pt>
                <c:pt idx="2">
                  <c:v>2024/
2025</c:v>
                </c:pt>
                <c:pt idx="3">
                  <c:v>2025/
2026</c:v>
                </c:pt>
                <c:pt idx="4">
                  <c:v>2026/
2027</c:v>
                </c:pt>
                <c:pt idx="5">
                  <c:v>2027/
2028</c:v>
                </c:pt>
              </c:strCache>
            </c:strRef>
          </c:cat>
          <c:val>
            <c:numRef>
              <c:f>'Chart Data'!$B$3:$B$8</c:f>
              <c:numCache>
                <c:formatCode>0.0</c:formatCode>
                <c:ptCount val="6"/>
                <c:pt idx="0">
                  <c:v>37</c:v>
                </c:pt>
                <c:pt idx="1">
                  <c:v>50</c:v>
                </c:pt>
                <c:pt idx="2">
                  <c:v>87.187539232999995</c:v>
                </c:pt>
                <c:pt idx="3">
                  <c:v>49.127840932827311</c:v>
                </c:pt>
                <c:pt idx="4">
                  <c:v>30.505273803655086</c:v>
                </c:pt>
                <c:pt idx="5">
                  <c:v>29.223226360099716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Gilt sales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495057">
                  <a:lumMod val="100000"/>
                </a:srgbClr>
              </a:solidFill>
              <a:prstDash val="solid"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Data'!$A$3:$A$8</c:f>
              <c:strCache>
                <c:ptCount val="6"/>
                <c:pt idx="0">
                  <c:v>2022/
2023</c:v>
                </c:pt>
                <c:pt idx="1">
                  <c:v>2023/
2024</c:v>
                </c:pt>
                <c:pt idx="2">
                  <c:v>2024/
2025</c:v>
                </c:pt>
                <c:pt idx="3">
                  <c:v>2025/
2026</c:v>
                </c:pt>
                <c:pt idx="4">
                  <c:v>2026/
2027</c:v>
                </c:pt>
                <c:pt idx="5">
                  <c:v>2027/
2028</c:v>
                </c:pt>
              </c:strCache>
            </c:strRef>
          </c:cat>
          <c:val>
            <c:numRef>
              <c:f>'Chart Data'!$C$3:$C$8</c:f>
              <c:numCache>
                <c:formatCode>0.0</c:formatCode>
                <c:ptCount val="6"/>
                <c:pt idx="0">
                  <c:v>43</c:v>
                </c:pt>
                <c:pt idx="1">
                  <c:v>50</c:v>
                </c:pt>
                <c:pt idx="2">
                  <c:v>12.812460767000005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Gilt sales implied by BoE MaPS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>
                  <a:lumMod val="100000"/>
                </a:srgbClr>
              </a:solidFill>
              <a:prstDash val="solid"/>
            </a:ln>
          </c:spPr>
          <c:invertIfNegative val="0"/>
          <c:dLbls>
            <c:dLbl>
              <c:idx val="5"/>
              <c:layout>
                <c:manualLayout>
                  <c:x val="6.3276836158191976E-2"/>
                  <c:y val="-6.91489733052288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DF-4CA7-B755-112DA36EC95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solidFill>
                      <a:srgbClr val="495057"/>
                    </a:solidFill>
                    <a:latin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Data'!$A$3:$A$8</c:f>
              <c:strCache>
                <c:ptCount val="6"/>
                <c:pt idx="0">
                  <c:v>2022/
2023</c:v>
                </c:pt>
                <c:pt idx="1">
                  <c:v>2023/
2024</c:v>
                </c:pt>
                <c:pt idx="2">
                  <c:v>2024/
2025</c:v>
                </c:pt>
                <c:pt idx="3">
                  <c:v>2025/
2026</c:v>
                </c:pt>
                <c:pt idx="4">
                  <c:v>2026/
2027</c:v>
                </c:pt>
                <c:pt idx="5">
                  <c:v>2027/
2028</c:v>
                </c:pt>
              </c:strCache>
            </c:strRef>
          </c:cat>
          <c:val>
            <c:numRef>
              <c:f>'Chart Data'!$D$3:$D$8</c:f>
              <c:numCache>
                <c:formatCode>0.0</c:formatCode>
                <c:ptCount val="6"/>
                <c:pt idx="3">
                  <c:v>25.872159067172689</c:v>
                </c:pt>
                <c:pt idx="4">
                  <c:v>19.494726196344914</c:v>
                </c:pt>
                <c:pt idx="5">
                  <c:v>1.7767736399002843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3"/>
          <c:order val="3"/>
          <c:tx>
            <c:strRef>
              <c:f>'Chart Data'!$E$2</c:f>
              <c:strCache>
                <c:ptCount val="1"/>
                <c:pt idx="0">
                  <c:v>Total run down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2"/>
            <c:spPr>
              <a:solidFill>
                <a:sysClr val="window" lastClr="FFFFFF"/>
              </a:solidFill>
              <a:ln w="6350">
                <a:solidFill>
                  <a:srgbClr val="495057">
                    <a:lumMod val="100000"/>
                  </a:srgbClr>
                </a:solidFill>
              </a:ln>
            </c:spPr>
          </c:marker>
          <c:cat>
            <c:strRef>
              <c:f>'Chart Data'!$A$3:$A$8</c:f>
              <c:strCache>
                <c:ptCount val="6"/>
                <c:pt idx="0">
                  <c:v>2022/
2023</c:v>
                </c:pt>
                <c:pt idx="1">
                  <c:v>2023/
2024</c:v>
                </c:pt>
                <c:pt idx="2">
                  <c:v>2024/
2025</c:v>
                </c:pt>
                <c:pt idx="3">
                  <c:v>2025/
2026</c:v>
                </c:pt>
                <c:pt idx="4">
                  <c:v>2026/
2027</c:v>
                </c:pt>
                <c:pt idx="5">
                  <c:v>2027/
2028</c:v>
                </c:pt>
              </c:strCache>
            </c:strRef>
          </c:cat>
          <c:val>
            <c:numRef>
              <c:f>'Chart Data'!$E$3:$E$8</c:f>
              <c:numCache>
                <c:formatCode>0.0</c:formatCode>
                <c:ptCount val="6"/>
                <c:pt idx="0">
                  <c:v>80</c:v>
                </c:pt>
                <c:pt idx="1">
                  <c:v>100</c:v>
                </c:pt>
                <c:pt idx="2">
                  <c:v>100</c:v>
                </c:pt>
                <c:pt idx="3">
                  <c:v>75</c:v>
                </c:pt>
                <c:pt idx="4">
                  <c:v>50</c:v>
                </c:pt>
                <c:pt idx="5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0"/>
        <c:lblAlgn val="ctr"/>
        <c:lblOffset val="100"/>
        <c:noMultiLvlLbl val="0"/>
      </c:catAx>
      <c:valAx>
        <c:axId val="2759360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52063458547793795"/>
          <c:y val="0.10403944359226623"/>
          <c:w val="0.47785890271373782"/>
          <c:h val="0.21446063954525929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31FBE5C-4213-4D12-BEE0-74313D13F304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0D2594-517D-C01B-D213-5DDD53B63FE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A04846B-81B5-22E1-D457-10F3A7BFE343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Asset Purchase Facility - gilt sales and redemptions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C40902D-6C4C-1F05-397A-D670AF6177ED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 calculations using data from Haver Analytics &amp; Bank of England</a:t>
          </a:r>
        </a:p>
      </cdr:txBody>
    </cdr:sp>
  </cdr:relSizeAnchor>
  <cdr:relSizeAnchor xmlns:cdr="http://schemas.openxmlformats.org/drawingml/2006/chartDrawing">
    <cdr:from>
      <cdr:x>0</cdr:x>
      <cdr:y>0.07124</cdr:y>
    </cdr:from>
    <cdr:to>
      <cdr:x>0.12811</cdr:x>
      <cdr:y>0.12219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894688C-7DA2-CAE8-95CA-6AD647E2A5DA}"/>
            </a:ext>
          </a:extLst>
        </cdr:cNvPr>
        <cdr:cNvSpPr txBox="1"/>
      </cdr:nvSpPr>
      <cdr:spPr>
        <a:xfrm xmlns:a="http://schemas.openxmlformats.org/drawingml/2006/main">
          <a:off x="0" y="479425"/>
          <a:ext cx="108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£bn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OMMON\99I2K\Group3\forecast\Pre%20Budget%20Reports\PBR%202006\Summer%20changes\CTPBR06L_orig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PROF99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orecast\hist20\CHSPD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M\Forecast\Bud05\PostBudget05_reconcile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orecast\hist20\HIS19FI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sisdata7\homedirs\Program%20Files\FileNET\IDM\Cache\2003012410152300001\all%20the%20chart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Misc\jrr\From%20CVH\US%20securities%20houses%20CRA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blp\Wintrv\data\G10fsd\Misc\amp\FSR%20december\for%20alex%20bowen%20from%20jun%20fsr%20equity%20implied%20vol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PRD\G10%20Countries\RA's\New%20chart%20pack\Europe%20chartpack\Europe%20BB%20dat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G10%20Countries\RA's\Weekly\LCFI%20weekl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eekly%20dat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G10fsd\G10%20Countries\RA's\Weekly\Japa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backup\backup\JP%20Bond%20data%20(dropped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G10%20Countries\RA's\Weekly\US%20week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kyv\CheckOut\Long-term%20model%202009%7bdb5-doc3966101-ma1-mi14%7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UK99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ECD\10.%20Personal\Nick%20B\Business\Global_PMIs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3%20Q1\CEC\Global%20and%20Financial\Final\Chart%202.2%20Global%20GDP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Div6\Monetary%20Policy%20Report\2020%20Q4\Current%20Economic%20Conditions\D&amp;O,%20Supply,%20Costs%20and%20Prices\MPC%20circulation%20Charts\Chart%202.20%20-%20house%20price%20inflatio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ECD\10.%20Personal\Nick%20B\CKP\GFK_CC_OP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3%20Q2\CEC\Global%20&amp;%20Financial\Final\Chart%202.2%20NEW_Daily%20Gas,%20Energy%20and%20Commodity%20Monitor%20FINAL%20DATA%20CUT%20OFF.xlsb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2%20Q1\Bottlenecks\Final\Chart%20D%20-%20Freight%20Index%20Chart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324202\AppData\Local\Microsoft\Windows\INetCache\Content.Outlook\B705OCS4\Weights%20-%20Oct%202020%20WEO%202020%20Pink%20Boo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puts"/>
      <sheetName val="Determinant analysis"/>
      <sheetName val="Model output"/>
      <sheetName val="CTA output"/>
      <sheetName val="Model growth rates"/>
      <sheetName val="HIC Total"/>
      <sheetName val="FIN Total"/>
      <sheetName val="Main calcs"/>
      <sheetName val="Summary"/>
      <sheetName val="Diagnostics"/>
      <sheetName val="CT on gains"/>
      <sheetName val="A9 summary"/>
      <sheetName val="GR regressions"/>
      <sheetName val="L-P regressions"/>
      <sheetName val="Chart 3.11"/>
      <sheetName val="Exec Summary"/>
      <sheetName val="Sheet2"/>
      <sheetName val="Model_inputs"/>
      <sheetName val="Determinant_analysis"/>
      <sheetName val="Model_output"/>
      <sheetName val="CTA_output"/>
      <sheetName val="Model_growth_rates"/>
      <sheetName val="HIC_Total"/>
      <sheetName val="FIN_Total"/>
      <sheetName val="Main_calcs"/>
      <sheetName val="CT_on_gains"/>
      <sheetName val="A9_summary"/>
      <sheetName val="GR_regressions"/>
      <sheetName val="L-P_regressions"/>
      <sheetName val="Chart_3_11"/>
      <sheetName val="Exec_Summary"/>
      <sheetName val="Model_inputs1"/>
      <sheetName val="Determinant_analysis1"/>
      <sheetName val="Model_output1"/>
      <sheetName val="CTA_output1"/>
      <sheetName val="Model_growth_rates1"/>
      <sheetName val="HIC_Total1"/>
      <sheetName val="FIN_Total1"/>
      <sheetName val="Main_calcs1"/>
      <sheetName val="CT_on_gains1"/>
      <sheetName val="A9_summary1"/>
      <sheetName val="GR_regressions1"/>
      <sheetName val="L-P_regressions1"/>
      <sheetName val="Chart_3_111"/>
      <sheetName val="Exec_Summary1"/>
      <sheetName val="BigChart"/>
      <sheetName val="Model_inputs2"/>
      <sheetName val="Determinant_analysis2"/>
      <sheetName val="Model_output2"/>
      <sheetName val="CTA_output2"/>
      <sheetName val="Model_growth_rates2"/>
      <sheetName val="HIC_Total2"/>
      <sheetName val="FIN_Total2"/>
      <sheetName val="Main_calcs2"/>
      <sheetName val="CT_on_gains2"/>
      <sheetName val="A9_summary2"/>
      <sheetName val="GR_regressions2"/>
      <sheetName val="L-P_regressions2"/>
      <sheetName val="Chart_3_112"/>
      <sheetName val="Exec_Summary2"/>
      <sheetName val="Buget Reconciliation page"/>
      <sheetName val="Model_inputs3"/>
      <sheetName val="Determinant_analysis3"/>
      <sheetName val="Model_output3"/>
      <sheetName val="CTA_output3"/>
      <sheetName val="Model_growth_rates3"/>
      <sheetName val="HIC_Total3"/>
      <sheetName val="FIN_Total3"/>
      <sheetName val="Main_calcs3"/>
      <sheetName val="CT_on_gains3"/>
      <sheetName val="A9_summary3"/>
      <sheetName val="GR_regressions3"/>
      <sheetName val="L-P_regressions3"/>
      <sheetName val="Chart_3_113"/>
      <sheetName val="Exec_Summary3"/>
      <sheetName val="Buget_Reconciliation_page"/>
      <sheetName val="Model_inputs4"/>
      <sheetName val="Determinant_analysis4"/>
      <sheetName val="Model_output4"/>
      <sheetName val="CTA_output4"/>
      <sheetName val="Model_growth_rates4"/>
      <sheetName val="HIC_Total4"/>
      <sheetName val="FIN_Total4"/>
      <sheetName val="Main_calcs4"/>
      <sheetName val="CT_on_gains4"/>
      <sheetName val="A9_summary4"/>
      <sheetName val="GR_regressions4"/>
      <sheetName val="L-P_regressions4"/>
      <sheetName val="Chart_3_114"/>
      <sheetName val="Exec_Summary4"/>
      <sheetName val="Buget_Reconciliation_page1"/>
      <sheetName val="Data Variables"/>
      <sheetName val="Savings Uplifts"/>
      <sheetName val="Lookup"/>
      <sheetName val="Model_inputs5"/>
      <sheetName val="Determinant_analysis5"/>
      <sheetName val="Model_output5"/>
      <sheetName val="CTA_output5"/>
      <sheetName val="Model_growth_rates5"/>
      <sheetName val="HIC_Total5"/>
      <sheetName val="FIN_Total5"/>
      <sheetName val="Main_calcs5"/>
      <sheetName val="CT_on_gains5"/>
      <sheetName val="A9_summary5"/>
      <sheetName val="GR_regressions5"/>
      <sheetName val="L-P_regressions5"/>
      <sheetName val="Chart_3_115"/>
      <sheetName val="Exec_Summary5"/>
      <sheetName val="Buget_Reconciliation_page2"/>
      <sheetName val="Data_Variables"/>
      <sheetName val="Savings_Uplifts"/>
      <sheetName val="GDP forecast"/>
      <sheetName val="CTPBR06L_original"/>
      <sheetName val="Model_inputs6"/>
      <sheetName val="Determinant_analysis6"/>
      <sheetName val="Model_output6"/>
      <sheetName val="CTA_output6"/>
      <sheetName val="Model_growth_rates6"/>
      <sheetName val="HIC_Total6"/>
      <sheetName val="FIN_Total6"/>
      <sheetName val="Main_calcs6"/>
      <sheetName val="CT_on_gains6"/>
      <sheetName val="A9_summary6"/>
      <sheetName val="GR_regressions6"/>
      <sheetName val="L-P_regressions6"/>
      <sheetName val="Chart_3_116"/>
      <sheetName val="Exec_Summary6"/>
      <sheetName val="Buget_Reconciliation_page3"/>
      <sheetName val="Data_Variables1"/>
      <sheetName val="Savings_Uplifts1"/>
      <sheetName val="Carbon Budget clearance (Nov)"/>
      <sheetName val="CHGSPD19.FIN"/>
      <sheetName val="T3 Page 1"/>
      <sheetName val="HIS19FIN(A)"/>
      <sheetName val="FC Page 1"/>
      <sheetName val="4.6 ten year bonds"/>
      <sheetName val="Population"/>
      <sheetName val="UK99"/>
      <sheetName val="IPE-Data-from webpage"/>
      <sheetName val="Wholesale Raw"/>
      <sheetName val="1.1"/>
      <sheetName val="Forecast data"/>
      <sheetName val="Data"/>
      <sheetName val="weekly"/>
      <sheetName val="SUMMARY TABLE"/>
      <sheetName val="USGC"/>
      <sheetName val="BR1 Form"/>
      <sheetName val="Section A"/>
      <sheetName val="CTB Form"/>
      <sheetName val="Part 1"/>
      <sheetName val="151120 ASC bill diff regional"/>
      <sheetName val="Table5.1 LRL North E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data"/>
      <sheetName val="Intro - read first"/>
      <sheetName val="Imp VAT"/>
      <sheetName val="Home VAT"/>
      <sheetName val="VATgraph"/>
      <sheetName val="Tobacco"/>
      <sheetName val="Spirits"/>
      <sheetName val="Beer"/>
      <sheetName val="Wine"/>
      <sheetName val="Cider"/>
      <sheetName val="B&amp;G"/>
      <sheetName val="Customs"/>
      <sheetName val="APD"/>
      <sheetName val="IPT"/>
      <sheetName val="Landfill"/>
      <sheetName val="Reb oils"/>
      <sheetName val="Petrol"/>
      <sheetName val="Derv"/>
      <sheetName val="Oilgraph"/>
      <sheetName val="Tables 1 &amp; 2"/>
      <sheetName val="April"/>
      <sheetName val="Daily (2)"/>
      <sheetName val="Proportions"/>
      <sheetName val="Comparison"/>
      <sheetName val="CGBR table"/>
      <sheetName val="BIS table"/>
      <sheetName val="Tob accs"/>
      <sheetName val="Accruals"/>
      <sheetName val="Acc adj"/>
      <sheetName val="Data validation"/>
      <sheetName val="Forecast_data"/>
      <sheetName val="Intro_-_read_first"/>
      <sheetName val="Imp_VAT"/>
      <sheetName val="Home_VAT"/>
      <sheetName val="Reb_oils"/>
      <sheetName val="Tables_1_&amp;_2"/>
      <sheetName val="Daily_(2)"/>
      <sheetName val="CGBR_table"/>
      <sheetName val="BIS_table"/>
      <sheetName val="Tob_accs"/>
      <sheetName val="Acc_adj"/>
      <sheetName val="Forecast_data1"/>
      <sheetName val="Intro_-_read_first1"/>
      <sheetName val="Imp_VAT1"/>
      <sheetName val="Home_VAT1"/>
      <sheetName val="Reb_oils1"/>
      <sheetName val="Tables_1_&amp;_21"/>
      <sheetName val="Daily_(2)1"/>
      <sheetName val="CGBR_table1"/>
      <sheetName val="BIS_table1"/>
      <sheetName val="Tob_accs1"/>
      <sheetName val="Acc_adj1"/>
      <sheetName val="Data_validation"/>
      <sheetName val="Forecast_data2"/>
      <sheetName val="Intro_-_read_first2"/>
      <sheetName val="Imp_VAT2"/>
      <sheetName val="Home_VAT2"/>
      <sheetName val="Reb_oils2"/>
      <sheetName val="Tables_1_&amp;_22"/>
      <sheetName val="Daily_(2)2"/>
      <sheetName val="CGBR_table2"/>
      <sheetName val="BIS_table2"/>
      <sheetName val="Tob_accs2"/>
      <sheetName val="Acc_adj2"/>
      <sheetName val="Data_validation1"/>
      <sheetName val="Forecast_data3"/>
      <sheetName val="Intro_-_read_first3"/>
      <sheetName val="Imp_VAT3"/>
      <sheetName val="Home_VAT3"/>
      <sheetName val="Reb_oils3"/>
      <sheetName val="Tables_1_&amp;_23"/>
      <sheetName val="Daily_(2)3"/>
      <sheetName val="CGBR_table3"/>
      <sheetName val="BIS_table3"/>
      <sheetName val="Tob_accs3"/>
      <sheetName val="Acc_adj3"/>
      <sheetName val="Data_validation2"/>
      <sheetName val="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GSPD19.FIN"/>
    </sheetNames>
    <sheetDataSet>
      <sheetData sheetId="0" refreshError="1">
        <row r="10">
          <cell r="A10">
            <v>1982</v>
          </cell>
          <cell r="B10">
            <v>5084</v>
          </cell>
          <cell r="H10">
            <v>5241.2908349754507</v>
          </cell>
        </row>
        <row r="11">
          <cell r="A11">
            <v>1983</v>
          </cell>
          <cell r="B11">
            <v>4554</v>
          </cell>
          <cell r="E11">
            <v>-10.424862313139261</v>
          </cell>
          <cell r="H11">
            <v>4722.0067399498357</v>
          </cell>
          <cell r="I11">
            <v>-9.907561159560176</v>
          </cell>
        </row>
        <row r="12">
          <cell r="A12">
            <v>1984</v>
          </cell>
          <cell r="B12">
            <v>5130</v>
          </cell>
          <cell r="E12">
            <v>12.648221343873518</v>
          </cell>
          <cell r="H12">
            <v>5475.2539986683105</v>
          </cell>
          <cell r="I12">
            <v>15.951846327234954</v>
          </cell>
        </row>
        <row r="13">
          <cell r="A13">
            <v>1985</v>
          </cell>
          <cell r="B13">
            <v>6391</v>
          </cell>
          <cell r="E13">
            <v>24.580896686159846</v>
          </cell>
          <cell r="H13">
            <v>6756.7525816828584</v>
          </cell>
          <cell r="I13">
            <v>23.40528098470379</v>
          </cell>
        </row>
        <row r="14">
          <cell r="A14">
            <v>1986</v>
          </cell>
          <cell r="B14">
            <v>5848</v>
          </cell>
          <cell r="E14">
            <v>-8.4963229541542802</v>
          </cell>
          <cell r="H14">
            <v>6745.3397444295488</v>
          </cell>
          <cell r="I14">
            <v>-0.16891009572037743</v>
          </cell>
        </row>
        <row r="15">
          <cell r="A15">
            <v>1987</v>
          </cell>
          <cell r="B15">
            <v>5980</v>
          </cell>
          <cell r="E15">
            <v>2.2571819425444595</v>
          </cell>
          <cell r="H15">
            <v>7026.5846624575506</v>
          </cell>
          <cell r="I15">
            <v>4.1694700146165378</v>
          </cell>
        </row>
        <row r="16">
          <cell r="A16">
            <v>1988</v>
          </cell>
          <cell r="B16">
            <v>9292.2999999999993</v>
          </cell>
          <cell r="E16">
            <v>55.389632107023402</v>
          </cell>
          <cell r="H16">
            <v>9521.9200076277339</v>
          </cell>
          <cell r="I16">
            <v>35.512777046614829</v>
          </cell>
        </row>
        <row r="17">
          <cell r="A17">
            <v>1989</v>
          </cell>
          <cell r="B17">
            <v>13887.5</v>
          </cell>
          <cell r="E17">
            <v>49.45169656597399</v>
          </cell>
          <cell r="H17">
            <v>16931.29699300892</v>
          </cell>
          <cell r="I17">
            <v>77.813896561258119</v>
          </cell>
        </row>
        <row r="18">
          <cell r="A18">
            <v>1990</v>
          </cell>
          <cell r="B18">
            <v>18208</v>
          </cell>
          <cell r="E18">
            <v>31.110711071107112</v>
          </cell>
          <cell r="H18">
            <v>21405.129196306531</v>
          </cell>
          <cell r="I18">
            <v>26.423446503507051</v>
          </cell>
        </row>
        <row r="19">
          <cell r="A19">
            <v>1991</v>
          </cell>
          <cell r="B19">
            <v>20553.400000000001</v>
          </cell>
          <cell r="E19">
            <v>12.881151142355016</v>
          </cell>
          <cell r="H19">
            <v>19019.031007703743</v>
          </cell>
          <cell r="I19">
            <v>-11.147319722856475</v>
          </cell>
        </row>
        <row r="20">
          <cell r="A20">
            <v>1992</v>
          </cell>
          <cell r="B20">
            <v>19974.599999999999</v>
          </cell>
          <cell r="E20">
            <v>-2.8160790915371803</v>
          </cell>
          <cell r="H20">
            <v>16626.411197813348</v>
          </cell>
          <cell r="I20">
            <v>-12.580135175768175</v>
          </cell>
        </row>
        <row r="21">
          <cell r="A21">
            <v>1993</v>
          </cell>
          <cell r="H21">
            <v>12410.183035376172</v>
          </cell>
          <cell r="I21">
            <v>-25.358618358913681</v>
          </cell>
        </row>
        <row r="22">
          <cell r="A22">
            <v>1994</v>
          </cell>
          <cell r="H22">
            <v>12000.136096917955</v>
          </cell>
          <cell r="I22">
            <v>-3.3041167667660289</v>
          </cell>
        </row>
        <row r="23">
          <cell r="A23">
            <v>1995</v>
          </cell>
          <cell r="H23">
            <v>13460.164062680713</v>
          </cell>
          <cell r="I23">
            <v>12.166761726458612</v>
          </cell>
        </row>
        <row r="24">
          <cell r="A24">
            <v>1996</v>
          </cell>
          <cell r="H24">
            <v>13230.39919269175</v>
          </cell>
          <cell r="I24">
            <v>-1.7069990300192783</v>
          </cell>
        </row>
        <row r="25">
          <cell r="A25">
            <v>1997</v>
          </cell>
          <cell r="H25">
            <v>13887.648186056666</v>
          </cell>
          <cell r="I25">
            <v>4.9677185381373006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External Inputs"/>
      <sheetName val="FAS Page 1"/>
      <sheetName val="FIN L-P regression"/>
      <sheetName val="HIC L-P regression"/>
      <sheetName val="FIN Rates"/>
      <sheetName val="Building Societies"/>
      <sheetName val="Rest of FIN"/>
      <sheetName val="FIN Total"/>
      <sheetName val="HIC Rates"/>
      <sheetName val="HIC Total"/>
      <sheetName val="FC Page 1"/>
      <sheetName val="T3 Page 1"/>
      <sheetName val="diff with last"/>
      <sheetName val="Repayments"/>
      <sheetName val="Budget 2005 measures"/>
      <sheetName val="PBR 2004 measures"/>
      <sheetName val="Previous Measures"/>
      <sheetName val="quarterly"/>
      <sheetName val="NG DATA"/>
      <sheetName val="NG HIC R7.3"/>
      <sheetName val="NG HIC R9.3"/>
      <sheetName val="NG FIN RA.3"/>
      <sheetName val="NG FIN RC.3"/>
      <sheetName val="CHGSPD19.FIN"/>
      <sheetName val="External_Inputs"/>
      <sheetName val="FAS_Page_1"/>
      <sheetName val="FIN_L-P_regression"/>
      <sheetName val="HIC_L-P_regression"/>
      <sheetName val="FIN_Rates"/>
      <sheetName val="Building_Societies"/>
      <sheetName val="Rest_of_FIN"/>
      <sheetName val="FIN_Total"/>
      <sheetName val="HIC_Rates"/>
      <sheetName val="HIC_Total"/>
      <sheetName val="FC_Page_1"/>
      <sheetName val="T3_Page_1"/>
      <sheetName val="diff_with_last"/>
      <sheetName val="Budget_2005_measures"/>
      <sheetName val="PBR_2004_measures"/>
      <sheetName val="Previous_Measures"/>
      <sheetName val="NG_DATA"/>
      <sheetName val="NG_HIC_R7_3"/>
      <sheetName val="NG_HIC_R9_3"/>
      <sheetName val="NG_FIN_RA_3"/>
      <sheetName val="NG_FIN_RC_3"/>
      <sheetName val="External_Inputs1"/>
      <sheetName val="FAS_Page_11"/>
      <sheetName val="FIN_L-P_regression1"/>
      <sheetName val="HIC_L-P_regression1"/>
      <sheetName val="FIN_Rates1"/>
      <sheetName val="Building_Societies1"/>
      <sheetName val="Rest_of_FIN1"/>
      <sheetName val="FIN_Total1"/>
      <sheetName val="HIC_Rates1"/>
      <sheetName val="HIC_Total1"/>
      <sheetName val="FC_Page_11"/>
      <sheetName val="T3_Page_11"/>
      <sheetName val="diff_with_last1"/>
      <sheetName val="Budget_2005_measures1"/>
      <sheetName val="PBR_2004_measures1"/>
      <sheetName val="Previous_Measures1"/>
      <sheetName val="NG_DATA1"/>
      <sheetName val="NG_HIC_R7_31"/>
      <sheetName val="NG_HIC_R9_31"/>
      <sheetName val="NG_FIN_RA_31"/>
      <sheetName val="NG_FIN_RC_31"/>
      <sheetName val="External_Inputs2"/>
      <sheetName val="FAS_Page_12"/>
      <sheetName val="FIN_L-P_regression2"/>
      <sheetName val="HIC_L-P_regression2"/>
      <sheetName val="FIN_Rates2"/>
      <sheetName val="Building_Societies2"/>
      <sheetName val="Rest_of_FIN2"/>
      <sheetName val="FIN_Total2"/>
      <sheetName val="HIC_Rates2"/>
      <sheetName val="HIC_Total2"/>
      <sheetName val="FC_Page_12"/>
      <sheetName val="T3_Page_12"/>
      <sheetName val="diff_with_last2"/>
      <sheetName val="Budget_2005_measures2"/>
      <sheetName val="PBR_2004_measures2"/>
      <sheetName val="Previous_Measures2"/>
      <sheetName val="NG_DATA2"/>
      <sheetName val="NG_HIC_R7_32"/>
      <sheetName val="NG_HIC_R9_32"/>
      <sheetName val="NG_FIN_RA_32"/>
      <sheetName val="NG_FIN_RC_32"/>
      <sheetName val="CHGSPD19_FIN"/>
      <sheetName val="External_Inputs3"/>
      <sheetName val="FAS_Page_13"/>
      <sheetName val="FIN_L-P_regression3"/>
      <sheetName val="HIC_L-P_regression3"/>
      <sheetName val="FIN_Rates3"/>
      <sheetName val="Building_Societies3"/>
      <sheetName val="Rest_of_FIN3"/>
      <sheetName val="FIN_Total3"/>
      <sheetName val="HIC_Rates3"/>
      <sheetName val="HIC_Total3"/>
      <sheetName val="FC_Page_13"/>
      <sheetName val="T3_Page_13"/>
      <sheetName val="diff_with_last3"/>
      <sheetName val="Budget_2005_measures3"/>
      <sheetName val="PBR_2004_measures3"/>
      <sheetName val="Previous_Measures3"/>
      <sheetName val="NG_DATA3"/>
      <sheetName val="NG_HIC_R7_33"/>
      <sheetName val="NG_HIC_R9_33"/>
      <sheetName val="NG_FIN_RA_33"/>
      <sheetName val="NG_FIN_RC_33"/>
      <sheetName val="CHGSPD19_FIN1"/>
      <sheetName val="External_Inputs4"/>
      <sheetName val="FAS_Page_14"/>
      <sheetName val="FIN_L-P_regression4"/>
      <sheetName val="HIC_L-P_regression4"/>
      <sheetName val="FIN_Rates4"/>
      <sheetName val="Building_Societies4"/>
      <sheetName val="Rest_of_FIN4"/>
      <sheetName val="FIN_Total4"/>
      <sheetName val="HIC_Rates4"/>
      <sheetName val="HIC_Total4"/>
      <sheetName val="FC_Page_14"/>
      <sheetName val="T3_Page_14"/>
      <sheetName val="diff_with_last4"/>
      <sheetName val="Budget_2005_measures4"/>
      <sheetName val="PBR_2004_measures4"/>
      <sheetName val="Previous_Measures4"/>
      <sheetName val="NG_DATA4"/>
      <sheetName val="NG_HIC_R7_34"/>
      <sheetName val="NG_HIC_R9_34"/>
      <sheetName val="NG_FIN_RA_34"/>
      <sheetName val="NG_FIN_RC_34"/>
      <sheetName val="CHGSPD19_FIN2"/>
      <sheetName val="External_Inputs5"/>
      <sheetName val="FAS_Page_15"/>
      <sheetName val="FIN_L-P_regression5"/>
      <sheetName val="HIC_L-P_regression5"/>
      <sheetName val="FIN_Rates5"/>
      <sheetName val="Building_Societies5"/>
      <sheetName val="Rest_of_FIN5"/>
      <sheetName val="FIN_Total5"/>
      <sheetName val="HIC_Rates5"/>
      <sheetName val="HIC_Total5"/>
      <sheetName val="FC_Page_15"/>
      <sheetName val="T3_Page_15"/>
      <sheetName val="diff_with_last5"/>
      <sheetName val="Budget_2005_measures5"/>
      <sheetName val="PBR_2004_measures5"/>
      <sheetName val="Previous_Measures5"/>
      <sheetName val="NG_DATA5"/>
      <sheetName val="NG_HIC_R7_35"/>
      <sheetName val="NG_HIC_R9_35"/>
      <sheetName val="NG_FIN_RA_35"/>
      <sheetName val="NG_FIN_RC_35"/>
      <sheetName val="CHGSPD19_FIN3"/>
      <sheetName val="External_Inputs6"/>
      <sheetName val="FAS_Page_16"/>
      <sheetName val="FIN_L-P_regression6"/>
      <sheetName val="HIC_L-P_regression6"/>
      <sheetName val="FIN_Rates6"/>
      <sheetName val="Building_Societies6"/>
      <sheetName val="Rest_of_FIN6"/>
      <sheetName val="FIN_Total6"/>
      <sheetName val="HIC_Rates6"/>
      <sheetName val="HIC_Total6"/>
      <sheetName val="FC_Page_16"/>
      <sheetName val="T3_Page_16"/>
      <sheetName val="diff_with_last6"/>
      <sheetName val="Budget_2005_measures6"/>
      <sheetName val="PBR_2004_measures6"/>
      <sheetName val="Previous_Measures6"/>
      <sheetName val="NG_DATA6"/>
      <sheetName val="NG_HIC_R7_36"/>
      <sheetName val="NG_HIC_R9_36"/>
      <sheetName val="NG_FIN_RA_36"/>
      <sheetName val="NG_FIN_RC_36"/>
      <sheetName val="CHGSPD19_FIN4"/>
      <sheetName val="weekly"/>
      <sheetName val="Drop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19FIN(A)"/>
    </sheetNames>
    <sheetDataSet>
      <sheetData sheetId="0" refreshError="1">
        <row r="59">
          <cell r="D59">
            <v>49896</v>
          </cell>
          <cell r="E59">
            <v>50276</v>
          </cell>
          <cell r="F59">
            <v>45966</v>
          </cell>
          <cell r="G59">
            <v>41788</v>
          </cell>
          <cell r="H59">
            <v>41669</v>
          </cell>
          <cell r="I59">
            <v>50498</v>
          </cell>
          <cell r="J59">
            <v>56928</v>
          </cell>
          <cell r="K59">
            <v>13990</v>
          </cell>
          <cell r="L59">
            <v>14858</v>
          </cell>
          <cell r="M59">
            <v>12645</v>
          </cell>
          <cell r="N59">
            <v>11496</v>
          </cell>
          <cell r="O59">
            <v>12551</v>
          </cell>
          <cell r="P59">
            <v>23608</v>
          </cell>
          <cell r="Q59">
            <v>22770</v>
          </cell>
        </row>
        <row r="61">
          <cell r="D61">
            <v>8.6439794773128104E-2</v>
          </cell>
          <cell r="E61">
            <v>6.6950433606492166E-2</v>
          </cell>
          <cell r="F61">
            <v>6.128442762041509E-2</v>
          </cell>
          <cell r="G61">
            <v>4.8052072365272328E-2</v>
          </cell>
          <cell r="H61">
            <v>5.1957090402937438E-2</v>
          </cell>
          <cell r="I61">
            <v>5.8358746881064599E-2</v>
          </cell>
          <cell r="J61">
            <v>5.4823636874648682E-2</v>
          </cell>
          <cell r="K61">
            <v>2.8377412437455327E-2</v>
          </cell>
          <cell r="L61">
            <v>3.0825144703190199E-2</v>
          </cell>
          <cell r="M61">
            <v>3.0525899565045471E-2</v>
          </cell>
          <cell r="N61">
            <v>4.0535838552540011E-2</v>
          </cell>
          <cell r="O61">
            <v>8.6287945183650711E-2</v>
          </cell>
          <cell r="P61">
            <v>9.3358183666553712E-2</v>
          </cell>
          <cell r="Q61">
            <v>3.1971892841458058E-2</v>
          </cell>
        </row>
        <row r="79">
          <cell r="D79">
            <v>8220</v>
          </cell>
          <cell r="E79">
            <v>11605</v>
          </cell>
          <cell r="F79">
            <v>15772</v>
          </cell>
          <cell r="G79">
            <v>18872</v>
          </cell>
          <cell r="H79">
            <v>17851</v>
          </cell>
          <cell r="I79">
            <v>16599</v>
          </cell>
        </row>
        <row r="83">
          <cell r="D83">
            <v>324.3</v>
          </cell>
          <cell r="E83">
            <v>1191.4000000000001</v>
          </cell>
          <cell r="F83">
            <v>1472</v>
          </cell>
          <cell r="G83">
            <v>4711.5</v>
          </cell>
          <cell r="H83">
            <v>3826.9</v>
          </cell>
          <cell r="I83">
            <v>3647</v>
          </cell>
        </row>
        <row r="95">
          <cell r="D95">
            <v>9.5466571891166127E-2</v>
          </cell>
          <cell r="E95">
            <v>0.11145074065365625</v>
          </cell>
          <cell r="F95">
            <v>0.12864093847897087</v>
          </cell>
          <cell r="G95">
            <v>0.14350581052307534</v>
          </cell>
          <cell r="H95">
            <v>0.1542719106920894</v>
          </cell>
          <cell r="I95">
            <v>0.10921389095108472</v>
          </cell>
          <cell r="J95">
            <v>8.9755851092625002E-2</v>
          </cell>
          <cell r="K95">
            <v>0.14001163128816516</v>
          </cell>
          <cell r="L95">
            <v>7.0516096065406236E-2</v>
          </cell>
          <cell r="M95">
            <v>6.7059965648569933E-2</v>
          </cell>
          <cell r="N95">
            <v>8.5541450115020873E-2</v>
          </cell>
          <cell r="O95">
            <v>8.6534902657487603E-2</v>
          </cell>
          <cell r="P95">
            <v>5.0708785439271965E-2</v>
          </cell>
          <cell r="Q95">
            <v>4.9075245988649818E-2</v>
          </cell>
        </row>
        <row r="97">
          <cell r="D97">
            <v>91.003102378490169</v>
          </cell>
          <cell r="E97">
            <v>83.509142053445856</v>
          </cell>
          <cell r="F97">
            <v>75.993091537132983</v>
          </cell>
          <cell r="G97">
            <v>75.080443332141584</v>
          </cell>
          <cell r="H97">
            <v>66.889632107023417</v>
          </cell>
          <cell r="I97">
            <v>96.299093655589118</v>
          </cell>
          <cell r="J97">
            <v>90.470446320868518</v>
          </cell>
          <cell r="K97">
            <v>14.122533748701974</v>
          </cell>
          <cell r="L97">
            <v>52.536231884057969</v>
          </cell>
          <cell r="M97">
            <v>63.028953229398667</v>
          </cell>
          <cell r="N97">
            <v>59.760956175298809</v>
          </cell>
          <cell r="O97">
            <v>51.32591958939264</v>
          </cell>
          <cell r="P97">
            <v>51.768766177739437</v>
          </cell>
          <cell r="Q97">
            <v>49.916805324459233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 1.1"/>
      <sheetName val="Frameworks comparison 2.1 2.2"/>
      <sheetName val="Figures 3.1 3.2"/>
      <sheetName val="Table 3.1"/>
      <sheetName val="3.1 Inflation expectations"/>
      <sheetName val="3.2 Taylor rules"/>
      <sheetName val="3.3 UK Taylor rule"/>
      <sheetName val="Chart 3.4"/>
      <sheetName val="3.5 10 years ahead"/>
      <sheetName val="3.6 M3 growth"/>
      <sheetName val="Box D Red triangle"/>
      <sheetName val="Figure 4.1 UK fiscal fwork"/>
      <sheetName val="Table 4.1"/>
      <sheetName val="Box D table"/>
      <sheetName val="4.1 UK"/>
      <sheetName val="4.3.and 4.4"/>
      <sheetName val="4.5 deficit and interest rate"/>
      <sheetName val="4.6 ten year bonds"/>
      <sheetName val="5.1 share of gdp"/>
      <sheetName val="Sheet1"/>
      <sheetName val="Figure 6.1"/>
      <sheetName val="Table 6.1 Bank Supervisors"/>
      <sheetName val="Figure_1_1"/>
      <sheetName val="Frameworks_comparison_2_1_2_2"/>
      <sheetName val="Figures_3_1_3_2"/>
      <sheetName val="Table_3_1"/>
      <sheetName val="3_1_Inflation_expectations"/>
      <sheetName val="3_2_Taylor_rules"/>
      <sheetName val="3_3_UK_Taylor_rule"/>
      <sheetName val="Chart_3_4"/>
      <sheetName val="3_5_10_years_ahead"/>
      <sheetName val="3_6_M3_growth"/>
      <sheetName val="Box_D_Red_triangle"/>
      <sheetName val="Figure_4_1_UK_fiscal_fwork"/>
      <sheetName val="Table_4_1"/>
      <sheetName val="Box_D_table"/>
      <sheetName val="4_1_UK"/>
      <sheetName val="4_3_and_4_4"/>
      <sheetName val="4_5_deficit_and_interest_rate"/>
      <sheetName val="4_6_ten_year_bonds"/>
      <sheetName val="5_1_share_of_gdp"/>
      <sheetName val="Figure_6_1"/>
      <sheetName val="Table_6_1_Bank_Supervisors"/>
      <sheetName val="Figure_1_11"/>
      <sheetName val="Frameworks_comparison_2_1_2_21"/>
      <sheetName val="Figures_3_1_3_21"/>
      <sheetName val="Table_3_11"/>
      <sheetName val="3_1_Inflation_expectations1"/>
      <sheetName val="3_2_Taylor_rules1"/>
      <sheetName val="3_3_UK_Taylor_rule1"/>
      <sheetName val="Chart_3_41"/>
      <sheetName val="3_5_10_years_ahead1"/>
      <sheetName val="3_6_M3_growth1"/>
      <sheetName val="Box_D_Red_triangle1"/>
      <sheetName val="Figure_4_1_UK_fiscal_fwork1"/>
      <sheetName val="Table_4_11"/>
      <sheetName val="Box_D_table1"/>
      <sheetName val="4_1_UK1"/>
      <sheetName val="4_3_and_4_41"/>
      <sheetName val="4_5_deficit_and_interest_rate1"/>
      <sheetName val="4_6_ten_year_bonds1"/>
      <sheetName val="5_1_share_of_gdp1"/>
      <sheetName val="Figure_6_11"/>
      <sheetName val="Table_6_1_Bank_Supervisors1"/>
      <sheetName val="Figure_1_12"/>
      <sheetName val="Frameworks_comparison_2_1_2_22"/>
      <sheetName val="Figures_3_1_3_22"/>
      <sheetName val="Table_3_12"/>
      <sheetName val="3_1_Inflation_expectations2"/>
      <sheetName val="3_2_Taylor_rules2"/>
      <sheetName val="3_3_UK_Taylor_rule2"/>
      <sheetName val="Chart_3_42"/>
      <sheetName val="3_5_10_years_ahead2"/>
      <sheetName val="3_6_M3_growth2"/>
      <sheetName val="Box_D_Red_triangle2"/>
      <sheetName val="Figure_4_1_UK_fiscal_fwork2"/>
      <sheetName val="Table_4_12"/>
      <sheetName val="Box_D_table2"/>
      <sheetName val="4_1_UK2"/>
      <sheetName val="4_3_and_4_42"/>
      <sheetName val="4_5_deficit_and_interest_rate2"/>
      <sheetName val="4_6_ten_year_bonds2"/>
      <sheetName val="5_1_share_of_gdp2"/>
      <sheetName val="Figure_6_12"/>
      <sheetName val="Table_6_1_Bank_Supervisors2"/>
      <sheetName val="USGC"/>
      <sheetName val="Carbon Price Floor"/>
      <sheetName val="Baseline results"/>
      <sheetName val="DECC Summary"/>
      <sheetName val="Figure_1_13"/>
      <sheetName val="Frameworks_comparison_2_1_2_23"/>
      <sheetName val="Figures_3_1_3_23"/>
      <sheetName val="Table_3_13"/>
      <sheetName val="3_1_Inflation_expectations3"/>
      <sheetName val="3_2_Taylor_rules3"/>
      <sheetName val="3_3_UK_Taylor_rule3"/>
      <sheetName val="Chart_3_43"/>
      <sheetName val="3_5_10_years_ahead3"/>
      <sheetName val="3_6_M3_growth3"/>
      <sheetName val="Box_D_Red_triangle3"/>
      <sheetName val="Figure_4_1_UK_fiscal_fwork3"/>
      <sheetName val="Table_4_13"/>
      <sheetName val="Box_D_table3"/>
      <sheetName val="4_1_UK3"/>
      <sheetName val="4_3_and_4_43"/>
      <sheetName val="4_5_deficit_and_interest_rate3"/>
      <sheetName val="4_6_ten_year_bonds3"/>
      <sheetName val="5_1_share_of_gdp3"/>
      <sheetName val="Figure_6_13"/>
      <sheetName val="Table_6_1_Bank_Supervisors3"/>
      <sheetName val="Carbon_Price_Floor"/>
      <sheetName val="Baseline_results"/>
      <sheetName val="DECC_Summary"/>
      <sheetName val="Figure_1_14"/>
      <sheetName val="Frameworks_comparison_2_1_2_24"/>
      <sheetName val="Figures_3_1_3_24"/>
      <sheetName val="Table_3_14"/>
      <sheetName val="3_1_Inflation_expectations4"/>
      <sheetName val="3_2_Taylor_rules4"/>
      <sheetName val="3_3_UK_Taylor_rule4"/>
      <sheetName val="Chart_3_44"/>
      <sheetName val="3_5_10_years_ahead4"/>
      <sheetName val="3_6_M3_growth4"/>
      <sheetName val="Box_D_Red_triangle4"/>
      <sheetName val="Figure_4_1_UK_fiscal_fwork4"/>
      <sheetName val="Table_4_14"/>
      <sheetName val="Box_D_table4"/>
      <sheetName val="4_1_UK4"/>
      <sheetName val="4_3_and_4_44"/>
      <sheetName val="4_5_deficit_and_interest_rate4"/>
      <sheetName val="4_6_ten_year_bonds4"/>
      <sheetName val="5_1_share_of_gdp4"/>
      <sheetName val="Figure_6_14"/>
      <sheetName val="Table_6_1_Bank_Supervisors4"/>
      <sheetName val="Carbon_Price_Floor1"/>
      <sheetName val="Baseline_results1"/>
      <sheetName val="DECC_Summary1"/>
      <sheetName val="CASHFLOW Gen Income"/>
      <sheetName val="model inputs"/>
      <sheetName val="Figure_1_15"/>
      <sheetName val="Frameworks_comparison_2_1_2_25"/>
      <sheetName val="Figures_3_1_3_25"/>
      <sheetName val="Table_3_15"/>
      <sheetName val="3_1_Inflation_expectations5"/>
      <sheetName val="3_2_Taylor_rules5"/>
      <sheetName val="3_3_UK_Taylor_rule5"/>
      <sheetName val="Chart_3_45"/>
      <sheetName val="3_5_10_years_ahead5"/>
      <sheetName val="3_6_M3_growth5"/>
      <sheetName val="Box_D_Red_triangle5"/>
      <sheetName val="Figure_4_1_UK_fiscal_fwork5"/>
      <sheetName val="Table_4_15"/>
      <sheetName val="Box_D_table5"/>
      <sheetName val="4_1_UK5"/>
      <sheetName val="4_3_and_4_45"/>
      <sheetName val="4_5_deficit_and_interest_rate5"/>
      <sheetName val="4_6_ten_year_bonds5"/>
      <sheetName val="5_1_share_of_gdp5"/>
      <sheetName val="Figure_6_15"/>
      <sheetName val="Table_6_1_Bank_Supervisors5"/>
      <sheetName val="Carbon_Price_Floor2"/>
      <sheetName val="Baseline_results2"/>
      <sheetName val="DECC_Summary2"/>
      <sheetName val="CASHFLOW_Gen_Income"/>
      <sheetName val="model_inputs"/>
      <sheetName val="Figure_1_16"/>
      <sheetName val="Frameworks_comparison_2_1_2_26"/>
      <sheetName val="Figures_3_1_3_26"/>
      <sheetName val="Table_3_16"/>
      <sheetName val="3_1_Inflation_expectations6"/>
      <sheetName val="3_2_Taylor_rules6"/>
      <sheetName val="3_3_UK_Taylor_rule6"/>
      <sheetName val="Chart_3_46"/>
      <sheetName val="3_5_10_years_ahead6"/>
      <sheetName val="3_6_M3_growth6"/>
      <sheetName val="Box_D_Red_triangle6"/>
      <sheetName val="Figure_4_1_UK_fiscal_fwork6"/>
      <sheetName val="Table_4_16"/>
      <sheetName val="Box_D_table6"/>
      <sheetName val="4_1_UK6"/>
      <sheetName val="4_3_and_4_46"/>
      <sheetName val="4_5_deficit_and_interest_rate6"/>
      <sheetName val="4_6_ten_year_bonds6"/>
      <sheetName val="5_1_share_of_gdp6"/>
      <sheetName val="Figure_6_16"/>
      <sheetName val="Table_6_1_Bank_Supervisors6"/>
      <sheetName val="Carbon_Price_Floor3"/>
      <sheetName val="Baseline_results3"/>
      <sheetName val="DECC_Summary3"/>
      <sheetName val="CASHFLOW_Gen_Income1"/>
      <sheetName val="model_inputs1"/>
      <sheetName val="Forecast data"/>
      <sheetName val="all the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4">
          <cell r="A4">
            <v>35877</v>
          </cell>
          <cell r="D4">
            <v>33091</v>
          </cell>
          <cell r="G4">
            <v>33092</v>
          </cell>
          <cell r="J4">
            <v>33973</v>
          </cell>
          <cell r="M4">
            <v>34096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4">
          <cell r="A4">
            <v>35877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4">
          <cell r="A4">
            <v>35877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A4">
            <v>35877</v>
          </cell>
        </row>
      </sheetData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A4">
            <v>35877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>
            <v>35877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>
        <row r="4">
          <cell r="A4">
            <v>35877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>
        <row r="4">
          <cell r="A4">
            <v>35877</v>
          </cell>
        </row>
      </sheetData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"/>
      <sheetName val="Sheet1"/>
      <sheetName val="Sheet4"/>
      <sheetName val="Sheet5"/>
      <sheetName val="Sheet3"/>
      <sheetName val="Charts"/>
      <sheetName val="Sheet2"/>
      <sheetName val="Volatility"/>
      <sheetName val="Confidence"/>
      <sheetName val="RO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Q5">
            <v>33146</v>
          </cell>
        </row>
        <row r="7">
          <cell r="E7">
            <v>33326</v>
          </cell>
        </row>
        <row r="23">
          <cell r="M23" t="e">
            <v>#NAME?</v>
          </cell>
        </row>
        <row r="34">
          <cell r="A34" t="e">
            <v>#NAME?</v>
          </cell>
        </row>
        <row r="43">
          <cell r="I43" t="e">
            <v>#NAME?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Data"/>
      <sheetName val="Data weekly"/>
      <sheetName val="Chart"/>
    </sheetNames>
    <sheetDataSet>
      <sheetData sheetId="0" refreshError="1"/>
      <sheetData sheetId="1" refreshError="1">
        <row r="8">
          <cell r="D8" t="e">
            <v>#N/A</v>
          </cell>
          <cell r="G8" t="e">
            <v>#N/A</v>
          </cell>
          <cell r="J8" t="e">
            <v>#N/A</v>
          </cell>
          <cell r="M8" t="e">
            <v>#N/A</v>
          </cell>
        </row>
      </sheetData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German"/>
      <sheetName val="French"/>
      <sheetName val="Italian"/>
      <sheetName val="Spanish"/>
      <sheetName val="DutchBelgian"/>
      <sheetName val="SwissNorway"/>
      <sheetName val="Govt bonds over swaps"/>
      <sheetName val="euribor"/>
      <sheetName val="Euro spreads"/>
      <sheetName val="Price to book raw data"/>
      <sheetName val="Price to book calc"/>
      <sheetName val="Insurance"/>
    </sheetNames>
    <sheetDataSet>
      <sheetData sheetId="0" refreshError="1"/>
      <sheetData sheetId="1" refreshError="1">
        <row r="5">
          <cell r="B5" t="e">
            <v>#NAME?</v>
          </cell>
          <cell r="F5" t="e">
            <v>#NAME?</v>
          </cell>
          <cell r="J5" t="e">
            <v>#NAME?</v>
          </cell>
          <cell r="N5">
            <v>163.75128117526478</v>
          </cell>
        </row>
      </sheetData>
      <sheetData sheetId="2" refreshError="1">
        <row r="5">
          <cell r="B5" t="e">
            <v>#NAME?</v>
          </cell>
          <cell r="F5" t="e">
            <v>#NAME?</v>
          </cell>
        </row>
      </sheetData>
      <sheetData sheetId="3" refreshError="1">
        <row r="6">
          <cell r="B6" t="e">
            <v>#NAME?</v>
          </cell>
          <cell r="F6" t="e">
            <v>#NAME?</v>
          </cell>
          <cell r="J6" t="e">
            <v>#NAME?</v>
          </cell>
        </row>
      </sheetData>
      <sheetData sheetId="4" refreshError="1">
        <row r="5">
          <cell r="B5" t="e">
            <v>#NAME?</v>
          </cell>
          <cell r="F5" t="e">
            <v>#NAME?</v>
          </cell>
        </row>
      </sheetData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ans"/>
      <sheetName val="US "/>
      <sheetName val="bancassurance"/>
      <sheetName val="FAME Persistence"/>
    </sheetNames>
    <sheetDataSet>
      <sheetData sheetId="0" refreshError="1">
        <row r="6">
          <cell r="B6">
            <v>36528</v>
          </cell>
          <cell r="F6">
            <v>36528</v>
          </cell>
          <cell r="J6">
            <v>36528</v>
          </cell>
          <cell r="N6">
            <v>36528</v>
          </cell>
          <cell r="R6">
            <v>36528</v>
          </cell>
          <cell r="V6">
            <v>36528</v>
          </cell>
        </row>
      </sheetData>
      <sheetData sheetId="1" refreshError="1">
        <row r="5">
          <cell r="B5">
            <v>36528</v>
          </cell>
          <cell r="F5">
            <v>36528</v>
          </cell>
          <cell r="J5">
            <v>36528</v>
          </cell>
          <cell r="N5">
            <v>36528</v>
          </cell>
          <cell r="R5">
            <v>36528</v>
          </cell>
          <cell r="V5">
            <v>36528</v>
          </cell>
          <cell r="Z5">
            <v>36528</v>
          </cell>
          <cell r="AD5">
            <v>36528</v>
          </cell>
        </row>
      </sheetData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ward Rates"/>
      <sheetName val="US TED spread"/>
      <sheetName val="Gov bond yields"/>
      <sheetName val="swap spreads"/>
      <sheetName val="Spreads"/>
      <sheetName val="FMC spreads"/>
      <sheetName val="H-Y spreads"/>
      <sheetName val="Equity prices"/>
      <sheetName val="Eq imp vols"/>
      <sheetName val="oil price"/>
      <sheetName val="US CP spreads"/>
      <sheetName val="Gov bond imp vols"/>
      <sheetName val="banks"/>
      <sheetName val="debtiss"/>
      <sheetName val="cp iss"/>
      <sheetName val="Jap prem"/>
      <sheetName val="euro indices"/>
      <sheetName val="Swaptions"/>
      <sheetName val="Bond sprea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Bankruptcies"/>
      <sheetName val="Equities"/>
      <sheetName val="Interest rates"/>
      <sheetName val="bank lending"/>
      <sheetName val="sub-debt"/>
      <sheetName val="Tibor"/>
      <sheetName val="5 yr spreads"/>
      <sheetName val="Bank premium"/>
      <sheetName val="bank equities"/>
      <sheetName val="equity index"/>
    </sheetNames>
    <sheetDataSet>
      <sheetData sheetId="0" refreshError="1"/>
      <sheetData sheetId="1" refreshError="1">
        <row r="7">
          <cell r="B7">
            <v>30712</v>
          </cell>
        </row>
      </sheetData>
      <sheetData sheetId="2"/>
      <sheetData sheetId="3"/>
      <sheetData sheetId="4"/>
      <sheetData sheetId="5" refreshError="1">
        <row r="164">
          <cell r="B164">
            <v>37116</v>
          </cell>
          <cell r="E164">
            <v>37116</v>
          </cell>
          <cell r="H164">
            <v>37116</v>
          </cell>
          <cell r="K164">
            <v>37116</v>
          </cell>
          <cell r="N164">
            <v>37116</v>
          </cell>
          <cell r="Q164">
            <v>37116</v>
          </cell>
        </row>
        <row r="165">
          <cell r="B165">
            <v>37117</v>
          </cell>
        </row>
        <row r="170">
          <cell r="K170">
            <v>37124</v>
          </cell>
        </row>
      </sheetData>
      <sheetData sheetId="6"/>
      <sheetData sheetId="7"/>
      <sheetData sheetId="8"/>
      <sheetData sheetId="9" refreshError="1"/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nd data"/>
    </sheetNames>
    <sheetDataSet>
      <sheetData sheetId="0" refreshError="1">
        <row r="1208">
          <cell r="D1208">
            <v>37116</v>
          </cell>
        </row>
        <row r="1210">
          <cell r="P1210">
            <v>37118</v>
          </cell>
        </row>
        <row r="1213">
          <cell r="D1213">
            <v>37123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ty prices"/>
      <sheetName val="FAME Persistence"/>
    </sheetNames>
    <sheetDataSet>
      <sheetData sheetId="0" refreshError="1">
        <row r="5">
          <cell r="B5">
            <v>36528</v>
          </cell>
          <cell r="F5">
            <v>36528</v>
          </cell>
          <cell r="J5">
            <v>36528</v>
          </cell>
          <cell r="N5">
            <v>36528</v>
          </cell>
          <cell r="R5">
            <v>36528</v>
          </cell>
          <cell r="V5">
            <v>36528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 09"/>
      <sheetName val="Charts"/>
      <sheetName val="Scenarios"/>
      <sheetName val="Projections"/>
      <sheetName val="Calculation"/>
      <sheetName val="Latest"/>
      <sheetName val="Latest check"/>
      <sheetName val="PSF"/>
      <sheetName val="Nom. Input"/>
      <sheetName val="Profiles"/>
      <sheetName val="Population"/>
      <sheetName val="Social sec &amp; TC"/>
      <sheetName val="Pub.sec.pensions"/>
      <sheetName val="Health"/>
      <sheetName val="Death"/>
      <sheetName val="Education"/>
      <sheetName val="TREND"/>
      <sheetName val="RESULT 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K99"/>
      <sheetName val="PSF"/>
      <sheetName val="QsYs"/>
      <sheetName val="Dis master"/>
      <sheetName val="Ranges"/>
      <sheetName val="Dis_master1"/>
      <sheetName val="Population"/>
      <sheetName val="A2_Log"/>
      <sheetName val="headroom"/>
      <sheetName val="Price x Volume Calcs"/>
      <sheetName val="C_TOC Capex"/>
      <sheetName val="C_Working Cap"/>
      <sheetName val="C_Funding"/>
      <sheetName val="I_Calcs"/>
      <sheetName val="Financial Calcs"/>
      <sheetName val="Indices &amp; Rates"/>
      <sheetName val="D8_Lockup_calc"/>
      <sheetName val="A5_User Manual &amp; Ass"/>
      <sheetName val="Template Control"/>
      <sheetName val="B3 _Ass Yr-Yr"/>
      <sheetName val="Price &amp; Volume Tables"/>
      <sheetName val="CASHFLOW Gen Income"/>
      <sheetName val="Dis_master"/>
      <sheetName val="Price_x_Volume_Calcs"/>
      <sheetName val="C_TOC_Capex"/>
      <sheetName val="C_Working_Cap"/>
      <sheetName val="Financial_Calcs"/>
      <sheetName val="Indices_&amp;_Rates"/>
      <sheetName val="A5_User_Manual_&amp;_Ass"/>
      <sheetName val="Template_Control"/>
      <sheetName val="B3__Ass_Yr-Yr"/>
      <sheetName val="Price_&amp;_Volume_Tables"/>
      <sheetName val="List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f output"/>
      <sheetName val="Manuf PMIs"/>
      <sheetName val="Manuf output PMIs"/>
      <sheetName val="Manuf export PMIs"/>
      <sheetName val="FAME Persistence2"/>
      <sheetName val="Manuf delivery times"/>
      <sheetName val="Services PMIs"/>
      <sheetName val="Composite PMIs"/>
      <sheetName val="Future PMIs"/>
      <sheetName val="Composite input prices"/>
      <sheetName val="Composite output prices"/>
    </sheetNames>
    <sheetDataSet>
      <sheetData sheetId="0">
        <row r="2">
          <cell r="B2" t="str">
            <v>Name</v>
          </cell>
        </row>
      </sheetData>
      <sheetData sheetId="1">
        <row r="2">
          <cell r="B2" t="str">
            <v>Name</v>
          </cell>
        </row>
      </sheetData>
      <sheetData sheetId="2">
        <row r="2">
          <cell r="B2" t="str">
            <v>Name</v>
          </cell>
        </row>
      </sheetData>
      <sheetData sheetId="3">
        <row r="2">
          <cell r="B2" t="str">
            <v>Name</v>
          </cell>
        </row>
      </sheetData>
      <sheetData sheetId="4"/>
      <sheetData sheetId="5">
        <row r="4">
          <cell r="B4" t="str">
            <v>Name</v>
          </cell>
          <cell r="M4" t="str">
            <v>Name</v>
          </cell>
          <cell r="Y4" t="str">
            <v>Name</v>
          </cell>
          <cell r="AK4" t="str">
            <v>Name</v>
          </cell>
        </row>
      </sheetData>
      <sheetData sheetId="6">
        <row r="2">
          <cell r="B2" t="str">
            <v>Name</v>
          </cell>
        </row>
      </sheetData>
      <sheetData sheetId="7">
        <row r="2">
          <cell r="B2" t="str">
            <v>Name</v>
          </cell>
        </row>
      </sheetData>
      <sheetData sheetId="8"/>
      <sheetData sheetId="9">
        <row r="2">
          <cell r="B2" t="str">
            <v>Name</v>
          </cell>
        </row>
      </sheetData>
      <sheetData sheetId="10">
        <row r="2">
          <cell r="B2" t="str">
            <v>Name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Regional data"/>
      <sheetName val="World GDP"/>
      <sheetName val="DfW"/>
      <sheetName val="MPR chart"/>
    </sheetNames>
    <sheetDataSet>
      <sheetData sheetId="0" refreshError="1"/>
      <sheetData sheetId="1">
        <row r="5">
          <cell r="A5" t="str">
            <v>Name</v>
          </cell>
        </row>
      </sheetData>
      <sheetData sheetId="2">
        <row r="10">
          <cell r="C10">
            <v>2.5332649515071415</v>
          </cell>
        </row>
      </sheetData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il"/>
      <sheetName val="All data and charts"/>
      <sheetName val="MPR Chart"/>
      <sheetName val="DfW"/>
      <sheetName val="FAME Persistence2"/>
    </sheetNames>
    <sheetDataSet>
      <sheetData sheetId="0" refreshError="1"/>
      <sheetData sheetId="1">
        <row r="317">
          <cell r="B317">
            <v>5.2767847919716893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GFK"/>
      <sheetName val="Reuters"/>
      <sheetName val="OPN"/>
    </sheetNames>
    <sheetDataSet>
      <sheetData sheetId="0"/>
      <sheetData sheetId="1"/>
      <sheetData sheetId="2">
        <row r="2">
          <cell r="B2" t="str">
            <v>Name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W"/>
      <sheetName val="MPR CHART"/>
      <sheetName val="Spot prices EUR_MWh chart"/>
      <sheetName val="Info_BBG Codes"/>
      <sheetName val="Control "/>
      <sheetName val="Gas spot prices"/>
      <sheetName val="UK Gas future prices"/>
      <sheetName val="Gas spot prices - hard pasted"/>
      <sheetName val="FX"/>
      <sheetName val="Brent oil"/>
      <sheetName val="NOCs"/>
      <sheetName val="Other"/>
      <sheetName val="Table "/>
      <sheetName val="Table-old "/>
      <sheetName val="Weekly table_old"/>
      <sheetName val="1-day futures chart for monitor"/>
      <sheetName val="April 23 gas future vintages"/>
      <sheetName val="Gas oil equivalent"/>
      <sheetName val="Weekly table"/>
      <sheetName val="Weekly monitor charts"/>
      <sheetName val="Gas future spreads"/>
      <sheetName val="UK power baseload prices"/>
      <sheetName val="Weekly monitor Chart"/>
      <sheetName val="Brent oil futures chart_"/>
      <sheetName val="Brent oil futures"/>
      <sheetName val="Sheet1"/>
      <sheetName val="Urals"/>
      <sheetName val="MPR 15day avg £_therm"/>
      <sheetName val="Gas spot pence_therm chart "/>
      <sheetName val="Historic futures--&gt;"/>
      <sheetName val="March 23 gas future vintages"/>
      <sheetName val="Feb 23 gas future vintages"/>
      <sheetName val="Jan 23 gas future vintages"/>
      <sheetName val="Dec 22 gas future vintages"/>
      <sheetName val="Nov 22 gas future vintages"/>
      <sheetName val="Oct 22 gas future vintages"/>
      <sheetName val="Sept 22 gas future vintag"/>
      <sheetName val="August 22 gas future vintages"/>
      <sheetName val="July 22 gas future vintages"/>
      <sheetName val="June 22 gas future vintages"/>
      <sheetName val="May 22 gas future vintages"/>
      <sheetName val="April 22 gas future vintage"/>
      <sheetName val="March 22 gas future vintages"/>
      <sheetName val="Gas futures Feb MPR"/>
      <sheetName val="Gas futures May MPR"/>
      <sheetName val="Gas futures MPR"/>
      <sheetName val="OLD"/>
      <sheetName val="UK gas futures historic"/>
      <sheetName val="EA gas futures historic"/>
      <sheetName val="Feb MPR avg_Gas and Oil futures"/>
      <sheetName val="FAME Persistenc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ingData"/>
      <sheetName val="Futures"/>
      <sheetName val="chartdata"/>
      <sheetName val="DfW"/>
      <sheetName val="MPR Chart"/>
    </sheetNames>
    <sheetDataSet>
      <sheetData sheetId="0" refreshError="1"/>
      <sheetData sheetId="1"/>
      <sheetData sheetId="2">
        <row r="2">
          <cell r="A2">
            <v>43466</v>
          </cell>
        </row>
      </sheetData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&quot;Name&quot; Ranges"/>
      <sheetName val="Info"/>
      <sheetName val="Control"/>
      <sheetName val="Weights summary"/>
      <sheetName val="DS - US (S weight source)"/>
      <sheetName val="DS - €A (S weights source)"/>
      <sheetName val="DS - China (S weight source)"/>
      <sheetName val="DS - Japan (S weight source)"/>
      <sheetName val="SR weights"/>
      <sheetName val="FAME Persistence2"/>
      <sheetName val="Weights source (PPP)"/>
      <sheetName val="PPP wt -Agg (Annual) "/>
      <sheetName val="PPP wt - Agg (Quarterly)"/>
      <sheetName val="Weights source (UK)"/>
      <sheetName val="UK-trade wt - Agg (Annual)"/>
      <sheetName val="UK-trade wt - Agg (Quarterly)"/>
      <sheetName val="Weights source (MER-GDP)"/>
      <sheetName val="MER-GDP wt - Agg (Annual)"/>
      <sheetName val="MER-GDP wt - Agg (Quarterly)"/>
      <sheetName val="Weights source (MER-trade)"/>
      <sheetName val="MER-trade wt - Agg (Annual)"/>
      <sheetName val="MER-trade wt - Agg (Quarterly)"/>
      <sheetName val="PPP weights - GROUP for Oil GDP"/>
      <sheetName val="Oil Consumption weights source"/>
      <sheetName val="Oil Consumption weights summary"/>
    </sheetNames>
    <sheetDataSet>
      <sheetData sheetId="0"/>
      <sheetData sheetId="1"/>
      <sheetData sheetId="2">
        <row r="5">
          <cell r="D5">
            <v>43830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">
          <cell r="A7">
            <v>29586</v>
          </cell>
        </row>
      </sheetData>
      <sheetData sheetId="12"/>
      <sheetData sheetId="13"/>
      <sheetData sheetId="14">
        <row r="7">
          <cell r="A7">
            <v>29586</v>
          </cell>
        </row>
      </sheetData>
      <sheetData sheetId="15"/>
      <sheetData sheetId="16"/>
      <sheetData sheetId="17">
        <row r="7">
          <cell r="A7">
            <v>29586</v>
          </cell>
        </row>
      </sheetData>
      <sheetData sheetId="18"/>
      <sheetData sheetId="19"/>
      <sheetData sheetId="20">
        <row r="7">
          <cell r="A7">
            <v>29586</v>
          </cell>
        </row>
      </sheetData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1D9E-F03B-4246-BF89-DA007322FCDA}">
  <dimension ref="A1:G9"/>
  <sheetViews>
    <sheetView workbookViewId="0">
      <selection activeCell="I19" sqref="I19"/>
    </sheetView>
  </sheetViews>
  <sheetFormatPr defaultRowHeight="15" x14ac:dyDescent="0.25"/>
  <cols>
    <col min="1" max="1" width="11.28515625" customWidth="1"/>
  </cols>
  <sheetData>
    <row r="1" spans="1:7" x14ac:dyDescent="0.25">
      <c r="A1" s="4" t="s">
        <v>164</v>
      </c>
    </row>
    <row r="2" spans="1:7" x14ac:dyDescent="0.25">
      <c r="B2" t="s">
        <v>165</v>
      </c>
      <c r="C2" t="s">
        <v>166</v>
      </c>
      <c r="D2" t="s">
        <v>174</v>
      </c>
      <c r="E2" t="s">
        <v>167</v>
      </c>
    </row>
    <row r="3" spans="1:7" ht="30" x14ac:dyDescent="0.25">
      <c r="A3" s="2" t="s">
        <v>168</v>
      </c>
      <c r="B3" s="1">
        <v>37</v>
      </c>
      <c r="C3" s="1">
        <f>80-B3</f>
        <v>43</v>
      </c>
      <c r="D3" s="1"/>
      <c r="E3" s="1">
        <f>SUM(B3:C3)</f>
        <v>80</v>
      </c>
      <c r="G3" s="1">
        <f>SUM('APF gilt sales'!H3:H592)/1000</f>
        <v>41.994000000000014</v>
      </c>
    </row>
    <row r="4" spans="1:7" ht="30" x14ac:dyDescent="0.25">
      <c r="A4" s="2" t="s">
        <v>169</v>
      </c>
      <c r="B4" s="1">
        <v>50</v>
      </c>
      <c r="C4" s="1">
        <f>100-B4</f>
        <v>50</v>
      </c>
      <c r="D4" s="1"/>
      <c r="E4" s="1">
        <f t="shared" ref="E4" si="0">SUM(B4:C4)</f>
        <v>100</v>
      </c>
      <c r="G4" s="1">
        <f>SUM('APF gilt sales'!H593:H1125)/1000</f>
        <v>40.989499999999992</v>
      </c>
    </row>
    <row r="5" spans="1:7" ht="30" x14ac:dyDescent="0.25">
      <c r="A5" s="2" t="s">
        <v>170</v>
      </c>
      <c r="B5" s="1">
        <f>'Maturity Profile of APF (Table)'!H4</f>
        <v>87.187539232999995</v>
      </c>
      <c r="C5" s="1">
        <f>100-B5</f>
        <v>12.812460767000005</v>
      </c>
      <c r="D5" s="1"/>
      <c r="E5" s="1">
        <f>SUM(B5:D5)</f>
        <v>100</v>
      </c>
    </row>
    <row r="6" spans="1:7" ht="30" x14ac:dyDescent="0.25">
      <c r="A6" s="2" t="s">
        <v>171</v>
      </c>
      <c r="B6" s="1">
        <f>'Maturity Profile of APF (Table)'!H5</f>
        <v>49.127840932827311</v>
      </c>
      <c r="C6" s="1"/>
      <c r="D6" s="1">
        <f>75-B6</f>
        <v>25.872159067172689</v>
      </c>
      <c r="E6" s="1">
        <f t="shared" ref="E6:E8" si="1">SUM(B6:D6)</f>
        <v>75</v>
      </c>
    </row>
    <row r="7" spans="1:7" ht="30" x14ac:dyDescent="0.25">
      <c r="A7" s="2" t="s">
        <v>172</v>
      </c>
      <c r="B7" s="1">
        <f>'Maturity Profile of APF (Table)'!H6</f>
        <v>30.505273803655086</v>
      </c>
      <c r="C7" s="1"/>
      <c r="D7" s="1">
        <f>50-B7</f>
        <v>19.494726196344914</v>
      </c>
      <c r="E7" s="1">
        <f t="shared" si="1"/>
        <v>50</v>
      </c>
    </row>
    <row r="8" spans="1:7" ht="30" x14ac:dyDescent="0.25">
      <c r="A8" s="2" t="s">
        <v>173</v>
      </c>
      <c r="B8" s="1">
        <f>'Maturity Profile of APF (Table)'!H7</f>
        <v>29.223226360099716</v>
      </c>
      <c r="C8" s="1"/>
      <c r="D8" s="1">
        <f>31-B8</f>
        <v>1.7767736399002843</v>
      </c>
      <c r="E8" s="1">
        <f t="shared" si="1"/>
        <v>31</v>
      </c>
    </row>
    <row r="9" spans="1:7" x14ac:dyDescent="0.25">
      <c r="A9" s="2"/>
      <c r="B9" s="1"/>
      <c r="C9" s="1"/>
      <c r="D9" s="1"/>
      <c r="E9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1884D-3E0C-4851-B8C2-DB34B41D0BC1}">
  <dimension ref="A1:K53"/>
  <sheetViews>
    <sheetView zoomScale="90" zoomScaleNormal="90" workbookViewId="0">
      <selection activeCell="H4" sqref="H4"/>
    </sheetView>
  </sheetViews>
  <sheetFormatPr defaultRowHeight="15" x14ac:dyDescent="0.25"/>
  <cols>
    <col min="1" max="1" width="24.5703125" customWidth="1"/>
    <col min="2" max="2" width="21" customWidth="1"/>
    <col min="3" max="3" width="24.42578125" customWidth="1"/>
    <col min="4" max="4" width="26.42578125" customWidth="1"/>
    <col min="5" max="5" width="21.7109375" customWidth="1"/>
    <col min="7" max="7" width="10.7109375" bestFit="1" customWidth="1"/>
  </cols>
  <sheetData>
    <row r="1" spans="1:11" x14ac:dyDescent="0.25">
      <c r="A1" s="64" t="s">
        <v>0</v>
      </c>
      <c r="B1" s="64"/>
      <c r="C1" s="64"/>
      <c r="D1" s="64"/>
    </row>
    <row r="2" spans="1:11" ht="32.1" customHeight="1" x14ac:dyDescent="0.25">
      <c r="A2" s="5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spans="1:11" x14ac:dyDescent="0.25">
      <c r="A3" s="7" t="s">
        <v>6</v>
      </c>
      <c r="B3" s="8"/>
      <c r="C3" s="9"/>
      <c r="D3" s="10"/>
      <c r="E3" s="11">
        <v>687.64881862840366</v>
      </c>
    </row>
    <row r="4" spans="1:11" x14ac:dyDescent="0.25">
      <c r="A4" s="12" t="s">
        <v>7</v>
      </c>
      <c r="B4" s="8">
        <v>45542</v>
      </c>
      <c r="C4" s="13">
        <v>23.517199999999992</v>
      </c>
      <c r="D4" s="11">
        <v>26.286768434000006</v>
      </c>
      <c r="E4" s="11">
        <v>661.36205019440365</v>
      </c>
      <c r="G4" t="s">
        <v>55</v>
      </c>
      <c r="H4" s="3">
        <f>SUM(D5:D8)</f>
        <v>87.187539232999995</v>
      </c>
      <c r="K4" s="3">
        <f>+H4</f>
        <v>87.187539232999995</v>
      </c>
    </row>
    <row r="5" spans="1:11" x14ac:dyDescent="0.25">
      <c r="A5" s="12" t="s">
        <v>8</v>
      </c>
      <c r="B5" s="8">
        <v>45688</v>
      </c>
      <c r="C5" s="13">
        <v>6.0229999999999988</v>
      </c>
      <c r="D5" s="11">
        <v>5.9961053939999989</v>
      </c>
      <c r="E5" s="11">
        <v>655.36594480040367</v>
      </c>
      <c r="G5" t="s">
        <v>56</v>
      </c>
      <c r="H5" s="3">
        <f>SUM(D9:D10)</f>
        <v>49.127840932827311</v>
      </c>
      <c r="K5" s="3">
        <f>+H5+K4</f>
        <v>136.31538016582732</v>
      </c>
    </row>
    <row r="6" spans="1:11" x14ac:dyDescent="0.25">
      <c r="A6" s="12" t="s">
        <v>9</v>
      </c>
      <c r="B6" s="8">
        <v>45723</v>
      </c>
      <c r="C6" s="13">
        <v>18.986599999999996</v>
      </c>
      <c r="D6" s="11">
        <v>23.217043341999997</v>
      </c>
      <c r="E6" s="11">
        <v>632.14890145840377</v>
      </c>
      <c r="G6" t="s">
        <v>57</v>
      </c>
      <c r="H6" s="3">
        <f>SUM(D11:D12)</f>
        <v>30.505273803655086</v>
      </c>
      <c r="K6" s="3">
        <f t="shared" ref="K6:K9" si="0">+H6+K5</f>
        <v>166.82065396948241</v>
      </c>
    </row>
    <row r="7" spans="1:11" x14ac:dyDescent="0.25">
      <c r="A7" s="12" t="s">
        <v>10</v>
      </c>
      <c r="B7" s="8">
        <v>45815</v>
      </c>
      <c r="C7" s="13">
        <v>28.8354</v>
      </c>
      <c r="D7" s="11">
        <v>29.642377743000004</v>
      </c>
      <c r="E7" s="11">
        <v>602.50652371540355</v>
      </c>
      <c r="G7" t="s">
        <v>58</v>
      </c>
      <c r="H7" s="3">
        <f>SUM(D13:D14)</f>
        <v>29.223226360099716</v>
      </c>
      <c r="K7" s="3">
        <f t="shared" si="0"/>
        <v>196.04388032958212</v>
      </c>
    </row>
    <row r="8" spans="1:11" x14ac:dyDescent="0.25">
      <c r="A8" s="12" t="s">
        <v>11</v>
      </c>
      <c r="B8" s="8">
        <v>45907</v>
      </c>
      <c r="C8" s="13">
        <v>26.1983</v>
      </c>
      <c r="D8" s="11">
        <v>28.332012754000001</v>
      </c>
      <c r="E8" s="11">
        <v>574.1745109614036</v>
      </c>
      <c r="G8" t="s">
        <v>59</v>
      </c>
      <c r="H8" s="3">
        <f>SUM(D15:D17)</f>
        <v>36.662547300085905</v>
      </c>
      <c r="K8" s="3">
        <f t="shared" si="0"/>
        <v>232.70642762966804</v>
      </c>
    </row>
    <row r="9" spans="1:11" x14ac:dyDescent="0.25">
      <c r="A9" s="12" t="s">
        <v>12</v>
      </c>
      <c r="B9" s="8">
        <v>46052</v>
      </c>
      <c r="C9" s="13">
        <v>19.863600000000005</v>
      </c>
      <c r="D9" s="11">
        <v>19.790573618587331</v>
      </c>
      <c r="E9" s="11">
        <v>554.38393734281635</v>
      </c>
      <c r="G9" t="s">
        <v>60</v>
      </c>
      <c r="H9" s="3">
        <f>SUM(D18)</f>
        <v>28.983779871842955</v>
      </c>
      <c r="K9" s="3">
        <f t="shared" si="0"/>
        <v>261.690207501511</v>
      </c>
    </row>
    <row r="10" spans="1:11" x14ac:dyDescent="0.25">
      <c r="A10" s="12" t="s">
        <v>13</v>
      </c>
      <c r="B10" s="8">
        <v>46225</v>
      </c>
      <c r="C10" s="13">
        <v>27.378399999999999</v>
      </c>
      <c r="D10" s="11">
        <v>29.337267314239977</v>
      </c>
      <c r="E10" s="11">
        <v>525.04667002857627</v>
      </c>
    </row>
    <row r="11" spans="1:11" x14ac:dyDescent="0.25">
      <c r="A11" s="12" t="s">
        <v>14</v>
      </c>
      <c r="B11" s="8">
        <v>46317</v>
      </c>
      <c r="C11" s="13">
        <v>5.7427999999999981</v>
      </c>
      <c r="D11" s="11">
        <v>5.7074497784670104</v>
      </c>
      <c r="E11" s="11">
        <v>519.33922025010929</v>
      </c>
    </row>
    <row r="12" spans="1:11" x14ac:dyDescent="0.25">
      <c r="A12" s="12" t="s">
        <v>15</v>
      </c>
      <c r="B12" s="8">
        <v>46590</v>
      </c>
      <c r="C12" s="13">
        <v>23.428000000000004</v>
      </c>
      <c r="D12" s="11">
        <v>24.797824025188078</v>
      </c>
      <c r="E12" s="11">
        <v>494.54139622492119</v>
      </c>
    </row>
    <row r="13" spans="1:11" x14ac:dyDescent="0.25">
      <c r="A13" s="12" t="s">
        <v>16</v>
      </c>
      <c r="B13" s="8">
        <v>46728</v>
      </c>
      <c r="C13" s="13">
        <v>17.051999999999996</v>
      </c>
      <c r="D13" s="11">
        <v>18.916816072842725</v>
      </c>
      <c r="E13" s="11">
        <v>475.62458015207847</v>
      </c>
    </row>
    <row r="14" spans="1:11" x14ac:dyDescent="0.25">
      <c r="A14" s="12" t="s">
        <v>17</v>
      </c>
      <c r="B14" s="8">
        <v>46783</v>
      </c>
      <c r="C14" s="13">
        <v>10.462599999999998</v>
      </c>
      <c r="D14" s="11">
        <v>10.306410287256989</v>
      </c>
      <c r="E14" s="11">
        <v>465.31816986482147</v>
      </c>
    </row>
    <row r="15" spans="1:11" x14ac:dyDescent="0.25">
      <c r="A15" s="12" t="s">
        <v>18</v>
      </c>
      <c r="B15" s="8">
        <v>47048</v>
      </c>
      <c r="C15" s="13">
        <v>22.479900000000001</v>
      </c>
      <c r="D15" s="11">
        <v>25.052075231415191</v>
      </c>
      <c r="E15" s="11">
        <v>440.26609463340623</v>
      </c>
    </row>
    <row r="16" spans="1:11" x14ac:dyDescent="0.25">
      <c r="A16" s="12" t="s">
        <v>19</v>
      </c>
      <c r="B16" s="8">
        <v>47094</v>
      </c>
      <c r="C16" s="13">
        <v>8.2904999999999998</v>
      </c>
      <c r="D16" s="11">
        <v>11.070936482627788</v>
      </c>
      <c r="E16" s="11">
        <v>429.19515815077847</v>
      </c>
    </row>
    <row r="17" spans="1:5" x14ac:dyDescent="0.25">
      <c r="A17" s="12" t="s">
        <v>20</v>
      </c>
      <c r="B17" s="8">
        <v>47149</v>
      </c>
      <c r="C17" s="13">
        <v>0.55400000000000005</v>
      </c>
      <c r="D17" s="11">
        <v>0.5395355860429234</v>
      </c>
      <c r="E17" s="11">
        <v>428.65562256473555</v>
      </c>
    </row>
    <row r="18" spans="1:5" x14ac:dyDescent="0.25">
      <c r="A18" s="12" t="s">
        <v>21</v>
      </c>
      <c r="B18" s="8">
        <v>47413</v>
      </c>
      <c r="C18" s="13">
        <v>27.2681</v>
      </c>
      <c r="D18" s="11">
        <v>28.983779871842955</v>
      </c>
      <c r="E18" s="11">
        <v>399.67184269289254</v>
      </c>
    </row>
    <row r="19" spans="1:5" x14ac:dyDescent="0.25">
      <c r="A19" s="12" t="s">
        <v>22</v>
      </c>
      <c r="B19" s="8">
        <v>47778</v>
      </c>
      <c r="C19" s="13">
        <v>20.584400000000002</v>
      </c>
      <c r="D19" s="11">
        <v>20.481932834810628</v>
      </c>
      <c r="E19" s="11">
        <v>379.18990985808188</v>
      </c>
    </row>
    <row r="20" spans="1:5" x14ac:dyDescent="0.25">
      <c r="A20" s="12" t="s">
        <v>23</v>
      </c>
      <c r="B20" s="8">
        <v>47824</v>
      </c>
      <c r="C20" s="13">
        <v>21.278899999999997</v>
      </c>
      <c r="D20" s="11">
        <v>27.716418362307905</v>
      </c>
      <c r="E20" s="11">
        <v>351.47349149577394</v>
      </c>
    </row>
    <row r="21" spans="1:5" x14ac:dyDescent="0.25">
      <c r="A21" s="12" t="s">
        <v>24</v>
      </c>
      <c r="B21" s="8">
        <v>48060</v>
      </c>
      <c r="C21" s="13">
        <v>12.1419</v>
      </c>
      <c r="D21" s="11">
        <v>11.499676412399879</v>
      </c>
      <c r="E21" s="11">
        <v>339.97381508337406</v>
      </c>
    </row>
    <row r="22" spans="1:5" x14ac:dyDescent="0.25">
      <c r="A22" s="12" t="s">
        <v>25</v>
      </c>
      <c r="B22" s="8">
        <v>48372</v>
      </c>
      <c r="C22" s="13">
        <v>18.522200000000002</v>
      </c>
      <c r="D22" s="11">
        <v>21.823946250162152</v>
      </c>
      <c r="E22" s="11">
        <v>318.14986883321188</v>
      </c>
    </row>
    <row r="23" spans="1:5" x14ac:dyDescent="0.25">
      <c r="A23" s="12" t="s">
        <v>26</v>
      </c>
      <c r="B23" s="8">
        <v>48791</v>
      </c>
      <c r="C23" s="13">
        <v>0.34089999999999998</v>
      </c>
      <c r="D23" s="11">
        <v>0.33535712733859191</v>
      </c>
      <c r="E23" s="11">
        <v>317.81451170587331</v>
      </c>
    </row>
    <row r="24" spans="1:5" x14ac:dyDescent="0.25">
      <c r="A24" s="12" t="s">
        <v>27</v>
      </c>
      <c r="B24" s="8">
        <v>49194</v>
      </c>
      <c r="C24" s="13">
        <v>20.973800000000004</v>
      </c>
      <c r="D24" s="11">
        <v>28.768399861661749</v>
      </c>
      <c r="E24" s="11">
        <v>289.04611184421157</v>
      </c>
    </row>
    <row r="25" spans="1:5" x14ac:dyDescent="0.25">
      <c r="A25" s="12" t="s">
        <v>28</v>
      </c>
      <c r="B25" s="8">
        <v>49521</v>
      </c>
      <c r="C25" s="13">
        <v>11.072900000000001</v>
      </c>
      <c r="D25" s="11">
        <v>10.609788596099543</v>
      </c>
      <c r="E25" s="11">
        <v>278.4363232481121</v>
      </c>
    </row>
    <row r="26" spans="1:5" x14ac:dyDescent="0.25">
      <c r="A26" s="12" t="s">
        <v>29</v>
      </c>
      <c r="B26" s="8">
        <v>49741</v>
      </c>
      <c r="C26" s="13">
        <v>11.3406</v>
      </c>
      <c r="D26" s="11">
        <v>15.043228505526878</v>
      </c>
      <c r="E26" s="11">
        <v>263.39309474258528</v>
      </c>
    </row>
    <row r="27" spans="1:5" x14ac:dyDescent="0.25">
      <c r="A27" s="12" t="s">
        <v>30</v>
      </c>
      <c r="B27" s="8">
        <v>50290</v>
      </c>
      <c r="C27" s="13">
        <v>10.313600000000001</v>
      </c>
      <c r="D27" s="11">
        <v>11.720301778821227</v>
      </c>
      <c r="E27" s="11">
        <v>251.67279296376404</v>
      </c>
    </row>
    <row r="28" spans="1:5" x14ac:dyDescent="0.25">
      <c r="A28" s="12" t="s">
        <v>31</v>
      </c>
      <c r="B28" s="8">
        <v>50746</v>
      </c>
      <c r="C28" s="13">
        <v>10.350600000000002</v>
      </c>
      <c r="D28" s="11">
        <v>13.271898185290819</v>
      </c>
      <c r="E28" s="11">
        <v>238.40089477847323</v>
      </c>
    </row>
    <row r="29" spans="1:5" x14ac:dyDescent="0.25">
      <c r="A29" s="12" t="s">
        <v>32</v>
      </c>
      <c r="B29" s="8">
        <v>51020</v>
      </c>
      <c r="C29" s="13">
        <v>10.960799999999999</v>
      </c>
      <c r="D29" s="11">
        <v>14.110664507004801</v>
      </c>
      <c r="E29" s="11">
        <v>224.29023027146843</v>
      </c>
    </row>
    <row r="30" spans="1:5" x14ac:dyDescent="0.25">
      <c r="A30" s="12" t="s">
        <v>33</v>
      </c>
      <c r="B30" s="8">
        <v>51477</v>
      </c>
      <c r="C30" s="13">
        <v>11.113599999999998</v>
      </c>
      <c r="D30" s="11">
        <v>14.80937724335935</v>
      </c>
      <c r="E30" s="11">
        <v>209.48085302810907</v>
      </c>
    </row>
    <row r="31" spans="1:5" x14ac:dyDescent="0.25">
      <c r="A31" s="12" t="s">
        <v>34</v>
      </c>
      <c r="B31" s="8">
        <v>51796</v>
      </c>
      <c r="C31" s="13">
        <v>8.5388000000000002</v>
      </c>
      <c r="D31" s="11">
        <v>9.1824213731950461</v>
      </c>
      <c r="E31" s="11">
        <v>200.29843165491403</v>
      </c>
    </row>
    <row r="32" spans="1:5" x14ac:dyDescent="0.25">
      <c r="A32" s="12" t="s">
        <v>35</v>
      </c>
      <c r="B32" s="8">
        <v>52207</v>
      </c>
      <c r="C32" s="13">
        <v>8.3928000000000011</v>
      </c>
      <c r="D32" s="11">
        <v>11.222834120329464</v>
      </c>
      <c r="E32" s="11">
        <v>189.07559753458457</v>
      </c>
    </row>
    <row r="33" spans="1:5" x14ac:dyDescent="0.25">
      <c r="A33" s="12" t="s">
        <v>36</v>
      </c>
      <c r="B33" s="8">
        <v>52618</v>
      </c>
      <c r="C33" s="13">
        <v>6.8056999999999999</v>
      </c>
      <c r="D33" s="11">
        <v>8.9848252157250794</v>
      </c>
      <c r="E33" s="11">
        <v>180.09077231885951</v>
      </c>
    </row>
    <row r="34" spans="1:5" x14ac:dyDescent="0.25">
      <c r="A34" s="12" t="s">
        <v>37</v>
      </c>
      <c r="B34" s="8">
        <v>52984</v>
      </c>
      <c r="C34" s="13">
        <v>8.7683999999999997</v>
      </c>
      <c r="D34" s="11">
        <v>12.687123535097504</v>
      </c>
      <c r="E34" s="11">
        <v>167.40364878376198</v>
      </c>
    </row>
    <row r="35" spans="1:5" x14ac:dyDescent="0.25">
      <c r="A35" s="12" t="s">
        <v>38</v>
      </c>
      <c r="B35" s="8">
        <v>53358</v>
      </c>
      <c r="C35" s="13">
        <v>5.6887999999999996</v>
      </c>
      <c r="D35" s="11">
        <v>5.3378362281557656</v>
      </c>
      <c r="E35" s="11">
        <v>162.06581255560621</v>
      </c>
    </row>
    <row r="36" spans="1:5" x14ac:dyDescent="0.25">
      <c r="A36" s="12" t="s">
        <v>39</v>
      </c>
      <c r="B36" s="8">
        <v>53668</v>
      </c>
      <c r="C36" s="13">
        <v>7.6609999999999996</v>
      </c>
      <c r="D36" s="11">
        <v>10.462609593561281</v>
      </c>
      <c r="E36" s="11">
        <v>151.60320296204492</v>
      </c>
    </row>
    <row r="37" spans="1:5" x14ac:dyDescent="0.25">
      <c r="A37" s="12" t="s">
        <v>40</v>
      </c>
      <c r="B37" s="8">
        <v>53895</v>
      </c>
      <c r="C37" s="13">
        <v>6.5825999999999993</v>
      </c>
      <c r="D37" s="11">
        <v>7.1181524342409057</v>
      </c>
      <c r="E37" s="11">
        <v>144.48505052780402</v>
      </c>
    </row>
    <row r="38" spans="1:5" x14ac:dyDescent="0.25">
      <c r="A38" s="12" t="s">
        <v>41</v>
      </c>
      <c r="B38" s="8">
        <v>54445</v>
      </c>
      <c r="C38" s="13">
        <v>18.357100000000003</v>
      </c>
      <c r="D38" s="11">
        <v>22.95734920890434</v>
      </c>
      <c r="E38" s="11">
        <v>121.52770131889969</v>
      </c>
    </row>
    <row r="39" spans="1:5" x14ac:dyDescent="0.25">
      <c r="A39" s="12" t="s">
        <v>42</v>
      </c>
      <c r="B39" s="8">
        <v>54764</v>
      </c>
      <c r="C39" s="13">
        <v>7.6110000000000015</v>
      </c>
      <c r="D39" s="11">
        <v>10.659299479137308</v>
      </c>
      <c r="E39" s="11">
        <v>110.86840183976236</v>
      </c>
    </row>
    <row r="40" spans="1:5" x14ac:dyDescent="0.25">
      <c r="A40" s="12" t="s">
        <v>43</v>
      </c>
      <c r="B40" s="8">
        <v>55083</v>
      </c>
      <c r="C40" s="13">
        <v>12.004099999999996</v>
      </c>
      <c r="D40" s="11">
        <v>10.781427510983297</v>
      </c>
      <c r="E40" s="11">
        <v>100.08697432877906</v>
      </c>
    </row>
    <row r="41" spans="1:5" x14ac:dyDescent="0.25">
      <c r="A41" s="12" t="s">
        <v>44</v>
      </c>
      <c r="B41" s="8">
        <v>55365</v>
      </c>
      <c r="C41" s="13">
        <v>1.9097999999999993</v>
      </c>
      <c r="D41" s="11">
        <v>1.9485572958232857</v>
      </c>
      <c r="E41" s="11">
        <v>98.1384170329558</v>
      </c>
    </row>
    <row r="42" spans="1:5" x14ac:dyDescent="0.25">
      <c r="A42" s="12" t="s">
        <v>45</v>
      </c>
      <c r="B42" s="8">
        <v>55722</v>
      </c>
      <c r="C42" s="13">
        <v>11.953900000000001</v>
      </c>
      <c r="D42" s="11">
        <v>17.231895675489891</v>
      </c>
      <c r="E42" s="11">
        <v>80.906521357465891</v>
      </c>
    </row>
    <row r="43" spans="1:5" x14ac:dyDescent="0.25">
      <c r="A43" s="12" t="s">
        <v>46</v>
      </c>
      <c r="B43" s="8">
        <v>56096</v>
      </c>
      <c r="C43" s="13">
        <v>1.9700000000000051E-2</v>
      </c>
      <c r="D43" s="11">
        <v>2.2960544678872645E-2</v>
      </c>
      <c r="E43" s="11">
        <v>80.883560812787024</v>
      </c>
    </row>
    <row r="44" spans="1:5" x14ac:dyDescent="0.25">
      <c r="A44" s="12" t="s">
        <v>47</v>
      </c>
      <c r="B44" s="8">
        <v>56544</v>
      </c>
      <c r="C44" s="13">
        <v>10.456799999999999</v>
      </c>
      <c r="D44" s="11">
        <v>13.138078452500276</v>
      </c>
      <c r="E44" s="11">
        <v>67.745482360286758</v>
      </c>
    </row>
    <row r="45" spans="1:5" x14ac:dyDescent="0.25">
      <c r="A45" s="12" t="s">
        <v>48</v>
      </c>
      <c r="B45" s="8">
        <v>56955</v>
      </c>
      <c r="C45" s="13">
        <v>10.221400000000001</v>
      </c>
      <c r="D45" s="11">
        <v>13.350127057260448</v>
      </c>
      <c r="E45" s="11">
        <v>54.3953553030263</v>
      </c>
    </row>
    <row r="46" spans="1:5" x14ac:dyDescent="0.25">
      <c r="A46" s="12" t="s">
        <v>49</v>
      </c>
      <c r="B46" s="8">
        <v>57548</v>
      </c>
      <c r="C46" s="13">
        <v>9.7007000000000012</v>
      </c>
      <c r="D46" s="11">
        <v>12.453459819983424</v>
      </c>
      <c r="E46" s="11">
        <v>41.941895483042877</v>
      </c>
    </row>
    <row r="47" spans="1:5" x14ac:dyDescent="0.25">
      <c r="A47" s="12" t="s">
        <v>50</v>
      </c>
      <c r="B47" s="8">
        <v>58462</v>
      </c>
      <c r="C47" s="13">
        <v>11.660000000000002</v>
      </c>
      <c r="D47" s="11">
        <v>17.348099748160301</v>
      </c>
      <c r="E47" s="11">
        <v>24.593795734882576</v>
      </c>
    </row>
    <row r="48" spans="1:5" x14ac:dyDescent="0.25">
      <c r="A48" s="12" t="s">
        <v>51</v>
      </c>
      <c r="B48" s="8">
        <v>59101</v>
      </c>
      <c r="C48" s="13">
        <v>0.49129999999999985</v>
      </c>
      <c r="D48" s="11">
        <v>0.44285327067936325</v>
      </c>
      <c r="E48" s="11">
        <v>24.150942464203212</v>
      </c>
    </row>
    <row r="49" spans="1:5" x14ac:dyDescent="0.25">
      <c r="A49" s="12" t="s">
        <v>52</v>
      </c>
      <c r="B49" s="8">
        <v>60470</v>
      </c>
      <c r="C49" s="13">
        <v>4.9352</v>
      </c>
      <c r="D49" s="11">
        <v>8.2780577754194837</v>
      </c>
      <c r="E49" s="11">
        <v>15.872884688783728</v>
      </c>
    </row>
    <row r="50" spans="1:5" x14ac:dyDescent="0.25">
      <c r="A50" s="12" t="s">
        <v>53</v>
      </c>
      <c r="B50" s="8">
        <v>61566</v>
      </c>
      <c r="C50" s="13">
        <v>4.7795000000000005</v>
      </c>
      <c r="D50" s="11">
        <v>8.9387106844280506</v>
      </c>
      <c r="E50" s="11">
        <v>6.9341740043556772</v>
      </c>
    </row>
    <row r="51" spans="1:5" x14ac:dyDescent="0.25">
      <c r="A51" s="12" t="s">
        <v>54</v>
      </c>
      <c r="B51" s="8">
        <v>62753</v>
      </c>
      <c r="C51" s="13">
        <v>5.0884999999999998</v>
      </c>
      <c r="D51" s="11">
        <v>6.9341740043556772</v>
      </c>
      <c r="E51" s="11">
        <v>0</v>
      </c>
    </row>
    <row r="52" spans="1:5" x14ac:dyDescent="0.25">
      <c r="A52" s="14"/>
      <c r="B52" s="15"/>
      <c r="C52" s="16"/>
      <c r="D52" s="17"/>
      <c r="E52" s="17"/>
    </row>
    <row r="53" spans="1:5" x14ac:dyDescent="0.25">
      <c r="A53" s="18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7339-9648-447A-A0B6-429E137B986D}">
  <dimension ref="B1:W1125"/>
  <sheetViews>
    <sheetView showGridLines="0" workbookViewId="0">
      <pane xSplit="1" ySplit="2" topLeftCell="B589" activePane="bottomRight" state="frozen"/>
      <selection pane="topRight" activeCell="B1" sqref="B1"/>
      <selection pane="bottomLeft" activeCell="A3" sqref="A3"/>
      <selection pane="bottomRight" activeCell="H917" sqref="H917"/>
    </sheetView>
  </sheetViews>
  <sheetFormatPr defaultColWidth="8.7109375" defaultRowHeight="15" x14ac:dyDescent="0.25"/>
  <cols>
    <col min="1" max="1" width="1.7109375" style="23" customWidth="1"/>
    <col min="2" max="2" width="17.5703125" style="23" customWidth="1"/>
    <col min="3" max="3" width="14.7109375" style="23" customWidth="1"/>
    <col min="4" max="4" width="17.5703125" style="23" customWidth="1"/>
    <col min="5" max="5" width="21.5703125" style="23" customWidth="1"/>
    <col min="6" max="13" width="17.5703125" style="23" customWidth="1"/>
    <col min="14" max="14" width="17.5703125" style="63" customWidth="1"/>
    <col min="15" max="16384" width="8.7109375" style="23"/>
  </cols>
  <sheetData>
    <row r="1" spans="2:14" ht="18.75" x14ac:dyDescent="0.25">
      <c r="B1" s="19" t="s">
        <v>61</v>
      </c>
      <c r="C1" s="20" t="s">
        <v>62</v>
      </c>
      <c r="D1" s="20" t="s">
        <v>62</v>
      </c>
      <c r="E1" s="20" t="s">
        <v>62</v>
      </c>
      <c r="F1" s="20" t="s">
        <v>62</v>
      </c>
      <c r="G1" s="20" t="s">
        <v>62</v>
      </c>
      <c r="H1" s="20" t="s">
        <v>62</v>
      </c>
      <c r="I1" s="20" t="s">
        <v>62</v>
      </c>
      <c r="J1" s="20" t="s">
        <v>62</v>
      </c>
      <c r="K1" s="21" t="s">
        <v>62</v>
      </c>
      <c r="L1" s="20" t="s">
        <v>62</v>
      </c>
      <c r="M1" s="21" t="s">
        <v>62</v>
      </c>
      <c r="N1" s="22" t="s">
        <v>62</v>
      </c>
    </row>
    <row r="2" spans="2:14" ht="57" x14ac:dyDescent="0.25">
      <c r="B2" s="20" t="s">
        <v>63</v>
      </c>
      <c r="C2" s="20" t="s">
        <v>64</v>
      </c>
      <c r="D2" s="20" t="s">
        <v>65</v>
      </c>
      <c r="E2" s="20" t="s">
        <v>66</v>
      </c>
      <c r="F2" s="20" t="s">
        <v>67</v>
      </c>
      <c r="G2" s="20" t="s">
        <v>68</v>
      </c>
      <c r="H2" s="20" t="s">
        <v>69</v>
      </c>
      <c r="I2" s="20" t="s">
        <v>70</v>
      </c>
      <c r="J2" s="20" t="s">
        <v>71</v>
      </c>
      <c r="K2" s="21" t="s">
        <v>72</v>
      </c>
      <c r="L2" s="20" t="s">
        <v>73</v>
      </c>
      <c r="M2" s="21" t="s">
        <v>74</v>
      </c>
      <c r="N2" s="22" t="s">
        <v>75</v>
      </c>
    </row>
    <row r="3" spans="2:14" x14ac:dyDescent="0.25">
      <c r="B3" s="24">
        <v>44866</v>
      </c>
      <c r="C3" s="24">
        <v>44867</v>
      </c>
      <c r="D3" s="25" t="s">
        <v>76</v>
      </c>
      <c r="E3" s="25" t="s">
        <v>77</v>
      </c>
      <c r="F3" s="26">
        <v>969.35602400000005</v>
      </c>
      <c r="G3" s="27">
        <v>491.10866616848301</v>
      </c>
      <c r="H3" s="26">
        <v>545</v>
      </c>
      <c r="I3" s="28">
        <v>3.3817010000000001</v>
      </c>
      <c r="J3" s="28">
        <v>90.079413000000002</v>
      </c>
      <c r="K3" s="28">
        <v>90.09</v>
      </c>
      <c r="L3" s="29">
        <v>100</v>
      </c>
      <c r="M3" s="28">
        <v>90.07</v>
      </c>
      <c r="N3" s="29">
        <v>9.4129999999999995E-3</v>
      </c>
    </row>
    <row r="4" spans="2:14" x14ac:dyDescent="0.25">
      <c r="B4" s="24">
        <v>44866</v>
      </c>
      <c r="C4" s="24">
        <v>44867</v>
      </c>
      <c r="D4" s="25" t="s">
        <v>78</v>
      </c>
      <c r="E4" s="25" t="s">
        <v>79</v>
      </c>
      <c r="F4" s="26">
        <v>46.834918000000002</v>
      </c>
      <c r="G4" s="27">
        <v>0</v>
      </c>
      <c r="H4" s="26">
        <v>0</v>
      </c>
      <c r="I4" s="28">
        <v>0</v>
      </c>
      <c r="J4" s="28">
        <v>0</v>
      </c>
      <c r="K4" s="28">
        <v>0</v>
      </c>
      <c r="L4" s="29">
        <v>0</v>
      </c>
      <c r="M4" s="28">
        <v>0</v>
      </c>
      <c r="N4" s="29">
        <v>0</v>
      </c>
    </row>
    <row r="5" spans="2:14" x14ac:dyDescent="0.25">
      <c r="B5" s="24">
        <v>44866</v>
      </c>
      <c r="C5" s="24">
        <v>44867</v>
      </c>
      <c r="D5" s="25" t="s">
        <v>80</v>
      </c>
      <c r="E5" s="25" t="s">
        <v>81</v>
      </c>
      <c r="F5" s="26">
        <v>790.34977500000002</v>
      </c>
      <c r="G5" s="27">
        <v>170.28738490109399</v>
      </c>
      <c r="H5" s="26">
        <v>192.8</v>
      </c>
      <c r="I5" s="28">
        <v>3.5581170000000002</v>
      </c>
      <c r="J5" s="28">
        <v>88.311999999999998</v>
      </c>
      <c r="K5" s="28">
        <v>88.311999999999998</v>
      </c>
      <c r="L5" s="29">
        <v>44.837209000000001</v>
      </c>
      <c r="M5" s="28">
        <v>88.311999999999998</v>
      </c>
      <c r="N5" s="29">
        <v>0</v>
      </c>
    </row>
    <row r="6" spans="2:14" x14ac:dyDescent="0.25">
      <c r="B6" s="24">
        <v>44866</v>
      </c>
      <c r="C6" s="24">
        <v>44867</v>
      </c>
      <c r="D6" s="25" t="s">
        <v>82</v>
      </c>
      <c r="E6" s="25" t="s">
        <v>83</v>
      </c>
      <c r="F6" s="26">
        <v>275.53058499999997</v>
      </c>
      <c r="G6" s="27">
        <v>45.194932065214999</v>
      </c>
      <c r="H6" s="26">
        <v>50</v>
      </c>
      <c r="I6" s="28">
        <v>3.5607820000000001</v>
      </c>
      <c r="J6" s="28">
        <v>90.04</v>
      </c>
      <c r="K6" s="28">
        <v>90.04</v>
      </c>
      <c r="L6" s="29">
        <v>100</v>
      </c>
      <c r="M6" s="28">
        <v>90.04</v>
      </c>
      <c r="N6" s="29">
        <v>0</v>
      </c>
    </row>
    <row r="7" spans="2:14" x14ac:dyDescent="0.25">
      <c r="B7" s="24">
        <v>44866</v>
      </c>
      <c r="C7" s="24">
        <v>44867</v>
      </c>
      <c r="D7" s="25" t="s">
        <v>84</v>
      </c>
      <c r="E7" s="25" t="s">
        <v>85</v>
      </c>
      <c r="F7" s="26">
        <v>31.327373000000001</v>
      </c>
      <c r="G7" s="27">
        <v>0</v>
      </c>
      <c r="H7" s="26">
        <v>0</v>
      </c>
      <c r="I7" s="28">
        <v>0</v>
      </c>
      <c r="J7" s="28">
        <v>0</v>
      </c>
      <c r="K7" s="28">
        <v>0</v>
      </c>
      <c r="L7" s="29">
        <v>0</v>
      </c>
      <c r="M7" s="28">
        <v>0</v>
      </c>
      <c r="N7" s="29">
        <v>0</v>
      </c>
    </row>
    <row r="8" spans="2:14" x14ac:dyDescent="0.25">
      <c r="B8" s="24">
        <v>44866</v>
      </c>
      <c r="C8" s="24">
        <v>44867</v>
      </c>
      <c r="D8" s="25" t="s">
        <v>86</v>
      </c>
      <c r="E8" s="25" t="s">
        <v>87</v>
      </c>
      <c r="F8" s="26">
        <v>54.269753999999999</v>
      </c>
      <c r="G8" s="27">
        <v>0</v>
      </c>
      <c r="H8" s="26">
        <v>0</v>
      </c>
      <c r="I8" s="28">
        <v>0</v>
      </c>
      <c r="J8" s="28">
        <v>0</v>
      </c>
      <c r="K8" s="28">
        <v>0</v>
      </c>
      <c r="L8" s="29">
        <v>0</v>
      </c>
      <c r="M8" s="28">
        <v>0</v>
      </c>
      <c r="N8" s="29">
        <v>0</v>
      </c>
    </row>
    <row r="9" spans="2:14" x14ac:dyDescent="0.25">
      <c r="B9" s="24">
        <v>44866</v>
      </c>
      <c r="C9" s="24">
        <v>44867</v>
      </c>
      <c r="D9" s="25" t="s">
        <v>88</v>
      </c>
      <c r="E9" s="25" t="s">
        <v>89</v>
      </c>
      <c r="F9" s="26">
        <v>71.775284999999997</v>
      </c>
      <c r="G9" s="27">
        <v>22.444776785715</v>
      </c>
      <c r="H9" s="26">
        <v>25</v>
      </c>
      <c r="I9" s="28">
        <v>3.5490949999999999</v>
      </c>
      <c r="J9" s="28">
        <v>89.73</v>
      </c>
      <c r="K9" s="28">
        <v>89.73</v>
      </c>
      <c r="L9" s="29">
        <v>100</v>
      </c>
      <c r="M9" s="28">
        <v>89.73</v>
      </c>
      <c r="N9" s="29">
        <v>0</v>
      </c>
    </row>
    <row r="10" spans="2:14" x14ac:dyDescent="0.25">
      <c r="B10" s="24">
        <v>44866</v>
      </c>
      <c r="C10" s="24">
        <v>44867</v>
      </c>
      <c r="D10" s="25" t="s">
        <v>90</v>
      </c>
      <c r="E10" s="25" t="s">
        <v>91</v>
      </c>
      <c r="F10" s="26">
        <v>0</v>
      </c>
      <c r="G10" s="27">
        <v>0</v>
      </c>
      <c r="H10" s="26">
        <v>0</v>
      </c>
      <c r="I10" s="28">
        <v>0</v>
      </c>
      <c r="J10" s="28">
        <v>0</v>
      </c>
      <c r="K10" s="28">
        <v>0</v>
      </c>
      <c r="L10" s="29">
        <v>0</v>
      </c>
      <c r="M10" s="28">
        <v>0</v>
      </c>
      <c r="N10" s="29">
        <v>0</v>
      </c>
    </row>
    <row r="11" spans="2:14" x14ac:dyDescent="0.25">
      <c r="B11" s="24">
        <v>44866</v>
      </c>
      <c r="C11" s="24">
        <v>44867</v>
      </c>
      <c r="D11" s="25" t="s">
        <v>92</v>
      </c>
      <c r="E11" s="25" t="s">
        <v>93</v>
      </c>
      <c r="F11" s="26">
        <v>204.70528300000001</v>
      </c>
      <c r="G11" s="27">
        <v>20.921610576923001</v>
      </c>
      <c r="H11" s="26">
        <v>25</v>
      </c>
      <c r="I11" s="28">
        <v>3.5411630000000001</v>
      </c>
      <c r="J11" s="28">
        <v>83.66</v>
      </c>
      <c r="K11" s="28">
        <v>83.66</v>
      </c>
      <c r="L11" s="29">
        <v>100</v>
      </c>
      <c r="M11" s="28">
        <v>83.66</v>
      </c>
      <c r="N11" s="29">
        <v>0</v>
      </c>
    </row>
    <row r="12" spans="2:14" x14ac:dyDescent="0.25">
      <c r="B12" s="30">
        <v>44872</v>
      </c>
      <c r="C12" s="30">
        <v>44873</v>
      </c>
      <c r="D12" s="31" t="s">
        <v>94</v>
      </c>
      <c r="E12" s="31" t="s">
        <v>95</v>
      </c>
      <c r="F12" s="32">
        <v>133.67627300000001</v>
      </c>
      <c r="G12" s="33">
        <v>133.67627335164201</v>
      </c>
      <c r="H12" s="32">
        <v>170</v>
      </c>
      <c r="I12" s="34">
        <v>3.4755910000000001</v>
      </c>
      <c r="J12" s="34">
        <v>78.615622999999999</v>
      </c>
      <c r="K12" s="34">
        <v>78.632999999999996</v>
      </c>
      <c r="L12" s="35">
        <v>100</v>
      </c>
      <c r="M12" s="34">
        <v>78.430000000000007</v>
      </c>
      <c r="N12" s="35">
        <v>0.18562300000000001</v>
      </c>
    </row>
    <row r="13" spans="2:14" x14ac:dyDescent="0.25">
      <c r="B13" s="30">
        <v>44872</v>
      </c>
      <c r="C13" s="30">
        <v>44873</v>
      </c>
      <c r="D13" s="31" t="s">
        <v>96</v>
      </c>
      <c r="E13" s="31" t="s">
        <v>97</v>
      </c>
      <c r="F13" s="32">
        <v>61.101047999999999</v>
      </c>
      <c r="G13" s="33">
        <v>61.101048633879003</v>
      </c>
      <c r="H13" s="32">
        <v>55</v>
      </c>
      <c r="I13" s="34">
        <v>3.4502030000000001</v>
      </c>
      <c r="J13" s="34">
        <v>109.094223</v>
      </c>
      <c r="K13" s="34">
        <v>109.15600000000001</v>
      </c>
      <c r="L13" s="35">
        <v>100</v>
      </c>
      <c r="M13" s="34">
        <v>109.02</v>
      </c>
      <c r="N13" s="35">
        <v>7.4222999999999997E-2</v>
      </c>
    </row>
    <row r="14" spans="2:14" x14ac:dyDescent="0.25">
      <c r="B14" s="30">
        <v>44872</v>
      </c>
      <c r="C14" s="30">
        <v>44873</v>
      </c>
      <c r="D14" s="31" t="s">
        <v>98</v>
      </c>
      <c r="E14" s="31" t="s">
        <v>99</v>
      </c>
      <c r="F14" s="32">
        <v>64.817103000000003</v>
      </c>
      <c r="G14" s="33">
        <v>64.817103913043994</v>
      </c>
      <c r="H14" s="32">
        <v>86</v>
      </c>
      <c r="I14" s="34">
        <v>3.568219</v>
      </c>
      <c r="J14" s="34">
        <v>75.300898000000004</v>
      </c>
      <c r="K14" s="34">
        <v>75.382999999999996</v>
      </c>
      <c r="L14" s="35">
        <v>100</v>
      </c>
      <c r="M14" s="34">
        <v>75.16</v>
      </c>
      <c r="N14" s="35">
        <v>0.140898</v>
      </c>
    </row>
    <row r="15" spans="2:14" x14ac:dyDescent="0.25">
      <c r="B15" s="30">
        <v>44872</v>
      </c>
      <c r="C15" s="30">
        <v>44873</v>
      </c>
      <c r="D15" s="31" t="s">
        <v>100</v>
      </c>
      <c r="E15" s="31" t="s">
        <v>101</v>
      </c>
      <c r="F15" s="32">
        <v>26.834561999999998</v>
      </c>
      <c r="G15" s="33">
        <v>26.834562841530001</v>
      </c>
      <c r="H15" s="32">
        <v>25</v>
      </c>
      <c r="I15" s="34">
        <v>3.5607980000000001</v>
      </c>
      <c r="J15" s="34">
        <v>105.55</v>
      </c>
      <c r="K15" s="34">
        <v>105.55</v>
      </c>
      <c r="L15" s="35">
        <v>100</v>
      </c>
      <c r="M15" s="34">
        <v>105.55</v>
      </c>
      <c r="N15" s="35">
        <v>0</v>
      </c>
    </row>
    <row r="16" spans="2:14" x14ac:dyDescent="0.25">
      <c r="B16" s="30">
        <v>44872</v>
      </c>
      <c r="C16" s="30">
        <v>44873</v>
      </c>
      <c r="D16" s="31" t="s">
        <v>102</v>
      </c>
      <c r="E16" s="31" t="s">
        <v>103</v>
      </c>
      <c r="F16" s="32">
        <v>26.955179000000001</v>
      </c>
      <c r="G16" s="33">
        <v>26.955179558009998</v>
      </c>
      <c r="H16" s="32">
        <v>25</v>
      </c>
      <c r="I16" s="34">
        <v>3.755843</v>
      </c>
      <c r="J16" s="34">
        <v>107.05</v>
      </c>
      <c r="K16" s="34">
        <v>107.05</v>
      </c>
      <c r="L16" s="35">
        <v>100</v>
      </c>
      <c r="M16" s="34">
        <v>107.05</v>
      </c>
      <c r="N16" s="35">
        <v>0</v>
      </c>
    </row>
    <row r="17" spans="2:14" x14ac:dyDescent="0.25">
      <c r="B17" s="30">
        <v>44872</v>
      </c>
      <c r="C17" s="30">
        <v>44873</v>
      </c>
      <c r="D17" s="31" t="s">
        <v>104</v>
      </c>
      <c r="E17" s="31" t="s">
        <v>105</v>
      </c>
      <c r="F17" s="32">
        <v>440.44443999999999</v>
      </c>
      <c r="G17" s="33">
        <v>189.570915108691</v>
      </c>
      <c r="H17" s="32">
        <v>279</v>
      </c>
      <c r="I17" s="34">
        <v>3.8513899999999999</v>
      </c>
      <c r="J17" s="34">
        <v>67.776888</v>
      </c>
      <c r="K17" s="34">
        <v>67.906999999999996</v>
      </c>
      <c r="L17" s="35">
        <v>52.666665999999999</v>
      </c>
      <c r="M17" s="34">
        <v>67.632999999999996</v>
      </c>
      <c r="N17" s="35">
        <v>0.14388799999999999</v>
      </c>
    </row>
    <row r="18" spans="2:14" x14ac:dyDescent="0.25">
      <c r="B18" s="30">
        <v>44872</v>
      </c>
      <c r="C18" s="30">
        <v>44873</v>
      </c>
      <c r="D18" s="31" t="s">
        <v>106</v>
      </c>
      <c r="E18" s="31" t="s">
        <v>107</v>
      </c>
      <c r="F18" s="32">
        <v>41.899560000000001</v>
      </c>
      <c r="G18" s="33">
        <v>41.899560220996001</v>
      </c>
      <c r="H18" s="32">
        <v>40</v>
      </c>
      <c r="I18" s="34">
        <v>3.860789</v>
      </c>
      <c r="J18" s="34">
        <v>104.021</v>
      </c>
      <c r="K18" s="34">
        <v>104.021</v>
      </c>
      <c r="L18" s="35">
        <v>100</v>
      </c>
      <c r="M18" s="34">
        <v>104.021</v>
      </c>
      <c r="N18" s="35">
        <v>0</v>
      </c>
    </row>
    <row r="19" spans="2:14" x14ac:dyDescent="0.25">
      <c r="B19" s="30">
        <v>44872</v>
      </c>
      <c r="C19" s="30">
        <v>44873</v>
      </c>
      <c r="D19" s="31" t="s">
        <v>108</v>
      </c>
      <c r="E19" s="31" t="s">
        <v>109</v>
      </c>
      <c r="F19" s="32">
        <v>208.44924</v>
      </c>
      <c r="G19" s="33">
        <v>197.12428176796701</v>
      </c>
      <c r="H19" s="32">
        <v>260</v>
      </c>
      <c r="I19" s="34">
        <v>3.9466169999999998</v>
      </c>
      <c r="J19" s="34">
        <v>75.517353999999997</v>
      </c>
      <c r="K19" s="34">
        <v>75.561000000000007</v>
      </c>
      <c r="L19" s="35">
        <v>100</v>
      </c>
      <c r="M19" s="34">
        <v>75.400000000000006</v>
      </c>
      <c r="N19" s="35">
        <v>0.117354</v>
      </c>
    </row>
    <row r="20" spans="2:14" x14ac:dyDescent="0.25">
      <c r="B20" s="30">
        <v>44872</v>
      </c>
      <c r="C20" s="30">
        <v>44873</v>
      </c>
      <c r="D20" s="31" t="s">
        <v>110</v>
      </c>
      <c r="E20" s="31" t="s">
        <v>111</v>
      </c>
      <c r="F20" s="32">
        <v>0</v>
      </c>
      <c r="G20" s="33">
        <v>0</v>
      </c>
      <c r="H20" s="32">
        <v>0</v>
      </c>
      <c r="I20" s="34">
        <v>0</v>
      </c>
      <c r="J20" s="34">
        <v>0</v>
      </c>
      <c r="K20" s="34">
        <v>0</v>
      </c>
      <c r="L20" s="35">
        <v>0</v>
      </c>
      <c r="M20" s="34">
        <v>0</v>
      </c>
      <c r="N20" s="35">
        <v>0</v>
      </c>
    </row>
    <row r="21" spans="2:14" x14ac:dyDescent="0.25">
      <c r="B21" s="30">
        <v>44872</v>
      </c>
      <c r="C21" s="30">
        <v>44873</v>
      </c>
      <c r="D21" s="31" t="s">
        <v>112</v>
      </c>
      <c r="E21" s="31" t="s">
        <v>113</v>
      </c>
      <c r="F21" s="32">
        <v>7.9854839999999996</v>
      </c>
      <c r="G21" s="33">
        <v>7.9854847826090003</v>
      </c>
      <c r="H21" s="32">
        <v>12</v>
      </c>
      <c r="I21" s="34">
        <v>3.965821</v>
      </c>
      <c r="J21" s="34">
        <v>66.239999999999995</v>
      </c>
      <c r="K21" s="34">
        <v>66.239999999999995</v>
      </c>
      <c r="L21" s="35">
        <v>100</v>
      </c>
      <c r="M21" s="34">
        <v>66.239999999999995</v>
      </c>
      <c r="N21" s="35">
        <v>0</v>
      </c>
    </row>
    <row r="22" spans="2:14" x14ac:dyDescent="0.25">
      <c r="B22" s="30">
        <v>44872</v>
      </c>
      <c r="C22" s="30">
        <v>44873</v>
      </c>
      <c r="D22" s="31" t="s">
        <v>114</v>
      </c>
      <c r="E22" s="31" t="s">
        <v>115</v>
      </c>
      <c r="F22" s="32">
        <v>0</v>
      </c>
      <c r="G22" s="33">
        <v>0</v>
      </c>
      <c r="H22" s="32">
        <v>0</v>
      </c>
      <c r="I22" s="34">
        <v>0</v>
      </c>
      <c r="J22" s="34">
        <v>0</v>
      </c>
      <c r="K22" s="34">
        <v>0</v>
      </c>
      <c r="L22" s="35">
        <v>0</v>
      </c>
      <c r="M22" s="34">
        <v>0</v>
      </c>
      <c r="N22" s="35">
        <v>0</v>
      </c>
    </row>
    <row r="23" spans="2:14" x14ac:dyDescent="0.25">
      <c r="B23" s="30">
        <v>44872</v>
      </c>
      <c r="C23" s="30">
        <v>44873</v>
      </c>
      <c r="D23" s="31" t="s">
        <v>116</v>
      </c>
      <c r="E23" s="31" t="s">
        <v>117</v>
      </c>
      <c r="F23" s="32">
        <v>0</v>
      </c>
      <c r="G23" s="33">
        <v>0</v>
      </c>
      <c r="H23" s="32">
        <v>0</v>
      </c>
      <c r="I23" s="34">
        <v>0</v>
      </c>
      <c r="J23" s="34">
        <v>0</v>
      </c>
      <c r="K23" s="34">
        <v>0</v>
      </c>
      <c r="L23" s="35">
        <v>0</v>
      </c>
      <c r="M23" s="34">
        <v>0</v>
      </c>
      <c r="N23" s="35">
        <v>0</v>
      </c>
    </row>
    <row r="24" spans="2:14" x14ac:dyDescent="0.25">
      <c r="B24" s="30">
        <v>44872</v>
      </c>
      <c r="C24" s="30">
        <v>44873</v>
      </c>
      <c r="D24" s="31" t="s">
        <v>118</v>
      </c>
      <c r="E24" s="31" t="s">
        <v>119</v>
      </c>
      <c r="F24" s="32">
        <v>0</v>
      </c>
      <c r="G24" s="33">
        <v>0</v>
      </c>
      <c r="H24" s="32">
        <v>0</v>
      </c>
      <c r="I24" s="34">
        <v>0</v>
      </c>
      <c r="J24" s="34">
        <v>0</v>
      </c>
      <c r="K24" s="34">
        <v>0</v>
      </c>
      <c r="L24" s="35">
        <v>0</v>
      </c>
      <c r="M24" s="34">
        <v>0</v>
      </c>
      <c r="N24" s="35">
        <v>0</v>
      </c>
    </row>
    <row r="25" spans="2:14" x14ac:dyDescent="0.25">
      <c r="B25" s="30">
        <v>44879</v>
      </c>
      <c r="C25" s="30">
        <v>44880</v>
      </c>
      <c r="D25" s="31" t="s">
        <v>76</v>
      </c>
      <c r="E25" s="31" t="s">
        <v>77</v>
      </c>
      <c r="F25" s="32">
        <v>477.417395</v>
      </c>
      <c r="G25" s="33">
        <v>459.28005815218302</v>
      </c>
      <c r="H25" s="32">
        <v>505</v>
      </c>
      <c r="I25" s="34">
        <v>3.126404</v>
      </c>
      <c r="J25" s="34">
        <v>90.909864999999996</v>
      </c>
      <c r="K25" s="34">
        <v>90.93</v>
      </c>
      <c r="L25" s="35">
        <v>100</v>
      </c>
      <c r="M25" s="34">
        <v>90.875</v>
      </c>
      <c r="N25" s="35">
        <v>3.4865E-2</v>
      </c>
    </row>
    <row r="26" spans="2:14" x14ac:dyDescent="0.25">
      <c r="B26" s="30">
        <v>44879</v>
      </c>
      <c r="C26" s="30">
        <v>44880</v>
      </c>
      <c r="D26" s="31" t="s">
        <v>78</v>
      </c>
      <c r="E26" s="31" t="s">
        <v>79</v>
      </c>
      <c r="F26" s="32">
        <v>283.73372799999999</v>
      </c>
      <c r="G26" s="33">
        <v>165.56894565217999</v>
      </c>
      <c r="H26" s="32">
        <v>175</v>
      </c>
      <c r="I26" s="34">
        <v>3.1987350000000001</v>
      </c>
      <c r="J26" s="34">
        <v>94.138000000000005</v>
      </c>
      <c r="K26" s="34">
        <v>94.146000000000001</v>
      </c>
      <c r="L26" s="35">
        <v>100</v>
      </c>
      <c r="M26" s="34">
        <v>94.132999999999996</v>
      </c>
      <c r="N26" s="35">
        <v>5.0000000000000001E-3</v>
      </c>
    </row>
    <row r="27" spans="2:14" x14ac:dyDescent="0.25">
      <c r="B27" s="30">
        <v>44879</v>
      </c>
      <c r="C27" s="30">
        <v>44880</v>
      </c>
      <c r="D27" s="31" t="s">
        <v>80</v>
      </c>
      <c r="E27" s="31" t="s">
        <v>81</v>
      </c>
      <c r="F27" s="32">
        <v>187.52567300000001</v>
      </c>
      <c r="G27" s="33">
        <v>0</v>
      </c>
      <c r="H27" s="32">
        <v>0</v>
      </c>
      <c r="I27" s="34">
        <v>0</v>
      </c>
      <c r="J27" s="34">
        <v>0</v>
      </c>
      <c r="K27" s="34">
        <v>0</v>
      </c>
      <c r="L27" s="35">
        <v>0</v>
      </c>
      <c r="M27" s="34">
        <v>0</v>
      </c>
      <c r="N27" s="35">
        <v>0</v>
      </c>
    </row>
    <row r="28" spans="2:14" x14ac:dyDescent="0.25">
      <c r="B28" s="30">
        <v>44879</v>
      </c>
      <c r="C28" s="30">
        <v>44880</v>
      </c>
      <c r="D28" s="31" t="s">
        <v>82</v>
      </c>
      <c r="E28" s="31" t="s">
        <v>83</v>
      </c>
      <c r="F28" s="32">
        <v>530.277826</v>
      </c>
      <c r="G28" s="33">
        <v>45.223734739130002</v>
      </c>
      <c r="H28" s="32">
        <v>49.4</v>
      </c>
      <c r="I28" s="34">
        <v>3.3038479999999999</v>
      </c>
      <c r="J28" s="34">
        <v>91.152000000000001</v>
      </c>
      <c r="K28" s="34">
        <v>91.152000000000001</v>
      </c>
      <c r="L28" s="35">
        <v>28.228570999999999</v>
      </c>
      <c r="M28" s="34">
        <v>91.152000000000001</v>
      </c>
      <c r="N28" s="35">
        <v>0</v>
      </c>
    </row>
    <row r="29" spans="2:14" x14ac:dyDescent="0.25">
      <c r="B29" s="30">
        <v>44879</v>
      </c>
      <c r="C29" s="30">
        <v>44880</v>
      </c>
      <c r="D29" s="31" t="s">
        <v>84</v>
      </c>
      <c r="E29" s="31" t="s">
        <v>85</v>
      </c>
      <c r="F29" s="32">
        <v>0</v>
      </c>
      <c r="G29" s="33">
        <v>0</v>
      </c>
      <c r="H29" s="32">
        <v>0</v>
      </c>
      <c r="I29" s="34">
        <v>0</v>
      </c>
      <c r="J29" s="34">
        <v>0</v>
      </c>
      <c r="K29" s="34">
        <v>0</v>
      </c>
      <c r="L29" s="35">
        <v>0</v>
      </c>
      <c r="M29" s="34">
        <v>0</v>
      </c>
      <c r="N29" s="35">
        <v>0</v>
      </c>
    </row>
    <row r="30" spans="2:14" x14ac:dyDescent="0.25">
      <c r="B30" s="30">
        <v>44879</v>
      </c>
      <c r="C30" s="30">
        <v>44880</v>
      </c>
      <c r="D30" s="31" t="s">
        <v>86</v>
      </c>
      <c r="E30" s="31" t="s">
        <v>87</v>
      </c>
      <c r="F30" s="32">
        <v>12.716751</v>
      </c>
      <c r="G30" s="33">
        <v>0</v>
      </c>
      <c r="H30" s="32">
        <v>0</v>
      </c>
      <c r="I30" s="34">
        <v>0</v>
      </c>
      <c r="J30" s="34">
        <v>0</v>
      </c>
      <c r="K30" s="34">
        <v>0</v>
      </c>
      <c r="L30" s="35">
        <v>0</v>
      </c>
      <c r="M30" s="34">
        <v>0</v>
      </c>
      <c r="N30" s="35">
        <v>0</v>
      </c>
    </row>
    <row r="31" spans="2:14" x14ac:dyDescent="0.25">
      <c r="B31" s="30">
        <v>44879</v>
      </c>
      <c r="C31" s="30">
        <v>44880</v>
      </c>
      <c r="D31" s="31" t="s">
        <v>88</v>
      </c>
      <c r="E31" s="31" t="s">
        <v>89</v>
      </c>
      <c r="F31" s="32">
        <v>0</v>
      </c>
      <c r="G31" s="33">
        <v>0</v>
      </c>
      <c r="H31" s="32">
        <v>0</v>
      </c>
      <c r="I31" s="34">
        <v>0</v>
      </c>
      <c r="J31" s="34">
        <v>0</v>
      </c>
      <c r="K31" s="34">
        <v>0</v>
      </c>
      <c r="L31" s="35">
        <v>0</v>
      </c>
      <c r="M31" s="34">
        <v>0</v>
      </c>
      <c r="N31" s="35">
        <v>0</v>
      </c>
    </row>
    <row r="32" spans="2:14" x14ac:dyDescent="0.25">
      <c r="B32" s="30">
        <v>44879</v>
      </c>
      <c r="C32" s="30">
        <v>44880</v>
      </c>
      <c r="D32" s="31" t="s">
        <v>90</v>
      </c>
      <c r="E32" s="31" t="s">
        <v>91</v>
      </c>
      <c r="F32" s="32">
        <v>52.454554000000002</v>
      </c>
      <c r="G32" s="33">
        <v>0</v>
      </c>
      <c r="H32" s="32">
        <v>0</v>
      </c>
      <c r="I32" s="34">
        <v>0</v>
      </c>
      <c r="J32" s="34">
        <v>0</v>
      </c>
      <c r="K32" s="34">
        <v>0</v>
      </c>
      <c r="L32" s="35">
        <v>0</v>
      </c>
      <c r="M32" s="34">
        <v>0</v>
      </c>
      <c r="N32" s="35">
        <v>0</v>
      </c>
    </row>
    <row r="33" spans="2:14" x14ac:dyDescent="0.25">
      <c r="B33" s="30">
        <v>44879</v>
      </c>
      <c r="C33" s="30">
        <v>44880</v>
      </c>
      <c r="D33" s="31" t="s">
        <v>120</v>
      </c>
      <c r="E33" s="31" t="s">
        <v>121</v>
      </c>
      <c r="F33" s="32">
        <v>218.43698900000001</v>
      </c>
      <c r="G33" s="33">
        <v>79.864611413041004</v>
      </c>
      <c r="H33" s="32">
        <v>95</v>
      </c>
      <c r="I33" s="34">
        <v>3.3933490000000002</v>
      </c>
      <c r="J33" s="34">
        <v>83.922634000000002</v>
      </c>
      <c r="K33" s="34">
        <v>83.94</v>
      </c>
      <c r="L33" s="35">
        <v>100</v>
      </c>
      <c r="M33" s="34">
        <v>83.906999999999996</v>
      </c>
      <c r="N33" s="35">
        <v>1.5633999999999999E-2</v>
      </c>
    </row>
    <row r="34" spans="2:14" x14ac:dyDescent="0.25">
      <c r="B34" s="30">
        <v>44886</v>
      </c>
      <c r="C34" s="30">
        <v>44887</v>
      </c>
      <c r="D34" s="31" t="s">
        <v>76</v>
      </c>
      <c r="E34" s="31" t="s">
        <v>77</v>
      </c>
      <c r="F34" s="32">
        <v>341.61898400000001</v>
      </c>
      <c r="G34" s="33">
        <v>194.16210218750001</v>
      </c>
      <c r="H34" s="32">
        <v>213.1</v>
      </c>
      <c r="I34" s="34">
        <v>3.086811</v>
      </c>
      <c r="J34" s="34">
        <v>91.074078</v>
      </c>
      <c r="K34" s="34">
        <v>91.08</v>
      </c>
      <c r="L34" s="35">
        <v>13.1</v>
      </c>
      <c r="M34" s="34">
        <v>91.06</v>
      </c>
      <c r="N34" s="35">
        <v>1.4078E-2</v>
      </c>
    </row>
    <row r="35" spans="2:14" x14ac:dyDescent="0.25">
      <c r="B35" s="30">
        <v>44886</v>
      </c>
      <c r="C35" s="30">
        <v>44887</v>
      </c>
      <c r="D35" s="31" t="s">
        <v>78</v>
      </c>
      <c r="E35" s="31" t="s">
        <v>79</v>
      </c>
      <c r="F35" s="32">
        <v>23.644589</v>
      </c>
      <c r="G35" s="33">
        <v>0</v>
      </c>
      <c r="H35" s="32">
        <v>0</v>
      </c>
      <c r="I35" s="34">
        <v>0</v>
      </c>
      <c r="J35" s="34">
        <v>0</v>
      </c>
      <c r="K35" s="34">
        <v>0</v>
      </c>
      <c r="L35" s="35">
        <v>0</v>
      </c>
      <c r="M35" s="34">
        <v>0</v>
      </c>
      <c r="N35" s="35">
        <v>0</v>
      </c>
    </row>
    <row r="36" spans="2:14" x14ac:dyDescent="0.25">
      <c r="B36" s="30">
        <v>44886</v>
      </c>
      <c r="C36" s="30">
        <v>44887</v>
      </c>
      <c r="D36" s="31" t="s">
        <v>80</v>
      </c>
      <c r="E36" s="31" t="s">
        <v>81</v>
      </c>
      <c r="F36" s="32">
        <v>328.85490800000002</v>
      </c>
      <c r="G36" s="33">
        <v>246.47557623627301</v>
      </c>
      <c r="H36" s="32">
        <v>275</v>
      </c>
      <c r="I36" s="34">
        <v>3.2253029999999998</v>
      </c>
      <c r="J36" s="34">
        <v>89.595546999999996</v>
      </c>
      <c r="K36" s="34">
        <v>89.606999999999999</v>
      </c>
      <c r="L36" s="35">
        <v>100</v>
      </c>
      <c r="M36" s="34">
        <v>89.576999999999998</v>
      </c>
      <c r="N36" s="35">
        <v>1.8547000000000001E-2</v>
      </c>
    </row>
    <row r="37" spans="2:14" x14ac:dyDescent="0.25">
      <c r="B37" s="30">
        <v>44886</v>
      </c>
      <c r="C37" s="30">
        <v>44887</v>
      </c>
      <c r="D37" s="31" t="s">
        <v>82</v>
      </c>
      <c r="E37" s="31" t="s">
        <v>83</v>
      </c>
      <c r="F37" s="32">
        <v>549.58937500000002</v>
      </c>
      <c r="G37" s="33">
        <v>247.93185706520799</v>
      </c>
      <c r="H37" s="32">
        <v>270</v>
      </c>
      <c r="I37" s="34">
        <v>3.249044</v>
      </c>
      <c r="J37" s="34">
        <v>91.408815000000004</v>
      </c>
      <c r="K37" s="34">
        <v>91.414000000000001</v>
      </c>
      <c r="L37" s="35">
        <v>100</v>
      </c>
      <c r="M37" s="34">
        <v>91.4</v>
      </c>
      <c r="N37" s="35">
        <v>8.8149999999999999E-3</v>
      </c>
    </row>
    <row r="38" spans="2:14" x14ac:dyDescent="0.25">
      <c r="B38" s="30">
        <v>44886</v>
      </c>
      <c r="C38" s="30">
        <v>44887</v>
      </c>
      <c r="D38" s="31" t="s">
        <v>84</v>
      </c>
      <c r="E38" s="31" t="s">
        <v>85</v>
      </c>
      <c r="F38" s="32">
        <v>0</v>
      </c>
      <c r="G38" s="33">
        <v>0</v>
      </c>
      <c r="H38" s="32">
        <v>0</v>
      </c>
      <c r="I38" s="34">
        <v>0</v>
      </c>
      <c r="J38" s="34">
        <v>0</v>
      </c>
      <c r="K38" s="34">
        <v>0</v>
      </c>
      <c r="L38" s="35">
        <v>0</v>
      </c>
      <c r="M38" s="34">
        <v>0</v>
      </c>
      <c r="N38" s="35">
        <v>0</v>
      </c>
    </row>
    <row r="39" spans="2:14" x14ac:dyDescent="0.25">
      <c r="B39" s="30">
        <v>44886</v>
      </c>
      <c r="C39" s="30">
        <v>44887</v>
      </c>
      <c r="D39" s="31" t="s">
        <v>86</v>
      </c>
      <c r="E39" s="31" t="s">
        <v>87</v>
      </c>
      <c r="F39" s="32">
        <v>99.585705000000004</v>
      </c>
      <c r="G39" s="33">
        <v>0</v>
      </c>
      <c r="H39" s="32">
        <v>0</v>
      </c>
      <c r="I39" s="34">
        <v>0</v>
      </c>
      <c r="J39" s="34">
        <v>0</v>
      </c>
      <c r="K39" s="34">
        <v>0</v>
      </c>
      <c r="L39" s="35">
        <v>0</v>
      </c>
      <c r="M39" s="34">
        <v>0</v>
      </c>
      <c r="N39" s="35">
        <v>0</v>
      </c>
    </row>
    <row r="40" spans="2:14" x14ac:dyDescent="0.25">
      <c r="B40" s="30">
        <v>44886</v>
      </c>
      <c r="C40" s="30">
        <v>44887</v>
      </c>
      <c r="D40" s="31" t="s">
        <v>88</v>
      </c>
      <c r="E40" s="31" t="s">
        <v>89</v>
      </c>
      <c r="F40" s="32">
        <v>141.929508</v>
      </c>
      <c r="G40" s="33">
        <v>32.069937499999</v>
      </c>
      <c r="H40" s="32">
        <v>35</v>
      </c>
      <c r="I40" s="34">
        <v>3.2162760000000001</v>
      </c>
      <c r="J40" s="34">
        <v>91.49</v>
      </c>
      <c r="K40" s="34">
        <v>91.49</v>
      </c>
      <c r="L40" s="35">
        <v>100</v>
      </c>
      <c r="M40" s="34">
        <v>91.49</v>
      </c>
      <c r="N40" s="35">
        <v>0</v>
      </c>
    </row>
    <row r="41" spans="2:14" x14ac:dyDescent="0.25">
      <c r="B41" s="30">
        <v>44886</v>
      </c>
      <c r="C41" s="30">
        <v>44887</v>
      </c>
      <c r="D41" s="31" t="s">
        <v>90</v>
      </c>
      <c r="E41" s="31" t="s">
        <v>91</v>
      </c>
      <c r="F41" s="32">
        <v>29.276024</v>
      </c>
      <c r="G41" s="33">
        <v>29.276024590165001</v>
      </c>
      <c r="H41" s="32">
        <v>25</v>
      </c>
      <c r="I41" s="34">
        <v>3.3555199999999998</v>
      </c>
      <c r="J41" s="34">
        <v>114.35</v>
      </c>
      <c r="K41" s="34">
        <v>114.35</v>
      </c>
      <c r="L41" s="35">
        <v>100</v>
      </c>
      <c r="M41" s="34">
        <v>114.35</v>
      </c>
      <c r="N41" s="35">
        <v>0</v>
      </c>
    </row>
    <row r="42" spans="2:14" x14ac:dyDescent="0.25">
      <c r="B42" s="30">
        <v>44886</v>
      </c>
      <c r="C42" s="30">
        <v>44887</v>
      </c>
      <c r="D42" s="31" t="s">
        <v>120</v>
      </c>
      <c r="E42" s="31" t="s">
        <v>121</v>
      </c>
      <c r="F42" s="32">
        <v>0</v>
      </c>
      <c r="G42" s="33">
        <v>0</v>
      </c>
      <c r="H42" s="32">
        <v>0</v>
      </c>
      <c r="I42" s="34">
        <v>0</v>
      </c>
      <c r="J42" s="34">
        <v>0</v>
      </c>
      <c r="K42" s="34">
        <v>0</v>
      </c>
      <c r="L42" s="35">
        <v>0</v>
      </c>
      <c r="M42" s="34">
        <v>0</v>
      </c>
      <c r="N42" s="35">
        <v>0</v>
      </c>
    </row>
    <row r="43" spans="2:14" x14ac:dyDescent="0.25">
      <c r="B43" s="30">
        <v>44886</v>
      </c>
      <c r="C43" s="30">
        <v>44887</v>
      </c>
      <c r="D43" s="31" t="s">
        <v>92</v>
      </c>
      <c r="E43" s="31" t="s">
        <v>93</v>
      </c>
      <c r="F43" s="32">
        <v>0</v>
      </c>
      <c r="G43" s="33">
        <v>0</v>
      </c>
      <c r="H43" s="32">
        <v>0</v>
      </c>
      <c r="I43" s="34">
        <v>0</v>
      </c>
      <c r="J43" s="34">
        <v>0</v>
      </c>
      <c r="K43" s="34">
        <v>0</v>
      </c>
      <c r="L43" s="35">
        <v>0</v>
      </c>
      <c r="M43" s="34">
        <v>0</v>
      </c>
      <c r="N43" s="35">
        <v>0</v>
      </c>
    </row>
    <row r="44" spans="2:14" x14ac:dyDescent="0.25">
      <c r="B44" s="30">
        <v>44889</v>
      </c>
      <c r="C44" s="30">
        <v>44890</v>
      </c>
      <c r="D44" s="31" t="s">
        <v>94</v>
      </c>
      <c r="E44" s="31" t="s">
        <v>95</v>
      </c>
      <c r="F44" s="32">
        <v>711.70249000000001</v>
      </c>
      <c r="G44" s="33">
        <v>366.46212362638499</v>
      </c>
      <c r="H44" s="32">
        <v>450</v>
      </c>
      <c r="I44" s="34">
        <v>3.038967</v>
      </c>
      <c r="J44" s="34">
        <v>81.400999999999996</v>
      </c>
      <c r="K44" s="34">
        <v>81.400999999999996</v>
      </c>
      <c r="L44" s="35">
        <v>100</v>
      </c>
      <c r="M44" s="34">
        <v>81.400999999999996</v>
      </c>
      <c r="N44" s="35">
        <v>0</v>
      </c>
    </row>
    <row r="45" spans="2:14" x14ac:dyDescent="0.25">
      <c r="B45" s="30">
        <v>44889</v>
      </c>
      <c r="C45" s="30">
        <v>44890</v>
      </c>
      <c r="D45" s="31" t="s">
        <v>96</v>
      </c>
      <c r="E45" s="31" t="s">
        <v>97</v>
      </c>
      <c r="F45" s="32">
        <v>28.670065000000001</v>
      </c>
      <c r="G45" s="33">
        <v>28.67006557377</v>
      </c>
      <c r="H45" s="32">
        <v>25</v>
      </c>
      <c r="I45" s="34">
        <v>2.9931049999999999</v>
      </c>
      <c r="J45" s="34">
        <v>112.461</v>
      </c>
      <c r="K45" s="34">
        <v>112.461</v>
      </c>
      <c r="L45" s="35">
        <v>100</v>
      </c>
      <c r="M45" s="34">
        <v>112.461</v>
      </c>
      <c r="N45" s="35">
        <v>0</v>
      </c>
    </row>
    <row r="46" spans="2:14" x14ac:dyDescent="0.25">
      <c r="B46" s="30">
        <v>44889</v>
      </c>
      <c r="C46" s="30">
        <v>44890</v>
      </c>
      <c r="D46" s="31" t="s">
        <v>98</v>
      </c>
      <c r="E46" s="31" t="s">
        <v>99</v>
      </c>
      <c r="F46" s="32">
        <v>11.822922</v>
      </c>
      <c r="G46" s="33">
        <v>11.822922554348001</v>
      </c>
      <c r="H46" s="32">
        <v>15</v>
      </c>
      <c r="I46" s="34">
        <v>3.0565129999999998</v>
      </c>
      <c r="J46" s="34">
        <v>78.739999999999995</v>
      </c>
      <c r="K46" s="34">
        <v>78.739999999999995</v>
      </c>
      <c r="L46" s="35">
        <v>100</v>
      </c>
      <c r="M46" s="34">
        <v>78.739999999999995</v>
      </c>
      <c r="N46" s="35">
        <v>0</v>
      </c>
    </row>
    <row r="47" spans="2:14" x14ac:dyDescent="0.25">
      <c r="B47" s="30">
        <v>44889</v>
      </c>
      <c r="C47" s="30">
        <v>44890</v>
      </c>
      <c r="D47" s="31" t="s">
        <v>100</v>
      </c>
      <c r="E47" s="31" t="s">
        <v>101</v>
      </c>
      <c r="F47" s="32">
        <v>84.132491000000002</v>
      </c>
      <c r="G47" s="33">
        <v>84.132491803275002</v>
      </c>
      <c r="H47" s="32">
        <v>75</v>
      </c>
      <c r="I47" s="34">
        <v>3.0120439999999999</v>
      </c>
      <c r="J47" s="34">
        <v>110.191014</v>
      </c>
      <c r="K47" s="34">
        <v>110.241</v>
      </c>
      <c r="L47" s="35">
        <v>100</v>
      </c>
      <c r="M47" s="34">
        <v>110.14100000000001</v>
      </c>
      <c r="N47" s="35">
        <v>5.0014000000000003E-2</v>
      </c>
    </row>
    <row r="48" spans="2:14" x14ac:dyDescent="0.25">
      <c r="B48" s="30">
        <v>44889</v>
      </c>
      <c r="C48" s="30">
        <v>44890</v>
      </c>
      <c r="D48" s="31" t="s">
        <v>122</v>
      </c>
      <c r="E48" s="31" t="s">
        <v>123</v>
      </c>
      <c r="F48" s="32">
        <v>0</v>
      </c>
      <c r="G48" s="33">
        <v>0</v>
      </c>
      <c r="H48" s="32">
        <v>0</v>
      </c>
      <c r="I48" s="34">
        <v>0</v>
      </c>
      <c r="J48" s="34">
        <v>0</v>
      </c>
      <c r="K48" s="34">
        <v>0</v>
      </c>
      <c r="L48" s="35">
        <v>0</v>
      </c>
      <c r="M48" s="34">
        <v>0</v>
      </c>
      <c r="N48" s="35">
        <v>0</v>
      </c>
    </row>
    <row r="49" spans="2:14" x14ac:dyDescent="0.25">
      <c r="B49" s="30">
        <v>44889</v>
      </c>
      <c r="C49" s="30">
        <v>44890</v>
      </c>
      <c r="D49" s="31" t="s">
        <v>102</v>
      </c>
      <c r="E49" s="31" t="s">
        <v>103</v>
      </c>
      <c r="F49" s="32">
        <v>300.86161700000002</v>
      </c>
      <c r="G49" s="33">
        <v>0</v>
      </c>
      <c r="H49" s="32">
        <v>0</v>
      </c>
      <c r="I49" s="34">
        <v>0</v>
      </c>
      <c r="J49" s="34">
        <v>0</v>
      </c>
      <c r="K49" s="34">
        <v>0</v>
      </c>
      <c r="L49" s="35">
        <v>0</v>
      </c>
      <c r="M49" s="34">
        <v>0</v>
      </c>
      <c r="N49" s="35">
        <v>0</v>
      </c>
    </row>
    <row r="50" spans="2:14" x14ac:dyDescent="0.25">
      <c r="B50" s="30">
        <v>44889</v>
      </c>
      <c r="C50" s="30">
        <v>44890</v>
      </c>
      <c r="D50" s="31" t="s">
        <v>104</v>
      </c>
      <c r="E50" s="31" t="s">
        <v>105</v>
      </c>
      <c r="F50" s="32">
        <v>0</v>
      </c>
      <c r="G50" s="33">
        <v>0</v>
      </c>
      <c r="H50" s="32">
        <v>0</v>
      </c>
      <c r="I50" s="34">
        <v>0</v>
      </c>
      <c r="J50" s="34">
        <v>0</v>
      </c>
      <c r="K50" s="34">
        <v>0</v>
      </c>
      <c r="L50" s="35">
        <v>0</v>
      </c>
      <c r="M50" s="34">
        <v>0</v>
      </c>
      <c r="N50" s="35">
        <v>0</v>
      </c>
    </row>
    <row r="51" spans="2:14" x14ac:dyDescent="0.25">
      <c r="B51" s="30">
        <v>44889</v>
      </c>
      <c r="C51" s="30">
        <v>44890</v>
      </c>
      <c r="D51" s="31" t="s">
        <v>106</v>
      </c>
      <c r="E51" s="31" t="s">
        <v>107</v>
      </c>
      <c r="F51" s="32">
        <v>0</v>
      </c>
      <c r="G51" s="33">
        <v>0</v>
      </c>
      <c r="H51" s="32">
        <v>0</v>
      </c>
      <c r="I51" s="34">
        <v>0</v>
      </c>
      <c r="J51" s="34">
        <v>0</v>
      </c>
      <c r="K51" s="34">
        <v>0</v>
      </c>
      <c r="L51" s="35">
        <v>0</v>
      </c>
      <c r="M51" s="34">
        <v>0</v>
      </c>
      <c r="N51" s="35">
        <v>0</v>
      </c>
    </row>
    <row r="52" spans="2:14" x14ac:dyDescent="0.25">
      <c r="B52" s="30">
        <v>44889</v>
      </c>
      <c r="C52" s="30">
        <v>44890</v>
      </c>
      <c r="D52" s="31" t="s">
        <v>108</v>
      </c>
      <c r="E52" s="31" t="s">
        <v>109</v>
      </c>
      <c r="F52" s="32">
        <v>173.05297999999999</v>
      </c>
      <c r="G52" s="33">
        <v>161.63403403315499</v>
      </c>
      <c r="H52" s="32">
        <v>198</v>
      </c>
      <c r="I52" s="34">
        <v>3.3707590000000001</v>
      </c>
      <c r="J52" s="34">
        <v>81.251475999999997</v>
      </c>
      <c r="K52" s="34">
        <v>81.319999999999993</v>
      </c>
      <c r="L52" s="35">
        <v>82.716048999999998</v>
      </c>
      <c r="M52" s="34">
        <v>81.182000000000002</v>
      </c>
      <c r="N52" s="35">
        <v>6.9475999999999996E-2</v>
      </c>
    </row>
    <row r="53" spans="2:14" x14ac:dyDescent="0.25">
      <c r="B53" s="30">
        <v>44889</v>
      </c>
      <c r="C53" s="30">
        <v>44890</v>
      </c>
      <c r="D53" s="31" t="s">
        <v>110</v>
      </c>
      <c r="E53" s="31" t="s">
        <v>111</v>
      </c>
      <c r="F53" s="32">
        <v>59.494630999999998</v>
      </c>
      <c r="G53" s="33">
        <v>29.772315573770001</v>
      </c>
      <c r="H53" s="32">
        <v>25</v>
      </c>
      <c r="I53" s="34">
        <v>3.3784559999999999</v>
      </c>
      <c r="J53" s="34">
        <v>116.87</v>
      </c>
      <c r="K53" s="34">
        <v>116.87</v>
      </c>
      <c r="L53" s="35">
        <v>100</v>
      </c>
      <c r="M53" s="34">
        <v>116.87</v>
      </c>
      <c r="N53" s="35">
        <v>0</v>
      </c>
    </row>
    <row r="54" spans="2:14" x14ac:dyDescent="0.25">
      <c r="B54" s="30">
        <v>44889</v>
      </c>
      <c r="C54" s="30">
        <v>44890</v>
      </c>
      <c r="D54" s="31" t="s">
        <v>114</v>
      </c>
      <c r="E54" s="31" t="s">
        <v>115</v>
      </c>
      <c r="F54" s="32">
        <v>0</v>
      </c>
      <c r="G54" s="33">
        <v>0</v>
      </c>
      <c r="H54" s="32">
        <v>0</v>
      </c>
      <c r="I54" s="34">
        <v>0</v>
      </c>
      <c r="J54" s="34">
        <v>0</v>
      </c>
      <c r="K54" s="34">
        <v>0</v>
      </c>
      <c r="L54" s="35">
        <v>0</v>
      </c>
      <c r="M54" s="34">
        <v>0</v>
      </c>
      <c r="N54" s="35">
        <v>0</v>
      </c>
    </row>
    <row r="55" spans="2:14" x14ac:dyDescent="0.25">
      <c r="B55" s="30">
        <v>44889</v>
      </c>
      <c r="C55" s="30">
        <v>44890</v>
      </c>
      <c r="D55" s="31" t="s">
        <v>116</v>
      </c>
      <c r="E55" s="31" t="s">
        <v>117</v>
      </c>
      <c r="F55" s="32">
        <v>0</v>
      </c>
      <c r="G55" s="33">
        <v>0</v>
      </c>
      <c r="H55" s="32">
        <v>0</v>
      </c>
      <c r="I55" s="34">
        <v>0</v>
      </c>
      <c r="J55" s="34">
        <v>0</v>
      </c>
      <c r="K55" s="34">
        <v>0</v>
      </c>
      <c r="L55" s="35">
        <v>0</v>
      </c>
      <c r="M55" s="34">
        <v>0</v>
      </c>
      <c r="N55" s="35">
        <v>0</v>
      </c>
    </row>
    <row r="56" spans="2:14" x14ac:dyDescent="0.25">
      <c r="B56" s="30">
        <v>44889</v>
      </c>
      <c r="C56" s="30">
        <v>44890</v>
      </c>
      <c r="D56" s="31" t="s">
        <v>118</v>
      </c>
      <c r="E56" s="31" t="s">
        <v>119</v>
      </c>
      <c r="F56" s="32">
        <v>67.475920000000002</v>
      </c>
      <c r="G56" s="33">
        <v>67.475920329671993</v>
      </c>
      <c r="H56" s="32">
        <v>95</v>
      </c>
      <c r="I56" s="34">
        <v>3.3369719999999998</v>
      </c>
      <c r="J56" s="34">
        <v>70.910572000000002</v>
      </c>
      <c r="K56" s="34">
        <v>70.94</v>
      </c>
      <c r="L56" s="35">
        <v>100</v>
      </c>
      <c r="M56" s="34">
        <v>70.8</v>
      </c>
      <c r="N56" s="35">
        <v>0.110572</v>
      </c>
    </row>
    <row r="57" spans="2:14" x14ac:dyDescent="0.25">
      <c r="B57" s="30">
        <v>44893</v>
      </c>
      <c r="C57" s="30">
        <v>44894</v>
      </c>
      <c r="D57" s="31" t="s">
        <v>94</v>
      </c>
      <c r="E57" s="31" t="s">
        <v>95</v>
      </c>
      <c r="F57" s="32">
        <v>249.40135900000001</v>
      </c>
      <c r="G57" s="33">
        <v>160.96229670330001</v>
      </c>
      <c r="H57" s="32">
        <v>200</v>
      </c>
      <c r="I57" s="34">
        <v>3.197511</v>
      </c>
      <c r="J57" s="34">
        <v>80.442003999999997</v>
      </c>
      <c r="K57" s="34">
        <v>80.462000000000003</v>
      </c>
      <c r="L57" s="35">
        <v>100</v>
      </c>
      <c r="M57" s="34">
        <v>80.421999999999997</v>
      </c>
      <c r="N57" s="35">
        <v>2.0004000000000001E-2</v>
      </c>
    </row>
    <row r="58" spans="2:14" x14ac:dyDescent="0.25">
      <c r="B58" s="30">
        <v>44893</v>
      </c>
      <c r="C58" s="30">
        <v>44894</v>
      </c>
      <c r="D58" s="31" t="s">
        <v>96</v>
      </c>
      <c r="E58" s="31" t="s">
        <v>97</v>
      </c>
      <c r="F58" s="32">
        <v>776.751172</v>
      </c>
      <c r="G58" s="33">
        <v>399.204039584707</v>
      </c>
      <c r="H58" s="32">
        <v>358.9</v>
      </c>
      <c r="I58" s="34">
        <v>3.1408079999999998</v>
      </c>
      <c r="J58" s="34">
        <v>111.333707</v>
      </c>
      <c r="K58" s="34">
        <v>111.339</v>
      </c>
      <c r="L58" s="35">
        <v>78.484848</v>
      </c>
      <c r="M58" s="34">
        <v>111.27200000000001</v>
      </c>
      <c r="N58" s="35">
        <v>6.1706999999999998E-2</v>
      </c>
    </row>
    <row r="59" spans="2:14" x14ac:dyDescent="0.25">
      <c r="B59" s="30">
        <v>44893</v>
      </c>
      <c r="C59" s="30">
        <v>44894</v>
      </c>
      <c r="D59" s="31" t="s">
        <v>98</v>
      </c>
      <c r="E59" s="31" t="s">
        <v>99</v>
      </c>
      <c r="F59" s="32">
        <v>0</v>
      </c>
      <c r="G59" s="33">
        <v>0</v>
      </c>
      <c r="H59" s="32">
        <v>0</v>
      </c>
      <c r="I59" s="34">
        <v>0</v>
      </c>
      <c r="J59" s="34">
        <v>0</v>
      </c>
      <c r="K59" s="34">
        <v>0</v>
      </c>
      <c r="L59" s="35">
        <v>0</v>
      </c>
      <c r="M59" s="34">
        <v>0</v>
      </c>
      <c r="N59" s="35">
        <v>0</v>
      </c>
    </row>
    <row r="60" spans="2:14" x14ac:dyDescent="0.25">
      <c r="B60" s="30">
        <v>44893</v>
      </c>
      <c r="C60" s="30">
        <v>44894</v>
      </c>
      <c r="D60" s="31" t="s">
        <v>100</v>
      </c>
      <c r="E60" s="31" t="s">
        <v>101</v>
      </c>
      <c r="F60" s="32">
        <v>175.198587</v>
      </c>
      <c r="G60" s="33">
        <v>120.84453524590501</v>
      </c>
      <c r="H60" s="32">
        <v>111</v>
      </c>
      <c r="I60" s="34">
        <v>3.1532070000000001</v>
      </c>
      <c r="J60" s="34">
        <v>108.96184700000001</v>
      </c>
      <c r="K60" s="34">
        <v>108.965</v>
      </c>
      <c r="L60" s="35">
        <v>100</v>
      </c>
      <c r="M60" s="34">
        <v>108.95099999999999</v>
      </c>
      <c r="N60" s="35">
        <v>1.0847000000000001E-2</v>
      </c>
    </row>
    <row r="61" spans="2:14" x14ac:dyDescent="0.25">
      <c r="B61" s="30">
        <v>44893</v>
      </c>
      <c r="C61" s="30">
        <v>44894</v>
      </c>
      <c r="D61" s="31" t="s">
        <v>122</v>
      </c>
      <c r="E61" s="31" t="s">
        <v>123</v>
      </c>
      <c r="F61" s="32">
        <v>0</v>
      </c>
      <c r="G61" s="33">
        <v>0</v>
      </c>
      <c r="H61" s="32">
        <v>0</v>
      </c>
      <c r="I61" s="34">
        <v>0</v>
      </c>
      <c r="J61" s="34">
        <v>0</v>
      </c>
      <c r="K61" s="34">
        <v>0</v>
      </c>
      <c r="L61" s="35">
        <v>0</v>
      </c>
      <c r="M61" s="34">
        <v>0</v>
      </c>
      <c r="N61" s="35">
        <v>0</v>
      </c>
    </row>
    <row r="62" spans="2:14" x14ac:dyDescent="0.25">
      <c r="B62" s="30">
        <v>44893</v>
      </c>
      <c r="C62" s="30">
        <v>44894</v>
      </c>
      <c r="D62" s="31" t="s">
        <v>102</v>
      </c>
      <c r="E62" s="31" t="s">
        <v>103</v>
      </c>
      <c r="F62" s="32">
        <v>488.14319</v>
      </c>
      <c r="G62" s="33">
        <v>61.957972375689998</v>
      </c>
      <c r="H62" s="32">
        <v>55</v>
      </c>
      <c r="I62" s="34">
        <v>3.3002739999999999</v>
      </c>
      <c r="J62" s="34">
        <v>111.619091</v>
      </c>
      <c r="K62" s="34">
        <v>111.63</v>
      </c>
      <c r="L62" s="35">
        <v>100</v>
      </c>
      <c r="M62" s="34">
        <v>111.61</v>
      </c>
      <c r="N62" s="35">
        <v>9.0910000000000001E-3</v>
      </c>
    </row>
    <row r="63" spans="2:14" x14ac:dyDescent="0.25">
      <c r="B63" s="30">
        <v>44893</v>
      </c>
      <c r="C63" s="30">
        <v>44894</v>
      </c>
      <c r="D63" s="31" t="s">
        <v>104</v>
      </c>
      <c r="E63" s="31" t="s">
        <v>105</v>
      </c>
      <c r="F63" s="32">
        <v>0</v>
      </c>
      <c r="G63" s="33">
        <v>0</v>
      </c>
      <c r="H63" s="32">
        <v>0</v>
      </c>
      <c r="I63" s="34">
        <v>0</v>
      </c>
      <c r="J63" s="34">
        <v>0</v>
      </c>
      <c r="K63" s="34">
        <v>0</v>
      </c>
      <c r="L63" s="35">
        <v>0</v>
      </c>
      <c r="M63" s="34">
        <v>0</v>
      </c>
      <c r="N63" s="35">
        <v>0</v>
      </c>
    </row>
    <row r="64" spans="2:14" x14ac:dyDescent="0.25">
      <c r="B64" s="30">
        <v>44893</v>
      </c>
      <c r="C64" s="30">
        <v>44894</v>
      </c>
      <c r="D64" s="31" t="s">
        <v>106</v>
      </c>
      <c r="E64" s="31" t="s">
        <v>107</v>
      </c>
      <c r="F64" s="32">
        <v>82.033334999999994</v>
      </c>
      <c r="G64" s="33">
        <v>0</v>
      </c>
      <c r="H64" s="32">
        <v>0</v>
      </c>
      <c r="I64" s="34">
        <v>0</v>
      </c>
      <c r="J64" s="34">
        <v>0</v>
      </c>
      <c r="K64" s="34">
        <v>0</v>
      </c>
      <c r="L64" s="35">
        <v>0</v>
      </c>
      <c r="M64" s="34">
        <v>0</v>
      </c>
      <c r="N64" s="35">
        <v>0</v>
      </c>
    </row>
    <row r="65" spans="2:14" x14ac:dyDescent="0.25">
      <c r="B65" s="30">
        <v>44893</v>
      </c>
      <c r="C65" s="30">
        <v>44894</v>
      </c>
      <c r="D65" s="31" t="s">
        <v>108</v>
      </c>
      <c r="E65" s="31" t="s">
        <v>109</v>
      </c>
      <c r="F65" s="32">
        <v>0</v>
      </c>
      <c r="G65" s="33">
        <v>0</v>
      </c>
      <c r="H65" s="32">
        <v>0</v>
      </c>
      <c r="I65" s="34">
        <v>0</v>
      </c>
      <c r="J65" s="34">
        <v>0</v>
      </c>
      <c r="K65" s="34">
        <v>0</v>
      </c>
      <c r="L65" s="35">
        <v>0</v>
      </c>
      <c r="M65" s="34">
        <v>0</v>
      </c>
      <c r="N65" s="35">
        <v>0</v>
      </c>
    </row>
    <row r="66" spans="2:14" x14ac:dyDescent="0.25">
      <c r="B66" s="30">
        <v>44893</v>
      </c>
      <c r="C66" s="30">
        <v>44894</v>
      </c>
      <c r="D66" s="31" t="s">
        <v>110</v>
      </c>
      <c r="E66" s="31" t="s">
        <v>111</v>
      </c>
      <c r="F66" s="32">
        <v>0</v>
      </c>
      <c r="G66" s="33">
        <v>0</v>
      </c>
      <c r="H66" s="32">
        <v>0</v>
      </c>
      <c r="I66" s="34">
        <v>0</v>
      </c>
      <c r="J66" s="34">
        <v>0</v>
      </c>
      <c r="K66" s="34">
        <v>0</v>
      </c>
      <c r="L66" s="35">
        <v>0</v>
      </c>
      <c r="M66" s="34">
        <v>0</v>
      </c>
      <c r="N66" s="35">
        <v>0</v>
      </c>
    </row>
    <row r="67" spans="2:14" x14ac:dyDescent="0.25">
      <c r="B67" s="30">
        <v>44893</v>
      </c>
      <c r="C67" s="30">
        <v>44894</v>
      </c>
      <c r="D67" s="31" t="s">
        <v>114</v>
      </c>
      <c r="E67" s="31" t="s">
        <v>115</v>
      </c>
      <c r="F67" s="32">
        <v>0</v>
      </c>
      <c r="G67" s="33">
        <v>0</v>
      </c>
      <c r="H67" s="32">
        <v>0</v>
      </c>
      <c r="I67" s="34">
        <v>0</v>
      </c>
      <c r="J67" s="34">
        <v>0</v>
      </c>
      <c r="K67" s="34">
        <v>0</v>
      </c>
      <c r="L67" s="35">
        <v>0</v>
      </c>
      <c r="M67" s="34">
        <v>0</v>
      </c>
      <c r="N67" s="35">
        <v>0</v>
      </c>
    </row>
    <row r="68" spans="2:14" x14ac:dyDescent="0.25">
      <c r="B68" s="30">
        <v>44893</v>
      </c>
      <c r="C68" s="30">
        <v>44894</v>
      </c>
      <c r="D68" s="31" t="s">
        <v>116</v>
      </c>
      <c r="E68" s="31" t="s">
        <v>117</v>
      </c>
      <c r="F68" s="32">
        <v>0</v>
      </c>
      <c r="G68" s="33">
        <v>0</v>
      </c>
      <c r="H68" s="32">
        <v>0</v>
      </c>
      <c r="I68" s="34">
        <v>0</v>
      </c>
      <c r="J68" s="34">
        <v>0</v>
      </c>
      <c r="K68" s="34">
        <v>0</v>
      </c>
      <c r="L68" s="35">
        <v>0</v>
      </c>
      <c r="M68" s="34">
        <v>0</v>
      </c>
      <c r="N68" s="35">
        <v>0</v>
      </c>
    </row>
    <row r="69" spans="2:14" x14ac:dyDescent="0.25">
      <c r="B69" s="30">
        <v>44893</v>
      </c>
      <c r="C69" s="30">
        <v>44894</v>
      </c>
      <c r="D69" s="31" t="s">
        <v>118</v>
      </c>
      <c r="E69" s="31" t="s">
        <v>119</v>
      </c>
      <c r="F69" s="32">
        <v>24.273423000000001</v>
      </c>
      <c r="G69" s="33">
        <v>6.9455494505489996</v>
      </c>
      <c r="H69" s="33">
        <v>10</v>
      </c>
      <c r="I69" s="34">
        <v>3.4784470000000001</v>
      </c>
      <c r="J69" s="34">
        <v>69.325000000000003</v>
      </c>
      <c r="K69" s="34">
        <v>69.325000000000003</v>
      </c>
      <c r="L69" s="35">
        <v>100</v>
      </c>
      <c r="M69" s="34">
        <v>69.325000000000003</v>
      </c>
      <c r="N69" s="35">
        <v>0</v>
      </c>
    </row>
    <row r="70" spans="2:14" x14ac:dyDescent="0.25">
      <c r="B70" s="30">
        <v>44900</v>
      </c>
      <c r="C70" s="30">
        <v>44901</v>
      </c>
      <c r="D70" s="31" t="s">
        <v>76</v>
      </c>
      <c r="E70" s="31" t="s">
        <v>77</v>
      </c>
      <c r="F70" s="32">
        <v>342.46547500000003</v>
      </c>
      <c r="G70" s="33">
        <v>91.123817934780007</v>
      </c>
      <c r="H70" s="33">
        <v>100</v>
      </c>
      <c r="I70" s="28">
        <v>3.1206839999999998</v>
      </c>
      <c r="J70" s="28">
        <v>91.08</v>
      </c>
      <c r="K70" s="28">
        <v>91.08</v>
      </c>
      <c r="L70" s="29">
        <v>100</v>
      </c>
      <c r="M70" s="28">
        <v>91.08</v>
      </c>
      <c r="N70" s="29">
        <v>0</v>
      </c>
    </row>
    <row r="71" spans="2:14" x14ac:dyDescent="0.25">
      <c r="B71" s="30">
        <v>44900</v>
      </c>
      <c r="C71" s="30">
        <v>44901</v>
      </c>
      <c r="D71" s="31" t="s">
        <v>78</v>
      </c>
      <c r="E71" s="31" t="s">
        <v>79</v>
      </c>
      <c r="F71" s="32">
        <v>58.769441999999998</v>
      </c>
      <c r="G71" s="33">
        <v>58.769442826084997</v>
      </c>
      <c r="H71" s="33">
        <v>62</v>
      </c>
      <c r="I71" s="28">
        <v>3.1965699999999999</v>
      </c>
      <c r="J71" s="28">
        <v>94.230999999999995</v>
      </c>
      <c r="K71" s="28">
        <v>94.230999999999995</v>
      </c>
      <c r="L71" s="29">
        <v>100</v>
      </c>
      <c r="M71" s="28">
        <v>94.230999999999995</v>
      </c>
      <c r="N71" s="29">
        <v>0</v>
      </c>
    </row>
    <row r="72" spans="2:14" x14ac:dyDescent="0.25">
      <c r="B72" s="30">
        <v>44900</v>
      </c>
      <c r="C72" s="30">
        <v>44901</v>
      </c>
      <c r="D72" s="31" t="s">
        <v>80</v>
      </c>
      <c r="E72" s="31" t="s">
        <v>81</v>
      </c>
      <c r="F72" s="32">
        <v>510.15848699999998</v>
      </c>
      <c r="G72" s="33">
        <v>393.10198175824303</v>
      </c>
      <c r="H72" s="33">
        <v>438.4</v>
      </c>
      <c r="I72" s="28">
        <v>3.2460330000000002</v>
      </c>
      <c r="J72" s="28">
        <v>89.621063000000007</v>
      </c>
      <c r="K72" s="28">
        <v>89.63</v>
      </c>
      <c r="L72" s="29">
        <v>64.624999000000003</v>
      </c>
      <c r="M72" s="28">
        <v>89.61</v>
      </c>
      <c r="N72" s="29">
        <v>1.1063E-2</v>
      </c>
    </row>
    <row r="73" spans="2:14" x14ac:dyDescent="0.25">
      <c r="B73" s="30">
        <v>44900</v>
      </c>
      <c r="C73" s="30">
        <v>44901</v>
      </c>
      <c r="D73" s="31" t="s">
        <v>82</v>
      </c>
      <c r="E73" s="31" t="s">
        <v>83</v>
      </c>
      <c r="F73" s="32">
        <v>500.59444200000002</v>
      </c>
      <c r="G73" s="33">
        <v>45.957676630435003</v>
      </c>
      <c r="H73" s="33">
        <v>50</v>
      </c>
      <c r="I73" s="28">
        <v>3.2549440000000001</v>
      </c>
      <c r="J73" s="28">
        <v>91.45</v>
      </c>
      <c r="K73" s="28">
        <v>91.45</v>
      </c>
      <c r="L73" s="29">
        <v>100</v>
      </c>
      <c r="M73" s="28">
        <v>91.45</v>
      </c>
      <c r="N73" s="29">
        <v>0</v>
      </c>
    </row>
    <row r="74" spans="2:14" x14ac:dyDescent="0.25">
      <c r="B74" s="30">
        <v>44900</v>
      </c>
      <c r="C74" s="30">
        <v>44901</v>
      </c>
      <c r="D74" s="31" t="s">
        <v>84</v>
      </c>
      <c r="E74" s="31" t="s">
        <v>85</v>
      </c>
      <c r="F74" s="32">
        <v>52.061692999999998</v>
      </c>
      <c r="G74" s="33">
        <v>0</v>
      </c>
      <c r="H74" s="33">
        <v>0</v>
      </c>
      <c r="I74" s="28">
        <v>0</v>
      </c>
      <c r="J74" s="28">
        <v>0</v>
      </c>
      <c r="K74" s="28">
        <v>0</v>
      </c>
      <c r="L74" s="29">
        <v>0</v>
      </c>
      <c r="M74" s="28">
        <v>0</v>
      </c>
      <c r="N74" s="29">
        <v>0</v>
      </c>
    </row>
    <row r="75" spans="2:14" x14ac:dyDescent="0.25">
      <c r="B75" s="30">
        <v>44900</v>
      </c>
      <c r="C75" s="30">
        <v>44901</v>
      </c>
      <c r="D75" s="31" t="s">
        <v>86</v>
      </c>
      <c r="E75" s="31" t="s">
        <v>87</v>
      </c>
      <c r="F75" s="32">
        <v>14.502691</v>
      </c>
      <c r="G75" s="33">
        <v>0</v>
      </c>
      <c r="H75" s="33">
        <v>0</v>
      </c>
      <c r="I75" s="28">
        <v>0</v>
      </c>
      <c r="J75" s="28">
        <v>0</v>
      </c>
      <c r="K75" s="28">
        <v>0</v>
      </c>
      <c r="L75" s="29">
        <v>0</v>
      </c>
      <c r="M75" s="28">
        <v>0</v>
      </c>
      <c r="N75" s="29">
        <v>0</v>
      </c>
    </row>
    <row r="76" spans="2:14" x14ac:dyDescent="0.25">
      <c r="B76" s="30">
        <v>44900</v>
      </c>
      <c r="C76" s="30">
        <v>44901</v>
      </c>
      <c r="D76" s="31" t="s">
        <v>88</v>
      </c>
      <c r="E76" s="31" t="s">
        <v>89</v>
      </c>
      <c r="F76" s="32">
        <v>298.58115099999998</v>
      </c>
      <c r="G76" s="33">
        <v>160.90606249999499</v>
      </c>
      <c r="H76" s="33">
        <v>175</v>
      </c>
      <c r="I76" s="28">
        <v>3.1757170000000001</v>
      </c>
      <c r="J76" s="28">
        <v>91.745429000000001</v>
      </c>
      <c r="K76" s="28">
        <v>91.756</v>
      </c>
      <c r="L76" s="29">
        <v>100</v>
      </c>
      <c r="M76" s="28">
        <v>91.736999999999995</v>
      </c>
      <c r="N76" s="29">
        <v>8.4290000000000007E-3</v>
      </c>
    </row>
    <row r="77" spans="2:14" x14ac:dyDescent="0.25">
      <c r="B77" s="30">
        <v>44900</v>
      </c>
      <c r="C77" s="30">
        <v>44901</v>
      </c>
      <c r="D77" s="31" t="s">
        <v>90</v>
      </c>
      <c r="E77" s="31" t="s">
        <v>91</v>
      </c>
      <c r="F77" s="32">
        <v>45.727442000000003</v>
      </c>
      <c r="G77" s="33">
        <v>0</v>
      </c>
      <c r="H77" s="33">
        <v>0</v>
      </c>
      <c r="I77" s="28">
        <v>0</v>
      </c>
      <c r="J77" s="28">
        <v>0</v>
      </c>
      <c r="K77" s="28">
        <v>0</v>
      </c>
      <c r="L77" s="29">
        <v>0</v>
      </c>
      <c r="M77" s="28">
        <v>0</v>
      </c>
      <c r="N77" s="29">
        <v>0</v>
      </c>
    </row>
    <row r="78" spans="2:14" x14ac:dyDescent="0.25">
      <c r="B78" s="30">
        <v>44900</v>
      </c>
      <c r="C78" s="30">
        <v>44901</v>
      </c>
      <c r="D78" s="31" t="s">
        <v>120</v>
      </c>
      <c r="E78" s="31" t="s">
        <v>121</v>
      </c>
      <c r="F78" s="32">
        <v>0</v>
      </c>
      <c r="G78" s="33">
        <v>0</v>
      </c>
      <c r="H78" s="33">
        <v>0</v>
      </c>
      <c r="I78" s="28">
        <v>0</v>
      </c>
      <c r="J78" s="28">
        <v>0</v>
      </c>
      <c r="K78" s="28">
        <v>0</v>
      </c>
      <c r="L78" s="29">
        <v>0</v>
      </c>
      <c r="M78" s="28">
        <v>0</v>
      </c>
      <c r="N78" s="29">
        <v>0</v>
      </c>
    </row>
    <row r="79" spans="2:14" x14ac:dyDescent="0.25">
      <c r="B79" s="30">
        <v>44900</v>
      </c>
      <c r="C79" s="30">
        <v>44901</v>
      </c>
      <c r="D79" s="31" t="s">
        <v>92</v>
      </c>
      <c r="E79" s="31" t="s">
        <v>93</v>
      </c>
      <c r="F79" s="32">
        <v>0</v>
      </c>
      <c r="G79" s="32">
        <v>0</v>
      </c>
      <c r="H79" s="32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9">
        <v>0</v>
      </c>
    </row>
    <row r="80" spans="2:14" x14ac:dyDescent="0.25">
      <c r="B80" s="30">
        <v>44903</v>
      </c>
      <c r="C80" s="30">
        <v>44904</v>
      </c>
      <c r="D80" s="31" t="s">
        <v>94</v>
      </c>
      <c r="E80" s="31" t="s">
        <v>95</v>
      </c>
      <c r="F80" s="32">
        <v>104.505691</v>
      </c>
      <c r="G80" s="33">
        <v>28.370807692307999</v>
      </c>
      <c r="H80" s="32">
        <v>35</v>
      </c>
      <c r="I80" s="34">
        <v>3.1149840000000002</v>
      </c>
      <c r="J80" s="34">
        <v>81.010000000000005</v>
      </c>
      <c r="K80" s="34">
        <v>81.010000000000005</v>
      </c>
      <c r="L80" s="35">
        <v>100</v>
      </c>
      <c r="M80" s="34">
        <v>81.010000000000005</v>
      </c>
      <c r="N80" s="35">
        <v>0</v>
      </c>
    </row>
    <row r="81" spans="2:14" x14ac:dyDescent="0.25">
      <c r="B81" s="30">
        <v>44903</v>
      </c>
      <c r="C81" s="30">
        <v>44904</v>
      </c>
      <c r="D81" s="31" t="s">
        <v>96</v>
      </c>
      <c r="E81" s="31" t="s">
        <v>97</v>
      </c>
      <c r="F81" s="32">
        <v>211.391516</v>
      </c>
      <c r="G81" s="33">
        <v>90.617450109890996</v>
      </c>
      <c r="H81" s="32">
        <v>81</v>
      </c>
      <c r="I81" s="34">
        <v>3.0676260000000002</v>
      </c>
      <c r="J81" s="34">
        <v>111.84729799999999</v>
      </c>
      <c r="K81" s="34">
        <v>111.866</v>
      </c>
      <c r="L81" s="35">
        <v>100</v>
      </c>
      <c r="M81" s="34">
        <v>111.831</v>
      </c>
      <c r="N81" s="35">
        <v>1.6298E-2</v>
      </c>
    </row>
    <row r="82" spans="2:14" x14ac:dyDescent="0.25">
      <c r="B82" s="30">
        <v>44903</v>
      </c>
      <c r="C82" s="30">
        <v>44904</v>
      </c>
      <c r="D82" s="31" t="s">
        <v>98</v>
      </c>
      <c r="E82" s="31" t="s">
        <v>99</v>
      </c>
      <c r="F82" s="32">
        <v>9.3724790000000002</v>
      </c>
      <c r="G82" s="33">
        <v>0</v>
      </c>
      <c r="H82" s="32">
        <v>0</v>
      </c>
      <c r="I82" s="34">
        <v>0</v>
      </c>
      <c r="J82" s="34">
        <v>0</v>
      </c>
      <c r="K82" s="34">
        <v>0</v>
      </c>
      <c r="L82" s="35">
        <v>0</v>
      </c>
      <c r="M82" s="34">
        <v>0</v>
      </c>
      <c r="N82" s="35">
        <v>0</v>
      </c>
    </row>
    <row r="83" spans="2:14" x14ac:dyDescent="0.25">
      <c r="B83" s="30">
        <v>44903</v>
      </c>
      <c r="C83" s="30">
        <v>44904</v>
      </c>
      <c r="D83" s="31" t="s">
        <v>100</v>
      </c>
      <c r="E83" s="31" t="s">
        <v>101</v>
      </c>
      <c r="F83" s="32">
        <v>858.17433600000004</v>
      </c>
      <c r="G83" s="33">
        <v>554.62093345054097</v>
      </c>
      <c r="H83" s="32">
        <v>506.6</v>
      </c>
      <c r="I83" s="34">
        <v>3.0930550000000001</v>
      </c>
      <c r="J83" s="34">
        <v>109.45571099999999</v>
      </c>
      <c r="K83" s="34">
        <v>109.462</v>
      </c>
      <c r="L83" s="35">
        <v>72.5</v>
      </c>
      <c r="M83" s="34">
        <v>109.449</v>
      </c>
      <c r="N83" s="35">
        <v>6.711E-3</v>
      </c>
    </row>
    <row r="84" spans="2:14" x14ac:dyDescent="0.25">
      <c r="B84" s="30">
        <v>44903</v>
      </c>
      <c r="C84" s="30">
        <v>44904</v>
      </c>
      <c r="D84" s="31" t="s">
        <v>122</v>
      </c>
      <c r="E84" s="31" t="s">
        <v>123</v>
      </c>
      <c r="F84" s="32">
        <v>63.214683999999998</v>
      </c>
      <c r="G84" s="33">
        <v>0</v>
      </c>
      <c r="H84" s="32">
        <v>0</v>
      </c>
      <c r="I84" s="34">
        <v>0</v>
      </c>
      <c r="J84" s="34">
        <v>0</v>
      </c>
      <c r="K84" s="34">
        <v>0</v>
      </c>
      <c r="L84" s="35">
        <v>0</v>
      </c>
      <c r="M84" s="34">
        <v>0</v>
      </c>
      <c r="N84" s="35">
        <v>0</v>
      </c>
    </row>
    <row r="85" spans="2:14" x14ac:dyDescent="0.25">
      <c r="B85" s="30">
        <v>44903</v>
      </c>
      <c r="C85" s="30">
        <v>44904</v>
      </c>
      <c r="D85" s="31" t="s">
        <v>102</v>
      </c>
      <c r="E85" s="31" t="s">
        <v>103</v>
      </c>
      <c r="F85" s="32">
        <v>475.401028</v>
      </c>
      <c r="G85" s="33">
        <v>0</v>
      </c>
      <c r="H85" s="32">
        <v>0</v>
      </c>
      <c r="I85" s="34">
        <v>0</v>
      </c>
      <c r="J85" s="34">
        <v>0</v>
      </c>
      <c r="K85" s="34">
        <v>0</v>
      </c>
      <c r="L85" s="35">
        <v>0</v>
      </c>
      <c r="M85" s="34">
        <v>0</v>
      </c>
      <c r="N85" s="35">
        <v>0</v>
      </c>
    </row>
    <row r="86" spans="2:14" x14ac:dyDescent="0.25">
      <c r="B86" s="30">
        <v>44903</v>
      </c>
      <c r="C86" s="30">
        <v>44904</v>
      </c>
      <c r="D86" s="31" t="s">
        <v>104</v>
      </c>
      <c r="E86" s="31" t="s">
        <v>105</v>
      </c>
      <c r="F86" s="32">
        <v>0</v>
      </c>
      <c r="G86" s="33">
        <v>0</v>
      </c>
      <c r="H86" s="32">
        <v>0</v>
      </c>
      <c r="I86" s="34">
        <v>0</v>
      </c>
      <c r="J86" s="34">
        <v>0</v>
      </c>
      <c r="K86" s="34">
        <v>0</v>
      </c>
      <c r="L86" s="35">
        <v>0</v>
      </c>
      <c r="M86" s="34">
        <v>0</v>
      </c>
      <c r="N86" s="35">
        <v>0</v>
      </c>
    </row>
    <row r="87" spans="2:14" x14ac:dyDescent="0.25">
      <c r="B87" s="30">
        <v>44903</v>
      </c>
      <c r="C87" s="30">
        <v>44904</v>
      </c>
      <c r="D87" s="31" t="s">
        <v>106</v>
      </c>
      <c r="E87" s="31" t="s">
        <v>107</v>
      </c>
      <c r="F87" s="32">
        <v>132.325321</v>
      </c>
      <c r="G87" s="33">
        <v>27.580462707182999</v>
      </c>
      <c r="H87" s="32">
        <v>25</v>
      </c>
      <c r="I87" s="34">
        <v>3.3792900000000001</v>
      </c>
      <c r="J87" s="34">
        <v>109.23</v>
      </c>
      <c r="K87" s="34">
        <v>109.23</v>
      </c>
      <c r="L87" s="35">
        <v>100</v>
      </c>
      <c r="M87" s="34">
        <v>109.23</v>
      </c>
      <c r="N87" s="35">
        <v>0</v>
      </c>
    </row>
    <row r="88" spans="2:14" x14ac:dyDescent="0.25">
      <c r="B88" s="30">
        <v>44903</v>
      </c>
      <c r="C88" s="30">
        <v>44904</v>
      </c>
      <c r="D88" s="31" t="s">
        <v>108</v>
      </c>
      <c r="E88" s="31" t="s">
        <v>109</v>
      </c>
      <c r="F88" s="32">
        <v>38.681401000000001</v>
      </c>
      <c r="G88" s="33">
        <v>14.511525414365</v>
      </c>
      <c r="H88" s="32">
        <v>18</v>
      </c>
      <c r="I88" s="34">
        <v>3.4808029999999999</v>
      </c>
      <c r="J88" s="34">
        <v>80.17</v>
      </c>
      <c r="K88" s="34">
        <v>80.17</v>
      </c>
      <c r="L88" s="35">
        <v>100</v>
      </c>
      <c r="M88" s="34">
        <v>80.17</v>
      </c>
      <c r="N88" s="35">
        <v>0</v>
      </c>
    </row>
    <row r="89" spans="2:14" x14ac:dyDescent="0.25">
      <c r="B89" s="30">
        <v>44903</v>
      </c>
      <c r="C89" s="30">
        <v>44904</v>
      </c>
      <c r="D89" s="31" t="s">
        <v>110</v>
      </c>
      <c r="E89" s="31" t="s">
        <v>111</v>
      </c>
      <c r="F89" s="32">
        <v>0</v>
      </c>
      <c r="G89" s="33">
        <v>0</v>
      </c>
      <c r="H89" s="32">
        <v>0</v>
      </c>
      <c r="I89" s="34">
        <v>0</v>
      </c>
      <c r="J89" s="34">
        <v>0</v>
      </c>
      <c r="K89" s="34">
        <v>0</v>
      </c>
      <c r="L89" s="35">
        <v>0</v>
      </c>
      <c r="M89" s="34">
        <v>0</v>
      </c>
      <c r="N89" s="35">
        <v>0</v>
      </c>
    </row>
    <row r="90" spans="2:14" x14ac:dyDescent="0.25">
      <c r="B90" s="30">
        <v>44903</v>
      </c>
      <c r="C90" s="30">
        <v>44904</v>
      </c>
      <c r="D90" s="31" t="s">
        <v>114</v>
      </c>
      <c r="E90" s="31" t="s">
        <v>115</v>
      </c>
      <c r="F90" s="32">
        <v>0</v>
      </c>
      <c r="G90" s="33">
        <v>0</v>
      </c>
      <c r="H90" s="32">
        <v>0</v>
      </c>
      <c r="I90" s="34">
        <v>0</v>
      </c>
      <c r="J90" s="34">
        <v>0</v>
      </c>
      <c r="K90" s="34">
        <v>0</v>
      </c>
      <c r="L90" s="35">
        <v>0</v>
      </c>
      <c r="M90" s="34">
        <v>0</v>
      </c>
      <c r="N90" s="35">
        <v>0</v>
      </c>
    </row>
    <row r="91" spans="2:14" x14ac:dyDescent="0.25">
      <c r="B91" s="30">
        <v>44903</v>
      </c>
      <c r="C91" s="30">
        <v>44904</v>
      </c>
      <c r="D91" s="31" t="s">
        <v>116</v>
      </c>
      <c r="E91" s="31" t="s">
        <v>117</v>
      </c>
      <c r="F91" s="32">
        <v>27.173337</v>
      </c>
      <c r="G91" s="33">
        <v>0</v>
      </c>
      <c r="H91" s="32">
        <v>0</v>
      </c>
      <c r="I91" s="34">
        <v>0</v>
      </c>
      <c r="J91" s="34">
        <v>0</v>
      </c>
      <c r="K91" s="34">
        <v>0</v>
      </c>
      <c r="L91" s="35">
        <v>0</v>
      </c>
      <c r="M91" s="34">
        <v>0</v>
      </c>
      <c r="N91" s="35">
        <v>0</v>
      </c>
    </row>
    <row r="92" spans="2:14" x14ac:dyDescent="0.25">
      <c r="B92" s="30">
        <v>44903</v>
      </c>
      <c r="C92" s="30">
        <v>44904</v>
      </c>
      <c r="D92" s="31" t="s">
        <v>118</v>
      </c>
      <c r="E92" s="31" t="s">
        <v>119</v>
      </c>
      <c r="F92" s="32">
        <v>24.116692</v>
      </c>
      <c r="G92" s="33">
        <v>17.231208791210001</v>
      </c>
      <c r="H92" s="32">
        <v>25</v>
      </c>
      <c r="I92" s="34">
        <v>3.532254</v>
      </c>
      <c r="J92" s="34">
        <v>68.760000000000005</v>
      </c>
      <c r="K92" s="34">
        <v>68.760000000000005</v>
      </c>
      <c r="L92" s="35">
        <v>100</v>
      </c>
      <c r="M92" s="34">
        <v>68.760000000000005</v>
      </c>
      <c r="N92" s="35">
        <v>0</v>
      </c>
    </row>
    <row r="93" spans="2:14" x14ac:dyDescent="0.25">
      <c r="B93" s="30">
        <v>44903</v>
      </c>
      <c r="C93" s="30">
        <v>44904</v>
      </c>
      <c r="D93" s="30" t="s">
        <v>124</v>
      </c>
      <c r="E93" s="30" t="s">
        <v>125</v>
      </c>
      <c r="F93" s="32">
        <v>50.941625999999999</v>
      </c>
      <c r="G93" s="32">
        <v>16.982208791209999</v>
      </c>
      <c r="H93" s="32">
        <v>15</v>
      </c>
      <c r="I93" s="34">
        <v>3.5713460000000001</v>
      </c>
      <c r="J93" s="34">
        <v>113.19</v>
      </c>
      <c r="K93" s="34">
        <v>113.19</v>
      </c>
      <c r="L93" s="35">
        <v>100</v>
      </c>
      <c r="M93" s="34">
        <v>113.19</v>
      </c>
      <c r="N93" s="35">
        <v>0</v>
      </c>
    </row>
    <row r="94" spans="2:14" x14ac:dyDescent="0.25">
      <c r="B94" s="30">
        <v>44935</v>
      </c>
      <c r="C94" s="30">
        <v>44936</v>
      </c>
      <c r="D94" s="30" t="s">
        <v>76</v>
      </c>
      <c r="E94" s="30" t="s">
        <v>77</v>
      </c>
      <c r="F94" s="32">
        <v>331.14607799999999</v>
      </c>
      <c r="G94" s="32">
        <v>104.34721250000101</v>
      </c>
      <c r="H94" s="32">
        <v>115</v>
      </c>
      <c r="I94" s="34">
        <v>3.3608630000000002</v>
      </c>
      <c r="J94" s="34">
        <v>90.680999999999997</v>
      </c>
      <c r="K94" s="34">
        <v>90.680999999999997</v>
      </c>
      <c r="L94" s="35">
        <v>100</v>
      </c>
      <c r="M94" s="34">
        <v>90.680999999999997</v>
      </c>
      <c r="N94" s="35">
        <v>0</v>
      </c>
    </row>
    <row r="95" spans="2:14" x14ac:dyDescent="0.25">
      <c r="B95" s="30">
        <v>44935</v>
      </c>
      <c r="C95" s="30">
        <v>44936</v>
      </c>
      <c r="D95" s="30" t="s">
        <v>78</v>
      </c>
      <c r="E95" s="30" t="s">
        <v>79</v>
      </c>
      <c r="F95" s="32">
        <v>9.4191079999999996</v>
      </c>
      <c r="G95" s="32">
        <v>0</v>
      </c>
      <c r="H95" s="32">
        <v>0</v>
      </c>
      <c r="I95" s="34">
        <v>0</v>
      </c>
      <c r="J95" s="34">
        <v>0</v>
      </c>
      <c r="K95" s="34">
        <v>0</v>
      </c>
      <c r="L95" s="35">
        <v>0</v>
      </c>
      <c r="M95" s="34">
        <v>0</v>
      </c>
      <c r="N95" s="35">
        <v>0</v>
      </c>
    </row>
    <row r="96" spans="2:14" x14ac:dyDescent="0.25">
      <c r="B96" s="30">
        <v>44935</v>
      </c>
      <c r="C96" s="30">
        <v>44936</v>
      </c>
      <c r="D96" s="30" t="s">
        <v>80</v>
      </c>
      <c r="E96" s="30" t="s">
        <v>81</v>
      </c>
      <c r="F96" s="32">
        <v>686.91711499999997</v>
      </c>
      <c r="G96" s="32">
        <v>545.61956593408104</v>
      </c>
      <c r="H96" s="32">
        <v>611.6</v>
      </c>
      <c r="I96" s="34">
        <v>3.4679720000000001</v>
      </c>
      <c r="J96" s="34">
        <v>89.129414999999995</v>
      </c>
      <c r="K96" s="34">
        <v>89.152000000000001</v>
      </c>
      <c r="L96" s="35">
        <v>78.707691999999994</v>
      </c>
      <c r="M96" s="34">
        <v>89.125</v>
      </c>
      <c r="N96" s="35">
        <v>4.4149999999999997E-3</v>
      </c>
    </row>
    <row r="97" spans="2:14" x14ac:dyDescent="0.25">
      <c r="B97" s="30">
        <v>44935</v>
      </c>
      <c r="C97" s="30">
        <v>44936</v>
      </c>
      <c r="D97" s="30" t="s">
        <v>82</v>
      </c>
      <c r="E97" s="30" t="s">
        <v>83</v>
      </c>
      <c r="F97" s="32">
        <v>127.822734</v>
      </c>
      <c r="G97" s="32">
        <v>0</v>
      </c>
      <c r="H97" s="32">
        <v>0</v>
      </c>
      <c r="I97" s="34">
        <v>0</v>
      </c>
      <c r="J97" s="34">
        <v>0</v>
      </c>
      <c r="K97" s="34">
        <v>0</v>
      </c>
      <c r="L97" s="35">
        <v>0</v>
      </c>
      <c r="M97" s="34">
        <v>0</v>
      </c>
      <c r="N97" s="35">
        <v>0</v>
      </c>
    </row>
    <row r="98" spans="2:14" x14ac:dyDescent="0.25">
      <c r="B98" s="30">
        <v>44935</v>
      </c>
      <c r="C98" s="30">
        <v>44936</v>
      </c>
      <c r="D98" s="30" t="s">
        <v>84</v>
      </c>
      <c r="E98" s="30" t="s">
        <v>85</v>
      </c>
      <c r="F98" s="32">
        <v>0</v>
      </c>
      <c r="G98" s="32">
        <v>0</v>
      </c>
      <c r="H98" s="32">
        <v>0</v>
      </c>
      <c r="I98" s="34">
        <v>0</v>
      </c>
      <c r="J98" s="34">
        <v>0</v>
      </c>
      <c r="K98" s="34">
        <v>0</v>
      </c>
      <c r="L98" s="35">
        <v>0</v>
      </c>
      <c r="M98" s="34">
        <v>0</v>
      </c>
      <c r="N98" s="35">
        <v>0</v>
      </c>
    </row>
    <row r="99" spans="2:14" x14ac:dyDescent="0.25">
      <c r="B99" s="30">
        <v>44935</v>
      </c>
      <c r="C99" s="30">
        <v>44936</v>
      </c>
      <c r="D99" s="30" t="s">
        <v>86</v>
      </c>
      <c r="E99" s="30" t="s">
        <v>87</v>
      </c>
      <c r="F99" s="32">
        <v>402.94860599999998</v>
      </c>
      <c r="G99" s="32">
        <v>0</v>
      </c>
      <c r="H99" s="32">
        <v>0</v>
      </c>
      <c r="I99" s="34">
        <v>0</v>
      </c>
      <c r="J99" s="34">
        <v>0</v>
      </c>
      <c r="K99" s="34">
        <v>0</v>
      </c>
      <c r="L99" s="35">
        <v>0</v>
      </c>
      <c r="M99" s="34">
        <v>0</v>
      </c>
      <c r="N99" s="35">
        <v>0</v>
      </c>
    </row>
    <row r="100" spans="2:14" x14ac:dyDescent="0.25">
      <c r="B100" s="30">
        <v>44935</v>
      </c>
      <c r="C100" s="30">
        <v>44936</v>
      </c>
      <c r="D100" s="30" t="s">
        <v>88</v>
      </c>
      <c r="E100" s="30" t="s">
        <v>89</v>
      </c>
      <c r="F100" s="32">
        <v>104.640964</v>
      </c>
      <c r="G100" s="32">
        <v>0</v>
      </c>
      <c r="H100" s="32">
        <v>0</v>
      </c>
      <c r="I100" s="34">
        <v>0</v>
      </c>
      <c r="J100" s="34">
        <v>0</v>
      </c>
      <c r="K100" s="34">
        <v>0</v>
      </c>
      <c r="L100" s="35">
        <v>0</v>
      </c>
      <c r="M100" s="34">
        <v>0</v>
      </c>
      <c r="N100" s="35">
        <v>0</v>
      </c>
    </row>
    <row r="101" spans="2:14" x14ac:dyDescent="0.25">
      <c r="B101" s="30">
        <v>44935</v>
      </c>
      <c r="C101" s="30">
        <v>44936</v>
      </c>
      <c r="D101" s="30" t="s">
        <v>90</v>
      </c>
      <c r="E101" s="30" t="s">
        <v>91</v>
      </c>
      <c r="F101" s="32">
        <v>121.43764</v>
      </c>
      <c r="G101" s="32">
        <v>0</v>
      </c>
      <c r="H101" s="32">
        <v>0</v>
      </c>
      <c r="I101" s="34">
        <v>0</v>
      </c>
      <c r="J101" s="34">
        <v>0</v>
      </c>
      <c r="K101" s="34">
        <v>0</v>
      </c>
      <c r="L101" s="35">
        <v>0</v>
      </c>
      <c r="M101" s="34">
        <v>0</v>
      </c>
      <c r="N101" s="35">
        <v>0</v>
      </c>
    </row>
    <row r="102" spans="2:14" x14ac:dyDescent="0.25">
      <c r="B102" s="30">
        <v>44935</v>
      </c>
      <c r="C102" s="30">
        <v>44936</v>
      </c>
      <c r="D102" s="30" t="s">
        <v>120</v>
      </c>
      <c r="E102" s="30" t="s">
        <v>121</v>
      </c>
      <c r="F102" s="32">
        <v>0</v>
      </c>
      <c r="G102" s="32">
        <v>0</v>
      </c>
      <c r="H102" s="32">
        <v>0</v>
      </c>
      <c r="I102" s="34">
        <v>0</v>
      </c>
      <c r="J102" s="34">
        <v>0</v>
      </c>
      <c r="K102" s="34">
        <v>0</v>
      </c>
      <c r="L102" s="35">
        <v>0</v>
      </c>
      <c r="M102" s="34">
        <v>0</v>
      </c>
      <c r="N102" s="35">
        <v>0</v>
      </c>
    </row>
    <row r="103" spans="2:14" x14ac:dyDescent="0.25">
      <c r="B103" s="30">
        <v>44935</v>
      </c>
      <c r="C103" s="30">
        <v>44936</v>
      </c>
      <c r="D103" s="30" t="s">
        <v>92</v>
      </c>
      <c r="E103" s="30" t="s">
        <v>93</v>
      </c>
      <c r="F103" s="32">
        <v>11.832423</v>
      </c>
      <c r="G103" s="32">
        <v>0</v>
      </c>
      <c r="H103" s="32">
        <v>0</v>
      </c>
      <c r="I103" s="34">
        <v>0</v>
      </c>
      <c r="J103" s="34">
        <v>0</v>
      </c>
      <c r="K103" s="34">
        <v>0</v>
      </c>
      <c r="L103" s="35">
        <v>0</v>
      </c>
      <c r="M103" s="34">
        <v>0</v>
      </c>
      <c r="N103" s="35">
        <v>0</v>
      </c>
    </row>
    <row r="104" spans="2:14" x14ac:dyDescent="0.25">
      <c r="B104" s="24">
        <v>44938</v>
      </c>
      <c r="C104" s="24">
        <v>44939</v>
      </c>
      <c r="D104" s="25" t="s">
        <v>94</v>
      </c>
      <c r="E104" s="25" t="s">
        <v>95</v>
      </c>
      <c r="F104" s="26">
        <v>148.26524000000001</v>
      </c>
      <c r="G104" s="27">
        <v>148.265240247256</v>
      </c>
      <c r="H104" s="26">
        <v>185</v>
      </c>
      <c r="I104" s="28">
        <v>3.305574</v>
      </c>
      <c r="J104" s="28">
        <v>80.057882000000006</v>
      </c>
      <c r="K104" s="28">
        <v>80.102000000000004</v>
      </c>
      <c r="L104" s="29">
        <v>100</v>
      </c>
      <c r="M104" s="28">
        <v>80.006</v>
      </c>
      <c r="N104" s="29">
        <v>5.1881999999999998E-2</v>
      </c>
    </row>
    <row r="105" spans="2:14" x14ac:dyDescent="0.25">
      <c r="B105" s="24">
        <v>44938</v>
      </c>
      <c r="C105" s="24">
        <v>44939</v>
      </c>
      <c r="D105" s="25" t="s">
        <v>96</v>
      </c>
      <c r="E105" s="25" t="s">
        <v>97</v>
      </c>
      <c r="F105" s="26">
        <v>55.317413999999999</v>
      </c>
      <c r="G105" s="27">
        <v>55.317414835165003</v>
      </c>
      <c r="H105" s="26">
        <v>50</v>
      </c>
      <c r="I105" s="28">
        <v>3.280084</v>
      </c>
      <c r="J105" s="28">
        <v>110.152</v>
      </c>
      <c r="K105" s="28">
        <v>110.152</v>
      </c>
      <c r="L105" s="29">
        <v>100</v>
      </c>
      <c r="M105" s="28">
        <v>110.152</v>
      </c>
      <c r="N105" s="29">
        <v>0</v>
      </c>
    </row>
    <row r="106" spans="2:14" x14ac:dyDescent="0.25">
      <c r="B106" s="24">
        <v>44938</v>
      </c>
      <c r="C106" s="24">
        <v>44939</v>
      </c>
      <c r="D106" s="25" t="s">
        <v>98</v>
      </c>
      <c r="E106" s="25" t="s">
        <v>99</v>
      </c>
      <c r="F106" s="26">
        <v>61.750816999999998</v>
      </c>
      <c r="G106" s="27">
        <v>61.750817391304999</v>
      </c>
      <c r="H106" s="26">
        <v>80</v>
      </c>
      <c r="I106" s="28">
        <v>3.3569770000000001</v>
      </c>
      <c r="J106" s="28">
        <v>77.075750999999997</v>
      </c>
      <c r="K106" s="28">
        <v>77.091999999999999</v>
      </c>
      <c r="L106" s="29">
        <v>100</v>
      </c>
      <c r="M106" s="28">
        <v>77.063999999999993</v>
      </c>
      <c r="N106" s="29">
        <v>1.1750999999999999E-2</v>
      </c>
    </row>
    <row r="107" spans="2:14" x14ac:dyDescent="0.25">
      <c r="B107" s="24">
        <v>44938</v>
      </c>
      <c r="C107" s="24">
        <v>44939</v>
      </c>
      <c r="D107" s="25" t="s">
        <v>100</v>
      </c>
      <c r="E107" s="25" t="s">
        <v>101</v>
      </c>
      <c r="F107" s="26">
        <v>322.84501599999999</v>
      </c>
      <c r="G107" s="27">
        <v>107.65500549450999</v>
      </c>
      <c r="H107" s="26">
        <v>100</v>
      </c>
      <c r="I107" s="28">
        <v>3.347518</v>
      </c>
      <c r="J107" s="28">
        <v>107.223</v>
      </c>
      <c r="K107" s="28">
        <v>107.223</v>
      </c>
      <c r="L107" s="29">
        <v>100</v>
      </c>
      <c r="M107" s="28">
        <v>107.223</v>
      </c>
      <c r="N107" s="29">
        <v>0</v>
      </c>
    </row>
    <row r="108" spans="2:14" x14ac:dyDescent="0.25">
      <c r="B108" s="24">
        <v>44938</v>
      </c>
      <c r="C108" s="24">
        <v>44939</v>
      </c>
      <c r="D108" s="25" t="s">
        <v>122</v>
      </c>
      <c r="E108" s="25" t="s">
        <v>123</v>
      </c>
      <c r="F108" s="26">
        <v>174.34807699999999</v>
      </c>
      <c r="G108" s="27">
        <v>170.48834239131199</v>
      </c>
      <c r="H108" s="26">
        <v>220</v>
      </c>
      <c r="I108" s="28">
        <v>3.4883220000000001</v>
      </c>
      <c r="J108" s="28">
        <v>77.099999999999994</v>
      </c>
      <c r="K108" s="28">
        <v>77.099999999999994</v>
      </c>
      <c r="L108" s="29">
        <v>100</v>
      </c>
      <c r="M108" s="28">
        <v>77.099999999999994</v>
      </c>
      <c r="N108" s="29">
        <v>0</v>
      </c>
    </row>
    <row r="109" spans="2:14" x14ac:dyDescent="0.25">
      <c r="B109" s="24">
        <v>44938</v>
      </c>
      <c r="C109" s="24">
        <v>44939</v>
      </c>
      <c r="D109" s="25" t="s">
        <v>102</v>
      </c>
      <c r="E109" s="25" t="s">
        <v>103</v>
      </c>
      <c r="F109" s="26">
        <v>720.64504099999999</v>
      </c>
      <c r="G109" s="27">
        <v>32.286787624307998</v>
      </c>
      <c r="H109" s="26">
        <v>29.1</v>
      </c>
      <c r="I109" s="28">
        <v>3.5133420000000002</v>
      </c>
      <c r="J109" s="28">
        <v>109.36</v>
      </c>
      <c r="K109" s="28">
        <v>109.36</v>
      </c>
      <c r="L109" s="29">
        <v>29.099999</v>
      </c>
      <c r="M109" s="28">
        <v>109.36</v>
      </c>
      <c r="N109" s="29">
        <v>0</v>
      </c>
    </row>
    <row r="110" spans="2:14" x14ac:dyDescent="0.25">
      <c r="B110" s="24">
        <v>44938</v>
      </c>
      <c r="C110" s="24">
        <v>44939</v>
      </c>
      <c r="D110" s="25" t="s">
        <v>104</v>
      </c>
      <c r="E110" s="25" t="s">
        <v>105</v>
      </c>
      <c r="F110" s="26">
        <v>0</v>
      </c>
      <c r="G110" s="27">
        <v>0</v>
      </c>
      <c r="H110" s="26">
        <v>0</v>
      </c>
      <c r="I110" s="28">
        <v>0</v>
      </c>
      <c r="J110" s="28">
        <v>0</v>
      </c>
      <c r="K110" s="28">
        <v>0</v>
      </c>
      <c r="L110" s="29">
        <v>0</v>
      </c>
      <c r="M110" s="28">
        <v>0</v>
      </c>
      <c r="N110" s="29">
        <v>0</v>
      </c>
    </row>
    <row r="111" spans="2:14" x14ac:dyDescent="0.25">
      <c r="B111" s="24">
        <v>44938</v>
      </c>
      <c r="C111" s="24">
        <v>44939</v>
      </c>
      <c r="D111" s="25" t="s">
        <v>106</v>
      </c>
      <c r="E111" s="25" t="s">
        <v>107</v>
      </c>
      <c r="F111" s="26">
        <v>0</v>
      </c>
      <c r="G111" s="27">
        <v>0</v>
      </c>
      <c r="H111" s="26">
        <v>0</v>
      </c>
      <c r="I111" s="28">
        <v>0</v>
      </c>
      <c r="J111" s="28">
        <v>0</v>
      </c>
      <c r="K111" s="28">
        <v>0</v>
      </c>
      <c r="L111" s="29">
        <v>0</v>
      </c>
      <c r="M111" s="28">
        <v>0</v>
      </c>
      <c r="N111" s="29">
        <v>0</v>
      </c>
    </row>
    <row r="112" spans="2:14" x14ac:dyDescent="0.25">
      <c r="B112" s="24">
        <v>44938</v>
      </c>
      <c r="C112" s="24">
        <v>44939</v>
      </c>
      <c r="D112" s="25" t="s">
        <v>108</v>
      </c>
      <c r="E112" s="25" t="s">
        <v>109</v>
      </c>
      <c r="F112" s="26">
        <v>0</v>
      </c>
      <c r="G112" s="27">
        <v>0</v>
      </c>
      <c r="H112" s="26">
        <v>0</v>
      </c>
      <c r="I112" s="28">
        <v>0</v>
      </c>
      <c r="J112" s="28">
        <v>0</v>
      </c>
      <c r="K112" s="28">
        <v>0</v>
      </c>
      <c r="L112" s="29">
        <v>0</v>
      </c>
      <c r="M112" s="28">
        <v>0</v>
      </c>
      <c r="N112" s="29">
        <v>0</v>
      </c>
    </row>
    <row r="113" spans="2:14" x14ac:dyDescent="0.25">
      <c r="B113" s="24">
        <v>44938</v>
      </c>
      <c r="C113" s="24">
        <v>44939</v>
      </c>
      <c r="D113" s="25" t="s">
        <v>110</v>
      </c>
      <c r="E113" s="25" t="s">
        <v>111</v>
      </c>
      <c r="F113" s="26">
        <v>0</v>
      </c>
      <c r="G113" s="27">
        <v>0</v>
      </c>
      <c r="H113" s="26">
        <v>0</v>
      </c>
      <c r="I113" s="28">
        <v>0</v>
      </c>
      <c r="J113" s="28">
        <v>0</v>
      </c>
      <c r="K113" s="28">
        <v>0</v>
      </c>
      <c r="L113" s="29">
        <v>0</v>
      </c>
      <c r="M113" s="28">
        <v>0</v>
      </c>
      <c r="N113" s="29">
        <v>0</v>
      </c>
    </row>
    <row r="114" spans="2:14" x14ac:dyDescent="0.25">
      <c r="B114" s="24">
        <v>44938</v>
      </c>
      <c r="C114" s="24">
        <v>44939</v>
      </c>
      <c r="D114" s="25" t="s">
        <v>112</v>
      </c>
      <c r="E114" s="25" t="s">
        <v>113</v>
      </c>
      <c r="F114" s="26">
        <v>24.201965000000001</v>
      </c>
      <c r="G114" s="27">
        <v>24.201965489132</v>
      </c>
      <c r="H114" s="26">
        <v>35</v>
      </c>
      <c r="I114" s="28">
        <v>3.7416510000000001</v>
      </c>
      <c r="J114" s="28">
        <v>68.641000000000005</v>
      </c>
      <c r="K114" s="28">
        <v>68.641000000000005</v>
      </c>
      <c r="L114" s="29">
        <v>100</v>
      </c>
      <c r="M114" s="28">
        <v>68.641000000000005</v>
      </c>
      <c r="N114" s="29">
        <v>0</v>
      </c>
    </row>
    <row r="115" spans="2:14" x14ac:dyDescent="0.25">
      <c r="B115" s="24">
        <v>44938</v>
      </c>
      <c r="C115" s="24">
        <v>44939</v>
      </c>
      <c r="D115" s="25" t="s">
        <v>114</v>
      </c>
      <c r="E115" s="25" t="s">
        <v>115</v>
      </c>
      <c r="F115" s="26">
        <v>0</v>
      </c>
      <c r="G115" s="27">
        <v>0</v>
      </c>
      <c r="H115" s="26">
        <v>0</v>
      </c>
      <c r="I115" s="28">
        <v>0</v>
      </c>
      <c r="J115" s="28">
        <v>0</v>
      </c>
      <c r="K115" s="28">
        <v>0</v>
      </c>
      <c r="L115" s="29">
        <v>0</v>
      </c>
      <c r="M115" s="28">
        <v>0</v>
      </c>
      <c r="N115" s="29">
        <v>0</v>
      </c>
    </row>
    <row r="116" spans="2:14" x14ac:dyDescent="0.25">
      <c r="B116" s="24">
        <v>44938</v>
      </c>
      <c r="C116" s="24">
        <v>44939</v>
      </c>
      <c r="D116" s="25" t="s">
        <v>116</v>
      </c>
      <c r="E116" s="25" t="s">
        <v>117</v>
      </c>
      <c r="F116" s="26">
        <v>0</v>
      </c>
      <c r="G116" s="27">
        <v>0</v>
      </c>
      <c r="H116" s="26">
        <v>0</v>
      </c>
      <c r="I116" s="28">
        <v>0</v>
      </c>
      <c r="J116" s="28">
        <v>0</v>
      </c>
      <c r="K116" s="28">
        <v>0</v>
      </c>
      <c r="L116" s="29">
        <v>0</v>
      </c>
      <c r="M116" s="28">
        <v>0</v>
      </c>
      <c r="N116" s="29">
        <v>0</v>
      </c>
    </row>
    <row r="117" spans="2:14" x14ac:dyDescent="0.25">
      <c r="B117" s="24">
        <v>44938</v>
      </c>
      <c r="C117" s="24">
        <v>44939</v>
      </c>
      <c r="D117" s="25" t="s">
        <v>118</v>
      </c>
      <c r="E117" s="25" t="s">
        <v>119</v>
      </c>
      <c r="F117" s="26">
        <v>49.957769999999996</v>
      </c>
      <c r="G117" s="27">
        <v>49.957770604396998</v>
      </c>
      <c r="H117" s="26">
        <v>75</v>
      </c>
      <c r="I117" s="28">
        <v>3.768688</v>
      </c>
      <c r="J117" s="28">
        <v>66.325368999999995</v>
      </c>
      <c r="K117" s="28">
        <v>66.36</v>
      </c>
      <c r="L117" s="29">
        <v>100</v>
      </c>
      <c r="M117" s="28">
        <v>66.256</v>
      </c>
      <c r="N117" s="29">
        <v>6.9369E-2</v>
      </c>
    </row>
    <row r="118" spans="2:14" x14ac:dyDescent="0.25">
      <c r="B118" s="24">
        <v>44938</v>
      </c>
      <c r="C118" s="24">
        <v>44939</v>
      </c>
      <c r="D118" s="25" t="s">
        <v>124</v>
      </c>
      <c r="E118" s="25" t="s">
        <v>125</v>
      </c>
      <c r="F118" s="26">
        <v>22.045983</v>
      </c>
      <c r="G118" s="27">
        <v>0</v>
      </c>
      <c r="H118" s="26">
        <v>0</v>
      </c>
      <c r="I118" s="28">
        <v>0</v>
      </c>
      <c r="J118" s="28">
        <v>0</v>
      </c>
      <c r="K118" s="28">
        <v>0</v>
      </c>
      <c r="L118" s="29">
        <v>0</v>
      </c>
      <c r="M118" s="28">
        <v>0</v>
      </c>
      <c r="N118" s="29">
        <v>0</v>
      </c>
    </row>
    <row r="119" spans="2:14" x14ac:dyDescent="0.25">
      <c r="B119" s="24">
        <v>44942</v>
      </c>
      <c r="C119" s="24">
        <v>44943</v>
      </c>
      <c r="D119" s="25" t="s">
        <v>94</v>
      </c>
      <c r="E119" s="25" t="s">
        <v>95</v>
      </c>
      <c r="F119" s="26">
        <v>59.891421000000001</v>
      </c>
      <c r="G119" s="27">
        <v>0</v>
      </c>
      <c r="H119" s="26">
        <v>0</v>
      </c>
      <c r="I119" s="28">
        <v>0</v>
      </c>
      <c r="J119" s="28">
        <v>0</v>
      </c>
      <c r="K119" s="28">
        <v>0</v>
      </c>
      <c r="L119" s="29">
        <v>0</v>
      </c>
      <c r="M119" s="28">
        <v>0</v>
      </c>
      <c r="N119" s="29">
        <v>0</v>
      </c>
    </row>
    <row r="120" spans="2:14" x14ac:dyDescent="0.25">
      <c r="B120" s="24">
        <v>44942</v>
      </c>
      <c r="C120" s="24">
        <v>44943</v>
      </c>
      <c r="D120" s="25" t="s">
        <v>96</v>
      </c>
      <c r="E120" s="25" t="s">
        <v>97</v>
      </c>
      <c r="F120" s="26">
        <v>165.42054099999999</v>
      </c>
      <c r="G120" s="27">
        <v>55.153513736264998</v>
      </c>
      <c r="H120" s="26">
        <v>50</v>
      </c>
      <c r="I120" s="28">
        <v>3.3304870000000002</v>
      </c>
      <c r="J120" s="28">
        <v>109.77200000000001</v>
      </c>
      <c r="K120" s="28">
        <v>109.77200000000001</v>
      </c>
      <c r="L120" s="29">
        <v>100</v>
      </c>
      <c r="M120" s="28">
        <v>109.77200000000001</v>
      </c>
      <c r="N120" s="29">
        <v>0</v>
      </c>
    </row>
    <row r="121" spans="2:14" x14ac:dyDescent="0.25">
      <c r="B121" s="24">
        <v>44942</v>
      </c>
      <c r="C121" s="24">
        <v>44943</v>
      </c>
      <c r="D121" s="25" t="s">
        <v>98</v>
      </c>
      <c r="E121" s="25" t="s">
        <v>99</v>
      </c>
      <c r="F121" s="26">
        <v>19.211621999999998</v>
      </c>
      <c r="G121" s="27">
        <v>0</v>
      </c>
      <c r="H121" s="26">
        <v>0</v>
      </c>
      <c r="I121" s="28">
        <v>0</v>
      </c>
      <c r="J121" s="28">
        <v>0</v>
      </c>
      <c r="K121" s="28">
        <v>0</v>
      </c>
      <c r="L121" s="29">
        <v>0</v>
      </c>
      <c r="M121" s="28">
        <v>0</v>
      </c>
      <c r="N121" s="29">
        <v>0</v>
      </c>
    </row>
    <row r="122" spans="2:14" x14ac:dyDescent="0.25">
      <c r="B122" s="24">
        <v>44942</v>
      </c>
      <c r="C122" s="24">
        <v>44943</v>
      </c>
      <c r="D122" s="25" t="s">
        <v>100</v>
      </c>
      <c r="E122" s="25" t="s">
        <v>101</v>
      </c>
      <c r="F122" s="26">
        <v>160.88806299999999</v>
      </c>
      <c r="G122" s="27">
        <v>160.888063186815</v>
      </c>
      <c r="H122" s="26">
        <v>150</v>
      </c>
      <c r="I122" s="28">
        <v>3.3999130000000002</v>
      </c>
      <c r="J122" s="28">
        <v>106.78</v>
      </c>
      <c r="K122" s="28">
        <v>106.78</v>
      </c>
      <c r="L122" s="29">
        <v>100</v>
      </c>
      <c r="M122" s="28">
        <v>106.78</v>
      </c>
      <c r="N122" s="29">
        <v>0</v>
      </c>
    </row>
    <row r="123" spans="2:14" x14ac:dyDescent="0.25">
      <c r="B123" s="24">
        <v>44942</v>
      </c>
      <c r="C123" s="24">
        <v>44943</v>
      </c>
      <c r="D123" s="25" t="s">
        <v>122</v>
      </c>
      <c r="E123" s="25" t="s">
        <v>123</v>
      </c>
      <c r="F123" s="26">
        <v>38.592104999999997</v>
      </c>
      <c r="G123" s="27">
        <v>0</v>
      </c>
      <c r="H123" s="26">
        <v>0</v>
      </c>
      <c r="I123" s="28">
        <v>0</v>
      </c>
      <c r="J123" s="28">
        <v>0</v>
      </c>
      <c r="K123" s="28">
        <v>0</v>
      </c>
      <c r="L123" s="29">
        <v>0</v>
      </c>
      <c r="M123" s="28">
        <v>0</v>
      </c>
      <c r="N123" s="29">
        <v>0</v>
      </c>
    </row>
    <row r="124" spans="2:14" x14ac:dyDescent="0.25">
      <c r="B124" s="24">
        <v>44942</v>
      </c>
      <c r="C124" s="24">
        <v>44943</v>
      </c>
      <c r="D124" s="25" t="s">
        <v>102</v>
      </c>
      <c r="E124" s="25" t="s">
        <v>103</v>
      </c>
      <c r="F124" s="26">
        <v>773.58268699999996</v>
      </c>
      <c r="G124" s="27">
        <v>387.06809392265001</v>
      </c>
      <c r="H124" s="26">
        <v>350</v>
      </c>
      <c r="I124" s="28">
        <v>3.5537040000000002</v>
      </c>
      <c r="J124" s="28">
        <v>108.95</v>
      </c>
      <c r="K124" s="28">
        <v>108.95</v>
      </c>
      <c r="L124" s="29">
        <v>100</v>
      </c>
      <c r="M124" s="28">
        <v>108.95</v>
      </c>
      <c r="N124" s="29">
        <v>0</v>
      </c>
    </row>
    <row r="125" spans="2:14" x14ac:dyDescent="0.25">
      <c r="B125" s="24">
        <v>44942</v>
      </c>
      <c r="C125" s="24">
        <v>44943</v>
      </c>
      <c r="D125" s="25" t="s">
        <v>104</v>
      </c>
      <c r="E125" s="25" t="s">
        <v>105</v>
      </c>
      <c r="F125" s="26">
        <v>101.781048</v>
      </c>
      <c r="G125" s="27">
        <v>46.829218125002001</v>
      </c>
      <c r="H125" s="26">
        <v>66.7</v>
      </c>
      <c r="I125" s="28">
        <v>3.6332149999999999</v>
      </c>
      <c r="J125" s="28">
        <v>69.92</v>
      </c>
      <c r="K125" s="28">
        <v>69.92</v>
      </c>
      <c r="L125" s="29">
        <v>66.7</v>
      </c>
      <c r="M125" s="28">
        <v>69.92</v>
      </c>
      <c r="N125" s="29">
        <v>0</v>
      </c>
    </row>
    <row r="126" spans="2:14" x14ac:dyDescent="0.25">
      <c r="B126" s="24">
        <v>44942</v>
      </c>
      <c r="C126" s="24">
        <v>44943</v>
      </c>
      <c r="D126" s="25" t="s">
        <v>106</v>
      </c>
      <c r="E126" s="25" t="s">
        <v>107</v>
      </c>
      <c r="F126" s="26">
        <v>0</v>
      </c>
      <c r="G126" s="27">
        <v>0</v>
      </c>
      <c r="H126" s="26">
        <v>0</v>
      </c>
      <c r="I126" s="28">
        <v>0</v>
      </c>
      <c r="J126" s="28">
        <v>0</v>
      </c>
      <c r="K126" s="28">
        <v>0</v>
      </c>
      <c r="L126" s="29">
        <v>0</v>
      </c>
      <c r="M126" s="28">
        <v>0</v>
      </c>
      <c r="N126" s="29">
        <v>0</v>
      </c>
    </row>
    <row r="127" spans="2:14" x14ac:dyDescent="0.25">
      <c r="B127" s="24">
        <v>44942</v>
      </c>
      <c r="C127" s="24">
        <v>44943</v>
      </c>
      <c r="D127" s="25" t="s">
        <v>108</v>
      </c>
      <c r="E127" s="25" t="s">
        <v>109</v>
      </c>
      <c r="F127" s="26">
        <v>27.415192000000001</v>
      </c>
      <c r="G127" s="27">
        <v>0</v>
      </c>
      <c r="H127" s="26">
        <v>0</v>
      </c>
      <c r="I127" s="28">
        <v>0</v>
      </c>
      <c r="J127" s="28">
        <v>0</v>
      </c>
      <c r="K127" s="28">
        <v>0</v>
      </c>
      <c r="L127" s="29">
        <v>0</v>
      </c>
      <c r="M127" s="28">
        <v>0</v>
      </c>
      <c r="N127" s="29">
        <v>0</v>
      </c>
    </row>
    <row r="128" spans="2:14" x14ac:dyDescent="0.25">
      <c r="B128" s="24">
        <v>44942</v>
      </c>
      <c r="C128" s="24">
        <v>44943</v>
      </c>
      <c r="D128" s="25" t="s">
        <v>110</v>
      </c>
      <c r="E128" s="25" t="s">
        <v>111</v>
      </c>
      <c r="F128" s="26">
        <v>0</v>
      </c>
      <c r="G128" s="27">
        <v>0</v>
      </c>
      <c r="H128" s="26">
        <v>0</v>
      </c>
      <c r="I128" s="28">
        <v>0</v>
      </c>
      <c r="J128" s="28">
        <v>0</v>
      </c>
      <c r="K128" s="28">
        <v>0</v>
      </c>
      <c r="L128" s="29">
        <v>0</v>
      </c>
      <c r="M128" s="28">
        <v>0</v>
      </c>
      <c r="N128" s="29">
        <v>0</v>
      </c>
    </row>
    <row r="129" spans="2:14" x14ac:dyDescent="0.25">
      <c r="B129" s="24">
        <v>44942</v>
      </c>
      <c r="C129" s="24">
        <v>44943</v>
      </c>
      <c r="D129" s="25" t="s">
        <v>112</v>
      </c>
      <c r="E129" s="25" t="s">
        <v>113</v>
      </c>
      <c r="F129" s="26">
        <v>0</v>
      </c>
      <c r="G129" s="27">
        <v>0</v>
      </c>
      <c r="H129" s="26">
        <v>0</v>
      </c>
      <c r="I129" s="28">
        <v>0</v>
      </c>
      <c r="J129" s="28">
        <v>0</v>
      </c>
      <c r="K129" s="28">
        <v>0</v>
      </c>
      <c r="L129" s="29">
        <v>0</v>
      </c>
      <c r="M129" s="28">
        <v>0</v>
      </c>
      <c r="N129" s="29">
        <v>0</v>
      </c>
    </row>
    <row r="130" spans="2:14" x14ac:dyDescent="0.25">
      <c r="B130" s="24">
        <v>44942</v>
      </c>
      <c r="C130" s="24">
        <v>44943</v>
      </c>
      <c r="D130" s="25" t="s">
        <v>114</v>
      </c>
      <c r="E130" s="25" t="s">
        <v>115</v>
      </c>
      <c r="F130" s="26">
        <v>0</v>
      </c>
      <c r="G130" s="27">
        <v>0</v>
      </c>
      <c r="H130" s="26">
        <v>0</v>
      </c>
      <c r="I130" s="28">
        <v>0</v>
      </c>
      <c r="J130" s="28">
        <v>0</v>
      </c>
      <c r="K130" s="28">
        <v>0</v>
      </c>
      <c r="L130" s="29">
        <v>0</v>
      </c>
      <c r="M130" s="28">
        <v>0</v>
      </c>
      <c r="N130" s="29">
        <v>0</v>
      </c>
    </row>
    <row r="131" spans="2:14" x14ac:dyDescent="0.25">
      <c r="B131" s="24">
        <v>44942</v>
      </c>
      <c r="C131" s="24">
        <v>44943</v>
      </c>
      <c r="D131" s="25" t="s">
        <v>116</v>
      </c>
      <c r="E131" s="25" t="s">
        <v>117</v>
      </c>
      <c r="F131" s="26">
        <v>42.403483000000001</v>
      </c>
      <c r="G131" s="27">
        <v>0</v>
      </c>
      <c r="H131" s="26">
        <v>0</v>
      </c>
      <c r="I131" s="28">
        <v>0</v>
      </c>
      <c r="J131" s="28">
        <v>0</v>
      </c>
      <c r="K131" s="28">
        <v>0</v>
      </c>
      <c r="L131" s="29">
        <v>0</v>
      </c>
      <c r="M131" s="28">
        <v>0</v>
      </c>
      <c r="N131" s="29">
        <v>0</v>
      </c>
    </row>
    <row r="132" spans="2:14" x14ac:dyDescent="0.25">
      <c r="B132" s="24">
        <v>44942</v>
      </c>
      <c r="C132" s="24">
        <v>44943</v>
      </c>
      <c r="D132" s="25" t="s">
        <v>118</v>
      </c>
      <c r="E132" s="25" t="s">
        <v>119</v>
      </c>
      <c r="F132" s="26">
        <v>16.54419</v>
      </c>
      <c r="G132" s="27">
        <v>0</v>
      </c>
      <c r="H132" s="26">
        <v>0</v>
      </c>
      <c r="I132" s="28">
        <v>0</v>
      </c>
      <c r="J132" s="28">
        <v>0</v>
      </c>
      <c r="K132" s="28">
        <v>0</v>
      </c>
      <c r="L132" s="29">
        <v>0</v>
      </c>
      <c r="M132" s="28">
        <v>0</v>
      </c>
      <c r="N132" s="29">
        <v>0</v>
      </c>
    </row>
    <row r="133" spans="2:14" x14ac:dyDescent="0.25">
      <c r="B133" s="24">
        <v>44942</v>
      </c>
      <c r="C133" s="24">
        <v>44943</v>
      </c>
      <c r="D133" s="25" t="s">
        <v>124</v>
      </c>
      <c r="E133" s="25" t="s">
        <v>125</v>
      </c>
      <c r="F133" s="26">
        <v>5.492343</v>
      </c>
      <c r="G133" s="27">
        <v>0</v>
      </c>
      <c r="H133" s="26">
        <v>0</v>
      </c>
      <c r="I133" s="28">
        <v>0</v>
      </c>
      <c r="J133" s="28">
        <v>0</v>
      </c>
      <c r="K133" s="28">
        <v>0</v>
      </c>
      <c r="L133" s="29">
        <v>0</v>
      </c>
      <c r="M133" s="28">
        <v>0</v>
      </c>
      <c r="N133" s="29">
        <v>0</v>
      </c>
    </row>
    <row r="134" spans="2:14" x14ac:dyDescent="0.25">
      <c r="B134" s="30">
        <v>44949</v>
      </c>
      <c r="C134" s="30">
        <v>44950</v>
      </c>
      <c r="D134" s="31" t="s">
        <v>76</v>
      </c>
      <c r="E134" s="31" t="s">
        <v>77</v>
      </c>
      <c r="F134" s="32">
        <v>697.93240800000001</v>
      </c>
      <c r="G134" s="33">
        <v>520.08188315216398</v>
      </c>
      <c r="H134" s="32">
        <v>570</v>
      </c>
      <c r="I134" s="34">
        <v>3.1928480000000001</v>
      </c>
      <c r="J134" s="34">
        <v>91.244473999999997</v>
      </c>
      <c r="K134" s="34">
        <v>91.251999999999995</v>
      </c>
      <c r="L134" s="35">
        <v>100</v>
      </c>
      <c r="M134" s="34">
        <v>91.23</v>
      </c>
      <c r="N134" s="35">
        <v>1.4474000000000001E-2</v>
      </c>
    </row>
    <row r="135" spans="2:14" x14ac:dyDescent="0.25">
      <c r="B135" s="30">
        <v>44949</v>
      </c>
      <c r="C135" s="30">
        <v>44950</v>
      </c>
      <c r="D135" s="31" t="s">
        <v>78</v>
      </c>
      <c r="E135" s="31" t="s">
        <v>79</v>
      </c>
      <c r="F135" s="32">
        <v>98.839701000000005</v>
      </c>
      <c r="G135" s="33">
        <v>62.317486187847003</v>
      </c>
      <c r="H135" s="32">
        <v>66.2</v>
      </c>
      <c r="I135" s="34">
        <v>3.2930030000000001</v>
      </c>
      <c r="J135" s="34">
        <v>94.126887999999994</v>
      </c>
      <c r="K135" s="34">
        <v>94.13</v>
      </c>
      <c r="L135" s="35">
        <v>82.399998999999994</v>
      </c>
      <c r="M135" s="34">
        <v>94.125</v>
      </c>
      <c r="N135" s="35">
        <v>1.8879999999999999E-3</v>
      </c>
    </row>
    <row r="136" spans="2:14" x14ac:dyDescent="0.25">
      <c r="B136" s="30">
        <v>44949</v>
      </c>
      <c r="C136" s="30">
        <v>44950</v>
      </c>
      <c r="D136" s="31" t="s">
        <v>80</v>
      </c>
      <c r="E136" s="31" t="s">
        <v>81</v>
      </c>
      <c r="F136" s="32">
        <v>0</v>
      </c>
      <c r="G136" s="33">
        <v>0</v>
      </c>
      <c r="H136" s="32">
        <v>0</v>
      </c>
      <c r="I136" s="34">
        <v>0</v>
      </c>
      <c r="J136" s="34">
        <v>0</v>
      </c>
      <c r="K136" s="34">
        <v>0</v>
      </c>
      <c r="L136" s="35">
        <v>0</v>
      </c>
      <c r="M136" s="34">
        <v>0</v>
      </c>
      <c r="N136" s="35">
        <v>0</v>
      </c>
    </row>
    <row r="137" spans="2:14" x14ac:dyDescent="0.25">
      <c r="B137" s="30">
        <v>44949</v>
      </c>
      <c r="C137" s="30">
        <v>44950</v>
      </c>
      <c r="D137" s="31" t="s">
        <v>82</v>
      </c>
      <c r="E137" s="31" t="s">
        <v>83</v>
      </c>
      <c r="F137" s="32">
        <v>210.49193299999999</v>
      </c>
      <c r="G137" s="33">
        <v>27.492121823205999</v>
      </c>
      <c r="H137" s="32">
        <v>30</v>
      </c>
      <c r="I137" s="34">
        <v>3.2666219999999999</v>
      </c>
      <c r="J137" s="34">
        <v>91.633499999999998</v>
      </c>
      <c r="K137" s="34">
        <v>91.635999999999996</v>
      </c>
      <c r="L137" s="35">
        <v>100</v>
      </c>
      <c r="M137" s="34">
        <v>91.631</v>
      </c>
      <c r="N137" s="35">
        <v>2.5000000000000001E-3</v>
      </c>
    </row>
    <row r="138" spans="2:14" x14ac:dyDescent="0.25">
      <c r="B138" s="30">
        <v>44949</v>
      </c>
      <c r="C138" s="30">
        <v>44950</v>
      </c>
      <c r="D138" s="31" t="s">
        <v>84</v>
      </c>
      <c r="E138" s="31" t="s">
        <v>85</v>
      </c>
      <c r="F138" s="32">
        <v>0</v>
      </c>
      <c r="G138" s="33">
        <v>0</v>
      </c>
      <c r="H138" s="32">
        <v>0</v>
      </c>
      <c r="I138" s="34">
        <v>0</v>
      </c>
      <c r="J138" s="34">
        <v>0</v>
      </c>
      <c r="K138" s="34">
        <v>0</v>
      </c>
      <c r="L138" s="35">
        <v>0</v>
      </c>
      <c r="M138" s="34">
        <v>0</v>
      </c>
      <c r="N138" s="35">
        <v>0</v>
      </c>
    </row>
    <row r="139" spans="2:14" x14ac:dyDescent="0.25">
      <c r="B139" s="30">
        <v>44949</v>
      </c>
      <c r="C139" s="30">
        <v>44950</v>
      </c>
      <c r="D139" s="31" t="s">
        <v>86</v>
      </c>
      <c r="E139" s="31" t="s">
        <v>87</v>
      </c>
      <c r="F139" s="32">
        <v>199.717356</v>
      </c>
      <c r="G139" s="33">
        <v>0</v>
      </c>
      <c r="H139" s="32">
        <v>0</v>
      </c>
      <c r="I139" s="34">
        <v>0</v>
      </c>
      <c r="J139" s="34">
        <v>0</v>
      </c>
      <c r="K139" s="34">
        <v>0</v>
      </c>
      <c r="L139" s="35">
        <v>0</v>
      </c>
      <c r="M139" s="34">
        <v>0</v>
      </c>
      <c r="N139" s="35">
        <v>0</v>
      </c>
    </row>
    <row r="140" spans="2:14" x14ac:dyDescent="0.25">
      <c r="B140" s="30">
        <v>44949</v>
      </c>
      <c r="C140" s="30">
        <v>44950</v>
      </c>
      <c r="D140" s="31" t="s">
        <v>88</v>
      </c>
      <c r="E140" s="31" t="s">
        <v>89</v>
      </c>
      <c r="F140" s="32">
        <v>45.933821000000002</v>
      </c>
      <c r="G140" s="33">
        <v>0</v>
      </c>
      <c r="H140" s="32">
        <v>0</v>
      </c>
      <c r="I140" s="34">
        <v>0</v>
      </c>
      <c r="J140" s="34">
        <v>0</v>
      </c>
      <c r="K140" s="34">
        <v>0</v>
      </c>
      <c r="L140" s="35">
        <v>0</v>
      </c>
      <c r="M140" s="34">
        <v>0</v>
      </c>
      <c r="N140" s="35">
        <v>0</v>
      </c>
    </row>
    <row r="141" spans="2:14" x14ac:dyDescent="0.25">
      <c r="B141" s="30">
        <v>44949</v>
      </c>
      <c r="C141" s="30">
        <v>44950</v>
      </c>
      <c r="D141" s="31" t="s">
        <v>90</v>
      </c>
      <c r="E141" s="31" t="s">
        <v>91</v>
      </c>
      <c r="F141" s="32">
        <v>57.286653999999999</v>
      </c>
      <c r="G141" s="33">
        <v>40.105173076923997</v>
      </c>
      <c r="H141" s="32">
        <v>35</v>
      </c>
      <c r="I141" s="34">
        <v>3.3870960000000001</v>
      </c>
      <c r="J141" s="34">
        <v>113.795</v>
      </c>
      <c r="K141" s="34">
        <v>113.795</v>
      </c>
      <c r="L141" s="35">
        <v>100</v>
      </c>
      <c r="M141" s="34">
        <v>113.795</v>
      </c>
      <c r="N141" s="35">
        <v>0</v>
      </c>
    </row>
    <row r="142" spans="2:14" x14ac:dyDescent="0.25">
      <c r="B142" s="30">
        <v>44949</v>
      </c>
      <c r="C142" s="30">
        <v>44950</v>
      </c>
      <c r="D142" s="31" t="s">
        <v>120</v>
      </c>
      <c r="E142" s="31" t="s">
        <v>121</v>
      </c>
      <c r="F142" s="32">
        <v>0</v>
      </c>
      <c r="G142" s="33">
        <v>0</v>
      </c>
      <c r="H142" s="32">
        <v>0</v>
      </c>
      <c r="I142" s="34">
        <v>0</v>
      </c>
      <c r="J142" s="34">
        <v>0</v>
      </c>
      <c r="K142" s="34">
        <v>0</v>
      </c>
      <c r="L142" s="35">
        <v>0</v>
      </c>
      <c r="M142" s="34">
        <v>0</v>
      </c>
      <c r="N142" s="35">
        <v>0</v>
      </c>
    </row>
    <row r="143" spans="2:14" x14ac:dyDescent="0.25">
      <c r="B143" s="30">
        <v>44949</v>
      </c>
      <c r="C143" s="30">
        <v>44950</v>
      </c>
      <c r="D143" s="31" t="s">
        <v>92</v>
      </c>
      <c r="E143" s="31" t="s">
        <v>93</v>
      </c>
      <c r="F143" s="32">
        <v>21.420490000000001</v>
      </c>
      <c r="G143" s="33">
        <v>0</v>
      </c>
      <c r="H143" s="32">
        <v>0</v>
      </c>
      <c r="I143" s="34">
        <v>0</v>
      </c>
      <c r="J143" s="34">
        <v>0</v>
      </c>
      <c r="K143" s="34">
        <v>0</v>
      </c>
      <c r="L143" s="35">
        <v>0</v>
      </c>
      <c r="M143" s="34">
        <v>0</v>
      </c>
      <c r="N143" s="35">
        <v>0</v>
      </c>
    </row>
    <row r="144" spans="2:14" x14ac:dyDescent="0.25">
      <c r="B144" s="24">
        <v>44956</v>
      </c>
      <c r="C144" s="24">
        <v>44957</v>
      </c>
      <c r="D144" s="25" t="s">
        <v>126</v>
      </c>
      <c r="E144" s="25" t="s">
        <v>127</v>
      </c>
      <c r="F144" s="26">
        <v>0</v>
      </c>
      <c r="G144" s="27">
        <v>0</v>
      </c>
      <c r="H144" s="26">
        <v>0</v>
      </c>
      <c r="I144" s="28">
        <v>0</v>
      </c>
      <c r="J144" s="28">
        <v>0</v>
      </c>
      <c r="K144" s="28">
        <v>0</v>
      </c>
      <c r="L144" s="29">
        <v>0</v>
      </c>
      <c r="M144" s="28">
        <v>0</v>
      </c>
      <c r="N144" s="29">
        <v>0</v>
      </c>
    </row>
    <row r="145" spans="2:14" x14ac:dyDescent="0.25">
      <c r="B145" s="24">
        <v>44956</v>
      </c>
      <c r="C145" s="24">
        <v>44957</v>
      </c>
      <c r="D145" s="25" t="s">
        <v>128</v>
      </c>
      <c r="E145" s="25" t="s">
        <v>129</v>
      </c>
      <c r="F145" s="26">
        <v>0</v>
      </c>
      <c r="G145" s="27">
        <v>0</v>
      </c>
      <c r="H145" s="26">
        <v>0</v>
      </c>
      <c r="I145" s="28">
        <v>0</v>
      </c>
      <c r="J145" s="28">
        <v>0</v>
      </c>
      <c r="K145" s="28">
        <v>0</v>
      </c>
      <c r="L145" s="29">
        <v>0</v>
      </c>
      <c r="M145" s="28">
        <v>0</v>
      </c>
      <c r="N145" s="29">
        <v>0</v>
      </c>
    </row>
    <row r="146" spans="2:14" x14ac:dyDescent="0.25">
      <c r="B146" s="24">
        <v>44956</v>
      </c>
      <c r="C146" s="24">
        <v>44957</v>
      </c>
      <c r="D146" s="25" t="s">
        <v>130</v>
      </c>
      <c r="E146" s="25" t="s">
        <v>131</v>
      </c>
      <c r="F146" s="26">
        <v>0</v>
      </c>
      <c r="G146" s="27">
        <v>0</v>
      </c>
      <c r="H146" s="26">
        <v>0</v>
      </c>
      <c r="I146" s="28">
        <v>0</v>
      </c>
      <c r="J146" s="28">
        <v>0</v>
      </c>
      <c r="K146" s="28">
        <v>0</v>
      </c>
      <c r="L146" s="29">
        <v>0</v>
      </c>
      <c r="M146" s="28">
        <v>0</v>
      </c>
      <c r="N146" s="29">
        <v>0</v>
      </c>
    </row>
    <row r="147" spans="2:14" x14ac:dyDescent="0.25">
      <c r="B147" s="24">
        <v>44956</v>
      </c>
      <c r="C147" s="24">
        <v>44957</v>
      </c>
      <c r="D147" s="25" t="s">
        <v>132</v>
      </c>
      <c r="E147" s="25" t="s">
        <v>133</v>
      </c>
      <c r="F147" s="26">
        <v>0</v>
      </c>
      <c r="G147" s="27">
        <v>0</v>
      </c>
      <c r="H147" s="26">
        <v>0</v>
      </c>
      <c r="I147" s="28">
        <v>0</v>
      </c>
      <c r="J147" s="28">
        <v>0</v>
      </c>
      <c r="K147" s="28">
        <v>0</v>
      </c>
      <c r="L147" s="29">
        <v>0</v>
      </c>
      <c r="M147" s="28">
        <v>0</v>
      </c>
      <c r="N147" s="29">
        <v>0</v>
      </c>
    </row>
    <row r="148" spans="2:14" x14ac:dyDescent="0.25">
      <c r="B148" s="24">
        <v>44956</v>
      </c>
      <c r="C148" s="24">
        <v>44957</v>
      </c>
      <c r="D148" s="25" t="s">
        <v>134</v>
      </c>
      <c r="E148" s="25" t="s">
        <v>135</v>
      </c>
      <c r="F148" s="26">
        <v>0</v>
      </c>
      <c r="G148" s="27">
        <v>0</v>
      </c>
      <c r="H148" s="26">
        <v>0</v>
      </c>
      <c r="I148" s="28">
        <v>0</v>
      </c>
      <c r="J148" s="28">
        <v>0</v>
      </c>
      <c r="K148" s="28">
        <v>0</v>
      </c>
      <c r="L148" s="29">
        <v>0</v>
      </c>
      <c r="M148" s="28">
        <v>0</v>
      </c>
      <c r="N148" s="29">
        <v>0</v>
      </c>
    </row>
    <row r="149" spans="2:14" x14ac:dyDescent="0.25">
      <c r="B149" s="24">
        <v>44956</v>
      </c>
      <c r="C149" s="24">
        <v>44957</v>
      </c>
      <c r="D149" s="25" t="s">
        <v>136</v>
      </c>
      <c r="E149" s="25" t="s">
        <v>137</v>
      </c>
      <c r="F149" s="26">
        <v>0</v>
      </c>
      <c r="G149" s="27">
        <v>0</v>
      </c>
      <c r="H149" s="26">
        <v>0</v>
      </c>
      <c r="I149" s="28">
        <v>0</v>
      </c>
      <c r="J149" s="28">
        <v>0</v>
      </c>
      <c r="K149" s="28">
        <v>0</v>
      </c>
      <c r="L149" s="29">
        <v>0</v>
      </c>
      <c r="M149" s="28">
        <v>0</v>
      </c>
      <c r="N149" s="29">
        <v>0</v>
      </c>
    </row>
    <row r="150" spans="2:14" x14ac:dyDescent="0.25">
      <c r="B150" s="24">
        <v>44956</v>
      </c>
      <c r="C150" s="24">
        <v>44957</v>
      </c>
      <c r="D150" s="25" t="s">
        <v>138</v>
      </c>
      <c r="E150" s="25" t="s">
        <v>139</v>
      </c>
      <c r="F150" s="26">
        <v>0</v>
      </c>
      <c r="G150" s="27">
        <v>0</v>
      </c>
      <c r="H150" s="26">
        <v>0</v>
      </c>
      <c r="I150" s="28">
        <v>0</v>
      </c>
      <c r="J150" s="28">
        <v>0</v>
      </c>
      <c r="K150" s="28">
        <v>0</v>
      </c>
      <c r="L150" s="29">
        <v>0</v>
      </c>
      <c r="M150" s="28">
        <v>0</v>
      </c>
      <c r="N150" s="29">
        <v>0</v>
      </c>
    </row>
    <row r="151" spans="2:14" x14ac:dyDescent="0.25">
      <c r="B151" s="24">
        <v>44956</v>
      </c>
      <c r="C151" s="24">
        <v>44957</v>
      </c>
      <c r="D151" s="25" t="s">
        <v>140</v>
      </c>
      <c r="E151" s="25" t="s">
        <v>141</v>
      </c>
      <c r="F151" s="26">
        <v>360.626194</v>
      </c>
      <c r="G151" s="27">
        <v>178.85452623626301</v>
      </c>
      <c r="H151" s="26">
        <v>375</v>
      </c>
      <c r="I151" s="28">
        <v>3.6505670000000001</v>
      </c>
      <c r="J151" s="28">
        <v>47.521141</v>
      </c>
      <c r="K151" s="28">
        <v>47.542999999999999</v>
      </c>
      <c r="L151" s="29">
        <v>100</v>
      </c>
      <c r="M151" s="28">
        <v>47.472999999999999</v>
      </c>
      <c r="N151" s="29">
        <v>4.8141000000000003E-2</v>
      </c>
    </row>
    <row r="152" spans="2:14" x14ac:dyDescent="0.25">
      <c r="B152" s="24">
        <v>44956</v>
      </c>
      <c r="C152" s="24">
        <v>44957</v>
      </c>
      <c r="D152" s="25" t="s">
        <v>142</v>
      </c>
      <c r="E152" s="25" t="s">
        <v>143</v>
      </c>
      <c r="F152" s="26">
        <v>97.295500000000004</v>
      </c>
      <c r="G152" s="27">
        <v>42.952500000000001</v>
      </c>
      <c r="H152" s="26">
        <v>75</v>
      </c>
      <c r="I152" s="28">
        <v>3.684323</v>
      </c>
      <c r="J152" s="28">
        <v>57.27</v>
      </c>
      <c r="K152" s="28">
        <v>57.27</v>
      </c>
      <c r="L152" s="29">
        <v>100</v>
      </c>
      <c r="M152" s="28">
        <v>57.27</v>
      </c>
      <c r="N152" s="29">
        <v>0</v>
      </c>
    </row>
    <row r="153" spans="2:14" x14ac:dyDescent="0.25">
      <c r="B153" s="24">
        <v>44956</v>
      </c>
      <c r="C153" s="24">
        <v>44957</v>
      </c>
      <c r="D153" s="25" t="s">
        <v>144</v>
      </c>
      <c r="E153" s="25" t="s">
        <v>145</v>
      </c>
      <c r="F153" s="26">
        <v>0</v>
      </c>
      <c r="G153" s="27">
        <v>0</v>
      </c>
      <c r="H153" s="26">
        <v>0</v>
      </c>
      <c r="I153" s="28">
        <v>0</v>
      </c>
      <c r="J153" s="28">
        <v>0</v>
      </c>
      <c r="K153" s="28">
        <v>0</v>
      </c>
      <c r="L153" s="29">
        <v>0</v>
      </c>
      <c r="M153" s="28">
        <v>0</v>
      </c>
      <c r="N153" s="29">
        <v>0</v>
      </c>
    </row>
    <row r="154" spans="2:14" x14ac:dyDescent="0.25">
      <c r="B154" s="24">
        <v>44956</v>
      </c>
      <c r="C154" s="24">
        <v>44957</v>
      </c>
      <c r="D154" s="25" t="s">
        <v>146</v>
      </c>
      <c r="E154" s="25" t="s">
        <v>147</v>
      </c>
      <c r="F154" s="26">
        <v>0</v>
      </c>
      <c r="G154" s="27">
        <v>0</v>
      </c>
      <c r="H154" s="26">
        <v>0</v>
      </c>
      <c r="I154" s="28">
        <v>0</v>
      </c>
      <c r="J154" s="28">
        <v>0</v>
      </c>
      <c r="K154" s="28">
        <v>0</v>
      </c>
      <c r="L154" s="29">
        <v>0</v>
      </c>
      <c r="M154" s="28">
        <v>0</v>
      </c>
      <c r="N154" s="29">
        <v>0</v>
      </c>
    </row>
    <row r="155" spans="2:14" x14ac:dyDescent="0.25">
      <c r="B155" s="24">
        <v>44956</v>
      </c>
      <c r="C155" s="24">
        <v>44957</v>
      </c>
      <c r="D155" s="25" t="s">
        <v>148</v>
      </c>
      <c r="E155" s="25" t="s">
        <v>149</v>
      </c>
      <c r="F155" s="26">
        <v>0</v>
      </c>
      <c r="G155" s="27">
        <v>0</v>
      </c>
      <c r="H155" s="26">
        <v>0</v>
      </c>
      <c r="I155" s="28">
        <v>0</v>
      </c>
      <c r="J155" s="28">
        <v>0</v>
      </c>
      <c r="K155" s="28">
        <v>0</v>
      </c>
      <c r="L155" s="29">
        <v>0</v>
      </c>
      <c r="M155" s="28">
        <v>0</v>
      </c>
      <c r="N155" s="29">
        <v>0</v>
      </c>
    </row>
    <row r="156" spans="2:14" x14ac:dyDescent="0.25">
      <c r="B156" s="24">
        <v>44956</v>
      </c>
      <c r="C156" s="24">
        <v>44957</v>
      </c>
      <c r="D156" s="25" t="s">
        <v>150</v>
      </c>
      <c r="E156" s="25" t="s">
        <v>151</v>
      </c>
      <c r="F156" s="26">
        <v>0</v>
      </c>
      <c r="G156" s="27">
        <v>0</v>
      </c>
      <c r="H156" s="26">
        <v>0</v>
      </c>
      <c r="I156" s="28">
        <v>0</v>
      </c>
      <c r="J156" s="28">
        <v>0</v>
      </c>
      <c r="K156" s="28">
        <v>0</v>
      </c>
      <c r="L156" s="29">
        <v>0</v>
      </c>
      <c r="M156" s="28">
        <v>0</v>
      </c>
      <c r="N156" s="29">
        <v>0</v>
      </c>
    </row>
    <row r="157" spans="2:14" x14ac:dyDescent="0.25">
      <c r="B157" s="24">
        <v>44956</v>
      </c>
      <c r="C157" s="24">
        <v>44957</v>
      </c>
      <c r="D157" s="25" t="s">
        <v>152</v>
      </c>
      <c r="E157" s="25" t="s">
        <v>153</v>
      </c>
      <c r="F157" s="26">
        <v>17.113247000000001</v>
      </c>
      <c r="G157" s="27">
        <v>0</v>
      </c>
      <c r="H157" s="26">
        <v>0</v>
      </c>
      <c r="I157" s="28">
        <v>0</v>
      </c>
      <c r="J157" s="28">
        <v>0</v>
      </c>
      <c r="K157" s="28">
        <v>0</v>
      </c>
      <c r="L157" s="29">
        <v>0</v>
      </c>
      <c r="M157" s="28">
        <v>0</v>
      </c>
      <c r="N157" s="29">
        <v>0</v>
      </c>
    </row>
    <row r="158" spans="2:14" x14ac:dyDescent="0.25">
      <c r="B158" s="24">
        <v>44956</v>
      </c>
      <c r="C158" s="24">
        <v>44957</v>
      </c>
      <c r="D158" s="25" t="s">
        <v>154</v>
      </c>
      <c r="E158" s="25" t="s">
        <v>155</v>
      </c>
      <c r="F158" s="26">
        <v>145.948654</v>
      </c>
      <c r="G158" s="27">
        <v>97.347402762431003</v>
      </c>
      <c r="H158" s="26">
        <v>90</v>
      </c>
      <c r="I158" s="28">
        <v>3.6035110000000001</v>
      </c>
      <c r="J158" s="28">
        <v>108.064342</v>
      </c>
      <c r="K158" s="28">
        <v>108.10599999999999</v>
      </c>
      <c r="L158" s="29">
        <v>100</v>
      </c>
      <c r="M158" s="28">
        <v>108.02</v>
      </c>
      <c r="N158" s="29">
        <v>4.4341999999999999E-2</v>
      </c>
    </row>
    <row r="159" spans="2:14" x14ac:dyDescent="0.25">
      <c r="B159" s="24">
        <v>44956</v>
      </c>
      <c r="C159" s="24">
        <v>44957</v>
      </c>
      <c r="D159" s="25" t="s">
        <v>156</v>
      </c>
      <c r="E159" s="25" t="s">
        <v>157</v>
      </c>
      <c r="F159" s="26">
        <v>5.5933099999999998</v>
      </c>
      <c r="G159" s="27">
        <v>0</v>
      </c>
      <c r="H159" s="26">
        <v>0</v>
      </c>
      <c r="I159" s="28">
        <v>0</v>
      </c>
      <c r="J159" s="28">
        <v>0</v>
      </c>
      <c r="K159" s="28">
        <v>0</v>
      </c>
      <c r="L159" s="29">
        <v>0</v>
      </c>
      <c r="M159" s="28">
        <v>0</v>
      </c>
      <c r="N159" s="29">
        <v>0</v>
      </c>
    </row>
    <row r="160" spans="2:14" x14ac:dyDescent="0.25">
      <c r="B160" s="24">
        <v>44956</v>
      </c>
      <c r="C160" s="24">
        <v>44957</v>
      </c>
      <c r="D160" s="25" t="s">
        <v>158</v>
      </c>
      <c r="E160" s="25" t="s">
        <v>159</v>
      </c>
      <c r="F160" s="26">
        <v>61.802923</v>
      </c>
      <c r="G160" s="27">
        <v>46.363092817678002</v>
      </c>
      <c r="H160" s="26">
        <v>60</v>
      </c>
      <c r="I160" s="28">
        <v>3.5416080000000001</v>
      </c>
      <c r="J160" s="28">
        <v>77.209677999999997</v>
      </c>
      <c r="K160" s="28">
        <v>77.245999999999995</v>
      </c>
      <c r="L160" s="29">
        <v>100</v>
      </c>
      <c r="M160" s="28">
        <v>77.173000000000002</v>
      </c>
      <c r="N160" s="29">
        <v>3.6678000000000002E-2</v>
      </c>
    </row>
    <row r="161" spans="2:14" x14ac:dyDescent="0.25">
      <c r="B161" s="24">
        <v>44956</v>
      </c>
      <c r="C161" s="24">
        <v>44957</v>
      </c>
      <c r="D161" s="25" t="s">
        <v>160</v>
      </c>
      <c r="E161" s="25" t="s">
        <v>161</v>
      </c>
      <c r="F161" s="26">
        <v>49.468508</v>
      </c>
      <c r="G161" s="27">
        <v>49.468508287295002</v>
      </c>
      <c r="H161" s="26">
        <v>50</v>
      </c>
      <c r="I161" s="28">
        <v>3.5511270000000001</v>
      </c>
      <c r="J161" s="28">
        <v>98.85</v>
      </c>
      <c r="K161" s="28">
        <v>98.85</v>
      </c>
      <c r="L161" s="29">
        <v>100</v>
      </c>
      <c r="M161" s="28">
        <v>98.85</v>
      </c>
      <c r="N161" s="29">
        <v>0</v>
      </c>
    </row>
    <row r="162" spans="2:14" x14ac:dyDescent="0.25">
      <c r="B162" s="24">
        <v>44956</v>
      </c>
      <c r="C162" s="24">
        <v>44957</v>
      </c>
      <c r="D162" s="25" t="s">
        <v>162</v>
      </c>
      <c r="E162" s="25" t="s">
        <v>163</v>
      </c>
      <c r="F162" s="26">
        <v>336.799578</v>
      </c>
      <c r="G162" s="27">
        <v>234.96315160713101</v>
      </c>
      <c r="H162" s="26">
        <v>404.5</v>
      </c>
      <c r="I162" s="28">
        <v>3.415886</v>
      </c>
      <c r="J162" s="28">
        <v>57.636423999999998</v>
      </c>
      <c r="K162" s="28">
        <v>57.665999999999997</v>
      </c>
      <c r="L162" s="29">
        <v>78.965517000000006</v>
      </c>
      <c r="M162" s="28">
        <v>57.601999999999997</v>
      </c>
      <c r="N162" s="29">
        <v>3.4424000000000003E-2</v>
      </c>
    </row>
    <row r="163" spans="2:14" x14ac:dyDescent="0.25">
      <c r="B163" s="24">
        <v>44963</v>
      </c>
      <c r="C163" s="24">
        <v>44964</v>
      </c>
      <c r="D163" s="25" t="s">
        <v>94</v>
      </c>
      <c r="E163" s="25" t="s">
        <v>95</v>
      </c>
      <c r="F163" s="26">
        <v>0</v>
      </c>
      <c r="G163" s="27">
        <v>0</v>
      </c>
      <c r="H163" s="26">
        <v>0</v>
      </c>
      <c r="I163" s="28">
        <v>0</v>
      </c>
      <c r="J163" s="28">
        <v>0</v>
      </c>
      <c r="K163" s="28">
        <v>0</v>
      </c>
      <c r="L163" s="29">
        <v>0</v>
      </c>
      <c r="M163" s="28">
        <v>0</v>
      </c>
      <c r="N163" s="29">
        <v>0</v>
      </c>
    </row>
    <row r="164" spans="2:14" x14ac:dyDescent="0.25">
      <c r="B164" s="24">
        <v>44963</v>
      </c>
      <c r="C164" s="24">
        <v>44964</v>
      </c>
      <c r="D164" s="25" t="s">
        <v>96</v>
      </c>
      <c r="E164" s="25" t="s">
        <v>97</v>
      </c>
      <c r="F164" s="26">
        <v>189.69946200000001</v>
      </c>
      <c r="G164" s="27">
        <v>16.751859890111</v>
      </c>
      <c r="H164" s="26">
        <v>15</v>
      </c>
      <c r="I164" s="28">
        <v>3.1707109999999998</v>
      </c>
      <c r="J164" s="28">
        <v>110.87</v>
      </c>
      <c r="K164" s="28">
        <v>110.87</v>
      </c>
      <c r="L164" s="29">
        <v>100</v>
      </c>
      <c r="M164" s="28">
        <v>110.87</v>
      </c>
      <c r="N164" s="29">
        <v>0</v>
      </c>
    </row>
    <row r="165" spans="2:14" x14ac:dyDescent="0.25">
      <c r="B165" s="24">
        <v>44963</v>
      </c>
      <c r="C165" s="24">
        <v>44964</v>
      </c>
      <c r="D165" s="25" t="s">
        <v>98</v>
      </c>
      <c r="E165" s="25" t="s">
        <v>99</v>
      </c>
      <c r="F165" s="26">
        <v>11.669225000000001</v>
      </c>
      <c r="G165" s="27">
        <v>0</v>
      </c>
      <c r="H165" s="26">
        <v>0</v>
      </c>
      <c r="I165" s="28">
        <v>0</v>
      </c>
      <c r="J165" s="28">
        <v>0</v>
      </c>
      <c r="K165" s="28">
        <v>0</v>
      </c>
      <c r="L165" s="29">
        <v>0</v>
      </c>
      <c r="M165" s="28">
        <v>0</v>
      </c>
      <c r="N165" s="29">
        <v>0</v>
      </c>
    </row>
    <row r="166" spans="2:14" x14ac:dyDescent="0.25">
      <c r="B166" s="24">
        <v>44963</v>
      </c>
      <c r="C166" s="24">
        <v>44964</v>
      </c>
      <c r="D166" s="25" t="s">
        <v>100</v>
      </c>
      <c r="E166" s="25" t="s">
        <v>101</v>
      </c>
      <c r="F166" s="26">
        <v>624.90468099999998</v>
      </c>
      <c r="G166" s="27">
        <v>323.32777996702998</v>
      </c>
      <c r="H166" s="26">
        <v>297.3</v>
      </c>
      <c r="I166" s="28">
        <v>3.2449620000000001</v>
      </c>
      <c r="J166" s="28">
        <v>108.03081899999999</v>
      </c>
      <c r="K166" s="28">
        <v>108.039</v>
      </c>
      <c r="L166" s="29">
        <v>48.649999000000001</v>
      </c>
      <c r="M166" s="28">
        <v>108.014</v>
      </c>
      <c r="N166" s="29">
        <v>1.6819000000000001E-2</v>
      </c>
    </row>
    <row r="167" spans="2:14" x14ac:dyDescent="0.25">
      <c r="B167" s="24">
        <v>44963</v>
      </c>
      <c r="C167" s="24">
        <v>44964</v>
      </c>
      <c r="D167" s="25" t="s">
        <v>102</v>
      </c>
      <c r="E167" s="25" t="s">
        <v>103</v>
      </c>
      <c r="F167" s="26">
        <v>0</v>
      </c>
      <c r="G167" s="27">
        <v>0</v>
      </c>
      <c r="H167" s="26">
        <v>0</v>
      </c>
      <c r="I167" s="28">
        <v>0</v>
      </c>
      <c r="J167" s="28">
        <v>0</v>
      </c>
      <c r="K167" s="28">
        <v>0</v>
      </c>
      <c r="L167" s="29">
        <v>0</v>
      </c>
      <c r="M167" s="28">
        <v>0</v>
      </c>
      <c r="N167" s="29">
        <v>0</v>
      </c>
    </row>
    <row r="168" spans="2:14" x14ac:dyDescent="0.25">
      <c r="B168" s="24">
        <v>44963</v>
      </c>
      <c r="C168" s="24">
        <v>44964</v>
      </c>
      <c r="D168" s="25" t="s">
        <v>104</v>
      </c>
      <c r="E168" s="25" t="s">
        <v>105</v>
      </c>
      <c r="F168" s="26">
        <v>0</v>
      </c>
      <c r="G168" s="27">
        <v>0</v>
      </c>
      <c r="H168" s="26">
        <v>0</v>
      </c>
      <c r="I168" s="28">
        <v>0</v>
      </c>
      <c r="J168" s="28">
        <v>0</v>
      </c>
      <c r="K168" s="28">
        <v>0</v>
      </c>
      <c r="L168" s="29">
        <v>0</v>
      </c>
      <c r="M168" s="28">
        <v>0</v>
      </c>
      <c r="N168" s="29">
        <v>0</v>
      </c>
    </row>
    <row r="169" spans="2:14" x14ac:dyDescent="0.25">
      <c r="B169" s="24">
        <v>44963</v>
      </c>
      <c r="C169" s="24">
        <v>44964</v>
      </c>
      <c r="D169" s="25" t="s">
        <v>106</v>
      </c>
      <c r="E169" s="25" t="s">
        <v>107</v>
      </c>
      <c r="F169" s="26">
        <v>391.69663100000002</v>
      </c>
      <c r="G169" s="27">
        <v>309.912928839774</v>
      </c>
      <c r="H169" s="26">
        <v>284</v>
      </c>
      <c r="I169" s="28">
        <v>3.544667</v>
      </c>
      <c r="J169" s="28">
        <v>107.328002</v>
      </c>
      <c r="K169" s="28">
        <v>107.343</v>
      </c>
      <c r="L169" s="29">
        <v>100</v>
      </c>
      <c r="M169" s="28">
        <v>107.313</v>
      </c>
      <c r="N169" s="29">
        <v>1.5002E-2</v>
      </c>
    </row>
    <row r="170" spans="2:14" x14ac:dyDescent="0.25">
      <c r="B170" s="24">
        <v>44963</v>
      </c>
      <c r="C170" s="24">
        <v>44964</v>
      </c>
      <c r="D170" s="25" t="s">
        <v>108</v>
      </c>
      <c r="E170" s="25" t="s">
        <v>109</v>
      </c>
      <c r="F170" s="26">
        <v>39.706319999999998</v>
      </c>
      <c r="G170" s="27">
        <v>0</v>
      </c>
      <c r="H170" s="26">
        <v>0</v>
      </c>
      <c r="I170" s="28">
        <v>0</v>
      </c>
      <c r="J170" s="28">
        <v>0</v>
      </c>
      <c r="K170" s="28">
        <v>0</v>
      </c>
      <c r="L170" s="29">
        <v>0</v>
      </c>
      <c r="M170" s="28">
        <v>0</v>
      </c>
      <c r="N170" s="29">
        <v>0</v>
      </c>
    </row>
    <row r="171" spans="2:14" x14ac:dyDescent="0.25">
      <c r="B171" s="24">
        <v>44963</v>
      </c>
      <c r="C171" s="24">
        <v>44964</v>
      </c>
      <c r="D171" s="25" t="s">
        <v>110</v>
      </c>
      <c r="E171" s="25" t="s">
        <v>111</v>
      </c>
      <c r="F171" s="26">
        <v>85.191799000000003</v>
      </c>
      <c r="G171" s="27">
        <v>0</v>
      </c>
      <c r="H171" s="26">
        <v>0</v>
      </c>
      <c r="I171" s="28">
        <v>0</v>
      </c>
      <c r="J171" s="28">
        <v>0</v>
      </c>
      <c r="K171" s="28">
        <v>0</v>
      </c>
      <c r="L171" s="29">
        <v>0</v>
      </c>
      <c r="M171" s="28">
        <v>0</v>
      </c>
      <c r="N171" s="29">
        <v>0</v>
      </c>
    </row>
    <row r="172" spans="2:14" x14ac:dyDescent="0.25">
      <c r="B172" s="24">
        <v>44963</v>
      </c>
      <c r="C172" s="24">
        <v>44964</v>
      </c>
      <c r="D172" s="25" t="s">
        <v>114</v>
      </c>
      <c r="E172" s="25" t="s">
        <v>115</v>
      </c>
      <c r="F172" s="26">
        <v>0</v>
      </c>
      <c r="G172" s="27">
        <v>0</v>
      </c>
      <c r="H172" s="26">
        <v>0</v>
      </c>
      <c r="I172" s="28">
        <v>0</v>
      </c>
      <c r="J172" s="28">
        <v>0</v>
      </c>
      <c r="K172" s="28">
        <v>0</v>
      </c>
      <c r="L172" s="29">
        <v>0</v>
      </c>
      <c r="M172" s="28">
        <v>0</v>
      </c>
      <c r="N172" s="29">
        <v>0</v>
      </c>
    </row>
    <row r="173" spans="2:14" x14ac:dyDescent="0.25">
      <c r="B173" s="24">
        <v>44963</v>
      </c>
      <c r="C173" s="24">
        <v>44964</v>
      </c>
      <c r="D173" s="25" t="s">
        <v>116</v>
      </c>
      <c r="E173" s="25" t="s">
        <v>117</v>
      </c>
      <c r="F173" s="26">
        <v>0</v>
      </c>
      <c r="G173" s="27">
        <v>0</v>
      </c>
      <c r="H173" s="26">
        <v>0</v>
      </c>
      <c r="I173" s="28">
        <v>0</v>
      </c>
      <c r="J173" s="28">
        <v>0</v>
      </c>
      <c r="K173" s="28">
        <v>0</v>
      </c>
      <c r="L173" s="29">
        <v>0</v>
      </c>
      <c r="M173" s="28">
        <v>0</v>
      </c>
      <c r="N173" s="29">
        <v>0</v>
      </c>
    </row>
    <row r="174" spans="2:14" x14ac:dyDescent="0.25">
      <c r="B174" s="24">
        <v>44963</v>
      </c>
      <c r="C174" s="24">
        <v>44964</v>
      </c>
      <c r="D174" s="25" t="s">
        <v>118</v>
      </c>
      <c r="E174" s="25" t="s">
        <v>119</v>
      </c>
      <c r="F174" s="26">
        <v>33.345939000000001</v>
      </c>
      <c r="G174" s="27">
        <v>0</v>
      </c>
      <c r="H174" s="26">
        <v>0</v>
      </c>
      <c r="I174" s="28">
        <v>0</v>
      </c>
      <c r="J174" s="28">
        <v>0</v>
      </c>
      <c r="K174" s="28">
        <v>0</v>
      </c>
      <c r="L174" s="29">
        <v>0</v>
      </c>
      <c r="M174" s="28">
        <v>0</v>
      </c>
      <c r="N174" s="29">
        <v>0</v>
      </c>
    </row>
    <row r="175" spans="2:14" x14ac:dyDescent="0.25">
      <c r="B175" s="24">
        <v>44963</v>
      </c>
      <c r="C175" s="24">
        <v>44964</v>
      </c>
      <c r="D175" s="25" t="s">
        <v>124</v>
      </c>
      <c r="E175" s="25" t="s">
        <v>125</v>
      </c>
      <c r="F175" s="26">
        <v>11.066648000000001</v>
      </c>
      <c r="G175" s="27">
        <v>0</v>
      </c>
      <c r="H175" s="26">
        <v>0</v>
      </c>
      <c r="I175" s="28">
        <v>0</v>
      </c>
      <c r="J175" s="28">
        <v>0</v>
      </c>
      <c r="K175" s="28">
        <v>0</v>
      </c>
      <c r="L175" s="29">
        <v>0</v>
      </c>
      <c r="M175" s="28">
        <v>0</v>
      </c>
      <c r="N175" s="29">
        <v>0</v>
      </c>
    </row>
    <row r="176" spans="2:14" x14ac:dyDescent="0.25">
      <c r="B176" s="24">
        <v>44966</v>
      </c>
      <c r="C176" s="24">
        <v>44967</v>
      </c>
      <c r="D176" s="25" t="s">
        <v>78</v>
      </c>
      <c r="E176" s="26" t="s">
        <v>79</v>
      </c>
      <c r="F176" s="27">
        <v>23.689181999999999</v>
      </c>
      <c r="G176" s="26">
        <v>23.689182320442001</v>
      </c>
      <c r="H176" s="25">
        <v>25</v>
      </c>
      <c r="I176" s="28">
        <v>3.1407120000000002</v>
      </c>
      <c r="J176" s="28">
        <v>94.678000999999995</v>
      </c>
      <c r="K176" s="28">
        <v>94.69</v>
      </c>
      <c r="L176" s="28">
        <v>100</v>
      </c>
      <c r="M176" s="28">
        <v>94.67</v>
      </c>
      <c r="N176" s="29">
        <v>8.0009999999999994E-3</v>
      </c>
    </row>
    <row r="177" spans="2:14" x14ac:dyDescent="0.25">
      <c r="B177" s="24">
        <v>44966</v>
      </c>
      <c r="C177" s="24">
        <v>44967</v>
      </c>
      <c r="D177" s="25" t="s">
        <v>80</v>
      </c>
      <c r="E177" s="26" t="s">
        <v>81</v>
      </c>
      <c r="F177" s="27">
        <v>34.321733999999999</v>
      </c>
      <c r="G177" s="26">
        <v>34.321734670327999</v>
      </c>
      <c r="H177" s="25">
        <v>38</v>
      </c>
      <c r="I177" s="28">
        <v>3.2067709999999998</v>
      </c>
      <c r="J177" s="28">
        <v>90.206000000000003</v>
      </c>
      <c r="K177" s="28">
        <v>90.206000000000003</v>
      </c>
      <c r="L177" s="28">
        <v>100</v>
      </c>
      <c r="M177" s="28">
        <v>90.206000000000003</v>
      </c>
      <c r="N177" s="29">
        <v>0</v>
      </c>
    </row>
    <row r="178" spans="2:14" x14ac:dyDescent="0.25">
      <c r="B178" s="24">
        <v>44966</v>
      </c>
      <c r="C178" s="24">
        <v>44967</v>
      </c>
      <c r="D178" s="25" t="s">
        <v>82</v>
      </c>
      <c r="E178" s="26" t="s">
        <v>83</v>
      </c>
      <c r="F178" s="27">
        <v>202.3</v>
      </c>
      <c r="G178" s="26">
        <v>110.471729281772</v>
      </c>
      <c r="H178" s="25">
        <v>120</v>
      </c>
      <c r="I178" s="28">
        <v>3.1952020000000001</v>
      </c>
      <c r="J178" s="28">
        <v>91.994174000000001</v>
      </c>
      <c r="K178" s="28">
        <v>92.07</v>
      </c>
      <c r="L178" s="28">
        <v>100</v>
      </c>
      <c r="M178" s="28">
        <v>91.983000000000004</v>
      </c>
      <c r="N178" s="29">
        <v>1.1174E-2</v>
      </c>
    </row>
    <row r="179" spans="2:14" x14ac:dyDescent="0.25">
      <c r="B179" s="24">
        <v>44966</v>
      </c>
      <c r="C179" s="24">
        <v>44967</v>
      </c>
      <c r="D179" s="25" t="s">
        <v>84</v>
      </c>
      <c r="E179" s="26" t="s">
        <v>85</v>
      </c>
      <c r="F179" s="27">
        <v>79.150195999999994</v>
      </c>
      <c r="G179" s="26">
        <v>79.150196428572002</v>
      </c>
      <c r="H179" s="25">
        <v>75</v>
      </c>
      <c r="I179" s="28">
        <v>3.173324</v>
      </c>
      <c r="J179" s="28">
        <v>104.774666</v>
      </c>
      <c r="K179" s="28">
        <v>104.777</v>
      </c>
      <c r="L179" s="28">
        <v>100</v>
      </c>
      <c r="M179" s="28">
        <v>104.77</v>
      </c>
      <c r="N179" s="29">
        <v>4.666E-3</v>
      </c>
    </row>
    <row r="180" spans="2:14" x14ac:dyDescent="0.25">
      <c r="B180" s="24">
        <v>44966</v>
      </c>
      <c r="C180" s="24">
        <v>44967</v>
      </c>
      <c r="D180" s="25" t="s">
        <v>86</v>
      </c>
      <c r="E180" s="26" t="s">
        <v>87</v>
      </c>
      <c r="F180" s="27">
        <v>193.39976899999999</v>
      </c>
      <c r="G180" s="26">
        <v>193.399769337008</v>
      </c>
      <c r="H180" s="25">
        <v>225</v>
      </c>
      <c r="I180" s="28">
        <v>3.203719</v>
      </c>
      <c r="J180" s="28">
        <v>85.952055000000001</v>
      </c>
      <c r="K180" s="28">
        <v>86.05</v>
      </c>
      <c r="L180" s="28">
        <v>100</v>
      </c>
      <c r="M180" s="28">
        <v>85.903000000000006</v>
      </c>
      <c r="N180" s="29">
        <v>4.9055000000000001E-2</v>
      </c>
    </row>
    <row r="181" spans="2:14" x14ac:dyDescent="0.25">
      <c r="B181" s="24">
        <v>44966</v>
      </c>
      <c r="C181" s="24">
        <v>44967</v>
      </c>
      <c r="D181" s="25" t="s">
        <v>88</v>
      </c>
      <c r="E181" s="26" t="s">
        <v>89</v>
      </c>
      <c r="F181" s="27">
        <v>0</v>
      </c>
      <c r="G181" s="26">
        <v>0</v>
      </c>
      <c r="H181" s="25">
        <v>0</v>
      </c>
      <c r="I181" s="28">
        <v>0</v>
      </c>
      <c r="J181" s="28">
        <v>0</v>
      </c>
      <c r="K181" s="28">
        <v>0</v>
      </c>
      <c r="L181" s="28">
        <v>0</v>
      </c>
      <c r="M181" s="28">
        <v>0</v>
      </c>
      <c r="N181" s="29">
        <v>0</v>
      </c>
    </row>
    <row r="182" spans="2:14" x14ac:dyDescent="0.25">
      <c r="B182" s="24">
        <v>44966</v>
      </c>
      <c r="C182" s="24">
        <v>44967</v>
      </c>
      <c r="D182" s="25" t="s">
        <v>90</v>
      </c>
      <c r="E182" s="26" t="s">
        <v>91</v>
      </c>
      <c r="F182" s="27">
        <v>162.85509400000001</v>
      </c>
      <c r="G182" s="26">
        <v>162.855094285718</v>
      </c>
      <c r="H182" s="25">
        <v>141</v>
      </c>
      <c r="I182" s="28">
        <v>3.2578710000000002</v>
      </c>
      <c r="J182" s="28">
        <v>114.428668</v>
      </c>
      <c r="K182" s="28">
        <v>114.492</v>
      </c>
      <c r="L182" s="28">
        <v>100</v>
      </c>
      <c r="M182" s="28">
        <v>114.35</v>
      </c>
      <c r="N182" s="29">
        <v>7.8668000000000002E-2</v>
      </c>
    </row>
    <row r="183" spans="2:14" x14ac:dyDescent="0.25">
      <c r="B183" s="24">
        <v>44966</v>
      </c>
      <c r="C183" s="24">
        <v>44967</v>
      </c>
      <c r="D183" s="25" t="s">
        <v>92</v>
      </c>
      <c r="E183" s="26" t="s">
        <v>93</v>
      </c>
      <c r="F183" s="27">
        <v>17.290365000000001</v>
      </c>
      <c r="G183" s="26">
        <v>17.290365384615999</v>
      </c>
      <c r="H183" s="25">
        <v>20</v>
      </c>
      <c r="I183" s="28">
        <v>3.1822499999999998</v>
      </c>
      <c r="J183" s="28">
        <v>86.185006999999999</v>
      </c>
      <c r="K183" s="28">
        <v>86.21</v>
      </c>
      <c r="L183" s="28">
        <v>100</v>
      </c>
      <c r="M183" s="28">
        <v>86.16</v>
      </c>
      <c r="N183" s="29">
        <v>2.5007000000000001E-2</v>
      </c>
    </row>
    <row r="184" spans="2:14" x14ac:dyDescent="0.25">
      <c r="B184" s="30">
        <v>44970</v>
      </c>
      <c r="C184" s="30">
        <v>44971</v>
      </c>
      <c r="D184" s="31" t="s">
        <v>126</v>
      </c>
      <c r="E184" s="31" t="s">
        <v>127</v>
      </c>
      <c r="F184" s="32">
        <v>54.532344999999999</v>
      </c>
      <c r="G184" s="33">
        <v>50.017020441992003</v>
      </c>
      <c r="H184" s="32">
        <v>55</v>
      </c>
      <c r="I184" s="34">
        <v>3.9016649999999999</v>
      </c>
      <c r="J184" s="34">
        <v>90.733562000000006</v>
      </c>
      <c r="K184" s="34">
        <v>90.771000000000001</v>
      </c>
      <c r="L184" s="35">
        <v>100</v>
      </c>
      <c r="M184" s="34">
        <v>90.655000000000001</v>
      </c>
      <c r="N184" s="35">
        <v>7.8562000000000007E-2</v>
      </c>
    </row>
    <row r="185" spans="2:14" x14ac:dyDescent="0.25">
      <c r="B185" s="30">
        <v>44970</v>
      </c>
      <c r="C185" s="30">
        <v>44971</v>
      </c>
      <c r="D185" s="31" t="s">
        <v>128</v>
      </c>
      <c r="E185" s="31" t="s">
        <v>129</v>
      </c>
      <c r="F185" s="32">
        <v>0</v>
      </c>
      <c r="G185" s="33">
        <v>0</v>
      </c>
      <c r="H185" s="32">
        <v>0</v>
      </c>
      <c r="I185" s="34">
        <v>0</v>
      </c>
      <c r="J185" s="34">
        <v>0</v>
      </c>
      <c r="K185" s="34">
        <v>0</v>
      </c>
      <c r="L185" s="35">
        <v>0</v>
      </c>
      <c r="M185" s="34">
        <v>0</v>
      </c>
      <c r="N185" s="35">
        <v>0</v>
      </c>
    </row>
    <row r="186" spans="2:14" x14ac:dyDescent="0.25">
      <c r="B186" s="30">
        <v>44970</v>
      </c>
      <c r="C186" s="30">
        <v>44971</v>
      </c>
      <c r="D186" s="31" t="s">
        <v>130</v>
      </c>
      <c r="E186" s="31" t="s">
        <v>131</v>
      </c>
      <c r="F186" s="32">
        <v>0</v>
      </c>
      <c r="G186" s="33">
        <v>0</v>
      </c>
      <c r="H186" s="32">
        <v>0</v>
      </c>
      <c r="I186" s="34">
        <v>0</v>
      </c>
      <c r="J186" s="34">
        <v>0</v>
      </c>
      <c r="K186" s="34">
        <v>0</v>
      </c>
      <c r="L186" s="35">
        <v>0</v>
      </c>
      <c r="M186" s="34">
        <v>0</v>
      </c>
      <c r="N186" s="35">
        <v>0</v>
      </c>
    </row>
    <row r="187" spans="2:14" x14ac:dyDescent="0.25">
      <c r="B187" s="30">
        <v>44970</v>
      </c>
      <c r="C187" s="30">
        <v>44971</v>
      </c>
      <c r="D187" s="31" t="s">
        <v>132</v>
      </c>
      <c r="E187" s="31" t="s">
        <v>133</v>
      </c>
      <c r="F187" s="32">
        <v>50.884143000000002</v>
      </c>
      <c r="G187" s="33">
        <v>50.884143296702</v>
      </c>
      <c r="H187" s="32">
        <v>48</v>
      </c>
      <c r="I187" s="34">
        <v>3.9118430000000002</v>
      </c>
      <c r="J187" s="34">
        <v>105.203</v>
      </c>
      <c r="K187" s="34">
        <v>105.203</v>
      </c>
      <c r="L187" s="35">
        <v>100</v>
      </c>
      <c r="M187" s="34">
        <v>105.203</v>
      </c>
      <c r="N187" s="35">
        <v>0</v>
      </c>
    </row>
    <row r="188" spans="2:14" x14ac:dyDescent="0.25">
      <c r="B188" s="30">
        <v>44970</v>
      </c>
      <c r="C188" s="30">
        <v>44971</v>
      </c>
      <c r="D188" s="31" t="s">
        <v>134</v>
      </c>
      <c r="E188" s="31" t="s">
        <v>135</v>
      </c>
      <c r="F188" s="32">
        <v>9.3723449999999993</v>
      </c>
      <c r="G188" s="33">
        <v>9.3723455801100002</v>
      </c>
      <c r="H188" s="32">
        <v>15</v>
      </c>
      <c r="I188" s="34">
        <v>3.9017019999999998</v>
      </c>
      <c r="J188" s="34">
        <v>62.387</v>
      </c>
      <c r="K188" s="34">
        <v>62.387</v>
      </c>
      <c r="L188" s="35">
        <v>100</v>
      </c>
      <c r="M188" s="34">
        <v>62.387</v>
      </c>
      <c r="N188" s="35">
        <v>0</v>
      </c>
    </row>
    <row r="189" spans="2:14" x14ac:dyDescent="0.25">
      <c r="B189" s="30">
        <v>44970</v>
      </c>
      <c r="C189" s="30">
        <v>44971</v>
      </c>
      <c r="D189" s="31" t="s">
        <v>136</v>
      </c>
      <c r="E189" s="31" t="s">
        <v>137</v>
      </c>
      <c r="F189" s="32">
        <v>0</v>
      </c>
      <c r="G189" s="33">
        <v>0</v>
      </c>
      <c r="H189" s="32">
        <v>0</v>
      </c>
      <c r="I189" s="34">
        <v>0</v>
      </c>
      <c r="J189" s="34">
        <v>0</v>
      </c>
      <c r="K189" s="34">
        <v>0</v>
      </c>
      <c r="L189" s="35">
        <v>0</v>
      </c>
      <c r="M189" s="34">
        <v>0</v>
      </c>
      <c r="N189" s="35">
        <v>0</v>
      </c>
    </row>
    <row r="190" spans="2:14" x14ac:dyDescent="0.25">
      <c r="B190" s="30">
        <v>44970</v>
      </c>
      <c r="C190" s="30">
        <v>44971</v>
      </c>
      <c r="D190" s="31" t="s">
        <v>138</v>
      </c>
      <c r="E190" s="31" t="s">
        <v>139</v>
      </c>
      <c r="F190" s="32">
        <v>277.59974899999997</v>
      </c>
      <c r="G190" s="33">
        <v>263.92856703296701</v>
      </c>
      <c r="H190" s="32">
        <v>248</v>
      </c>
      <c r="I190" s="34">
        <v>3.9096679999999999</v>
      </c>
      <c r="J190" s="34">
        <v>105.617732</v>
      </c>
      <c r="K190" s="34">
        <v>105.922</v>
      </c>
      <c r="L190" s="35">
        <v>100</v>
      </c>
      <c r="M190" s="34">
        <v>105.294</v>
      </c>
      <c r="N190" s="35">
        <v>0.32373200000000002</v>
      </c>
    </row>
    <row r="191" spans="2:14" x14ac:dyDescent="0.25">
      <c r="B191" s="30">
        <v>44970</v>
      </c>
      <c r="C191" s="30">
        <v>44971</v>
      </c>
      <c r="D191" s="31" t="s">
        <v>140</v>
      </c>
      <c r="E191" s="31" t="s">
        <v>141</v>
      </c>
      <c r="F191" s="32">
        <v>4.6034449999999998</v>
      </c>
      <c r="G191" s="33">
        <v>4.6034458791209998</v>
      </c>
      <c r="H191" s="32">
        <v>10</v>
      </c>
      <c r="I191" s="34">
        <v>3.807321</v>
      </c>
      <c r="J191" s="34">
        <v>45.837000000000003</v>
      </c>
      <c r="K191" s="34">
        <v>45.837000000000003</v>
      </c>
      <c r="L191" s="35">
        <v>100</v>
      </c>
      <c r="M191" s="34">
        <v>45.837000000000003</v>
      </c>
      <c r="N191" s="35">
        <v>0</v>
      </c>
    </row>
    <row r="192" spans="2:14" x14ac:dyDescent="0.25">
      <c r="B192" s="30">
        <v>44970</v>
      </c>
      <c r="C192" s="30">
        <v>44971</v>
      </c>
      <c r="D192" s="31" t="s">
        <v>142</v>
      </c>
      <c r="E192" s="31" t="s">
        <v>143</v>
      </c>
      <c r="F192" s="32">
        <v>152.86394100000001</v>
      </c>
      <c r="G192" s="33">
        <v>152.86394198895999</v>
      </c>
      <c r="H192" s="32">
        <v>275</v>
      </c>
      <c r="I192" s="34">
        <v>3.828306</v>
      </c>
      <c r="J192" s="34">
        <v>55.538639000000003</v>
      </c>
      <c r="K192" s="34">
        <v>55.603000000000002</v>
      </c>
      <c r="L192" s="35">
        <v>100</v>
      </c>
      <c r="M192" s="34">
        <v>55.4</v>
      </c>
      <c r="N192" s="35">
        <v>0.13863900000000001</v>
      </c>
    </row>
    <row r="193" spans="2:14" x14ac:dyDescent="0.25">
      <c r="B193" s="30">
        <v>44970</v>
      </c>
      <c r="C193" s="30">
        <v>44971</v>
      </c>
      <c r="D193" s="31" t="s">
        <v>144</v>
      </c>
      <c r="E193" s="31" t="s">
        <v>145</v>
      </c>
      <c r="F193" s="32">
        <v>0</v>
      </c>
      <c r="G193" s="33">
        <v>0</v>
      </c>
      <c r="H193" s="32">
        <v>0</v>
      </c>
      <c r="I193" s="34">
        <v>0</v>
      </c>
      <c r="J193" s="34">
        <v>0</v>
      </c>
      <c r="K193" s="34">
        <v>0</v>
      </c>
      <c r="L193" s="35">
        <v>0</v>
      </c>
      <c r="M193" s="34">
        <v>0</v>
      </c>
      <c r="N193" s="35">
        <v>0</v>
      </c>
    </row>
    <row r="194" spans="2:14" x14ac:dyDescent="0.25">
      <c r="B194" s="30">
        <v>44970</v>
      </c>
      <c r="C194" s="30">
        <v>44971</v>
      </c>
      <c r="D194" s="31" t="s">
        <v>148</v>
      </c>
      <c r="E194" s="31" t="s">
        <v>149</v>
      </c>
      <c r="F194" s="32">
        <v>9.0981579999999997</v>
      </c>
      <c r="G194" s="33">
        <v>9.0981589285709994</v>
      </c>
      <c r="H194" s="32">
        <v>15</v>
      </c>
      <c r="I194" s="34">
        <v>3.79895</v>
      </c>
      <c r="J194" s="34">
        <v>60.140999999999998</v>
      </c>
      <c r="K194" s="34">
        <v>60.140999999999998</v>
      </c>
      <c r="L194" s="35">
        <v>100</v>
      </c>
      <c r="M194" s="34">
        <v>60.140999999999998</v>
      </c>
      <c r="N194" s="35">
        <v>0</v>
      </c>
    </row>
    <row r="195" spans="2:14" x14ac:dyDescent="0.25">
      <c r="B195" s="30">
        <v>44970</v>
      </c>
      <c r="C195" s="30">
        <v>44971</v>
      </c>
      <c r="D195" s="31" t="s">
        <v>150</v>
      </c>
      <c r="E195" s="31" t="s">
        <v>151</v>
      </c>
      <c r="F195" s="32">
        <v>27.161407000000001</v>
      </c>
      <c r="G195" s="33">
        <v>27.161407967033</v>
      </c>
      <c r="H195" s="32">
        <v>25</v>
      </c>
      <c r="I195" s="34">
        <v>3.828112</v>
      </c>
      <c r="J195" s="34">
        <v>107.84</v>
      </c>
      <c r="K195" s="34">
        <v>107.84</v>
      </c>
      <c r="L195" s="35">
        <v>100</v>
      </c>
      <c r="M195" s="34">
        <v>107.84</v>
      </c>
      <c r="N195" s="35">
        <v>0</v>
      </c>
    </row>
    <row r="196" spans="2:14" x14ac:dyDescent="0.25">
      <c r="B196" s="30">
        <v>44970</v>
      </c>
      <c r="C196" s="30">
        <v>44971</v>
      </c>
      <c r="D196" s="31" t="s">
        <v>152</v>
      </c>
      <c r="E196" s="31" t="s">
        <v>153</v>
      </c>
      <c r="F196" s="32">
        <v>0</v>
      </c>
      <c r="G196" s="33">
        <v>0</v>
      </c>
      <c r="H196" s="32">
        <v>0</v>
      </c>
      <c r="I196" s="34">
        <v>0</v>
      </c>
      <c r="J196" s="34">
        <v>0</v>
      </c>
      <c r="K196" s="34">
        <v>0</v>
      </c>
      <c r="L196" s="35">
        <v>0</v>
      </c>
      <c r="M196" s="34">
        <v>0</v>
      </c>
      <c r="N196" s="35">
        <v>0</v>
      </c>
    </row>
    <row r="197" spans="2:14" x14ac:dyDescent="0.25">
      <c r="B197" s="30">
        <v>44970</v>
      </c>
      <c r="C197" s="30">
        <v>44971</v>
      </c>
      <c r="D197" s="31" t="s">
        <v>154</v>
      </c>
      <c r="E197" s="31" t="s">
        <v>155</v>
      </c>
      <c r="F197" s="32">
        <v>47.581364000000001</v>
      </c>
      <c r="G197" s="33">
        <v>42.333657458563998</v>
      </c>
      <c r="H197" s="32">
        <v>40</v>
      </c>
      <c r="I197" s="34">
        <v>3.720755</v>
      </c>
      <c r="J197" s="34">
        <v>105.58</v>
      </c>
      <c r="K197" s="34">
        <v>105.58</v>
      </c>
      <c r="L197" s="35">
        <v>100</v>
      </c>
      <c r="M197" s="34">
        <v>105.58</v>
      </c>
      <c r="N197" s="35">
        <v>0</v>
      </c>
    </row>
    <row r="198" spans="2:14" x14ac:dyDescent="0.25">
      <c r="B198" s="30">
        <v>44970</v>
      </c>
      <c r="C198" s="30">
        <v>44971</v>
      </c>
      <c r="D198" s="31" t="s">
        <v>156</v>
      </c>
      <c r="E198" s="31" t="s">
        <v>157</v>
      </c>
      <c r="F198" s="32">
        <v>3.6007959999999999</v>
      </c>
      <c r="G198" s="33">
        <v>3.6007967032970001</v>
      </c>
      <c r="H198" s="32">
        <v>10</v>
      </c>
      <c r="I198" s="34">
        <v>3.5728680000000002</v>
      </c>
      <c r="J198" s="34">
        <v>35.85</v>
      </c>
      <c r="K198" s="34">
        <v>35.85</v>
      </c>
      <c r="L198" s="35">
        <v>100</v>
      </c>
      <c r="M198" s="34">
        <v>35.85</v>
      </c>
      <c r="N198" s="35">
        <v>0</v>
      </c>
    </row>
    <row r="199" spans="2:14" x14ac:dyDescent="0.25">
      <c r="B199" s="30">
        <v>44970</v>
      </c>
      <c r="C199" s="30">
        <v>44971</v>
      </c>
      <c r="D199" s="31" t="s">
        <v>158</v>
      </c>
      <c r="E199" s="31" t="s">
        <v>159</v>
      </c>
      <c r="F199" s="32">
        <v>0</v>
      </c>
      <c r="G199" s="33">
        <v>0</v>
      </c>
      <c r="H199" s="32">
        <v>0</v>
      </c>
      <c r="I199" s="34">
        <v>0</v>
      </c>
      <c r="J199" s="34">
        <v>0</v>
      </c>
      <c r="K199" s="34">
        <v>0</v>
      </c>
      <c r="L199" s="35">
        <v>0</v>
      </c>
      <c r="M199" s="34">
        <v>0</v>
      </c>
      <c r="N199" s="35">
        <v>0</v>
      </c>
    </row>
    <row r="200" spans="2:14" x14ac:dyDescent="0.25">
      <c r="B200" s="30">
        <v>44970</v>
      </c>
      <c r="C200" s="30">
        <v>44971</v>
      </c>
      <c r="D200" s="31" t="s">
        <v>160</v>
      </c>
      <c r="E200" s="31" t="s">
        <v>161</v>
      </c>
      <c r="F200" s="32">
        <v>0</v>
      </c>
      <c r="G200" s="33">
        <v>0</v>
      </c>
      <c r="H200" s="32">
        <v>0</v>
      </c>
      <c r="I200" s="34">
        <v>0</v>
      </c>
      <c r="J200" s="34">
        <v>0</v>
      </c>
      <c r="K200" s="34">
        <v>0</v>
      </c>
      <c r="L200" s="35">
        <v>0</v>
      </c>
      <c r="M200" s="34">
        <v>0</v>
      </c>
      <c r="N200" s="35">
        <v>0</v>
      </c>
    </row>
    <row r="201" spans="2:14" x14ac:dyDescent="0.25">
      <c r="B201" s="30">
        <v>44970</v>
      </c>
      <c r="C201" s="30">
        <v>44971</v>
      </c>
      <c r="D201" s="31" t="s">
        <v>162</v>
      </c>
      <c r="E201" s="31" t="s">
        <v>163</v>
      </c>
      <c r="F201" s="32">
        <v>226.93661</v>
      </c>
      <c r="G201" s="33">
        <v>36.088456142855001</v>
      </c>
      <c r="H201" s="32">
        <v>65.2</v>
      </c>
      <c r="I201" s="34">
        <v>3.597191</v>
      </c>
      <c r="J201" s="34">
        <v>54.837000000000003</v>
      </c>
      <c r="K201" s="34">
        <v>54.837000000000003</v>
      </c>
      <c r="L201" s="35">
        <v>15.902438999999999</v>
      </c>
      <c r="M201" s="34">
        <v>54.837000000000003</v>
      </c>
      <c r="N201" s="35">
        <v>0</v>
      </c>
    </row>
    <row r="202" spans="2:14" x14ac:dyDescent="0.25">
      <c r="B202" s="36">
        <v>44977</v>
      </c>
      <c r="C202" s="36">
        <v>44978</v>
      </c>
      <c r="D202" s="37" t="s">
        <v>94</v>
      </c>
      <c r="E202" s="37" t="s">
        <v>95</v>
      </c>
      <c r="F202" s="38">
        <v>0</v>
      </c>
      <c r="G202" s="39">
        <v>0</v>
      </c>
      <c r="H202" s="38">
        <v>0</v>
      </c>
      <c r="I202" s="40">
        <v>0</v>
      </c>
      <c r="J202" s="40">
        <v>0</v>
      </c>
      <c r="K202" s="40">
        <v>0</v>
      </c>
      <c r="L202" s="41">
        <v>0</v>
      </c>
      <c r="M202" s="40">
        <v>0</v>
      </c>
      <c r="N202" s="41">
        <v>0</v>
      </c>
    </row>
    <row r="203" spans="2:14" x14ac:dyDescent="0.25">
      <c r="B203" s="36">
        <v>44977</v>
      </c>
      <c r="C203" s="36">
        <v>44978</v>
      </c>
      <c r="D203" s="37" t="s">
        <v>96</v>
      </c>
      <c r="E203" s="37" t="s">
        <v>97</v>
      </c>
      <c r="F203" s="38">
        <v>93.513993999999997</v>
      </c>
      <c r="G203" s="39">
        <v>27.522439560439999</v>
      </c>
      <c r="H203" s="38">
        <v>25</v>
      </c>
      <c r="I203" s="40">
        <v>3.4097189999999999</v>
      </c>
      <c r="J203" s="40">
        <v>109.098</v>
      </c>
      <c r="K203" s="40">
        <v>109.098</v>
      </c>
      <c r="L203" s="41">
        <v>100</v>
      </c>
      <c r="M203" s="40">
        <v>109.098</v>
      </c>
      <c r="N203" s="41">
        <v>0</v>
      </c>
    </row>
    <row r="204" spans="2:14" x14ac:dyDescent="0.25">
      <c r="B204" s="36">
        <v>44977</v>
      </c>
      <c r="C204" s="36">
        <v>44978</v>
      </c>
      <c r="D204" s="37" t="s">
        <v>98</v>
      </c>
      <c r="E204" s="37" t="s">
        <v>99</v>
      </c>
      <c r="F204" s="38">
        <v>0</v>
      </c>
      <c r="G204" s="39">
        <v>0</v>
      </c>
      <c r="H204" s="38">
        <v>0</v>
      </c>
      <c r="I204" s="40">
        <v>0</v>
      </c>
      <c r="J204" s="40">
        <v>0</v>
      </c>
      <c r="K204" s="40">
        <v>0</v>
      </c>
      <c r="L204" s="41">
        <v>0</v>
      </c>
      <c r="M204" s="40">
        <v>0</v>
      </c>
      <c r="N204" s="41">
        <v>0</v>
      </c>
    </row>
    <row r="205" spans="2:14" x14ac:dyDescent="0.25">
      <c r="B205" s="36">
        <v>44977</v>
      </c>
      <c r="C205" s="36">
        <v>44978</v>
      </c>
      <c r="D205" s="37" t="s">
        <v>100</v>
      </c>
      <c r="E205" s="37" t="s">
        <v>101</v>
      </c>
      <c r="F205" s="38">
        <v>563.13846100000001</v>
      </c>
      <c r="G205" s="39">
        <v>18.187851648351</v>
      </c>
      <c r="H205" s="38">
        <v>17</v>
      </c>
      <c r="I205" s="40">
        <v>3.4755609999999999</v>
      </c>
      <c r="J205" s="40">
        <v>106.1</v>
      </c>
      <c r="K205" s="40">
        <v>106.1</v>
      </c>
      <c r="L205" s="41">
        <v>68</v>
      </c>
      <c r="M205" s="40">
        <v>106.1</v>
      </c>
      <c r="N205" s="41">
        <v>0</v>
      </c>
    </row>
    <row r="206" spans="2:14" x14ac:dyDescent="0.25">
      <c r="B206" s="36">
        <v>44977</v>
      </c>
      <c r="C206" s="36">
        <v>44978</v>
      </c>
      <c r="D206" s="37" t="s">
        <v>122</v>
      </c>
      <c r="E206" s="37" t="s">
        <v>123</v>
      </c>
      <c r="F206" s="38">
        <v>15.288551</v>
      </c>
      <c r="G206" s="39">
        <v>15.288551933701999</v>
      </c>
      <c r="H206" s="38">
        <v>20</v>
      </c>
      <c r="I206" s="40">
        <v>3.6085660000000002</v>
      </c>
      <c r="J206" s="40">
        <v>76.391999999999996</v>
      </c>
      <c r="K206" s="40">
        <v>76.391999999999996</v>
      </c>
      <c r="L206" s="41">
        <v>100</v>
      </c>
      <c r="M206" s="40">
        <v>76.391999999999996</v>
      </c>
      <c r="N206" s="41">
        <v>0</v>
      </c>
    </row>
    <row r="207" spans="2:14" x14ac:dyDescent="0.25">
      <c r="B207" s="36">
        <v>44977</v>
      </c>
      <c r="C207" s="36">
        <v>44978</v>
      </c>
      <c r="D207" s="37" t="s">
        <v>102</v>
      </c>
      <c r="E207" s="37" t="s">
        <v>103</v>
      </c>
      <c r="F207" s="38">
        <v>836.05334800000003</v>
      </c>
      <c r="G207" s="39">
        <v>275.38241712707497</v>
      </c>
      <c r="H207" s="38">
        <v>250</v>
      </c>
      <c r="I207" s="40">
        <v>3.6364969999999999</v>
      </c>
      <c r="J207" s="40">
        <v>108.077003</v>
      </c>
      <c r="K207" s="40">
        <v>108.11</v>
      </c>
      <c r="L207" s="41">
        <v>100</v>
      </c>
      <c r="M207" s="40">
        <v>108.05</v>
      </c>
      <c r="N207" s="41">
        <v>2.7002999999999999E-2</v>
      </c>
    </row>
    <row r="208" spans="2:14" x14ac:dyDescent="0.25">
      <c r="B208" s="36">
        <v>44977</v>
      </c>
      <c r="C208" s="36">
        <v>44978</v>
      </c>
      <c r="D208" s="37" t="s">
        <v>104</v>
      </c>
      <c r="E208" s="37" t="s">
        <v>105</v>
      </c>
      <c r="F208" s="38">
        <v>0</v>
      </c>
      <c r="G208" s="39">
        <v>0</v>
      </c>
      <c r="H208" s="38">
        <v>0</v>
      </c>
      <c r="I208" s="40">
        <v>0</v>
      </c>
      <c r="J208" s="40">
        <v>0</v>
      </c>
      <c r="K208" s="40">
        <v>0</v>
      </c>
      <c r="L208" s="41">
        <v>0</v>
      </c>
      <c r="M208" s="40">
        <v>0</v>
      </c>
      <c r="N208" s="41">
        <v>0</v>
      </c>
    </row>
    <row r="209" spans="2:14" x14ac:dyDescent="0.25">
      <c r="B209" s="36">
        <v>44977</v>
      </c>
      <c r="C209" s="36">
        <v>44978</v>
      </c>
      <c r="D209" s="37" t="s">
        <v>106</v>
      </c>
      <c r="E209" s="37" t="s">
        <v>107</v>
      </c>
      <c r="F209" s="38">
        <v>16.041094999999999</v>
      </c>
      <c r="G209" s="39">
        <v>16.041095303868001</v>
      </c>
      <c r="H209" s="38">
        <v>15</v>
      </c>
      <c r="I209" s="40">
        <v>3.7630759999999999</v>
      </c>
      <c r="J209" s="40">
        <v>104.98</v>
      </c>
      <c r="K209" s="40">
        <v>104.98</v>
      </c>
      <c r="L209" s="41">
        <v>100</v>
      </c>
      <c r="M209" s="40">
        <v>104.98</v>
      </c>
      <c r="N209" s="41">
        <v>0</v>
      </c>
    </row>
    <row r="210" spans="2:14" x14ac:dyDescent="0.25">
      <c r="B210" s="36">
        <v>44977</v>
      </c>
      <c r="C210" s="36">
        <v>44978</v>
      </c>
      <c r="D210" s="37" t="s">
        <v>108</v>
      </c>
      <c r="E210" s="37" t="s">
        <v>109</v>
      </c>
      <c r="F210" s="38">
        <v>27.134912</v>
      </c>
      <c r="G210" s="39">
        <v>0</v>
      </c>
      <c r="H210" s="38">
        <v>0</v>
      </c>
      <c r="I210" s="40">
        <v>0</v>
      </c>
      <c r="J210" s="40">
        <v>0</v>
      </c>
      <c r="K210" s="40">
        <v>0</v>
      </c>
      <c r="L210" s="41">
        <v>0</v>
      </c>
      <c r="M210" s="40">
        <v>0</v>
      </c>
      <c r="N210" s="41">
        <v>0</v>
      </c>
    </row>
    <row r="211" spans="2:14" x14ac:dyDescent="0.25">
      <c r="B211" s="36">
        <v>44977</v>
      </c>
      <c r="C211" s="36">
        <v>44978</v>
      </c>
      <c r="D211" s="37" t="s">
        <v>110</v>
      </c>
      <c r="E211" s="37" t="s">
        <v>111</v>
      </c>
      <c r="F211" s="38">
        <v>27.838839</v>
      </c>
      <c r="G211" s="39">
        <v>16.709663736264002</v>
      </c>
      <c r="H211" s="38">
        <v>15</v>
      </c>
      <c r="I211" s="40">
        <v>3.8630949999999999</v>
      </c>
      <c r="J211" s="40">
        <v>110.40600000000001</v>
      </c>
      <c r="K211" s="40">
        <v>110.40600000000001</v>
      </c>
      <c r="L211" s="41">
        <v>100</v>
      </c>
      <c r="M211" s="40">
        <v>110.40600000000001</v>
      </c>
      <c r="N211" s="41">
        <v>0</v>
      </c>
    </row>
    <row r="212" spans="2:14" x14ac:dyDescent="0.25">
      <c r="B212" s="36">
        <v>44977</v>
      </c>
      <c r="C212" s="36">
        <v>44978</v>
      </c>
      <c r="D212" s="37" t="s">
        <v>114</v>
      </c>
      <c r="E212" s="37" t="s">
        <v>115</v>
      </c>
      <c r="F212" s="38">
        <v>322.906631</v>
      </c>
      <c r="G212" s="39">
        <v>269.92731381216498</v>
      </c>
      <c r="H212" s="38">
        <v>254</v>
      </c>
      <c r="I212" s="40">
        <v>3.8939759999999999</v>
      </c>
      <c r="J212" s="40">
        <v>104.309969</v>
      </c>
      <c r="K212" s="40">
        <v>104.32</v>
      </c>
      <c r="L212" s="41">
        <v>100</v>
      </c>
      <c r="M212" s="40">
        <v>104.218</v>
      </c>
      <c r="N212" s="41">
        <v>9.1968999999999995E-2</v>
      </c>
    </row>
    <row r="213" spans="2:14" x14ac:dyDescent="0.25">
      <c r="B213" s="36">
        <v>44977</v>
      </c>
      <c r="C213" s="36">
        <v>44978</v>
      </c>
      <c r="D213" s="37" t="s">
        <v>116</v>
      </c>
      <c r="E213" s="37" t="s">
        <v>117</v>
      </c>
      <c r="F213" s="38">
        <v>5.2418680000000002</v>
      </c>
      <c r="G213" s="39">
        <v>0</v>
      </c>
      <c r="H213" s="38">
        <v>0</v>
      </c>
      <c r="I213" s="40">
        <v>0</v>
      </c>
      <c r="J213" s="40">
        <v>0</v>
      </c>
      <c r="K213" s="40">
        <v>0</v>
      </c>
      <c r="L213" s="41">
        <v>0</v>
      </c>
      <c r="M213" s="40">
        <v>0</v>
      </c>
      <c r="N213" s="41">
        <v>0</v>
      </c>
    </row>
    <row r="214" spans="2:14" x14ac:dyDescent="0.25">
      <c r="B214" s="36">
        <v>44977</v>
      </c>
      <c r="C214" s="36">
        <v>44978</v>
      </c>
      <c r="D214" s="37" t="s">
        <v>118</v>
      </c>
      <c r="E214" s="37" t="s">
        <v>119</v>
      </c>
      <c r="F214" s="38">
        <v>0</v>
      </c>
      <c r="G214" s="39">
        <v>0</v>
      </c>
      <c r="H214" s="38">
        <v>0</v>
      </c>
      <c r="I214" s="40">
        <v>0</v>
      </c>
      <c r="J214" s="40">
        <v>0</v>
      </c>
      <c r="K214" s="40">
        <v>0</v>
      </c>
      <c r="L214" s="41">
        <v>0</v>
      </c>
      <c r="M214" s="40">
        <v>0</v>
      </c>
      <c r="N214" s="41">
        <v>0</v>
      </c>
    </row>
    <row r="215" spans="2:14" x14ac:dyDescent="0.25">
      <c r="B215" s="36">
        <v>44977</v>
      </c>
      <c r="C215" s="36">
        <v>44978</v>
      </c>
      <c r="D215" s="37" t="s">
        <v>124</v>
      </c>
      <c r="E215" s="37" t="s">
        <v>125</v>
      </c>
      <c r="F215" s="38">
        <v>43.434823999999999</v>
      </c>
      <c r="G215" s="39">
        <v>10.884956043956</v>
      </c>
      <c r="H215" s="38">
        <v>10</v>
      </c>
      <c r="I215" s="40">
        <v>3.9212739999999999</v>
      </c>
      <c r="J215" s="40">
        <v>107.91</v>
      </c>
      <c r="K215" s="40">
        <v>107.91</v>
      </c>
      <c r="L215" s="41">
        <v>100</v>
      </c>
      <c r="M215" s="40">
        <v>107.91</v>
      </c>
      <c r="N215" s="41">
        <v>0</v>
      </c>
    </row>
    <row r="216" spans="2:14" x14ac:dyDescent="0.25">
      <c r="B216" s="24">
        <v>44980</v>
      </c>
      <c r="C216" s="24">
        <v>44981</v>
      </c>
      <c r="D216" s="25" t="s">
        <v>78</v>
      </c>
      <c r="E216" s="25" t="s">
        <v>79</v>
      </c>
      <c r="F216" s="26">
        <v>356.04599000000002</v>
      </c>
      <c r="G216" s="27">
        <v>271.99467436463601</v>
      </c>
      <c r="H216" s="26">
        <v>291</v>
      </c>
      <c r="I216" s="28">
        <v>3.5955409999999999</v>
      </c>
      <c r="J216" s="28">
        <v>93.332223999999997</v>
      </c>
      <c r="K216" s="28">
        <v>93.356999999999999</v>
      </c>
      <c r="L216" s="29">
        <v>100</v>
      </c>
      <c r="M216" s="28">
        <v>93.28</v>
      </c>
      <c r="N216" s="29">
        <v>5.2224E-2</v>
      </c>
    </row>
    <row r="217" spans="2:14" x14ac:dyDescent="0.25">
      <c r="B217" s="24">
        <v>44980</v>
      </c>
      <c r="C217" s="24">
        <v>44981</v>
      </c>
      <c r="D217" s="25" t="s">
        <v>80</v>
      </c>
      <c r="E217" s="25" t="s">
        <v>81</v>
      </c>
      <c r="F217" s="26">
        <v>488.54327599999999</v>
      </c>
      <c r="G217" s="27">
        <v>111.144471840663</v>
      </c>
      <c r="H217" s="26">
        <v>125</v>
      </c>
      <c r="I217" s="28">
        <v>3.6805289999999999</v>
      </c>
      <c r="J217" s="28">
        <v>88.786799999999999</v>
      </c>
      <c r="K217" s="28">
        <v>88.790999999999997</v>
      </c>
      <c r="L217" s="29">
        <v>100</v>
      </c>
      <c r="M217" s="28">
        <v>88.77</v>
      </c>
      <c r="N217" s="29">
        <v>1.6799999999999999E-2</v>
      </c>
    </row>
    <row r="218" spans="2:14" x14ac:dyDescent="0.25">
      <c r="B218" s="24">
        <v>44980</v>
      </c>
      <c r="C218" s="24">
        <v>44981</v>
      </c>
      <c r="D218" s="25" t="s">
        <v>82</v>
      </c>
      <c r="E218" s="25" t="s">
        <v>83</v>
      </c>
      <c r="F218" s="26">
        <v>363.73473999999999</v>
      </c>
      <c r="G218" s="27">
        <v>75.334182629831005</v>
      </c>
      <c r="H218" s="26">
        <v>83.2</v>
      </c>
      <c r="I218" s="28">
        <v>3.6171600000000002</v>
      </c>
      <c r="J218" s="28">
        <v>90.431942000000006</v>
      </c>
      <c r="K218" s="28">
        <v>90.433000000000007</v>
      </c>
      <c r="L218" s="29">
        <v>2.7160489999999999</v>
      </c>
      <c r="M218" s="28">
        <v>90.393000000000001</v>
      </c>
      <c r="N218" s="29">
        <v>3.8941999999999997E-2</v>
      </c>
    </row>
    <row r="219" spans="2:14" x14ac:dyDescent="0.25">
      <c r="B219" s="24">
        <v>44980</v>
      </c>
      <c r="C219" s="24">
        <v>44981</v>
      </c>
      <c r="D219" s="25" t="s">
        <v>84</v>
      </c>
      <c r="E219" s="25" t="s">
        <v>85</v>
      </c>
      <c r="F219" s="26">
        <v>134.717107</v>
      </c>
      <c r="G219" s="27">
        <v>67.404053571429003</v>
      </c>
      <c r="H219" s="26">
        <v>65</v>
      </c>
      <c r="I219" s="28">
        <v>3.6117140000000001</v>
      </c>
      <c r="J219" s="28">
        <v>102.77615400000001</v>
      </c>
      <c r="K219" s="28">
        <v>102.78100000000001</v>
      </c>
      <c r="L219" s="29">
        <v>100</v>
      </c>
      <c r="M219" s="28">
        <v>102.76</v>
      </c>
      <c r="N219" s="29">
        <v>1.6154000000000002E-2</v>
      </c>
    </row>
    <row r="220" spans="2:14" x14ac:dyDescent="0.25">
      <c r="B220" s="24">
        <v>44980</v>
      </c>
      <c r="C220" s="24">
        <v>44981</v>
      </c>
      <c r="D220" s="25" t="s">
        <v>86</v>
      </c>
      <c r="E220" s="25" t="s">
        <v>87</v>
      </c>
      <c r="F220" s="26">
        <v>84.381287</v>
      </c>
      <c r="G220" s="27">
        <v>84.381287292820005</v>
      </c>
      <c r="H220" s="26">
        <v>100</v>
      </c>
      <c r="I220" s="28">
        <v>3.61137</v>
      </c>
      <c r="J220" s="28">
        <v>84.373000000000005</v>
      </c>
      <c r="K220" s="28">
        <v>84.373000000000005</v>
      </c>
      <c r="L220" s="29">
        <v>100</v>
      </c>
      <c r="M220" s="28">
        <v>84.373000000000005</v>
      </c>
      <c r="N220" s="29">
        <v>0</v>
      </c>
    </row>
    <row r="221" spans="2:14" x14ac:dyDescent="0.25">
      <c r="B221" s="24">
        <v>44980</v>
      </c>
      <c r="C221" s="24">
        <v>44981</v>
      </c>
      <c r="D221" s="25" t="s">
        <v>88</v>
      </c>
      <c r="E221" s="25" t="s">
        <v>89</v>
      </c>
      <c r="F221" s="26">
        <v>22.647008</v>
      </c>
      <c r="G221" s="27">
        <v>22.647008928573001</v>
      </c>
      <c r="H221" s="26">
        <v>25</v>
      </c>
      <c r="I221" s="28">
        <v>3.587847</v>
      </c>
      <c r="J221" s="28">
        <v>90.03</v>
      </c>
      <c r="K221" s="28">
        <v>90.03</v>
      </c>
      <c r="L221" s="29">
        <v>100</v>
      </c>
      <c r="M221" s="28">
        <v>90.03</v>
      </c>
      <c r="N221" s="29">
        <v>0</v>
      </c>
    </row>
    <row r="222" spans="2:14" x14ac:dyDescent="0.25">
      <c r="B222" s="24">
        <v>44980</v>
      </c>
      <c r="C222" s="24">
        <v>44981</v>
      </c>
      <c r="D222" s="25" t="s">
        <v>90</v>
      </c>
      <c r="E222" s="25" t="s">
        <v>91</v>
      </c>
      <c r="F222" s="26">
        <v>17.017329</v>
      </c>
      <c r="G222" s="27">
        <v>17.01732967033</v>
      </c>
      <c r="H222" s="26">
        <v>15</v>
      </c>
      <c r="I222" s="28">
        <v>3.6497959999999998</v>
      </c>
      <c r="J222" s="28">
        <v>112.146669</v>
      </c>
      <c r="K222" s="28">
        <v>112.16</v>
      </c>
      <c r="L222" s="29">
        <v>100</v>
      </c>
      <c r="M222" s="28">
        <v>112.12</v>
      </c>
      <c r="N222" s="29">
        <v>2.6669000000000002E-2</v>
      </c>
    </row>
    <row r="223" spans="2:14" x14ac:dyDescent="0.25">
      <c r="B223" s="24">
        <v>44980</v>
      </c>
      <c r="C223" s="24">
        <v>44981</v>
      </c>
      <c r="D223" s="25" t="s">
        <v>92</v>
      </c>
      <c r="E223" s="25" t="s">
        <v>93</v>
      </c>
      <c r="F223" s="26">
        <v>14.297181</v>
      </c>
      <c r="G223" s="27">
        <v>0</v>
      </c>
      <c r="H223" s="26">
        <v>0</v>
      </c>
      <c r="I223" s="28">
        <v>0</v>
      </c>
      <c r="J223" s="28">
        <v>0</v>
      </c>
      <c r="K223" s="28">
        <v>0</v>
      </c>
      <c r="L223" s="29">
        <v>0</v>
      </c>
      <c r="M223" s="28">
        <v>0</v>
      </c>
      <c r="N223" s="29">
        <v>0</v>
      </c>
    </row>
    <row r="224" spans="2:14" x14ac:dyDescent="0.25">
      <c r="B224" s="24">
        <v>44984</v>
      </c>
      <c r="C224" s="24">
        <v>44985</v>
      </c>
      <c r="D224" s="25" t="s">
        <v>126</v>
      </c>
      <c r="E224" s="25" t="s">
        <v>127</v>
      </c>
      <c r="F224" s="26">
        <v>113.048237</v>
      </c>
      <c r="G224" s="27">
        <v>0</v>
      </c>
      <c r="H224" s="26">
        <v>0</v>
      </c>
      <c r="I224" s="28">
        <v>0</v>
      </c>
      <c r="J224" s="28">
        <v>0</v>
      </c>
      <c r="K224" s="28">
        <v>0</v>
      </c>
      <c r="L224" s="29">
        <v>0</v>
      </c>
      <c r="M224" s="28">
        <v>0</v>
      </c>
      <c r="N224" s="29">
        <v>0</v>
      </c>
    </row>
    <row r="225" spans="2:14" x14ac:dyDescent="0.25">
      <c r="B225" s="24">
        <v>44984</v>
      </c>
      <c r="C225" s="24">
        <v>44985</v>
      </c>
      <c r="D225" s="25" t="s">
        <v>128</v>
      </c>
      <c r="E225" s="25" t="s">
        <v>129</v>
      </c>
      <c r="F225" s="26">
        <v>0</v>
      </c>
      <c r="G225" s="27">
        <v>0</v>
      </c>
      <c r="H225" s="26">
        <v>0</v>
      </c>
      <c r="I225" s="28">
        <v>0</v>
      </c>
      <c r="J225" s="28">
        <v>0</v>
      </c>
      <c r="K225" s="28">
        <v>0</v>
      </c>
      <c r="L225" s="29">
        <v>0</v>
      </c>
      <c r="M225" s="28">
        <v>0</v>
      </c>
      <c r="N225" s="29">
        <v>0</v>
      </c>
    </row>
    <row r="226" spans="2:14" x14ac:dyDescent="0.25">
      <c r="B226" s="24">
        <v>44984</v>
      </c>
      <c r="C226" s="24">
        <v>44985</v>
      </c>
      <c r="D226" s="25" t="s">
        <v>130</v>
      </c>
      <c r="E226" s="25" t="s">
        <v>131</v>
      </c>
      <c r="F226" s="26">
        <v>51.432679</v>
      </c>
      <c r="G226" s="27">
        <v>0</v>
      </c>
      <c r="H226" s="26">
        <v>0</v>
      </c>
      <c r="I226" s="28">
        <v>0</v>
      </c>
      <c r="J226" s="28">
        <v>0</v>
      </c>
      <c r="K226" s="28">
        <v>0</v>
      </c>
      <c r="L226" s="29">
        <v>0</v>
      </c>
      <c r="M226" s="28">
        <v>0</v>
      </c>
      <c r="N226" s="29">
        <v>0</v>
      </c>
    </row>
    <row r="227" spans="2:14" x14ac:dyDescent="0.25">
      <c r="B227" s="24">
        <v>44984</v>
      </c>
      <c r="C227" s="24">
        <v>44985</v>
      </c>
      <c r="D227" s="25" t="s">
        <v>132</v>
      </c>
      <c r="E227" s="25" t="s">
        <v>133</v>
      </c>
      <c r="F227" s="26">
        <v>49.669355000000003</v>
      </c>
      <c r="G227" s="27">
        <v>0</v>
      </c>
      <c r="H227" s="26">
        <v>0</v>
      </c>
      <c r="I227" s="28">
        <v>0</v>
      </c>
      <c r="J227" s="28">
        <v>0</v>
      </c>
      <c r="K227" s="28">
        <v>0</v>
      </c>
      <c r="L227" s="29">
        <v>0</v>
      </c>
      <c r="M227" s="28">
        <v>0</v>
      </c>
      <c r="N227" s="29">
        <v>0</v>
      </c>
    </row>
    <row r="228" spans="2:14" x14ac:dyDescent="0.25">
      <c r="B228" s="24">
        <v>44984</v>
      </c>
      <c r="C228" s="24">
        <v>44985</v>
      </c>
      <c r="D228" s="25" t="s">
        <v>134</v>
      </c>
      <c r="E228" s="25" t="s">
        <v>135</v>
      </c>
      <c r="F228" s="26">
        <v>55.848695999999997</v>
      </c>
      <c r="G228" s="27">
        <v>28.563651160222999</v>
      </c>
      <c r="H228" s="26">
        <v>48</v>
      </c>
      <c r="I228" s="28">
        <v>4.1707140000000003</v>
      </c>
      <c r="J228" s="28">
        <v>59.354396000000001</v>
      </c>
      <c r="K228" s="28">
        <v>59.43</v>
      </c>
      <c r="L228" s="29">
        <v>100</v>
      </c>
      <c r="M228" s="28">
        <v>59.271999999999998</v>
      </c>
      <c r="N228" s="29">
        <v>8.2395999999999997E-2</v>
      </c>
    </row>
    <row r="229" spans="2:14" x14ac:dyDescent="0.25">
      <c r="B229" s="24">
        <v>44984</v>
      </c>
      <c r="C229" s="24">
        <v>44985</v>
      </c>
      <c r="D229" s="25" t="s">
        <v>136</v>
      </c>
      <c r="E229" s="25" t="s">
        <v>137</v>
      </c>
      <c r="F229" s="26">
        <v>0</v>
      </c>
      <c r="G229" s="27">
        <v>0</v>
      </c>
      <c r="H229" s="26">
        <v>0</v>
      </c>
      <c r="I229" s="28">
        <v>0</v>
      </c>
      <c r="J229" s="28">
        <v>0</v>
      </c>
      <c r="K229" s="28">
        <v>0</v>
      </c>
      <c r="L229" s="29">
        <v>0</v>
      </c>
      <c r="M229" s="28">
        <v>0</v>
      </c>
      <c r="N229" s="29">
        <v>0</v>
      </c>
    </row>
    <row r="230" spans="2:14" x14ac:dyDescent="0.25">
      <c r="B230" s="24">
        <v>44984</v>
      </c>
      <c r="C230" s="24">
        <v>44985</v>
      </c>
      <c r="D230" s="25" t="s">
        <v>138</v>
      </c>
      <c r="E230" s="25" t="s">
        <v>139</v>
      </c>
      <c r="F230" s="26">
        <v>96.723138000000006</v>
      </c>
      <c r="G230" s="27">
        <v>0</v>
      </c>
      <c r="H230" s="26">
        <v>0</v>
      </c>
      <c r="I230" s="28">
        <v>0</v>
      </c>
      <c r="J230" s="28">
        <v>0</v>
      </c>
      <c r="K230" s="28">
        <v>0</v>
      </c>
      <c r="L230" s="29">
        <v>0</v>
      </c>
      <c r="M230" s="28">
        <v>0</v>
      </c>
      <c r="N230" s="29">
        <v>0</v>
      </c>
    </row>
    <row r="231" spans="2:14" x14ac:dyDescent="0.25">
      <c r="B231" s="24">
        <v>44984</v>
      </c>
      <c r="C231" s="24">
        <v>44985</v>
      </c>
      <c r="D231" s="25" t="s">
        <v>140</v>
      </c>
      <c r="E231" s="25" t="s">
        <v>141</v>
      </c>
      <c r="F231" s="26">
        <v>531.08471599999996</v>
      </c>
      <c r="G231" s="27">
        <v>484.39268668959301</v>
      </c>
      <c r="H231" s="26">
        <v>1121.5</v>
      </c>
      <c r="I231" s="28">
        <v>4.0871940000000002</v>
      </c>
      <c r="J231" s="28">
        <v>42.970092999999999</v>
      </c>
      <c r="K231" s="28">
        <v>43.063000000000002</v>
      </c>
      <c r="L231" s="29">
        <v>76.666666000000006</v>
      </c>
      <c r="M231" s="28">
        <v>42.832999999999998</v>
      </c>
      <c r="N231" s="29">
        <v>0.13709299999999999</v>
      </c>
    </row>
    <row r="232" spans="2:14" x14ac:dyDescent="0.25">
      <c r="B232" s="24">
        <v>44984</v>
      </c>
      <c r="C232" s="24">
        <v>44985</v>
      </c>
      <c r="D232" s="25" t="s">
        <v>142</v>
      </c>
      <c r="E232" s="25" t="s">
        <v>143</v>
      </c>
      <c r="F232" s="26">
        <v>101.93604499999999</v>
      </c>
      <c r="G232" s="27">
        <v>62.861022099444</v>
      </c>
      <c r="H232" s="26">
        <v>120</v>
      </c>
      <c r="I232" s="28">
        <v>4.1117749999999997</v>
      </c>
      <c r="J232" s="28">
        <v>52.287596000000001</v>
      </c>
      <c r="K232" s="28">
        <v>52.37</v>
      </c>
      <c r="L232" s="29">
        <v>100</v>
      </c>
      <c r="M232" s="28">
        <v>52.2</v>
      </c>
      <c r="N232" s="29">
        <v>8.7595999999999993E-2</v>
      </c>
    </row>
    <row r="233" spans="2:14" x14ac:dyDescent="0.25">
      <c r="B233" s="24">
        <v>44984</v>
      </c>
      <c r="C233" s="24">
        <v>44985</v>
      </c>
      <c r="D233" s="25" t="s">
        <v>144</v>
      </c>
      <c r="E233" s="25" t="s">
        <v>145</v>
      </c>
      <c r="F233" s="26">
        <v>73.194564</v>
      </c>
      <c r="G233" s="27">
        <v>9.3971287292820005</v>
      </c>
      <c r="H233" s="26">
        <v>10</v>
      </c>
      <c r="I233" s="28">
        <v>4.128412</v>
      </c>
      <c r="J233" s="28">
        <v>93.587999999999994</v>
      </c>
      <c r="K233" s="28">
        <v>93.587999999999994</v>
      </c>
      <c r="L233" s="29">
        <v>100</v>
      </c>
      <c r="M233" s="28">
        <v>93.587999999999994</v>
      </c>
      <c r="N233" s="29">
        <v>0</v>
      </c>
    </row>
    <row r="234" spans="2:14" x14ac:dyDescent="0.25">
      <c r="B234" s="24">
        <v>44984</v>
      </c>
      <c r="C234" s="24">
        <v>44985</v>
      </c>
      <c r="D234" s="25" t="s">
        <v>148</v>
      </c>
      <c r="E234" s="25" t="s">
        <v>149</v>
      </c>
      <c r="F234" s="26">
        <v>0</v>
      </c>
      <c r="G234" s="27">
        <v>0</v>
      </c>
      <c r="H234" s="26">
        <v>0</v>
      </c>
      <c r="I234" s="28">
        <v>0</v>
      </c>
      <c r="J234" s="28">
        <v>0</v>
      </c>
      <c r="K234" s="28">
        <v>0</v>
      </c>
      <c r="L234" s="29">
        <v>0</v>
      </c>
      <c r="M234" s="28">
        <v>0</v>
      </c>
      <c r="N234" s="29">
        <v>0</v>
      </c>
    </row>
    <row r="235" spans="2:14" x14ac:dyDescent="0.25">
      <c r="B235" s="24">
        <v>44984</v>
      </c>
      <c r="C235" s="24">
        <v>44985</v>
      </c>
      <c r="D235" s="25" t="s">
        <v>150</v>
      </c>
      <c r="E235" s="25" t="s">
        <v>151</v>
      </c>
      <c r="F235" s="26">
        <v>17.691745000000001</v>
      </c>
      <c r="G235" s="27">
        <v>17.691745879119999</v>
      </c>
      <c r="H235" s="26">
        <v>17</v>
      </c>
      <c r="I235" s="28">
        <v>4.077407</v>
      </c>
      <c r="J235" s="28">
        <v>103.1</v>
      </c>
      <c r="K235" s="28">
        <v>103.1</v>
      </c>
      <c r="L235" s="29">
        <v>100</v>
      </c>
      <c r="M235" s="28">
        <v>103.1</v>
      </c>
      <c r="N235" s="29">
        <v>0</v>
      </c>
    </row>
    <row r="236" spans="2:14" x14ac:dyDescent="0.25">
      <c r="B236" s="24">
        <v>44984</v>
      </c>
      <c r="C236" s="24">
        <v>44985</v>
      </c>
      <c r="D236" s="25" t="s">
        <v>152</v>
      </c>
      <c r="E236" s="25" t="s">
        <v>153</v>
      </c>
      <c r="F236" s="26">
        <v>2.9119429999999999</v>
      </c>
      <c r="G236" s="27">
        <v>2.911943370166</v>
      </c>
      <c r="H236" s="26">
        <v>5</v>
      </c>
      <c r="I236" s="28">
        <v>4.0070959999999998</v>
      </c>
      <c r="J236" s="28">
        <v>58.06</v>
      </c>
      <c r="K236" s="28">
        <v>58.06</v>
      </c>
      <c r="L236" s="29">
        <v>100</v>
      </c>
      <c r="M236" s="28">
        <v>58.06</v>
      </c>
      <c r="N236" s="29">
        <v>0</v>
      </c>
    </row>
    <row r="237" spans="2:14" x14ac:dyDescent="0.25">
      <c r="B237" s="24">
        <v>44984</v>
      </c>
      <c r="C237" s="24">
        <v>44985</v>
      </c>
      <c r="D237" s="25" t="s">
        <v>154</v>
      </c>
      <c r="E237" s="25" t="s">
        <v>155</v>
      </c>
      <c r="F237" s="26">
        <v>0</v>
      </c>
      <c r="G237" s="27">
        <v>0</v>
      </c>
      <c r="H237" s="26">
        <v>0</v>
      </c>
      <c r="I237" s="28">
        <v>0</v>
      </c>
      <c r="J237" s="28">
        <v>0</v>
      </c>
      <c r="K237" s="28">
        <v>0</v>
      </c>
      <c r="L237" s="29">
        <v>0</v>
      </c>
      <c r="M237" s="28">
        <v>0</v>
      </c>
      <c r="N237" s="29">
        <v>0</v>
      </c>
    </row>
    <row r="238" spans="2:14" x14ac:dyDescent="0.25">
      <c r="B238" s="24">
        <v>44984</v>
      </c>
      <c r="C238" s="24">
        <v>44985</v>
      </c>
      <c r="D238" s="25" t="s">
        <v>158</v>
      </c>
      <c r="E238" s="25" t="s">
        <v>159</v>
      </c>
      <c r="F238" s="26">
        <v>14.181103999999999</v>
      </c>
      <c r="G238" s="27">
        <v>14.181104972376</v>
      </c>
      <c r="H238" s="26">
        <v>20</v>
      </c>
      <c r="I238" s="28">
        <v>3.9267989999999999</v>
      </c>
      <c r="J238" s="28">
        <v>70.650000000000006</v>
      </c>
      <c r="K238" s="28">
        <v>70.650000000000006</v>
      </c>
      <c r="L238" s="29">
        <v>100</v>
      </c>
      <c r="M238" s="28">
        <v>70.650000000000006</v>
      </c>
      <c r="N238" s="29">
        <v>0</v>
      </c>
    </row>
    <row r="239" spans="2:14" x14ac:dyDescent="0.25">
      <c r="B239" s="24">
        <v>44984</v>
      </c>
      <c r="C239" s="24">
        <v>44985</v>
      </c>
      <c r="D239" s="25" t="s">
        <v>160</v>
      </c>
      <c r="E239" s="25" t="s">
        <v>161</v>
      </c>
      <c r="F239" s="26">
        <v>108.174324</v>
      </c>
      <c r="G239" s="27">
        <v>6.4069414364639998</v>
      </c>
      <c r="H239" s="26">
        <v>7</v>
      </c>
      <c r="I239" s="28">
        <v>3.9175580000000001</v>
      </c>
      <c r="J239" s="28">
        <v>91.17</v>
      </c>
      <c r="K239" s="28">
        <v>91.17</v>
      </c>
      <c r="L239" s="29">
        <v>100</v>
      </c>
      <c r="M239" s="28">
        <v>91.17</v>
      </c>
      <c r="N239" s="29">
        <v>0</v>
      </c>
    </row>
    <row r="240" spans="2:14" x14ac:dyDescent="0.25">
      <c r="B240" s="24">
        <v>44984</v>
      </c>
      <c r="C240" s="24">
        <v>44985</v>
      </c>
      <c r="D240" s="25" t="s">
        <v>162</v>
      </c>
      <c r="E240" s="25" t="s">
        <v>163</v>
      </c>
      <c r="F240" s="26">
        <v>75.463594000000001</v>
      </c>
      <c r="G240" s="27">
        <v>23.551151785712999</v>
      </c>
      <c r="H240" s="26">
        <v>45</v>
      </c>
      <c r="I240" s="28">
        <v>3.8124820000000001</v>
      </c>
      <c r="J240" s="28">
        <v>51.760057000000003</v>
      </c>
      <c r="K240" s="28">
        <v>51.82</v>
      </c>
      <c r="L240" s="29">
        <v>100</v>
      </c>
      <c r="M240" s="28">
        <v>51.68</v>
      </c>
      <c r="N240" s="29">
        <v>8.0057000000000003E-2</v>
      </c>
    </row>
    <row r="241" spans="2:14" x14ac:dyDescent="0.25">
      <c r="B241" s="30">
        <v>44991</v>
      </c>
      <c r="C241" s="30">
        <v>44992</v>
      </c>
      <c r="D241" s="31" t="s">
        <v>94</v>
      </c>
      <c r="E241" s="31" t="s">
        <v>95</v>
      </c>
      <c r="F241" s="32">
        <v>15.584021</v>
      </c>
      <c r="G241" s="33">
        <v>0</v>
      </c>
      <c r="H241" s="32">
        <v>0</v>
      </c>
      <c r="I241" s="34">
        <v>0</v>
      </c>
      <c r="J241" s="34">
        <v>0</v>
      </c>
      <c r="K241" s="34">
        <v>0</v>
      </c>
      <c r="L241" s="35">
        <v>0</v>
      </c>
      <c r="M241" s="34">
        <v>0</v>
      </c>
      <c r="N241" s="35">
        <v>0</v>
      </c>
    </row>
    <row r="242" spans="2:14" x14ac:dyDescent="0.25">
      <c r="B242" s="30">
        <v>44991</v>
      </c>
      <c r="C242" s="30">
        <v>44992</v>
      </c>
      <c r="D242" s="31" t="s">
        <v>96</v>
      </c>
      <c r="E242" s="31" t="s">
        <v>97</v>
      </c>
      <c r="F242" s="32">
        <v>108.28145000000001</v>
      </c>
      <c r="G242" s="33">
        <v>108.28145054945</v>
      </c>
      <c r="H242" s="32">
        <v>100</v>
      </c>
      <c r="I242" s="34">
        <v>3.6868690000000002</v>
      </c>
      <c r="J242" s="34">
        <v>107.10700199999999</v>
      </c>
      <c r="K242" s="34">
        <v>107.122</v>
      </c>
      <c r="L242" s="35">
        <v>100</v>
      </c>
      <c r="M242" s="34">
        <v>107.092</v>
      </c>
      <c r="N242" s="35">
        <v>1.5002E-2</v>
      </c>
    </row>
    <row r="243" spans="2:14" x14ac:dyDescent="0.25">
      <c r="B243" s="30">
        <v>44991</v>
      </c>
      <c r="C243" s="30">
        <v>44992</v>
      </c>
      <c r="D243" s="31" t="s">
        <v>98</v>
      </c>
      <c r="E243" s="31" t="s">
        <v>99</v>
      </c>
      <c r="F243" s="32">
        <v>662.69336499999997</v>
      </c>
      <c r="G243" s="33">
        <v>356.10031353592098</v>
      </c>
      <c r="H243" s="32">
        <v>475</v>
      </c>
      <c r="I243" s="34">
        <v>3.754311</v>
      </c>
      <c r="J243" s="34">
        <v>74.944316999999998</v>
      </c>
      <c r="K243" s="34">
        <v>74.959999999999994</v>
      </c>
      <c r="L243" s="35">
        <v>100</v>
      </c>
      <c r="M243" s="34">
        <v>74.930000000000007</v>
      </c>
      <c r="N243" s="35">
        <v>1.4317E-2</v>
      </c>
    </row>
    <row r="244" spans="2:14" x14ac:dyDescent="0.25">
      <c r="B244" s="30">
        <v>44991</v>
      </c>
      <c r="C244" s="30">
        <v>44992</v>
      </c>
      <c r="D244" s="31" t="s">
        <v>100</v>
      </c>
      <c r="E244" s="31" t="s">
        <v>101</v>
      </c>
      <c r="F244" s="32">
        <v>283.02522499999998</v>
      </c>
      <c r="G244" s="33">
        <v>0</v>
      </c>
      <c r="H244" s="32">
        <v>0</v>
      </c>
      <c r="I244" s="34">
        <v>0</v>
      </c>
      <c r="J244" s="34">
        <v>0</v>
      </c>
      <c r="K244" s="34">
        <v>0</v>
      </c>
      <c r="L244" s="35">
        <v>0</v>
      </c>
      <c r="M244" s="34">
        <v>0</v>
      </c>
      <c r="N244" s="35">
        <v>0</v>
      </c>
    </row>
    <row r="245" spans="2:14" x14ac:dyDescent="0.25">
      <c r="B245" s="30">
        <v>44991</v>
      </c>
      <c r="C245" s="30">
        <v>44992</v>
      </c>
      <c r="D245" s="31" t="s">
        <v>122</v>
      </c>
      <c r="E245" s="31" t="s">
        <v>123</v>
      </c>
      <c r="F245" s="32">
        <v>0</v>
      </c>
      <c r="G245" s="33">
        <v>0</v>
      </c>
      <c r="H245" s="32">
        <v>0</v>
      </c>
      <c r="I245" s="34">
        <v>0</v>
      </c>
      <c r="J245" s="34">
        <v>0</v>
      </c>
      <c r="K245" s="34">
        <v>0</v>
      </c>
      <c r="L245" s="35">
        <v>0</v>
      </c>
      <c r="M245" s="34">
        <v>0</v>
      </c>
      <c r="N245" s="35">
        <v>0</v>
      </c>
    </row>
    <row r="246" spans="2:14" x14ac:dyDescent="0.25">
      <c r="B246" s="30">
        <v>44991</v>
      </c>
      <c r="C246" s="30">
        <v>44992</v>
      </c>
      <c r="D246" s="31" t="s">
        <v>102</v>
      </c>
      <c r="E246" s="31" t="s">
        <v>103</v>
      </c>
      <c r="F246" s="32">
        <v>26.36525</v>
      </c>
      <c r="G246" s="33">
        <v>0</v>
      </c>
      <c r="H246" s="32">
        <v>0</v>
      </c>
      <c r="I246" s="34">
        <v>0</v>
      </c>
      <c r="J246" s="34">
        <v>0</v>
      </c>
      <c r="K246" s="34">
        <v>0</v>
      </c>
      <c r="L246" s="35">
        <v>0</v>
      </c>
      <c r="M246" s="34">
        <v>0</v>
      </c>
      <c r="N246" s="35">
        <v>0</v>
      </c>
    </row>
    <row r="247" spans="2:14" x14ac:dyDescent="0.25">
      <c r="B247" s="30">
        <v>44991</v>
      </c>
      <c r="C247" s="30">
        <v>44992</v>
      </c>
      <c r="D247" s="31" t="s">
        <v>104</v>
      </c>
      <c r="E247" s="31" t="s">
        <v>105</v>
      </c>
      <c r="F247" s="32">
        <v>94.587198999999998</v>
      </c>
      <c r="G247" s="33">
        <v>60.835585359120003</v>
      </c>
      <c r="H247" s="32">
        <v>90</v>
      </c>
      <c r="I247" s="34">
        <v>3.963686</v>
      </c>
      <c r="J247" s="34">
        <v>67.534670000000006</v>
      </c>
      <c r="K247" s="34">
        <v>67.552999999999997</v>
      </c>
      <c r="L247" s="35">
        <v>100</v>
      </c>
      <c r="M247" s="34">
        <v>67.52</v>
      </c>
      <c r="N247" s="35">
        <v>1.4670000000000001E-2</v>
      </c>
    </row>
    <row r="248" spans="2:14" x14ac:dyDescent="0.25">
      <c r="B248" s="30">
        <v>44991</v>
      </c>
      <c r="C248" s="30">
        <v>44992</v>
      </c>
      <c r="D248" s="31" t="s">
        <v>106</v>
      </c>
      <c r="E248" s="31" t="s">
        <v>107</v>
      </c>
      <c r="F248" s="32">
        <v>728.09469999999999</v>
      </c>
      <c r="G248" s="33">
        <v>31.8277</v>
      </c>
      <c r="H248" s="32">
        <v>31</v>
      </c>
      <c r="I248" s="34">
        <v>3.9848499999999998</v>
      </c>
      <c r="J248" s="34">
        <v>102.67</v>
      </c>
      <c r="K248" s="34">
        <v>102.67</v>
      </c>
      <c r="L248" s="35">
        <v>62</v>
      </c>
      <c r="M248" s="34">
        <v>102.67</v>
      </c>
      <c r="N248" s="35">
        <v>0</v>
      </c>
    </row>
    <row r="249" spans="2:14" x14ac:dyDescent="0.25">
      <c r="B249" s="30">
        <v>44991</v>
      </c>
      <c r="C249" s="30">
        <v>44992</v>
      </c>
      <c r="D249" s="31" t="s">
        <v>108</v>
      </c>
      <c r="E249" s="31" t="s">
        <v>109</v>
      </c>
      <c r="F249" s="32">
        <v>0</v>
      </c>
      <c r="G249" s="33">
        <v>0</v>
      </c>
      <c r="H249" s="32">
        <v>0</v>
      </c>
      <c r="I249" s="34">
        <v>0</v>
      </c>
      <c r="J249" s="34">
        <v>0</v>
      </c>
      <c r="K249" s="34">
        <v>0</v>
      </c>
      <c r="L249" s="35">
        <v>0</v>
      </c>
      <c r="M249" s="34">
        <v>0</v>
      </c>
      <c r="N249" s="35">
        <v>0</v>
      </c>
    </row>
    <row r="250" spans="2:14" x14ac:dyDescent="0.25">
      <c r="B250" s="30">
        <v>44991</v>
      </c>
      <c r="C250" s="30">
        <v>44992</v>
      </c>
      <c r="D250" s="31" t="s">
        <v>110</v>
      </c>
      <c r="E250" s="31" t="s">
        <v>111</v>
      </c>
      <c r="F250" s="32">
        <v>0</v>
      </c>
      <c r="G250" s="33">
        <v>0</v>
      </c>
      <c r="H250" s="32">
        <v>0</v>
      </c>
      <c r="I250" s="34">
        <v>0</v>
      </c>
      <c r="J250" s="34">
        <v>0</v>
      </c>
      <c r="K250" s="34">
        <v>0</v>
      </c>
      <c r="L250" s="35">
        <v>0</v>
      </c>
      <c r="M250" s="34">
        <v>0</v>
      </c>
      <c r="N250" s="35">
        <v>0</v>
      </c>
    </row>
    <row r="251" spans="2:14" x14ac:dyDescent="0.25">
      <c r="B251" s="30">
        <v>44991</v>
      </c>
      <c r="C251" s="30">
        <v>44992</v>
      </c>
      <c r="D251" s="31" t="s">
        <v>112</v>
      </c>
      <c r="E251" s="31" t="s">
        <v>113</v>
      </c>
      <c r="F251" s="32">
        <v>0</v>
      </c>
      <c r="G251" s="33">
        <v>0</v>
      </c>
      <c r="H251" s="32">
        <v>0</v>
      </c>
      <c r="I251" s="34">
        <v>0</v>
      </c>
      <c r="J251" s="34">
        <v>0</v>
      </c>
      <c r="K251" s="34">
        <v>0</v>
      </c>
      <c r="L251" s="35">
        <v>0</v>
      </c>
      <c r="M251" s="34">
        <v>0</v>
      </c>
      <c r="N251" s="35">
        <v>0</v>
      </c>
    </row>
    <row r="252" spans="2:14" x14ac:dyDescent="0.25">
      <c r="B252" s="30">
        <v>44991</v>
      </c>
      <c r="C252" s="30">
        <v>44992</v>
      </c>
      <c r="D252" s="31" t="s">
        <v>114</v>
      </c>
      <c r="E252" s="31" t="s">
        <v>115</v>
      </c>
      <c r="F252" s="32">
        <v>60.63</v>
      </c>
      <c r="G252" s="33">
        <v>35.380000000000003</v>
      </c>
      <c r="H252" s="32">
        <v>35</v>
      </c>
      <c r="I252" s="34">
        <v>4.1584070000000004</v>
      </c>
      <c r="J252" s="34">
        <v>101.085719</v>
      </c>
      <c r="K252" s="34">
        <v>101.1</v>
      </c>
      <c r="L252" s="35">
        <v>100</v>
      </c>
      <c r="M252" s="34">
        <v>101.05</v>
      </c>
      <c r="N252" s="35">
        <v>3.5719000000000001E-2</v>
      </c>
    </row>
    <row r="253" spans="2:14" x14ac:dyDescent="0.25">
      <c r="B253" s="30">
        <v>44991</v>
      </c>
      <c r="C253" s="30">
        <v>44992</v>
      </c>
      <c r="D253" s="31" t="s">
        <v>116</v>
      </c>
      <c r="E253" s="31" t="s">
        <v>117</v>
      </c>
      <c r="F253" s="32">
        <v>10.155082</v>
      </c>
      <c r="G253" s="33">
        <v>0</v>
      </c>
      <c r="H253" s="32">
        <v>0</v>
      </c>
      <c r="I253" s="34">
        <v>0</v>
      </c>
      <c r="J253" s="34">
        <v>0</v>
      </c>
      <c r="K253" s="34">
        <v>0</v>
      </c>
      <c r="L253" s="35">
        <v>0</v>
      </c>
      <c r="M253" s="34">
        <v>0</v>
      </c>
      <c r="N253" s="35">
        <v>0</v>
      </c>
    </row>
    <row r="254" spans="2:14" x14ac:dyDescent="0.25">
      <c r="B254" s="30">
        <v>44991</v>
      </c>
      <c r="C254" s="30">
        <v>44992</v>
      </c>
      <c r="D254" s="31" t="s">
        <v>118</v>
      </c>
      <c r="E254" s="31" t="s">
        <v>119</v>
      </c>
      <c r="F254" s="32">
        <v>128.45641699999999</v>
      </c>
      <c r="G254" s="33">
        <v>47.065274725272999</v>
      </c>
      <c r="H254" s="32">
        <v>75</v>
      </c>
      <c r="I254" s="34">
        <v>4.185486</v>
      </c>
      <c r="J254" s="34">
        <v>62.286672000000003</v>
      </c>
      <c r="K254" s="34">
        <v>62.3</v>
      </c>
      <c r="L254" s="35">
        <v>100</v>
      </c>
      <c r="M254" s="34">
        <v>62.26</v>
      </c>
      <c r="N254" s="35">
        <v>2.6672000000000001E-2</v>
      </c>
    </row>
    <row r="255" spans="2:14" x14ac:dyDescent="0.25">
      <c r="B255" s="30">
        <v>44991</v>
      </c>
      <c r="C255" s="30">
        <v>44992</v>
      </c>
      <c r="D255" s="31" t="s">
        <v>124</v>
      </c>
      <c r="E255" s="31" t="s">
        <v>125</v>
      </c>
      <c r="F255" s="32">
        <v>20.989526999999999</v>
      </c>
      <c r="G255" s="33">
        <v>10.503263736264</v>
      </c>
      <c r="H255" s="32">
        <v>10</v>
      </c>
      <c r="I255" s="34">
        <v>4.2054330000000002</v>
      </c>
      <c r="J255" s="34">
        <v>103.92</v>
      </c>
      <c r="K255" s="34">
        <v>103.92</v>
      </c>
      <c r="L255" s="35">
        <v>100</v>
      </c>
      <c r="M255" s="34">
        <v>103.92</v>
      </c>
      <c r="N255" s="35">
        <v>0</v>
      </c>
    </row>
    <row r="256" spans="2:14" x14ac:dyDescent="0.25">
      <c r="B256" s="24">
        <v>44994</v>
      </c>
      <c r="C256" s="24">
        <v>44995</v>
      </c>
      <c r="D256" s="25" t="s">
        <v>78</v>
      </c>
      <c r="E256" s="25" t="s">
        <v>79</v>
      </c>
      <c r="F256" s="26">
        <v>211.004785</v>
      </c>
      <c r="G256" s="27">
        <v>111.586701657464</v>
      </c>
      <c r="H256" s="26">
        <v>120</v>
      </c>
      <c r="I256" s="28">
        <v>3.797644</v>
      </c>
      <c r="J256" s="28">
        <v>92.794167000000002</v>
      </c>
      <c r="K256" s="28">
        <v>92.814999999999998</v>
      </c>
      <c r="L256" s="29">
        <v>100</v>
      </c>
      <c r="M256" s="28">
        <v>92.79</v>
      </c>
      <c r="N256" s="29">
        <v>4.1669999999999997E-3</v>
      </c>
    </row>
    <row r="257" spans="2:14" x14ac:dyDescent="0.25">
      <c r="B257" s="24">
        <v>44994</v>
      </c>
      <c r="C257" s="24">
        <v>44995</v>
      </c>
      <c r="D257" s="25" t="s">
        <v>80</v>
      </c>
      <c r="E257" s="25" t="s">
        <v>81</v>
      </c>
      <c r="F257" s="26">
        <v>176.04738900000001</v>
      </c>
      <c r="G257" s="27">
        <v>126.523676785714</v>
      </c>
      <c r="H257" s="26">
        <v>143</v>
      </c>
      <c r="I257" s="28">
        <v>3.8603320000000001</v>
      </c>
      <c r="J257" s="28">
        <v>88.334896000000001</v>
      </c>
      <c r="K257" s="28">
        <v>88.352000000000004</v>
      </c>
      <c r="L257" s="29">
        <v>100</v>
      </c>
      <c r="M257" s="28">
        <v>88.322000000000003</v>
      </c>
      <c r="N257" s="29">
        <v>1.2895999999999999E-2</v>
      </c>
    </row>
    <row r="258" spans="2:14" x14ac:dyDescent="0.25">
      <c r="B258" s="24">
        <v>44994</v>
      </c>
      <c r="C258" s="24">
        <v>44995</v>
      </c>
      <c r="D258" s="25" t="s">
        <v>82</v>
      </c>
      <c r="E258" s="25" t="s">
        <v>83</v>
      </c>
      <c r="F258" s="26">
        <v>421.06320699999998</v>
      </c>
      <c r="G258" s="27">
        <v>40.039580011049999</v>
      </c>
      <c r="H258" s="26">
        <v>44.4</v>
      </c>
      <c r="I258" s="28">
        <v>3.7475390000000002</v>
      </c>
      <c r="J258" s="28">
        <v>90.016941000000003</v>
      </c>
      <c r="K258" s="28">
        <v>90.02</v>
      </c>
      <c r="L258" s="29">
        <v>19.399999999999999</v>
      </c>
      <c r="M258" s="28">
        <v>90.013000000000005</v>
      </c>
      <c r="N258" s="29">
        <v>3.9410000000000001E-3</v>
      </c>
    </row>
    <row r="259" spans="2:14" x14ac:dyDescent="0.25">
      <c r="B259" s="24">
        <v>44994</v>
      </c>
      <c r="C259" s="24">
        <v>44995</v>
      </c>
      <c r="D259" s="25" t="s">
        <v>84</v>
      </c>
      <c r="E259" s="25" t="s">
        <v>85</v>
      </c>
      <c r="F259" s="26">
        <v>299.52916900000002</v>
      </c>
      <c r="G259" s="27">
        <v>144.70939230769</v>
      </c>
      <c r="H259" s="26">
        <v>140</v>
      </c>
      <c r="I259" s="28">
        <v>3.7206640000000002</v>
      </c>
      <c r="J259" s="28">
        <v>102.278007</v>
      </c>
      <c r="K259" s="28">
        <v>102.31</v>
      </c>
      <c r="L259" s="29">
        <v>100</v>
      </c>
      <c r="M259" s="28">
        <v>102.22799999999999</v>
      </c>
      <c r="N259" s="29">
        <v>5.0007000000000003E-2</v>
      </c>
    </row>
    <row r="260" spans="2:14" x14ac:dyDescent="0.25">
      <c r="B260" s="24">
        <v>44994</v>
      </c>
      <c r="C260" s="24">
        <v>44995</v>
      </c>
      <c r="D260" s="25" t="s">
        <v>86</v>
      </c>
      <c r="E260" s="25" t="s">
        <v>87</v>
      </c>
      <c r="F260" s="26">
        <v>16.816624000000001</v>
      </c>
      <c r="G260" s="27">
        <v>16.816624309392001</v>
      </c>
      <c r="H260" s="26">
        <v>20</v>
      </c>
      <c r="I260" s="28">
        <v>3.7141329999999999</v>
      </c>
      <c r="J260" s="28">
        <v>84.07</v>
      </c>
      <c r="K260" s="28">
        <v>84.07</v>
      </c>
      <c r="L260" s="29">
        <v>100</v>
      </c>
      <c r="M260" s="28">
        <v>84.07</v>
      </c>
      <c r="N260" s="29">
        <v>0</v>
      </c>
    </row>
    <row r="261" spans="2:14" x14ac:dyDescent="0.25">
      <c r="B261" s="24">
        <v>44994</v>
      </c>
      <c r="C261" s="24">
        <v>44995</v>
      </c>
      <c r="D261" s="25" t="s">
        <v>88</v>
      </c>
      <c r="E261" s="25" t="s">
        <v>89</v>
      </c>
      <c r="F261" s="26">
        <v>399.75112300000001</v>
      </c>
      <c r="G261" s="27">
        <v>185.063498214296</v>
      </c>
      <c r="H261" s="26">
        <v>205</v>
      </c>
      <c r="I261" s="28">
        <v>3.6799520000000001</v>
      </c>
      <c r="J261" s="28">
        <v>89.654347000000001</v>
      </c>
      <c r="K261" s="28">
        <v>89.7</v>
      </c>
      <c r="L261" s="29">
        <v>100</v>
      </c>
      <c r="M261" s="28">
        <v>89.623000000000005</v>
      </c>
      <c r="N261" s="29">
        <v>3.1347E-2</v>
      </c>
    </row>
    <row r="262" spans="2:14" x14ac:dyDescent="0.25">
      <c r="B262" s="24">
        <v>44994</v>
      </c>
      <c r="C262" s="24">
        <v>44995</v>
      </c>
      <c r="D262" s="25" t="s">
        <v>90</v>
      </c>
      <c r="E262" s="25" t="s">
        <v>91</v>
      </c>
      <c r="F262" s="26">
        <v>0</v>
      </c>
      <c r="G262" s="27">
        <v>0</v>
      </c>
      <c r="H262" s="26">
        <v>0</v>
      </c>
      <c r="I262" s="28">
        <v>0</v>
      </c>
      <c r="J262" s="28">
        <v>0</v>
      </c>
      <c r="K262" s="28">
        <v>0</v>
      </c>
      <c r="L262" s="29">
        <v>0</v>
      </c>
      <c r="M262" s="28">
        <v>0</v>
      </c>
      <c r="N262" s="29">
        <v>0</v>
      </c>
    </row>
    <row r="263" spans="2:14" x14ac:dyDescent="0.25">
      <c r="B263" s="24">
        <v>44994</v>
      </c>
      <c r="C263" s="24">
        <v>44995</v>
      </c>
      <c r="D263" s="25" t="s">
        <v>120</v>
      </c>
      <c r="E263" s="25" t="s">
        <v>121</v>
      </c>
      <c r="F263" s="26">
        <v>0</v>
      </c>
      <c r="G263" s="27">
        <v>0</v>
      </c>
      <c r="H263" s="26">
        <v>0</v>
      </c>
      <c r="I263" s="28">
        <v>0</v>
      </c>
      <c r="J263" s="28">
        <v>0</v>
      </c>
      <c r="K263" s="28">
        <v>0</v>
      </c>
      <c r="L263" s="29">
        <v>0</v>
      </c>
      <c r="M263" s="28">
        <v>0</v>
      </c>
      <c r="N263" s="29">
        <v>0</v>
      </c>
    </row>
    <row r="264" spans="2:14" x14ac:dyDescent="0.25">
      <c r="B264" s="24">
        <v>44994</v>
      </c>
      <c r="C264" s="24">
        <v>44995</v>
      </c>
      <c r="D264" s="25" t="s">
        <v>92</v>
      </c>
      <c r="E264" s="25" t="s">
        <v>93</v>
      </c>
      <c r="F264" s="26">
        <v>145.95279400000001</v>
      </c>
      <c r="G264" s="27">
        <v>25.207240384614</v>
      </c>
      <c r="H264" s="26">
        <v>30</v>
      </c>
      <c r="I264" s="28">
        <v>3.67347</v>
      </c>
      <c r="J264" s="28">
        <v>83.69</v>
      </c>
      <c r="K264" s="28">
        <v>83.69</v>
      </c>
      <c r="L264" s="29">
        <v>100</v>
      </c>
      <c r="M264" s="28">
        <v>83.69</v>
      </c>
      <c r="N264" s="29">
        <v>0</v>
      </c>
    </row>
    <row r="265" spans="2:14" x14ac:dyDescent="0.25">
      <c r="B265" s="24">
        <v>44998</v>
      </c>
      <c r="C265" s="24">
        <v>44999</v>
      </c>
      <c r="D265" s="25" t="s">
        <v>126</v>
      </c>
      <c r="E265" s="25" t="s">
        <v>127</v>
      </c>
      <c r="F265" s="26">
        <v>170.409764</v>
      </c>
      <c r="G265" s="27">
        <v>129.78304508287701</v>
      </c>
      <c r="H265" s="26">
        <v>140.80000000000001</v>
      </c>
      <c r="I265" s="28">
        <v>3.829942</v>
      </c>
      <c r="J265" s="28">
        <v>91.717686</v>
      </c>
      <c r="K265" s="28">
        <v>91.841999999999999</v>
      </c>
      <c r="L265" s="29">
        <v>7.9999989999999999</v>
      </c>
      <c r="M265" s="28">
        <v>91.52</v>
      </c>
      <c r="N265" s="29">
        <v>0.197686</v>
      </c>
    </row>
    <row r="266" spans="2:14" x14ac:dyDescent="0.25">
      <c r="B266" s="24">
        <v>44998</v>
      </c>
      <c r="C266" s="24">
        <v>44999</v>
      </c>
      <c r="D266" s="25" t="s">
        <v>128</v>
      </c>
      <c r="E266" s="25" t="s">
        <v>129</v>
      </c>
      <c r="F266" s="26">
        <v>0</v>
      </c>
      <c r="G266" s="27">
        <v>0</v>
      </c>
      <c r="H266" s="26">
        <v>0</v>
      </c>
      <c r="I266" s="28">
        <v>0</v>
      </c>
      <c r="J266" s="28">
        <v>0</v>
      </c>
      <c r="K266" s="28">
        <v>0</v>
      </c>
      <c r="L266" s="29">
        <v>0</v>
      </c>
      <c r="M266" s="28">
        <v>0</v>
      </c>
      <c r="N266" s="29">
        <v>0</v>
      </c>
    </row>
    <row r="267" spans="2:14" x14ac:dyDescent="0.25">
      <c r="B267" s="24">
        <v>44998</v>
      </c>
      <c r="C267" s="24">
        <v>44999</v>
      </c>
      <c r="D267" s="25" t="s">
        <v>130</v>
      </c>
      <c r="E267" s="25" t="s">
        <v>131</v>
      </c>
      <c r="F267" s="26">
        <v>0</v>
      </c>
      <c r="G267" s="27">
        <v>0</v>
      </c>
      <c r="H267" s="26">
        <v>0</v>
      </c>
      <c r="I267" s="28">
        <v>0</v>
      </c>
      <c r="J267" s="28">
        <v>0</v>
      </c>
      <c r="K267" s="28">
        <v>0</v>
      </c>
      <c r="L267" s="29">
        <v>0</v>
      </c>
      <c r="M267" s="28">
        <v>0</v>
      </c>
      <c r="N267" s="29">
        <v>0</v>
      </c>
    </row>
    <row r="268" spans="2:14" x14ac:dyDescent="0.25">
      <c r="B268" s="24">
        <v>44998</v>
      </c>
      <c r="C268" s="24">
        <v>44999</v>
      </c>
      <c r="D268" s="25" t="s">
        <v>132</v>
      </c>
      <c r="E268" s="25" t="s">
        <v>133</v>
      </c>
      <c r="F268" s="26">
        <v>174.93866399999999</v>
      </c>
      <c r="G268" s="27">
        <v>121.42238708790801</v>
      </c>
      <c r="H268" s="26">
        <v>113</v>
      </c>
      <c r="I268" s="28">
        <v>3.841364</v>
      </c>
      <c r="J268" s="28">
        <v>106.320941</v>
      </c>
      <c r="K268" s="28">
        <v>106.416</v>
      </c>
      <c r="L268" s="29">
        <v>100</v>
      </c>
      <c r="M268" s="28">
        <v>106.15</v>
      </c>
      <c r="N268" s="29">
        <v>0.17094100000000001</v>
      </c>
    </row>
    <row r="269" spans="2:14" x14ac:dyDescent="0.25">
      <c r="B269" s="24">
        <v>44998</v>
      </c>
      <c r="C269" s="24">
        <v>44999</v>
      </c>
      <c r="D269" s="25" t="s">
        <v>134</v>
      </c>
      <c r="E269" s="25" t="s">
        <v>135</v>
      </c>
      <c r="F269" s="26">
        <v>0</v>
      </c>
      <c r="G269" s="27">
        <v>0</v>
      </c>
      <c r="H269" s="26">
        <v>0</v>
      </c>
      <c r="I269" s="28">
        <v>0</v>
      </c>
      <c r="J269" s="28">
        <v>0</v>
      </c>
      <c r="K269" s="28">
        <v>0</v>
      </c>
      <c r="L269" s="29">
        <v>0</v>
      </c>
      <c r="M269" s="28">
        <v>0</v>
      </c>
      <c r="N269" s="29">
        <v>0</v>
      </c>
    </row>
    <row r="270" spans="2:14" x14ac:dyDescent="0.25">
      <c r="B270" s="24">
        <v>44998</v>
      </c>
      <c r="C270" s="24">
        <v>44999</v>
      </c>
      <c r="D270" s="25" t="s">
        <v>136</v>
      </c>
      <c r="E270" s="25" t="s">
        <v>137</v>
      </c>
      <c r="F270" s="26">
        <v>0</v>
      </c>
      <c r="G270" s="27">
        <v>0</v>
      </c>
      <c r="H270" s="26">
        <v>0</v>
      </c>
      <c r="I270" s="28">
        <v>0</v>
      </c>
      <c r="J270" s="28">
        <v>0</v>
      </c>
      <c r="K270" s="28">
        <v>0</v>
      </c>
      <c r="L270" s="29">
        <v>0</v>
      </c>
      <c r="M270" s="28">
        <v>0</v>
      </c>
      <c r="N270" s="29">
        <v>0</v>
      </c>
    </row>
    <row r="271" spans="2:14" x14ac:dyDescent="0.25">
      <c r="B271" s="24">
        <v>44998</v>
      </c>
      <c r="C271" s="24">
        <v>44999</v>
      </c>
      <c r="D271" s="25" t="s">
        <v>138</v>
      </c>
      <c r="E271" s="25" t="s">
        <v>139</v>
      </c>
      <c r="F271" s="26">
        <v>0</v>
      </c>
      <c r="G271" s="27">
        <v>0</v>
      </c>
      <c r="H271" s="26">
        <v>0</v>
      </c>
      <c r="I271" s="28">
        <v>0</v>
      </c>
      <c r="J271" s="28">
        <v>0</v>
      </c>
      <c r="K271" s="28">
        <v>0</v>
      </c>
      <c r="L271" s="29">
        <v>0</v>
      </c>
      <c r="M271" s="28">
        <v>0</v>
      </c>
      <c r="N271" s="29">
        <v>0</v>
      </c>
    </row>
    <row r="272" spans="2:14" x14ac:dyDescent="0.25">
      <c r="B272" s="24">
        <v>44998</v>
      </c>
      <c r="C272" s="24">
        <v>44999</v>
      </c>
      <c r="D272" s="25" t="s">
        <v>140</v>
      </c>
      <c r="E272" s="25" t="s">
        <v>141</v>
      </c>
      <c r="F272" s="26">
        <v>185.95414199999999</v>
      </c>
      <c r="G272" s="27">
        <v>74.717657142863999</v>
      </c>
      <c r="H272" s="26">
        <v>160</v>
      </c>
      <c r="I272" s="28">
        <v>3.7584559999999998</v>
      </c>
      <c r="J272" s="28">
        <v>46.453052999999997</v>
      </c>
      <c r="K272" s="28">
        <v>46.503</v>
      </c>
      <c r="L272" s="29">
        <v>100</v>
      </c>
      <c r="M272" s="28">
        <v>46.402999999999999</v>
      </c>
      <c r="N272" s="29">
        <v>5.0053E-2</v>
      </c>
    </row>
    <row r="273" spans="2:14" x14ac:dyDescent="0.25">
      <c r="B273" s="24">
        <v>44998</v>
      </c>
      <c r="C273" s="24">
        <v>44999</v>
      </c>
      <c r="D273" s="25" t="s">
        <v>142</v>
      </c>
      <c r="E273" s="25" t="s">
        <v>143</v>
      </c>
      <c r="F273" s="26">
        <v>269.93033500000001</v>
      </c>
      <c r="G273" s="27">
        <v>28.097513812155</v>
      </c>
      <c r="H273" s="26">
        <v>50</v>
      </c>
      <c r="I273" s="28">
        <v>3.7914629999999998</v>
      </c>
      <c r="J273" s="28">
        <v>56.05</v>
      </c>
      <c r="K273" s="28">
        <v>56.05</v>
      </c>
      <c r="L273" s="29">
        <v>100</v>
      </c>
      <c r="M273" s="28">
        <v>56.05</v>
      </c>
      <c r="N273" s="29">
        <v>0</v>
      </c>
    </row>
    <row r="274" spans="2:14" x14ac:dyDescent="0.25">
      <c r="B274" s="24">
        <v>44998</v>
      </c>
      <c r="C274" s="24">
        <v>44999</v>
      </c>
      <c r="D274" s="25" t="s">
        <v>144</v>
      </c>
      <c r="E274" s="25" t="s">
        <v>145</v>
      </c>
      <c r="F274" s="26">
        <v>0</v>
      </c>
      <c r="G274" s="27">
        <v>0</v>
      </c>
      <c r="H274" s="26">
        <v>0</v>
      </c>
      <c r="I274" s="28">
        <v>0</v>
      </c>
      <c r="J274" s="28">
        <v>0</v>
      </c>
      <c r="K274" s="28">
        <v>0</v>
      </c>
      <c r="L274" s="29">
        <v>0</v>
      </c>
      <c r="M274" s="28">
        <v>0</v>
      </c>
      <c r="N274" s="29">
        <v>0</v>
      </c>
    </row>
    <row r="275" spans="2:14" x14ac:dyDescent="0.25">
      <c r="B275" s="24">
        <v>44998</v>
      </c>
      <c r="C275" s="24">
        <v>44999</v>
      </c>
      <c r="D275" s="25" t="s">
        <v>146</v>
      </c>
      <c r="E275" s="25" t="s">
        <v>147</v>
      </c>
      <c r="F275" s="26">
        <v>0</v>
      </c>
      <c r="G275" s="27">
        <v>0</v>
      </c>
      <c r="H275" s="26">
        <v>0</v>
      </c>
      <c r="I275" s="28">
        <v>0</v>
      </c>
      <c r="J275" s="28">
        <v>0</v>
      </c>
      <c r="K275" s="28">
        <v>0</v>
      </c>
      <c r="L275" s="29">
        <v>0</v>
      </c>
      <c r="M275" s="28">
        <v>0</v>
      </c>
      <c r="N275" s="29">
        <v>0</v>
      </c>
    </row>
    <row r="276" spans="2:14" x14ac:dyDescent="0.25">
      <c r="B276" s="24">
        <v>44998</v>
      </c>
      <c r="C276" s="24">
        <v>44999</v>
      </c>
      <c r="D276" s="25" t="s">
        <v>148</v>
      </c>
      <c r="E276" s="25" t="s">
        <v>149</v>
      </c>
      <c r="F276" s="26">
        <v>0</v>
      </c>
      <c r="G276" s="27">
        <v>0</v>
      </c>
      <c r="H276" s="26">
        <v>0</v>
      </c>
      <c r="I276" s="28">
        <v>0</v>
      </c>
      <c r="J276" s="28">
        <v>0</v>
      </c>
      <c r="K276" s="28">
        <v>0</v>
      </c>
      <c r="L276" s="29">
        <v>0</v>
      </c>
      <c r="M276" s="28">
        <v>0</v>
      </c>
      <c r="N276" s="29">
        <v>0</v>
      </c>
    </row>
    <row r="277" spans="2:14" x14ac:dyDescent="0.25">
      <c r="B277" s="24">
        <v>44998</v>
      </c>
      <c r="C277" s="24">
        <v>44999</v>
      </c>
      <c r="D277" s="25" t="s">
        <v>150</v>
      </c>
      <c r="E277" s="25" t="s">
        <v>151</v>
      </c>
      <c r="F277" s="26">
        <v>11.028255</v>
      </c>
      <c r="G277" s="27">
        <v>11.028255494505</v>
      </c>
      <c r="H277" s="26">
        <v>10</v>
      </c>
      <c r="I277" s="28">
        <v>3.761358</v>
      </c>
      <c r="J277" s="28">
        <v>109.15</v>
      </c>
      <c r="K277" s="28">
        <v>109.15</v>
      </c>
      <c r="L277" s="29">
        <v>100</v>
      </c>
      <c r="M277" s="28">
        <v>109.15</v>
      </c>
      <c r="N277" s="29">
        <v>0</v>
      </c>
    </row>
    <row r="278" spans="2:14" x14ac:dyDescent="0.25">
      <c r="B278" s="24">
        <v>44998</v>
      </c>
      <c r="C278" s="24">
        <v>44999</v>
      </c>
      <c r="D278" s="25" t="s">
        <v>152</v>
      </c>
      <c r="E278" s="25" t="s">
        <v>153</v>
      </c>
      <c r="F278" s="26">
        <v>0</v>
      </c>
      <c r="G278" s="27">
        <v>0</v>
      </c>
      <c r="H278" s="26">
        <v>0</v>
      </c>
      <c r="I278" s="28">
        <v>0</v>
      </c>
      <c r="J278" s="28">
        <v>0</v>
      </c>
      <c r="K278" s="28">
        <v>0</v>
      </c>
      <c r="L278" s="29">
        <v>0</v>
      </c>
      <c r="M278" s="28">
        <v>0</v>
      </c>
      <c r="N278" s="29">
        <v>0</v>
      </c>
    </row>
    <row r="279" spans="2:14" x14ac:dyDescent="0.25">
      <c r="B279" s="24">
        <v>44998</v>
      </c>
      <c r="C279" s="24">
        <v>44999</v>
      </c>
      <c r="D279" s="25" t="s">
        <v>154</v>
      </c>
      <c r="E279" s="25" t="s">
        <v>155</v>
      </c>
      <c r="F279" s="26">
        <v>127.086793</v>
      </c>
      <c r="G279" s="27">
        <v>0</v>
      </c>
      <c r="H279" s="26">
        <v>0</v>
      </c>
      <c r="I279" s="28">
        <v>0</v>
      </c>
      <c r="J279" s="28">
        <v>0</v>
      </c>
      <c r="K279" s="28">
        <v>0</v>
      </c>
      <c r="L279" s="29">
        <v>0</v>
      </c>
      <c r="M279" s="28">
        <v>0</v>
      </c>
      <c r="N279" s="29">
        <v>0</v>
      </c>
    </row>
    <row r="280" spans="2:14" x14ac:dyDescent="0.25">
      <c r="B280" s="24">
        <v>44998</v>
      </c>
      <c r="C280" s="24">
        <v>44999</v>
      </c>
      <c r="D280" s="25" t="s">
        <v>158</v>
      </c>
      <c r="E280" s="25" t="s">
        <v>159</v>
      </c>
      <c r="F280" s="26">
        <v>0</v>
      </c>
      <c r="G280" s="27">
        <v>0</v>
      </c>
      <c r="H280" s="26">
        <v>0</v>
      </c>
      <c r="I280" s="28">
        <v>0</v>
      </c>
      <c r="J280" s="28">
        <v>0</v>
      </c>
      <c r="K280" s="28">
        <v>0</v>
      </c>
      <c r="L280" s="29">
        <v>0</v>
      </c>
      <c r="M280" s="28">
        <v>0</v>
      </c>
      <c r="N280" s="29">
        <v>0</v>
      </c>
    </row>
    <row r="281" spans="2:14" x14ac:dyDescent="0.25">
      <c r="B281" s="24">
        <v>44998</v>
      </c>
      <c r="C281" s="24">
        <v>44999</v>
      </c>
      <c r="D281" s="25" t="s">
        <v>160</v>
      </c>
      <c r="E281" s="25" t="s">
        <v>161</v>
      </c>
      <c r="F281" s="26">
        <v>72.570819999999998</v>
      </c>
      <c r="G281" s="27">
        <v>0</v>
      </c>
      <c r="H281" s="26">
        <v>0</v>
      </c>
      <c r="I281" s="28">
        <v>0</v>
      </c>
      <c r="J281" s="28">
        <v>0</v>
      </c>
      <c r="K281" s="28">
        <v>0</v>
      </c>
      <c r="L281" s="29">
        <v>0</v>
      </c>
      <c r="M281" s="28">
        <v>0</v>
      </c>
      <c r="N281" s="29">
        <v>0</v>
      </c>
    </row>
    <row r="282" spans="2:14" x14ac:dyDescent="0.25">
      <c r="B282" s="24">
        <v>44998</v>
      </c>
      <c r="C282" s="24">
        <v>44999</v>
      </c>
      <c r="D282" s="25" t="s">
        <v>162</v>
      </c>
      <c r="E282" s="25" t="s">
        <v>163</v>
      </c>
      <c r="F282" s="26">
        <v>284.89196399999997</v>
      </c>
      <c r="G282" s="27">
        <v>284.8919642857</v>
      </c>
      <c r="H282" s="26">
        <v>500</v>
      </c>
      <c r="I282" s="28">
        <v>3.5004279999999999</v>
      </c>
      <c r="J282" s="28">
        <v>56.34</v>
      </c>
      <c r="K282" s="28">
        <v>56.34</v>
      </c>
      <c r="L282" s="29">
        <v>100</v>
      </c>
      <c r="M282" s="28">
        <v>56.34</v>
      </c>
      <c r="N282" s="29">
        <v>0</v>
      </c>
    </row>
    <row r="283" spans="2:14" x14ac:dyDescent="0.25">
      <c r="B283" s="42">
        <v>45012</v>
      </c>
      <c r="C283" s="42">
        <v>45013</v>
      </c>
      <c r="D283" s="42" t="s">
        <v>126</v>
      </c>
      <c r="E283" s="42" t="s">
        <v>127</v>
      </c>
      <c r="F283" s="43">
        <v>255.03481199999999</v>
      </c>
      <c r="G283" s="43">
        <v>101.64869899999999</v>
      </c>
      <c r="H283" s="44">
        <v>110.9</v>
      </c>
      <c r="I283" s="45">
        <v>3.8785029999999998</v>
      </c>
      <c r="J283" s="45">
        <v>91.074421999999998</v>
      </c>
      <c r="K283" s="45">
        <v>91.082999999999998</v>
      </c>
      <c r="L283" s="46">
        <v>47.6</v>
      </c>
      <c r="M283" s="45">
        <v>91.003</v>
      </c>
      <c r="N283" s="46">
        <v>7.1421999999999999E-2</v>
      </c>
    </row>
    <row r="284" spans="2:14" x14ac:dyDescent="0.25">
      <c r="B284" s="42">
        <v>45012</v>
      </c>
      <c r="C284" s="42">
        <v>45013</v>
      </c>
      <c r="D284" s="42" t="s">
        <v>128</v>
      </c>
      <c r="E284" s="42" t="s">
        <v>129</v>
      </c>
      <c r="F284" s="43">
        <v>0</v>
      </c>
      <c r="G284" s="43">
        <v>0</v>
      </c>
      <c r="H284" s="44">
        <v>0</v>
      </c>
      <c r="I284" s="45">
        <v>0</v>
      </c>
      <c r="J284" s="45">
        <v>0</v>
      </c>
      <c r="K284" s="45">
        <v>0</v>
      </c>
      <c r="L284" s="46">
        <v>0</v>
      </c>
      <c r="M284" s="45">
        <v>0</v>
      </c>
      <c r="N284" s="46">
        <v>0</v>
      </c>
    </row>
    <row r="285" spans="2:14" x14ac:dyDescent="0.25">
      <c r="B285" s="42">
        <v>45012</v>
      </c>
      <c r="C285" s="42">
        <v>45013</v>
      </c>
      <c r="D285" s="42" t="s">
        <v>130</v>
      </c>
      <c r="E285" s="42" t="s">
        <v>131</v>
      </c>
      <c r="F285" s="43">
        <v>0</v>
      </c>
      <c r="G285" s="43">
        <v>0</v>
      </c>
      <c r="H285" s="44">
        <v>0</v>
      </c>
      <c r="I285" s="45">
        <v>0</v>
      </c>
      <c r="J285" s="45">
        <v>0</v>
      </c>
      <c r="K285" s="45">
        <v>0</v>
      </c>
      <c r="L285" s="46">
        <v>0</v>
      </c>
      <c r="M285" s="45">
        <v>0</v>
      </c>
      <c r="N285" s="46">
        <v>0</v>
      </c>
    </row>
    <row r="286" spans="2:14" x14ac:dyDescent="0.25">
      <c r="B286" s="42">
        <v>45012</v>
      </c>
      <c r="C286" s="42">
        <v>45013</v>
      </c>
      <c r="D286" s="42" t="s">
        <v>132</v>
      </c>
      <c r="E286" s="42" t="s">
        <v>133</v>
      </c>
      <c r="F286" s="43">
        <v>90.538914000000005</v>
      </c>
      <c r="G286" s="43">
        <v>0</v>
      </c>
      <c r="H286" s="44">
        <v>0</v>
      </c>
      <c r="I286" s="45">
        <v>0</v>
      </c>
      <c r="J286" s="45">
        <v>0</v>
      </c>
      <c r="K286" s="45">
        <v>0</v>
      </c>
      <c r="L286" s="46">
        <v>0</v>
      </c>
      <c r="M286" s="45">
        <v>0</v>
      </c>
      <c r="N286" s="46">
        <v>0</v>
      </c>
    </row>
    <row r="287" spans="2:14" x14ac:dyDescent="0.25">
      <c r="B287" s="42">
        <v>45012</v>
      </c>
      <c r="C287" s="42">
        <v>45013</v>
      </c>
      <c r="D287" s="42" t="s">
        <v>134</v>
      </c>
      <c r="E287" s="42" t="s">
        <v>135</v>
      </c>
      <c r="F287" s="43">
        <v>0</v>
      </c>
      <c r="G287" s="43">
        <v>0</v>
      </c>
      <c r="H287" s="44">
        <v>0</v>
      </c>
      <c r="I287" s="45">
        <v>0</v>
      </c>
      <c r="J287" s="45">
        <v>0</v>
      </c>
      <c r="K287" s="45">
        <v>0</v>
      </c>
      <c r="L287" s="46">
        <v>0</v>
      </c>
      <c r="M287" s="45">
        <v>0</v>
      </c>
      <c r="N287" s="46">
        <v>0</v>
      </c>
    </row>
    <row r="288" spans="2:14" x14ac:dyDescent="0.25">
      <c r="B288" s="42">
        <v>45012</v>
      </c>
      <c r="C288" s="42">
        <v>45013</v>
      </c>
      <c r="D288" s="42" t="s">
        <v>136</v>
      </c>
      <c r="E288" s="42" t="s">
        <v>137</v>
      </c>
      <c r="F288" s="43">
        <v>0</v>
      </c>
      <c r="G288" s="43">
        <v>0</v>
      </c>
      <c r="H288" s="44">
        <v>0</v>
      </c>
      <c r="I288" s="45">
        <v>0</v>
      </c>
      <c r="J288" s="45">
        <v>0</v>
      </c>
      <c r="K288" s="45">
        <v>0</v>
      </c>
      <c r="L288" s="46">
        <v>0</v>
      </c>
      <c r="M288" s="45">
        <v>0</v>
      </c>
      <c r="N288" s="46">
        <v>0</v>
      </c>
    </row>
    <row r="289" spans="2:14" x14ac:dyDescent="0.25">
      <c r="B289" s="42">
        <v>45012</v>
      </c>
      <c r="C289" s="42">
        <v>45013</v>
      </c>
      <c r="D289" s="42" t="s">
        <v>138</v>
      </c>
      <c r="E289" s="42" t="s">
        <v>139</v>
      </c>
      <c r="F289" s="43">
        <v>10.699901000000001</v>
      </c>
      <c r="G289" s="43">
        <v>0</v>
      </c>
      <c r="H289" s="44">
        <v>0</v>
      </c>
      <c r="I289" s="45">
        <v>0</v>
      </c>
      <c r="J289" s="45">
        <v>0</v>
      </c>
      <c r="K289" s="45">
        <v>0</v>
      </c>
      <c r="L289" s="46">
        <v>0</v>
      </c>
      <c r="M289" s="45">
        <v>0</v>
      </c>
      <c r="N289" s="46">
        <v>0</v>
      </c>
    </row>
    <row r="290" spans="2:14" x14ac:dyDescent="0.25">
      <c r="B290" s="42">
        <v>45012</v>
      </c>
      <c r="C290" s="42">
        <v>45013</v>
      </c>
      <c r="D290" s="42" t="s">
        <v>140</v>
      </c>
      <c r="E290" s="42" t="s">
        <v>141</v>
      </c>
      <c r="F290" s="43">
        <v>465.625902</v>
      </c>
      <c r="G290" s="43">
        <v>456.53698700000001</v>
      </c>
      <c r="H290" s="44">
        <v>994</v>
      </c>
      <c r="I290" s="45">
        <v>3.835804</v>
      </c>
      <c r="J290" s="45">
        <v>45.659703</v>
      </c>
      <c r="K290" s="45">
        <v>45.683</v>
      </c>
      <c r="L290" s="46">
        <v>100</v>
      </c>
      <c r="M290" s="45">
        <v>45.652999999999999</v>
      </c>
      <c r="N290" s="46">
        <v>6.7029999999999998E-3</v>
      </c>
    </row>
    <row r="291" spans="2:14" x14ac:dyDescent="0.25">
      <c r="B291" s="42">
        <v>45012</v>
      </c>
      <c r="C291" s="42">
        <v>45013</v>
      </c>
      <c r="D291" s="42" t="s">
        <v>142</v>
      </c>
      <c r="E291" s="42" t="s">
        <v>143</v>
      </c>
      <c r="F291" s="43">
        <v>105.502403</v>
      </c>
      <c r="G291" s="43">
        <v>22.245348</v>
      </c>
      <c r="H291" s="44">
        <v>40</v>
      </c>
      <c r="I291" s="45">
        <v>3.8465530000000001</v>
      </c>
      <c r="J291" s="45">
        <v>55.42</v>
      </c>
      <c r="K291" s="45">
        <v>55.42</v>
      </c>
      <c r="L291" s="46">
        <v>100</v>
      </c>
      <c r="M291" s="45">
        <v>55.42</v>
      </c>
      <c r="N291" s="46">
        <v>0</v>
      </c>
    </row>
    <row r="292" spans="2:14" x14ac:dyDescent="0.25">
      <c r="B292" s="42">
        <v>45012</v>
      </c>
      <c r="C292" s="42">
        <v>45013</v>
      </c>
      <c r="D292" s="42" t="s">
        <v>144</v>
      </c>
      <c r="E292" s="42" t="s">
        <v>145</v>
      </c>
      <c r="F292" s="43">
        <v>0</v>
      </c>
      <c r="G292" s="43">
        <v>0</v>
      </c>
      <c r="H292" s="44">
        <v>0</v>
      </c>
      <c r="I292" s="45">
        <v>0</v>
      </c>
      <c r="J292" s="45">
        <v>0</v>
      </c>
      <c r="K292" s="45">
        <v>0</v>
      </c>
      <c r="L292" s="46">
        <v>0</v>
      </c>
      <c r="M292" s="45">
        <v>0</v>
      </c>
      <c r="N292" s="46">
        <v>0</v>
      </c>
    </row>
    <row r="293" spans="2:14" x14ac:dyDescent="0.25">
      <c r="B293" s="42">
        <v>45012</v>
      </c>
      <c r="C293" s="42">
        <v>45013</v>
      </c>
      <c r="D293" s="42" t="s">
        <v>146</v>
      </c>
      <c r="E293" s="42" t="s">
        <v>147</v>
      </c>
      <c r="F293" s="43">
        <v>0</v>
      </c>
      <c r="G293" s="43">
        <v>0</v>
      </c>
      <c r="H293" s="44">
        <v>0</v>
      </c>
      <c r="I293" s="45">
        <v>0</v>
      </c>
      <c r="J293" s="45">
        <v>0</v>
      </c>
      <c r="K293" s="45">
        <v>0</v>
      </c>
      <c r="L293" s="46">
        <v>0</v>
      </c>
      <c r="M293" s="45">
        <v>0</v>
      </c>
      <c r="N293" s="46">
        <v>0</v>
      </c>
    </row>
    <row r="294" spans="2:14" x14ac:dyDescent="0.25">
      <c r="B294" s="42">
        <v>45012</v>
      </c>
      <c r="C294" s="42">
        <v>45013</v>
      </c>
      <c r="D294" s="42" t="s">
        <v>148</v>
      </c>
      <c r="E294" s="42" t="s">
        <v>149</v>
      </c>
      <c r="F294" s="43">
        <v>0</v>
      </c>
      <c r="G294" s="43">
        <v>0</v>
      </c>
      <c r="H294" s="44">
        <v>0</v>
      </c>
      <c r="I294" s="45">
        <v>0</v>
      </c>
      <c r="J294" s="45">
        <v>0</v>
      </c>
      <c r="K294" s="45">
        <v>0</v>
      </c>
      <c r="L294" s="46">
        <v>0</v>
      </c>
      <c r="M294" s="45">
        <v>0</v>
      </c>
      <c r="N294" s="46">
        <v>0</v>
      </c>
    </row>
    <row r="295" spans="2:14" x14ac:dyDescent="0.25">
      <c r="B295" s="42">
        <v>45012</v>
      </c>
      <c r="C295" s="42">
        <v>45013</v>
      </c>
      <c r="D295" s="42" t="s">
        <v>150</v>
      </c>
      <c r="E295" s="42" t="s">
        <v>151</v>
      </c>
      <c r="F295" s="43">
        <v>6.5211600000000001</v>
      </c>
      <c r="G295" s="43">
        <v>0</v>
      </c>
      <c r="H295" s="44">
        <v>0</v>
      </c>
      <c r="I295" s="45">
        <v>0</v>
      </c>
      <c r="J295" s="45">
        <v>0</v>
      </c>
      <c r="K295" s="45">
        <v>0</v>
      </c>
      <c r="L295" s="46">
        <v>0</v>
      </c>
      <c r="M295" s="45">
        <v>0</v>
      </c>
      <c r="N295" s="46">
        <v>0</v>
      </c>
    </row>
    <row r="296" spans="2:14" x14ac:dyDescent="0.25">
      <c r="B296" s="42">
        <v>45012</v>
      </c>
      <c r="C296" s="42">
        <v>45013</v>
      </c>
      <c r="D296" s="42" t="s">
        <v>152</v>
      </c>
      <c r="E296" s="42" t="s">
        <v>153</v>
      </c>
      <c r="F296" s="43">
        <v>131.729737</v>
      </c>
      <c r="G296" s="43">
        <v>0</v>
      </c>
      <c r="H296" s="44">
        <v>0</v>
      </c>
      <c r="I296" s="45">
        <v>0</v>
      </c>
      <c r="J296" s="45">
        <v>0</v>
      </c>
      <c r="K296" s="45">
        <v>0</v>
      </c>
      <c r="L296" s="46">
        <v>0</v>
      </c>
      <c r="M296" s="45">
        <v>0</v>
      </c>
      <c r="N296" s="46">
        <v>0</v>
      </c>
    </row>
    <row r="297" spans="2:14" x14ac:dyDescent="0.25">
      <c r="B297" s="42">
        <v>45012</v>
      </c>
      <c r="C297" s="42">
        <v>45013</v>
      </c>
      <c r="D297" s="42" t="s">
        <v>154</v>
      </c>
      <c r="E297" s="42" t="s">
        <v>155</v>
      </c>
      <c r="F297" s="43">
        <v>108.045998</v>
      </c>
      <c r="G297" s="43">
        <v>55.691682999999998</v>
      </c>
      <c r="H297" s="44">
        <v>53</v>
      </c>
      <c r="I297" s="45">
        <v>3.7794829999999999</v>
      </c>
      <c r="J297" s="45">
        <v>104.360421</v>
      </c>
      <c r="K297" s="45">
        <v>104.384</v>
      </c>
      <c r="L297" s="46">
        <v>100</v>
      </c>
      <c r="M297" s="45">
        <v>104.334</v>
      </c>
      <c r="N297" s="46">
        <v>2.6421E-2</v>
      </c>
    </row>
    <row r="298" spans="2:14" x14ac:dyDescent="0.25">
      <c r="B298" s="42">
        <v>45012</v>
      </c>
      <c r="C298" s="42">
        <v>45013</v>
      </c>
      <c r="D298" s="42" t="s">
        <v>156</v>
      </c>
      <c r="E298" s="42" t="s">
        <v>157</v>
      </c>
      <c r="F298" s="43">
        <v>0</v>
      </c>
      <c r="G298" s="43">
        <v>0</v>
      </c>
      <c r="H298" s="44">
        <v>0</v>
      </c>
      <c r="I298" s="45">
        <v>0</v>
      </c>
      <c r="J298" s="45">
        <v>0</v>
      </c>
      <c r="K298" s="45">
        <v>0</v>
      </c>
      <c r="L298" s="46">
        <v>0</v>
      </c>
      <c r="M298" s="45">
        <v>0</v>
      </c>
      <c r="N298" s="46">
        <v>0</v>
      </c>
    </row>
    <row r="299" spans="2:14" x14ac:dyDescent="0.25">
      <c r="B299" s="42">
        <v>45012</v>
      </c>
      <c r="C299" s="42">
        <v>45013</v>
      </c>
      <c r="D299" s="42" t="s">
        <v>158</v>
      </c>
      <c r="E299" s="42" t="s">
        <v>159</v>
      </c>
      <c r="F299" s="43">
        <v>7.4208889999999998</v>
      </c>
      <c r="G299" s="43">
        <v>0</v>
      </c>
      <c r="H299" s="44">
        <v>0</v>
      </c>
      <c r="I299" s="45">
        <v>0</v>
      </c>
      <c r="J299" s="45">
        <v>0</v>
      </c>
      <c r="K299" s="45">
        <v>0</v>
      </c>
      <c r="L299" s="46">
        <v>0</v>
      </c>
      <c r="M299" s="45">
        <v>0</v>
      </c>
      <c r="N299" s="46">
        <v>0</v>
      </c>
    </row>
    <row r="300" spans="2:14" x14ac:dyDescent="0.25">
      <c r="B300" s="42">
        <v>45012</v>
      </c>
      <c r="C300" s="42">
        <v>45013</v>
      </c>
      <c r="D300" s="42" t="s">
        <v>160</v>
      </c>
      <c r="E300" s="42" t="s">
        <v>161</v>
      </c>
      <c r="F300" s="43">
        <v>0</v>
      </c>
      <c r="G300" s="43">
        <v>0</v>
      </c>
      <c r="H300" s="44">
        <v>0</v>
      </c>
      <c r="I300" s="45">
        <v>0</v>
      </c>
      <c r="J300" s="45">
        <v>0</v>
      </c>
      <c r="K300" s="45">
        <v>0</v>
      </c>
      <c r="L300" s="46">
        <v>0</v>
      </c>
      <c r="M300" s="45">
        <v>0</v>
      </c>
      <c r="N300" s="46">
        <v>0</v>
      </c>
    </row>
    <row r="301" spans="2:14" x14ac:dyDescent="0.25">
      <c r="B301" s="24">
        <v>45012</v>
      </c>
      <c r="C301" s="24">
        <v>45013</v>
      </c>
      <c r="D301" s="25" t="s">
        <v>162</v>
      </c>
      <c r="E301" s="25" t="s">
        <v>163</v>
      </c>
      <c r="F301" s="26">
        <v>41.024360000000001</v>
      </c>
      <c r="G301" s="27">
        <v>13.873223214285</v>
      </c>
      <c r="H301" s="26">
        <v>25</v>
      </c>
      <c r="I301" s="28">
        <v>3.602922</v>
      </c>
      <c r="J301" s="28">
        <v>54.792003000000001</v>
      </c>
      <c r="K301" s="28">
        <v>54.81</v>
      </c>
      <c r="L301" s="29">
        <v>100</v>
      </c>
      <c r="M301" s="28">
        <v>54.78</v>
      </c>
      <c r="N301" s="29">
        <v>1.2003E-2</v>
      </c>
    </row>
    <row r="302" spans="2:14" x14ac:dyDescent="0.25">
      <c r="B302" s="24">
        <v>45019</v>
      </c>
      <c r="C302" s="24">
        <v>45020</v>
      </c>
      <c r="D302" s="24" t="s">
        <v>78</v>
      </c>
      <c r="E302" s="24" t="s">
        <v>79</v>
      </c>
      <c r="F302" s="27">
        <v>302.00588900000002</v>
      </c>
      <c r="G302" s="27">
        <v>75.301674000000006</v>
      </c>
      <c r="H302" s="26">
        <v>80</v>
      </c>
      <c r="I302" s="28">
        <v>3.495136</v>
      </c>
      <c r="J302" s="28">
        <v>93.828751999999994</v>
      </c>
      <c r="K302" s="28">
        <v>93.84</v>
      </c>
      <c r="L302" s="29">
        <v>100</v>
      </c>
      <c r="M302" s="28">
        <v>93.81</v>
      </c>
      <c r="N302" s="29">
        <v>1.8752000000000001E-2</v>
      </c>
    </row>
    <row r="303" spans="2:14" x14ac:dyDescent="0.25">
      <c r="B303" s="24">
        <v>45019</v>
      </c>
      <c r="C303" s="24">
        <v>45020</v>
      </c>
      <c r="D303" s="24" t="s">
        <v>80</v>
      </c>
      <c r="E303" s="24" t="s">
        <v>81</v>
      </c>
      <c r="F303" s="27">
        <v>174.34161399999999</v>
      </c>
      <c r="G303" s="27">
        <v>88.789863999999994</v>
      </c>
      <c r="H303" s="26">
        <v>99.3</v>
      </c>
      <c r="I303" s="28">
        <v>3.6313040000000001</v>
      </c>
      <c r="J303" s="28">
        <v>89.246819000000002</v>
      </c>
      <c r="K303" s="28">
        <v>89.251999999999995</v>
      </c>
      <c r="L303" s="29">
        <v>52.76923</v>
      </c>
      <c r="M303" s="28">
        <v>89.236999999999995</v>
      </c>
      <c r="N303" s="29">
        <v>9.8189999999999996E-3</v>
      </c>
    </row>
    <row r="304" spans="2:14" x14ac:dyDescent="0.25">
      <c r="B304" s="24">
        <v>45019</v>
      </c>
      <c r="C304" s="24">
        <v>45020</v>
      </c>
      <c r="D304" s="24" t="s">
        <v>82</v>
      </c>
      <c r="E304" s="24" t="s">
        <v>83</v>
      </c>
      <c r="F304" s="27">
        <v>621.28962100000001</v>
      </c>
      <c r="G304" s="27">
        <v>137.35167799999999</v>
      </c>
      <c r="H304" s="26">
        <v>150</v>
      </c>
      <c r="I304" s="28">
        <v>3.4381309999999998</v>
      </c>
      <c r="J304" s="28">
        <v>91.319169000000002</v>
      </c>
      <c r="K304" s="28">
        <v>91.334000000000003</v>
      </c>
      <c r="L304" s="29">
        <v>100</v>
      </c>
      <c r="M304" s="28">
        <v>91.3</v>
      </c>
      <c r="N304" s="29">
        <v>1.9168999999999999E-2</v>
      </c>
    </row>
    <row r="305" spans="2:14" x14ac:dyDescent="0.25">
      <c r="B305" s="24">
        <v>45019</v>
      </c>
      <c r="C305" s="24">
        <v>45020</v>
      </c>
      <c r="D305" s="24" t="s">
        <v>84</v>
      </c>
      <c r="E305" s="24" t="s">
        <v>85</v>
      </c>
      <c r="F305" s="27">
        <v>0</v>
      </c>
      <c r="G305" s="27">
        <v>0</v>
      </c>
      <c r="H305" s="26">
        <v>0</v>
      </c>
      <c r="I305" s="28">
        <v>0</v>
      </c>
      <c r="J305" s="28">
        <v>0</v>
      </c>
      <c r="K305" s="28">
        <v>0</v>
      </c>
      <c r="L305" s="29">
        <v>0</v>
      </c>
      <c r="M305" s="28">
        <v>0</v>
      </c>
      <c r="N305" s="29">
        <v>0</v>
      </c>
    </row>
    <row r="306" spans="2:14" x14ac:dyDescent="0.25">
      <c r="B306" s="24">
        <v>45019</v>
      </c>
      <c r="C306" s="24">
        <v>45020</v>
      </c>
      <c r="D306" s="24" t="s">
        <v>86</v>
      </c>
      <c r="E306" s="24" t="s">
        <v>87</v>
      </c>
      <c r="F306" s="27">
        <v>505.36030399999999</v>
      </c>
      <c r="G306" s="27">
        <v>316.91301800000002</v>
      </c>
      <c r="H306" s="26">
        <v>371</v>
      </c>
      <c r="I306" s="28">
        <v>3.4338009999999999</v>
      </c>
      <c r="J306" s="28">
        <v>85.399548999999993</v>
      </c>
      <c r="K306" s="28">
        <v>85.423000000000002</v>
      </c>
      <c r="L306" s="29">
        <v>100</v>
      </c>
      <c r="M306" s="28">
        <v>85.361000000000004</v>
      </c>
      <c r="N306" s="29">
        <v>3.8549E-2</v>
      </c>
    </row>
    <row r="307" spans="2:14" x14ac:dyDescent="0.25">
      <c r="B307" s="24">
        <v>45019</v>
      </c>
      <c r="C307" s="24">
        <v>45020</v>
      </c>
      <c r="D307" s="24" t="s">
        <v>88</v>
      </c>
      <c r="E307" s="24" t="s">
        <v>89</v>
      </c>
      <c r="F307" s="27">
        <v>289.33994899999999</v>
      </c>
      <c r="G307" s="27">
        <v>151.63333600000001</v>
      </c>
      <c r="H307" s="26">
        <v>165</v>
      </c>
      <c r="I307" s="28">
        <v>3.3841220000000001</v>
      </c>
      <c r="J307" s="28">
        <v>91.166849999999997</v>
      </c>
      <c r="K307" s="28">
        <v>91.18</v>
      </c>
      <c r="L307" s="29">
        <v>100</v>
      </c>
      <c r="M307" s="28">
        <v>91.15</v>
      </c>
      <c r="N307" s="29">
        <v>1.685E-2</v>
      </c>
    </row>
    <row r="308" spans="2:14" x14ac:dyDescent="0.25">
      <c r="B308" s="24">
        <v>45019</v>
      </c>
      <c r="C308" s="24">
        <v>45020</v>
      </c>
      <c r="D308" s="24" t="s">
        <v>90</v>
      </c>
      <c r="E308" s="24" t="s">
        <v>91</v>
      </c>
      <c r="F308" s="27">
        <v>34.471815999999997</v>
      </c>
      <c r="G308" s="27">
        <v>0</v>
      </c>
      <c r="H308" s="26">
        <v>0</v>
      </c>
      <c r="I308" s="28">
        <v>0</v>
      </c>
      <c r="J308" s="28">
        <v>0</v>
      </c>
      <c r="K308" s="28">
        <v>0</v>
      </c>
      <c r="L308" s="29">
        <v>0</v>
      </c>
      <c r="M308" s="28">
        <v>0</v>
      </c>
      <c r="N308" s="29">
        <v>0</v>
      </c>
    </row>
    <row r="309" spans="2:14" x14ac:dyDescent="0.25">
      <c r="B309" s="24">
        <v>45019</v>
      </c>
      <c r="C309" s="24">
        <v>45020</v>
      </c>
      <c r="D309" s="24" t="s">
        <v>92</v>
      </c>
      <c r="E309" s="24" t="s">
        <v>93</v>
      </c>
      <c r="F309" s="27">
        <v>34.216442000000001</v>
      </c>
      <c r="G309" s="27">
        <v>0</v>
      </c>
      <c r="H309" s="26">
        <v>0</v>
      </c>
      <c r="I309" s="28">
        <v>0</v>
      </c>
      <c r="J309" s="28">
        <v>0</v>
      </c>
      <c r="K309" s="28">
        <v>0</v>
      </c>
      <c r="L309" s="29">
        <v>0</v>
      </c>
      <c r="M309" s="28">
        <v>0</v>
      </c>
      <c r="N309" s="29">
        <v>0</v>
      </c>
    </row>
    <row r="310" spans="2:14" x14ac:dyDescent="0.25">
      <c r="B310" s="24">
        <v>45033</v>
      </c>
      <c r="C310" s="24">
        <v>45034</v>
      </c>
      <c r="D310" s="24" t="s">
        <v>94</v>
      </c>
      <c r="E310" s="24" t="s">
        <v>95</v>
      </c>
      <c r="F310" s="27">
        <v>513.68605500000001</v>
      </c>
      <c r="G310" s="27">
        <v>237.59663699999999</v>
      </c>
      <c r="H310" s="26">
        <v>300</v>
      </c>
      <c r="I310" s="28">
        <v>3.5542859999999998</v>
      </c>
      <c r="J310" s="28">
        <v>79.203000000000003</v>
      </c>
      <c r="K310" s="28">
        <v>79.203000000000003</v>
      </c>
      <c r="L310" s="29">
        <v>100</v>
      </c>
      <c r="M310" s="28">
        <v>79.203000000000003</v>
      </c>
      <c r="N310" s="29">
        <v>0</v>
      </c>
    </row>
    <row r="311" spans="2:14" x14ac:dyDescent="0.25">
      <c r="B311" s="24">
        <v>45033</v>
      </c>
      <c r="C311" s="24">
        <v>45034</v>
      </c>
      <c r="D311" s="24" t="s">
        <v>96</v>
      </c>
      <c r="E311" s="24" t="s">
        <v>97</v>
      </c>
      <c r="F311" s="27">
        <v>164.62549100000001</v>
      </c>
      <c r="G311" s="27">
        <v>38.432285</v>
      </c>
      <c r="H311" s="26">
        <v>35</v>
      </c>
      <c r="I311" s="28">
        <v>3.5324369999999998</v>
      </c>
      <c r="J311" s="28">
        <v>108.084</v>
      </c>
      <c r="K311" s="28">
        <v>108.084</v>
      </c>
      <c r="L311" s="29">
        <v>100</v>
      </c>
      <c r="M311" s="28">
        <v>108.084</v>
      </c>
      <c r="N311" s="29">
        <v>0</v>
      </c>
    </row>
    <row r="312" spans="2:14" x14ac:dyDescent="0.25">
      <c r="B312" s="24">
        <v>45033</v>
      </c>
      <c r="C312" s="24">
        <v>45034</v>
      </c>
      <c r="D312" s="24" t="s">
        <v>98</v>
      </c>
      <c r="E312" s="24" t="s">
        <v>99</v>
      </c>
      <c r="F312" s="27">
        <v>110.551306</v>
      </c>
      <c r="G312" s="27">
        <v>30.503271000000002</v>
      </c>
      <c r="H312" s="26">
        <v>40</v>
      </c>
      <c r="I312" s="28">
        <v>3.5957970000000001</v>
      </c>
      <c r="J312" s="28">
        <v>76.204999999999998</v>
      </c>
      <c r="K312" s="28">
        <v>76.204999999999998</v>
      </c>
      <c r="L312" s="29">
        <v>100</v>
      </c>
      <c r="M312" s="28">
        <v>76.204999999999998</v>
      </c>
      <c r="N312" s="29">
        <v>0</v>
      </c>
    </row>
    <row r="313" spans="2:14" x14ac:dyDescent="0.25">
      <c r="B313" s="24">
        <v>45033</v>
      </c>
      <c r="C313" s="24">
        <v>45034</v>
      </c>
      <c r="D313" s="24" t="s">
        <v>100</v>
      </c>
      <c r="E313" s="24" t="s">
        <v>101</v>
      </c>
      <c r="F313" s="27">
        <v>1000.810726</v>
      </c>
      <c r="G313" s="27">
        <v>306.89636899999999</v>
      </c>
      <c r="H313" s="26">
        <v>287</v>
      </c>
      <c r="I313" s="28">
        <v>3.5533459999999999</v>
      </c>
      <c r="J313" s="28">
        <v>105.391324</v>
      </c>
      <c r="K313" s="28">
        <v>105.393</v>
      </c>
      <c r="L313" s="29">
        <v>100</v>
      </c>
      <c r="M313" s="28">
        <v>105.38</v>
      </c>
      <c r="N313" s="29">
        <v>1.1324000000000001E-2</v>
      </c>
    </row>
    <row r="314" spans="2:14" x14ac:dyDescent="0.25">
      <c r="B314" s="24">
        <v>45033</v>
      </c>
      <c r="C314" s="24">
        <v>45034</v>
      </c>
      <c r="D314" s="24" t="s">
        <v>122</v>
      </c>
      <c r="E314" s="24" t="s">
        <v>123</v>
      </c>
      <c r="F314" s="27">
        <v>0</v>
      </c>
      <c r="G314" s="27">
        <v>0</v>
      </c>
      <c r="H314" s="26">
        <v>0</v>
      </c>
      <c r="I314" s="28">
        <v>0</v>
      </c>
      <c r="J314" s="28">
        <v>0</v>
      </c>
      <c r="K314" s="28">
        <v>0</v>
      </c>
      <c r="L314" s="29">
        <v>0</v>
      </c>
      <c r="M314" s="28">
        <v>0</v>
      </c>
      <c r="N314" s="29">
        <v>0</v>
      </c>
    </row>
    <row r="315" spans="2:14" x14ac:dyDescent="0.25">
      <c r="B315" s="24">
        <v>45033</v>
      </c>
      <c r="C315" s="24">
        <v>45034</v>
      </c>
      <c r="D315" s="24" t="s">
        <v>102</v>
      </c>
      <c r="E315" s="24" t="s">
        <v>103</v>
      </c>
      <c r="F315" s="27">
        <v>139.592163</v>
      </c>
      <c r="G315" s="27">
        <v>0</v>
      </c>
      <c r="H315" s="26">
        <v>0</v>
      </c>
      <c r="I315" s="28">
        <v>0</v>
      </c>
      <c r="J315" s="28">
        <v>0</v>
      </c>
      <c r="K315" s="28">
        <v>0</v>
      </c>
      <c r="L315" s="29">
        <v>0</v>
      </c>
      <c r="M315" s="28">
        <v>0</v>
      </c>
      <c r="N315" s="29">
        <v>0</v>
      </c>
    </row>
    <row r="316" spans="2:14" x14ac:dyDescent="0.25">
      <c r="B316" s="24">
        <v>45033</v>
      </c>
      <c r="C316" s="24">
        <v>45034</v>
      </c>
      <c r="D316" s="24" t="s">
        <v>104</v>
      </c>
      <c r="E316" s="24" t="s">
        <v>105</v>
      </c>
      <c r="F316" s="27">
        <v>89.797324000000003</v>
      </c>
      <c r="G316" s="27">
        <v>48.393059000000001</v>
      </c>
      <c r="H316" s="26">
        <v>70</v>
      </c>
      <c r="I316" s="28">
        <v>3.8073549999999998</v>
      </c>
      <c r="J316" s="28">
        <v>69</v>
      </c>
      <c r="K316" s="28">
        <v>69</v>
      </c>
      <c r="L316" s="29">
        <v>100</v>
      </c>
      <c r="M316" s="28">
        <v>69</v>
      </c>
      <c r="N316" s="29">
        <v>0</v>
      </c>
    </row>
    <row r="317" spans="2:14" x14ac:dyDescent="0.25">
      <c r="B317" s="24">
        <v>45033</v>
      </c>
      <c r="C317" s="24">
        <v>45034</v>
      </c>
      <c r="D317" s="24" t="s">
        <v>106</v>
      </c>
      <c r="E317" s="24" t="s">
        <v>107</v>
      </c>
      <c r="F317" s="27">
        <v>178.38534200000001</v>
      </c>
      <c r="G317" s="27">
        <v>0</v>
      </c>
      <c r="H317" s="26">
        <v>0</v>
      </c>
      <c r="I317" s="28">
        <v>0</v>
      </c>
      <c r="J317" s="28">
        <v>0</v>
      </c>
      <c r="K317" s="28">
        <v>0</v>
      </c>
      <c r="L317" s="29">
        <v>0</v>
      </c>
      <c r="M317" s="28">
        <v>0</v>
      </c>
      <c r="N317" s="29">
        <v>0</v>
      </c>
    </row>
    <row r="318" spans="2:14" x14ac:dyDescent="0.25">
      <c r="B318" s="24">
        <v>45033</v>
      </c>
      <c r="C318" s="24">
        <v>45034</v>
      </c>
      <c r="D318" s="24" t="s">
        <v>108</v>
      </c>
      <c r="E318" s="24" t="s">
        <v>109</v>
      </c>
      <c r="F318" s="27">
        <v>0</v>
      </c>
      <c r="G318" s="27">
        <v>0</v>
      </c>
      <c r="H318" s="26">
        <v>0</v>
      </c>
      <c r="I318" s="28">
        <v>0</v>
      </c>
      <c r="J318" s="28">
        <v>0</v>
      </c>
      <c r="K318" s="28">
        <v>0</v>
      </c>
      <c r="L318" s="29">
        <v>0</v>
      </c>
      <c r="M318" s="28">
        <v>0</v>
      </c>
      <c r="N318" s="29">
        <v>0</v>
      </c>
    </row>
    <row r="319" spans="2:14" x14ac:dyDescent="0.25">
      <c r="B319" s="24">
        <v>45033</v>
      </c>
      <c r="C319" s="24">
        <v>45034</v>
      </c>
      <c r="D319" s="24" t="s">
        <v>110</v>
      </c>
      <c r="E319" s="24" t="s">
        <v>111</v>
      </c>
      <c r="F319" s="27">
        <v>38.920434</v>
      </c>
      <c r="G319" s="27">
        <v>0</v>
      </c>
      <c r="H319" s="26">
        <v>0</v>
      </c>
      <c r="I319" s="28">
        <v>0</v>
      </c>
      <c r="J319" s="28">
        <v>0</v>
      </c>
      <c r="K319" s="28">
        <v>0</v>
      </c>
      <c r="L319" s="29">
        <v>0</v>
      </c>
      <c r="M319" s="28">
        <v>0</v>
      </c>
      <c r="N319" s="29">
        <v>0</v>
      </c>
    </row>
    <row r="320" spans="2:14" x14ac:dyDescent="0.25">
      <c r="B320" s="24">
        <v>45033</v>
      </c>
      <c r="C320" s="24">
        <v>45034</v>
      </c>
      <c r="D320" s="24" t="s">
        <v>114</v>
      </c>
      <c r="E320" s="24" t="s">
        <v>115</v>
      </c>
      <c r="F320" s="27">
        <v>15.525907999999999</v>
      </c>
      <c r="G320" s="27">
        <v>0</v>
      </c>
      <c r="H320" s="26">
        <v>0</v>
      </c>
      <c r="I320" s="28">
        <v>0</v>
      </c>
      <c r="J320" s="28">
        <v>0</v>
      </c>
      <c r="K320" s="28">
        <v>0</v>
      </c>
      <c r="L320" s="29">
        <v>0</v>
      </c>
      <c r="M320" s="28">
        <v>0</v>
      </c>
      <c r="N320" s="29">
        <v>0</v>
      </c>
    </row>
    <row r="321" spans="2:14" x14ac:dyDescent="0.25">
      <c r="B321" s="24">
        <v>45033</v>
      </c>
      <c r="C321" s="24">
        <v>45034</v>
      </c>
      <c r="D321" s="24" t="s">
        <v>116</v>
      </c>
      <c r="E321" s="24" t="s">
        <v>117</v>
      </c>
      <c r="F321" s="27">
        <v>0</v>
      </c>
      <c r="G321" s="27">
        <v>0</v>
      </c>
      <c r="H321" s="26">
        <v>0</v>
      </c>
      <c r="I321" s="28">
        <v>0</v>
      </c>
      <c r="J321" s="28">
        <v>0</v>
      </c>
      <c r="K321" s="28">
        <v>0</v>
      </c>
      <c r="L321" s="29">
        <v>0</v>
      </c>
      <c r="M321" s="28">
        <v>0</v>
      </c>
      <c r="N321" s="29">
        <v>0</v>
      </c>
    </row>
    <row r="322" spans="2:14" x14ac:dyDescent="0.25">
      <c r="B322" s="24">
        <v>45033</v>
      </c>
      <c r="C322" s="24">
        <v>45034</v>
      </c>
      <c r="D322" s="24" t="s">
        <v>118</v>
      </c>
      <c r="E322" s="24" t="s">
        <v>119</v>
      </c>
      <c r="F322" s="27">
        <v>247.19636499999999</v>
      </c>
      <c r="G322" s="27">
        <v>108.13266400000001</v>
      </c>
      <c r="H322" s="26">
        <v>168.4</v>
      </c>
      <c r="I322" s="28">
        <v>4.0051969999999999</v>
      </c>
      <c r="J322" s="28">
        <v>64.225532000000001</v>
      </c>
      <c r="K322" s="28">
        <v>64.23</v>
      </c>
      <c r="L322" s="29">
        <v>24.872727000000001</v>
      </c>
      <c r="M322" s="28">
        <v>64.218999999999994</v>
      </c>
      <c r="N322" s="29">
        <v>6.5319999999999996E-3</v>
      </c>
    </row>
    <row r="323" spans="2:14" x14ac:dyDescent="0.25">
      <c r="B323" s="24">
        <v>45033</v>
      </c>
      <c r="C323" s="24">
        <v>45034</v>
      </c>
      <c r="D323" s="24" t="s">
        <v>124</v>
      </c>
      <c r="E323" s="24" t="s">
        <v>125</v>
      </c>
      <c r="F323" s="27">
        <v>0</v>
      </c>
      <c r="G323" s="27">
        <v>0</v>
      </c>
      <c r="H323" s="26">
        <v>0</v>
      </c>
      <c r="I323" s="28">
        <v>0</v>
      </c>
      <c r="J323" s="28">
        <v>0</v>
      </c>
      <c r="K323" s="28">
        <v>0</v>
      </c>
      <c r="L323" s="29">
        <v>0</v>
      </c>
      <c r="M323" s="28">
        <v>0</v>
      </c>
      <c r="N323" s="29">
        <v>0</v>
      </c>
    </row>
    <row r="324" spans="2:14" x14ac:dyDescent="0.25">
      <c r="B324" s="24">
        <v>45040</v>
      </c>
      <c r="C324" s="24">
        <v>45041</v>
      </c>
      <c r="D324" s="25" t="s">
        <v>78</v>
      </c>
      <c r="E324" s="25" t="s">
        <v>79</v>
      </c>
      <c r="F324" s="26">
        <v>303.70241700000003</v>
      </c>
      <c r="G324" s="27">
        <v>0</v>
      </c>
      <c r="H324" s="26">
        <v>0</v>
      </c>
      <c r="I324" s="28">
        <v>0</v>
      </c>
      <c r="J324" s="28">
        <v>0</v>
      </c>
      <c r="K324" s="28">
        <v>0</v>
      </c>
      <c r="L324" s="29">
        <v>0</v>
      </c>
      <c r="M324" s="28">
        <v>0</v>
      </c>
      <c r="N324" s="29">
        <v>0</v>
      </c>
    </row>
    <row r="325" spans="2:14" x14ac:dyDescent="0.25">
      <c r="B325" s="24">
        <v>45040</v>
      </c>
      <c r="C325" s="24">
        <v>45041</v>
      </c>
      <c r="D325" s="25" t="s">
        <v>80</v>
      </c>
      <c r="E325" s="25" t="s">
        <v>81</v>
      </c>
      <c r="F325" s="26">
        <v>665.46360300000003</v>
      </c>
      <c r="G325" s="27">
        <v>375.20803990163301</v>
      </c>
      <c r="H325" s="26">
        <v>422.8</v>
      </c>
      <c r="I325" s="28">
        <v>3.852163</v>
      </c>
      <c r="J325" s="28">
        <v>88.740549999999999</v>
      </c>
      <c r="K325" s="28">
        <v>88.754999999999995</v>
      </c>
      <c r="L325" s="29">
        <v>7.7575750000000001</v>
      </c>
      <c r="M325" s="28">
        <v>88.722999999999999</v>
      </c>
      <c r="N325" s="29">
        <v>1.755E-2</v>
      </c>
    </row>
    <row r="326" spans="2:14" x14ac:dyDescent="0.25">
      <c r="B326" s="24">
        <v>45040</v>
      </c>
      <c r="C326" s="24">
        <v>45041</v>
      </c>
      <c r="D326" s="25" t="s">
        <v>82</v>
      </c>
      <c r="E326" s="25" t="s">
        <v>83</v>
      </c>
      <c r="F326" s="26">
        <v>646.36131399999999</v>
      </c>
      <c r="G326" s="27">
        <v>90.827132596690006</v>
      </c>
      <c r="H326" s="26">
        <v>100</v>
      </c>
      <c r="I326" s="28">
        <v>3.6872699999999998</v>
      </c>
      <c r="J326" s="28">
        <v>90.506</v>
      </c>
      <c r="K326" s="28">
        <v>90.506</v>
      </c>
      <c r="L326" s="29">
        <v>100</v>
      </c>
      <c r="M326" s="28">
        <v>90.506</v>
      </c>
      <c r="N326" s="29">
        <v>0</v>
      </c>
    </row>
    <row r="327" spans="2:14" x14ac:dyDescent="0.25">
      <c r="B327" s="24">
        <v>45040</v>
      </c>
      <c r="C327" s="24">
        <v>45041</v>
      </c>
      <c r="D327" s="25" t="s">
        <v>84</v>
      </c>
      <c r="E327" s="25" t="s">
        <v>85</v>
      </c>
      <c r="F327" s="26">
        <v>0</v>
      </c>
      <c r="G327" s="27">
        <v>0</v>
      </c>
      <c r="H327" s="26">
        <v>0</v>
      </c>
      <c r="I327" s="28">
        <v>0</v>
      </c>
      <c r="J327" s="28">
        <v>0</v>
      </c>
      <c r="K327" s="28">
        <v>0</v>
      </c>
      <c r="L327" s="29">
        <v>0</v>
      </c>
      <c r="M327" s="28">
        <v>0</v>
      </c>
      <c r="N327" s="29">
        <v>0</v>
      </c>
    </row>
    <row r="328" spans="2:14" x14ac:dyDescent="0.25">
      <c r="B328" s="24">
        <v>45040</v>
      </c>
      <c r="C328" s="24">
        <v>45041</v>
      </c>
      <c r="D328" s="25" t="s">
        <v>86</v>
      </c>
      <c r="E328" s="25" t="s">
        <v>87</v>
      </c>
      <c r="F328" s="26">
        <v>21.157501</v>
      </c>
      <c r="G328" s="27">
        <v>21.157501381214999</v>
      </c>
      <c r="H328" s="26">
        <v>25</v>
      </c>
      <c r="I328" s="28">
        <v>3.6754129999999998</v>
      </c>
      <c r="J328" s="28">
        <v>84.600999999999999</v>
      </c>
      <c r="K328" s="28">
        <v>84.600999999999999</v>
      </c>
      <c r="L328" s="29">
        <v>100</v>
      </c>
      <c r="M328" s="28">
        <v>84.600999999999999</v>
      </c>
      <c r="N328" s="29">
        <v>0</v>
      </c>
    </row>
    <row r="329" spans="2:14" x14ac:dyDescent="0.25">
      <c r="B329" s="24">
        <v>45040</v>
      </c>
      <c r="C329" s="24">
        <v>45041</v>
      </c>
      <c r="D329" s="25" t="s">
        <v>88</v>
      </c>
      <c r="E329" s="25" t="s">
        <v>89</v>
      </c>
      <c r="F329" s="26">
        <v>265.631843</v>
      </c>
      <c r="G329" s="27">
        <v>49.557375819671996</v>
      </c>
      <c r="H329" s="26">
        <v>55</v>
      </c>
      <c r="I329" s="28">
        <v>3.6314769999999998</v>
      </c>
      <c r="J329" s="28">
        <v>90.090999999999994</v>
      </c>
      <c r="K329" s="28">
        <v>90.090999999999994</v>
      </c>
      <c r="L329" s="29">
        <v>100</v>
      </c>
      <c r="M329" s="28">
        <v>90.090999999999994</v>
      </c>
      <c r="N329" s="29">
        <v>0</v>
      </c>
    </row>
    <row r="330" spans="2:14" x14ac:dyDescent="0.25">
      <c r="B330" s="24">
        <v>45040</v>
      </c>
      <c r="C330" s="24">
        <v>45041</v>
      </c>
      <c r="D330" s="25" t="s">
        <v>90</v>
      </c>
      <c r="E330" s="25" t="s">
        <v>91</v>
      </c>
      <c r="F330" s="26">
        <v>34.165162000000002</v>
      </c>
      <c r="G330" s="27">
        <v>11.395720879121001</v>
      </c>
      <c r="H330" s="26">
        <v>10</v>
      </c>
      <c r="I330" s="28">
        <v>3.6814070000000001</v>
      </c>
      <c r="J330" s="28">
        <v>111.666</v>
      </c>
      <c r="K330" s="28">
        <v>111.666</v>
      </c>
      <c r="L330" s="29">
        <v>100</v>
      </c>
      <c r="M330" s="28">
        <v>111.666</v>
      </c>
      <c r="N330" s="29">
        <v>0</v>
      </c>
    </row>
    <row r="331" spans="2:14" x14ac:dyDescent="0.25">
      <c r="B331" s="24">
        <v>45040</v>
      </c>
      <c r="C331" s="24">
        <v>45041</v>
      </c>
      <c r="D331" s="25" t="s">
        <v>120</v>
      </c>
      <c r="E331" s="25" t="s">
        <v>121</v>
      </c>
      <c r="F331" s="26">
        <v>166.78429399999999</v>
      </c>
      <c r="G331" s="27">
        <v>145.94303867403801</v>
      </c>
      <c r="H331" s="26">
        <v>175</v>
      </c>
      <c r="I331" s="28">
        <v>3.750489</v>
      </c>
      <c r="J331" s="28">
        <v>83.28</v>
      </c>
      <c r="K331" s="28">
        <v>83.28</v>
      </c>
      <c r="L331" s="29">
        <v>100</v>
      </c>
      <c r="M331" s="28">
        <v>83.28</v>
      </c>
      <c r="N331" s="29">
        <v>0</v>
      </c>
    </row>
    <row r="332" spans="2:14" x14ac:dyDescent="0.25">
      <c r="B332" s="24">
        <v>45040</v>
      </c>
      <c r="C332" s="24">
        <v>45041</v>
      </c>
      <c r="D332" s="25" t="s">
        <v>92</v>
      </c>
      <c r="E332" s="25" t="s">
        <v>93</v>
      </c>
      <c r="F332" s="26">
        <v>165.08040700000001</v>
      </c>
      <c r="G332" s="27">
        <v>75.871954918035001</v>
      </c>
      <c r="H332" s="26">
        <v>90</v>
      </c>
      <c r="I332" s="28">
        <v>3.6104400000000001</v>
      </c>
      <c r="J332" s="28">
        <v>84.295004000000006</v>
      </c>
      <c r="K332" s="28">
        <v>84.32</v>
      </c>
      <c r="L332" s="29">
        <v>100</v>
      </c>
      <c r="M332" s="28">
        <v>84.27</v>
      </c>
      <c r="N332" s="29">
        <v>2.5003999999999998E-2</v>
      </c>
    </row>
    <row r="333" spans="2:14" x14ac:dyDescent="0.25">
      <c r="B333" s="47">
        <v>45050</v>
      </c>
      <c r="C333" s="47">
        <v>45051</v>
      </c>
      <c r="D333" s="48" t="s">
        <v>126</v>
      </c>
      <c r="E333" s="48" t="s">
        <v>127</v>
      </c>
      <c r="F333" s="49">
        <v>517.86703299999999</v>
      </c>
      <c r="G333" s="50">
        <v>331.59999046962798</v>
      </c>
      <c r="H333" s="49">
        <v>374.5</v>
      </c>
      <c r="I333" s="51">
        <v>4.1460710000000001</v>
      </c>
      <c r="J333" s="51">
        <v>87.62</v>
      </c>
      <c r="K333" s="51">
        <v>87.62</v>
      </c>
      <c r="L333" s="52">
        <v>74.900000000000006</v>
      </c>
      <c r="M333" s="51">
        <v>87.62</v>
      </c>
      <c r="N333" s="52">
        <v>0</v>
      </c>
    </row>
    <row r="334" spans="2:14" x14ac:dyDescent="0.25">
      <c r="B334" s="47">
        <v>45050</v>
      </c>
      <c r="C334" s="47">
        <v>45051</v>
      </c>
      <c r="D334" s="48" t="s">
        <v>128</v>
      </c>
      <c r="E334" s="48" t="s">
        <v>129</v>
      </c>
      <c r="F334" s="49">
        <v>0</v>
      </c>
      <c r="G334" s="50">
        <v>0</v>
      </c>
      <c r="H334" s="49">
        <v>0</v>
      </c>
      <c r="I334" s="51">
        <v>0</v>
      </c>
      <c r="J334" s="51">
        <v>0</v>
      </c>
      <c r="K334" s="51">
        <v>0</v>
      </c>
      <c r="L334" s="52">
        <v>0</v>
      </c>
      <c r="M334" s="51">
        <v>0</v>
      </c>
      <c r="N334" s="52">
        <v>0</v>
      </c>
    </row>
    <row r="335" spans="2:14" x14ac:dyDescent="0.25">
      <c r="B335" s="47">
        <v>45050</v>
      </c>
      <c r="C335" s="47">
        <v>45051</v>
      </c>
      <c r="D335" s="48" t="s">
        <v>130</v>
      </c>
      <c r="E335" s="48" t="s">
        <v>131</v>
      </c>
      <c r="F335" s="49">
        <v>184.17073400000001</v>
      </c>
      <c r="G335" s="50">
        <v>184.170734806626</v>
      </c>
      <c r="H335" s="49">
        <v>350</v>
      </c>
      <c r="I335" s="51">
        <v>4.1201090000000002</v>
      </c>
      <c r="J335" s="51">
        <v>52.393000999999998</v>
      </c>
      <c r="K335" s="51">
        <v>52.402999999999999</v>
      </c>
      <c r="L335" s="52">
        <v>100</v>
      </c>
      <c r="M335" s="51">
        <v>52.383000000000003</v>
      </c>
      <c r="N335" s="52">
        <v>1.0000999999999999E-2</v>
      </c>
    </row>
    <row r="336" spans="2:14" x14ac:dyDescent="0.25">
      <c r="B336" s="47">
        <v>45050</v>
      </c>
      <c r="C336" s="47">
        <v>45051</v>
      </c>
      <c r="D336" s="48" t="s">
        <v>132</v>
      </c>
      <c r="E336" s="48" t="s">
        <v>133</v>
      </c>
      <c r="F336" s="49">
        <v>0</v>
      </c>
      <c r="G336" s="50">
        <v>0</v>
      </c>
      <c r="H336" s="49">
        <v>0</v>
      </c>
      <c r="I336" s="51">
        <v>0</v>
      </c>
      <c r="J336" s="51">
        <v>0</v>
      </c>
      <c r="K336" s="51">
        <v>0</v>
      </c>
      <c r="L336" s="52">
        <v>0</v>
      </c>
      <c r="M336" s="51">
        <v>0</v>
      </c>
      <c r="N336" s="52">
        <v>0</v>
      </c>
    </row>
    <row r="337" spans="2:14" x14ac:dyDescent="0.25">
      <c r="B337" s="47">
        <v>45050</v>
      </c>
      <c r="C337" s="47">
        <v>45051</v>
      </c>
      <c r="D337" s="48" t="s">
        <v>134</v>
      </c>
      <c r="E337" s="48" t="s">
        <v>135</v>
      </c>
      <c r="F337" s="49">
        <v>0</v>
      </c>
      <c r="G337" s="50">
        <v>0</v>
      </c>
      <c r="H337" s="49">
        <v>0</v>
      </c>
      <c r="I337" s="51">
        <v>0</v>
      </c>
      <c r="J337" s="51">
        <v>0</v>
      </c>
      <c r="K337" s="51">
        <v>0</v>
      </c>
      <c r="L337" s="52">
        <v>0</v>
      </c>
      <c r="M337" s="51">
        <v>0</v>
      </c>
      <c r="N337" s="52">
        <v>0</v>
      </c>
    </row>
    <row r="338" spans="2:14" x14ac:dyDescent="0.25">
      <c r="B338" s="47">
        <v>45050</v>
      </c>
      <c r="C338" s="47">
        <v>45051</v>
      </c>
      <c r="D338" s="48" t="s">
        <v>136</v>
      </c>
      <c r="E338" s="48" t="s">
        <v>137</v>
      </c>
      <c r="F338" s="49">
        <v>0</v>
      </c>
      <c r="G338" s="50">
        <v>0</v>
      </c>
      <c r="H338" s="49">
        <v>0</v>
      </c>
      <c r="I338" s="51">
        <v>0</v>
      </c>
      <c r="J338" s="51">
        <v>0</v>
      </c>
      <c r="K338" s="51">
        <v>0</v>
      </c>
      <c r="L338" s="52">
        <v>0</v>
      </c>
      <c r="M338" s="51">
        <v>0</v>
      </c>
      <c r="N338" s="52">
        <v>0</v>
      </c>
    </row>
    <row r="339" spans="2:14" x14ac:dyDescent="0.25">
      <c r="B339" s="47">
        <v>45050</v>
      </c>
      <c r="C339" s="47">
        <v>45051</v>
      </c>
      <c r="D339" s="48" t="s">
        <v>138</v>
      </c>
      <c r="E339" s="48" t="s">
        <v>139</v>
      </c>
      <c r="F339" s="49">
        <v>0</v>
      </c>
      <c r="G339" s="50">
        <v>0</v>
      </c>
      <c r="H339" s="49">
        <v>0</v>
      </c>
      <c r="I339" s="51">
        <v>0</v>
      </c>
      <c r="J339" s="51">
        <v>0</v>
      </c>
      <c r="K339" s="51">
        <v>0</v>
      </c>
      <c r="L339" s="52">
        <v>0</v>
      </c>
      <c r="M339" s="51">
        <v>0</v>
      </c>
      <c r="N339" s="52">
        <v>0</v>
      </c>
    </row>
    <row r="340" spans="2:14" x14ac:dyDescent="0.25">
      <c r="B340" s="47">
        <v>45050</v>
      </c>
      <c r="C340" s="47">
        <v>45051</v>
      </c>
      <c r="D340" s="48" t="s">
        <v>140</v>
      </c>
      <c r="E340" s="48" t="s">
        <v>141</v>
      </c>
      <c r="F340" s="49">
        <v>60.739300999999998</v>
      </c>
      <c r="G340" s="50">
        <v>0</v>
      </c>
      <c r="H340" s="49">
        <v>0</v>
      </c>
      <c r="I340" s="51">
        <v>0</v>
      </c>
      <c r="J340" s="51">
        <v>0</v>
      </c>
      <c r="K340" s="51">
        <v>0</v>
      </c>
      <c r="L340" s="52">
        <v>0</v>
      </c>
      <c r="M340" s="51">
        <v>0</v>
      </c>
      <c r="N340" s="52">
        <v>0</v>
      </c>
    </row>
    <row r="341" spans="2:14" x14ac:dyDescent="0.25">
      <c r="B341" s="47">
        <v>45050</v>
      </c>
      <c r="C341" s="47">
        <v>45051</v>
      </c>
      <c r="D341" s="48" t="s">
        <v>142</v>
      </c>
      <c r="E341" s="48" t="s">
        <v>143</v>
      </c>
      <c r="F341" s="49">
        <v>70.954089999999994</v>
      </c>
      <c r="G341" s="50">
        <v>0</v>
      </c>
      <c r="H341" s="49">
        <v>0</v>
      </c>
      <c r="I341" s="51">
        <v>0</v>
      </c>
      <c r="J341" s="51">
        <v>0</v>
      </c>
      <c r="K341" s="51">
        <v>0</v>
      </c>
      <c r="L341" s="52">
        <v>0</v>
      </c>
      <c r="M341" s="51">
        <v>0</v>
      </c>
      <c r="N341" s="52">
        <v>0</v>
      </c>
    </row>
    <row r="342" spans="2:14" x14ac:dyDescent="0.25">
      <c r="B342" s="47">
        <v>45050</v>
      </c>
      <c r="C342" s="47">
        <v>45051</v>
      </c>
      <c r="D342" s="48" t="s">
        <v>144</v>
      </c>
      <c r="E342" s="48" t="s">
        <v>145</v>
      </c>
      <c r="F342" s="49">
        <v>9.4766980000000007</v>
      </c>
      <c r="G342" s="50">
        <v>0</v>
      </c>
      <c r="H342" s="49">
        <v>0</v>
      </c>
      <c r="I342" s="51">
        <v>0</v>
      </c>
      <c r="J342" s="51">
        <v>0</v>
      </c>
      <c r="K342" s="51">
        <v>0</v>
      </c>
      <c r="L342" s="52">
        <v>0</v>
      </c>
      <c r="M342" s="51">
        <v>0</v>
      </c>
      <c r="N342" s="52">
        <v>0</v>
      </c>
    </row>
    <row r="343" spans="2:14" x14ac:dyDescent="0.25">
      <c r="B343" s="47">
        <v>45050</v>
      </c>
      <c r="C343" s="47">
        <v>45051</v>
      </c>
      <c r="D343" s="48" t="s">
        <v>146</v>
      </c>
      <c r="E343" s="48" t="s">
        <v>147</v>
      </c>
      <c r="F343" s="49">
        <v>0</v>
      </c>
      <c r="G343" s="50">
        <v>0</v>
      </c>
      <c r="H343" s="49">
        <v>0</v>
      </c>
      <c r="I343" s="51">
        <v>0</v>
      </c>
      <c r="J343" s="51">
        <v>0</v>
      </c>
      <c r="K343" s="51">
        <v>0</v>
      </c>
      <c r="L343" s="52">
        <v>0</v>
      </c>
      <c r="M343" s="51">
        <v>0</v>
      </c>
      <c r="N343" s="52">
        <v>0</v>
      </c>
    </row>
    <row r="344" spans="2:14" x14ac:dyDescent="0.25">
      <c r="B344" s="47">
        <v>45050</v>
      </c>
      <c r="C344" s="47">
        <v>45051</v>
      </c>
      <c r="D344" s="48" t="s">
        <v>148</v>
      </c>
      <c r="E344" s="48" t="s">
        <v>149</v>
      </c>
      <c r="F344" s="49">
        <v>0</v>
      </c>
      <c r="G344" s="50">
        <v>0</v>
      </c>
      <c r="H344" s="49">
        <v>0</v>
      </c>
      <c r="I344" s="51">
        <v>0</v>
      </c>
      <c r="J344" s="51">
        <v>0</v>
      </c>
      <c r="K344" s="51">
        <v>0</v>
      </c>
      <c r="L344" s="52">
        <v>0</v>
      </c>
      <c r="M344" s="51">
        <v>0</v>
      </c>
      <c r="N344" s="52">
        <v>0</v>
      </c>
    </row>
    <row r="345" spans="2:14" x14ac:dyDescent="0.25">
      <c r="B345" s="47">
        <v>45050</v>
      </c>
      <c r="C345" s="47">
        <v>45051</v>
      </c>
      <c r="D345" s="48" t="s">
        <v>150</v>
      </c>
      <c r="E345" s="48" t="s">
        <v>151</v>
      </c>
      <c r="F345" s="49">
        <v>36.577494000000002</v>
      </c>
      <c r="G345" s="50">
        <v>0</v>
      </c>
      <c r="H345" s="49">
        <v>0</v>
      </c>
      <c r="I345" s="51">
        <v>0</v>
      </c>
      <c r="J345" s="51">
        <v>0</v>
      </c>
      <c r="K345" s="51">
        <v>0</v>
      </c>
      <c r="L345" s="52">
        <v>0</v>
      </c>
      <c r="M345" s="51">
        <v>0</v>
      </c>
      <c r="N345" s="52">
        <v>0</v>
      </c>
    </row>
    <row r="346" spans="2:14" x14ac:dyDescent="0.25">
      <c r="B346" s="47">
        <v>45050</v>
      </c>
      <c r="C346" s="47">
        <v>45051</v>
      </c>
      <c r="D346" s="48" t="s">
        <v>152</v>
      </c>
      <c r="E346" s="48" t="s">
        <v>153</v>
      </c>
      <c r="F346" s="49">
        <v>12.242564</v>
      </c>
      <c r="G346" s="50">
        <v>0</v>
      </c>
      <c r="H346" s="49">
        <v>0</v>
      </c>
      <c r="I346" s="51">
        <v>0</v>
      </c>
      <c r="J346" s="51">
        <v>0</v>
      </c>
      <c r="K346" s="51">
        <v>0</v>
      </c>
      <c r="L346" s="52">
        <v>0</v>
      </c>
      <c r="M346" s="51">
        <v>0</v>
      </c>
      <c r="N346" s="52">
        <v>0</v>
      </c>
    </row>
    <row r="347" spans="2:14" x14ac:dyDescent="0.25">
      <c r="B347" s="47">
        <v>45050</v>
      </c>
      <c r="C347" s="47">
        <v>45051</v>
      </c>
      <c r="D347" s="48" t="s">
        <v>154</v>
      </c>
      <c r="E347" s="48" t="s">
        <v>155</v>
      </c>
      <c r="F347" s="49">
        <v>0</v>
      </c>
      <c r="G347" s="50">
        <v>0</v>
      </c>
      <c r="H347" s="49">
        <v>0</v>
      </c>
      <c r="I347" s="51">
        <v>0</v>
      </c>
      <c r="J347" s="51">
        <v>0</v>
      </c>
      <c r="K347" s="51">
        <v>0</v>
      </c>
      <c r="L347" s="52">
        <v>0</v>
      </c>
      <c r="M347" s="51">
        <v>0</v>
      </c>
      <c r="N347" s="52">
        <v>0</v>
      </c>
    </row>
    <row r="348" spans="2:14" x14ac:dyDescent="0.25">
      <c r="B348" s="47">
        <v>45050</v>
      </c>
      <c r="C348" s="47">
        <v>45051</v>
      </c>
      <c r="D348" s="48" t="s">
        <v>156</v>
      </c>
      <c r="E348" s="48" t="s">
        <v>157</v>
      </c>
      <c r="F348" s="49">
        <v>264.02879100000001</v>
      </c>
      <c r="G348" s="50">
        <v>254.225463825124</v>
      </c>
      <c r="H348" s="49">
        <v>772</v>
      </c>
      <c r="I348" s="51">
        <v>3.8642249999999998</v>
      </c>
      <c r="J348" s="51">
        <v>32.913003000000003</v>
      </c>
      <c r="K348" s="51">
        <v>32.923000000000002</v>
      </c>
      <c r="L348" s="52">
        <v>100</v>
      </c>
      <c r="M348" s="51">
        <v>32.902999999999999</v>
      </c>
      <c r="N348" s="52">
        <v>1.0003E-2</v>
      </c>
    </row>
    <row r="349" spans="2:14" x14ac:dyDescent="0.25">
      <c r="B349" s="47">
        <v>45050</v>
      </c>
      <c r="C349" s="47">
        <v>45051</v>
      </c>
      <c r="D349" s="48" t="s">
        <v>158</v>
      </c>
      <c r="E349" s="48" t="s">
        <v>159</v>
      </c>
      <c r="F349" s="49">
        <v>63.824193000000001</v>
      </c>
      <c r="G349" s="50">
        <v>0</v>
      </c>
      <c r="H349" s="49">
        <v>0</v>
      </c>
      <c r="I349" s="51">
        <v>0</v>
      </c>
      <c r="J349" s="51">
        <v>0</v>
      </c>
      <c r="K349" s="51">
        <v>0</v>
      </c>
      <c r="L349" s="52">
        <v>0</v>
      </c>
      <c r="M349" s="51">
        <v>0</v>
      </c>
      <c r="N349" s="52">
        <v>0</v>
      </c>
    </row>
    <row r="350" spans="2:14" x14ac:dyDescent="0.25">
      <c r="B350" s="47">
        <v>45050</v>
      </c>
      <c r="C350" s="47">
        <v>45051</v>
      </c>
      <c r="D350" s="48" t="s">
        <v>160</v>
      </c>
      <c r="E350" s="48" t="s">
        <v>161</v>
      </c>
      <c r="F350" s="49">
        <v>68.247392000000005</v>
      </c>
      <c r="G350" s="50">
        <v>0</v>
      </c>
      <c r="H350" s="49">
        <v>0</v>
      </c>
      <c r="I350" s="51">
        <v>0</v>
      </c>
      <c r="J350" s="51">
        <v>0</v>
      </c>
      <c r="K350" s="51">
        <v>0</v>
      </c>
      <c r="L350" s="52">
        <v>0</v>
      </c>
      <c r="M350" s="51">
        <v>0</v>
      </c>
      <c r="N350" s="52">
        <v>0</v>
      </c>
    </row>
    <row r="351" spans="2:14" x14ac:dyDescent="0.25">
      <c r="B351" s="47">
        <v>45050</v>
      </c>
      <c r="C351" s="47">
        <v>45051</v>
      </c>
      <c r="D351" s="48" t="s">
        <v>162</v>
      </c>
      <c r="E351" s="48" t="s">
        <v>163</v>
      </c>
      <c r="F351" s="49">
        <v>23.164973</v>
      </c>
      <c r="G351" s="50">
        <v>0</v>
      </c>
      <c r="H351" s="49">
        <v>0</v>
      </c>
      <c r="I351" s="51">
        <v>0</v>
      </c>
      <c r="J351" s="51">
        <v>0</v>
      </c>
      <c r="K351" s="51">
        <v>0</v>
      </c>
      <c r="L351" s="52">
        <v>0</v>
      </c>
      <c r="M351" s="51">
        <v>0</v>
      </c>
      <c r="N351" s="52">
        <v>0</v>
      </c>
    </row>
    <row r="352" spans="2:14" x14ac:dyDescent="0.25">
      <c r="B352" s="24">
        <v>45061</v>
      </c>
      <c r="C352" s="24">
        <v>45062</v>
      </c>
      <c r="D352" s="24" t="s">
        <v>94</v>
      </c>
      <c r="E352" s="24" t="s">
        <v>95</v>
      </c>
      <c r="F352" s="27">
        <v>416.53218099999998</v>
      </c>
      <c r="G352" s="27">
        <v>393.73795100000001</v>
      </c>
      <c r="H352" s="26">
        <v>500</v>
      </c>
      <c r="I352" s="28">
        <v>3.671265</v>
      </c>
      <c r="J352" s="28">
        <v>78.722999999999999</v>
      </c>
      <c r="K352" s="28">
        <v>78.722999999999999</v>
      </c>
      <c r="L352" s="29">
        <v>100</v>
      </c>
      <c r="M352" s="28">
        <v>78.722999999999999</v>
      </c>
      <c r="N352" s="29">
        <v>0</v>
      </c>
    </row>
    <row r="353" spans="2:14" x14ac:dyDescent="0.25">
      <c r="B353" s="24">
        <v>45061</v>
      </c>
      <c r="C353" s="24">
        <v>45062</v>
      </c>
      <c r="D353" s="24" t="s">
        <v>96</v>
      </c>
      <c r="E353" s="24" t="s">
        <v>97</v>
      </c>
      <c r="F353" s="27">
        <v>163.87836799999999</v>
      </c>
      <c r="G353" s="27">
        <v>163.87836799999999</v>
      </c>
      <c r="H353" s="26">
        <v>150</v>
      </c>
      <c r="I353" s="28">
        <v>3.656453</v>
      </c>
      <c r="J353" s="28">
        <v>107.164334</v>
      </c>
      <c r="K353" s="28">
        <v>107.178</v>
      </c>
      <c r="L353" s="29">
        <v>100</v>
      </c>
      <c r="M353" s="28">
        <v>107.151</v>
      </c>
      <c r="N353" s="29">
        <v>1.3334E-2</v>
      </c>
    </row>
    <row r="354" spans="2:14" x14ac:dyDescent="0.25">
      <c r="B354" s="24">
        <v>45061</v>
      </c>
      <c r="C354" s="24">
        <v>45062</v>
      </c>
      <c r="D354" s="24" t="s">
        <v>98</v>
      </c>
      <c r="E354" s="24" t="s">
        <v>99</v>
      </c>
      <c r="F354" s="27">
        <v>102.224643</v>
      </c>
      <c r="G354" s="27">
        <v>94.654392000000001</v>
      </c>
      <c r="H354" s="26">
        <v>125</v>
      </c>
      <c r="I354" s="28">
        <v>3.7187749999999999</v>
      </c>
      <c r="J354" s="28">
        <v>75.650999999999996</v>
      </c>
      <c r="K354" s="28">
        <v>75.650999999999996</v>
      </c>
      <c r="L354" s="29">
        <v>100</v>
      </c>
      <c r="M354" s="28">
        <v>75.650999999999996</v>
      </c>
      <c r="N354" s="29">
        <v>0</v>
      </c>
    </row>
    <row r="355" spans="2:14" x14ac:dyDescent="0.25">
      <c r="B355" s="24">
        <v>45061</v>
      </c>
      <c r="C355" s="24">
        <v>45062</v>
      </c>
      <c r="D355" s="24" t="s">
        <v>100</v>
      </c>
      <c r="E355" s="24" t="s">
        <v>101</v>
      </c>
      <c r="F355" s="27">
        <v>635.50679100000002</v>
      </c>
      <c r="G355" s="27">
        <v>85.028948</v>
      </c>
      <c r="H355" s="26">
        <v>80.2</v>
      </c>
      <c r="I355" s="28">
        <v>3.7059150000000001</v>
      </c>
      <c r="J355" s="28">
        <v>104.15300000000001</v>
      </c>
      <c r="K355" s="28">
        <v>104.15300000000001</v>
      </c>
      <c r="L355" s="29">
        <v>80.2</v>
      </c>
      <c r="M355" s="28">
        <v>104.15300000000001</v>
      </c>
      <c r="N355" s="29">
        <v>0</v>
      </c>
    </row>
    <row r="356" spans="2:14" x14ac:dyDescent="0.25">
      <c r="B356" s="24">
        <v>45061</v>
      </c>
      <c r="C356" s="24">
        <v>45062</v>
      </c>
      <c r="D356" s="24" t="s">
        <v>102</v>
      </c>
      <c r="E356" s="24" t="s">
        <v>103</v>
      </c>
      <c r="F356" s="27">
        <v>0</v>
      </c>
      <c r="G356" s="27">
        <v>0</v>
      </c>
      <c r="H356" s="26">
        <v>0</v>
      </c>
      <c r="I356" s="28">
        <v>0</v>
      </c>
      <c r="J356" s="28">
        <v>0</v>
      </c>
      <c r="K356" s="28">
        <v>0</v>
      </c>
      <c r="L356" s="29">
        <v>0</v>
      </c>
      <c r="M356" s="28">
        <v>0</v>
      </c>
      <c r="N356" s="29">
        <v>0</v>
      </c>
    </row>
    <row r="357" spans="2:14" x14ac:dyDescent="0.25">
      <c r="B357" s="24">
        <v>45061</v>
      </c>
      <c r="C357" s="24">
        <v>45062</v>
      </c>
      <c r="D357" s="24" t="s">
        <v>104</v>
      </c>
      <c r="E357" s="24" t="s">
        <v>105</v>
      </c>
      <c r="F357" s="27">
        <v>34.090642000000003</v>
      </c>
      <c r="G357" s="27">
        <v>0</v>
      </c>
      <c r="H357" s="26">
        <v>0</v>
      </c>
      <c r="I357" s="28">
        <v>0</v>
      </c>
      <c r="J357" s="28">
        <v>0</v>
      </c>
      <c r="K357" s="28">
        <v>0</v>
      </c>
      <c r="L357" s="29">
        <v>0</v>
      </c>
      <c r="M357" s="28">
        <v>0</v>
      </c>
      <c r="N357" s="29">
        <v>0</v>
      </c>
    </row>
    <row r="358" spans="2:14" x14ac:dyDescent="0.25">
      <c r="B358" s="24">
        <v>45061</v>
      </c>
      <c r="C358" s="24">
        <v>45062</v>
      </c>
      <c r="D358" s="24" t="s">
        <v>106</v>
      </c>
      <c r="E358" s="24" t="s">
        <v>107</v>
      </c>
      <c r="F358" s="27">
        <v>93.281081</v>
      </c>
      <c r="G358" s="27">
        <v>0</v>
      </c>
      <c r="H358" s="26">
        <v>0</v>
      </c>
      <c r="I358" s="28">
        <v>0</v>
      </c>
      <c r="J358" s="28">
        <v>0</v>
      </c>
      <c r="K358" s="28">
        <v>0</v>
      </c>
      <c r="L358" s="29">
        <v>0</v>
      </c>
      <c r="M358" s="28">
        <v>0</v>
      </c>
      <c r="N358" s="29">
        <v>0</v>
      </c>
    </row>
    <row r="359" spans="2:14" x14ac:dyDescent="0.25">
      <c r="B359" s="24">
        <v>45061</v>
      </c>
      <c r="C359" s="24">
        <v>45062</v>
      </c>
      <c r="D359" s="24" t="s">
        <v>108</v>
      </c>
      <c r="E359" s="24" t="s">
        <v>109</v>
      </c>
      <c r="F359" s="27">
        <v>37.671439999999997</v>
      </c>
      <c r="G359" s="27">
        <v>0</v>
      </c>
      <c r="H359" s="26">
        <v>0</v>
      </c>
      <c r="I359" s="28">
        <v>0</v>
      </c>
      <c r="J359" s="28">
        <v>0</v>
      </c>
      <c r="K359" s="28">
        <v>0</v>
      </c>
      <c r="L359" s="29">
        <v>0</v>
      </c>
      <c r="M359" s="28">
        <v>0</v>
      </c>
      <c r="N359" s="29">
        <v>0</v>
      </c>
    </row>
    <row r="360" spans="2:14" x14ac:dyDescent="0.25">
      <c r="B360" s="24">
        <v>45061</v>
      </c>
      <c r="C360" s="24">
        <v>45062</v>
      </c>
      <c r="D360" s="24" t="s">
        <v>110</v>
      </c>
      <c r="E360" s="24" t="s">
        <v>111</v>
      </c>
      <c r="F360" s="27">
        <v>0</v>
      </c>
      <c r="G360" s="27">
        <v>0</v>
      </c>
      <c r="H360" s="26">
        <v>0</v>
      </c>
      <c r="I360" s="28">
        <v>0</v>
      </c>
      <c r="J360" s="28">
        <v>0</v>
      </c>
      <c r="K360" s="28">
        <v>0</v>
      </c>
      <c r="L360" s="29">
        <v>0</v>
      </c>
      <c r="M360" s="28">
        <v>0</v>
      </c>
      <c r="N360" s="29">
        <v>0</v>
      </c>
    </row>
    <row r="361" spans="2:14" x14ac:dyDescent="0.25">
      <c r="B361" s="24">
        <v>45061</v>
      </c>
      <c r="C361" s="24">
        <v>45062</v>
      </c>
      <c r="D361" s="24" t="s">
        <v>112</v>
      </c>
      <c r="E361" s="24" t="s">
        <v>113</v>
      </c>
      <c r="F361" s="27">
        <v>57.924754</v>
      </c>
      <c r="G361" s="27">
        <v>26.342524999999998</v>
      </c>
      <c r="H361" s="26">
        <v>40</v>
      </c>
      <c r="I361" s="28">
        <v>4.1288320000000001</v>
      </c>
      <c r="J361" s="28">
        <v>65.530006</v>
      </c>
      <c r="K361" s="28">
        <v>65.55</v>
      </c>
      <c r="L361" s="29">
        <v>100</v>
      </c>
      <c r="M361" s="28">
        <v>65.510000000000005</v>
      </c>
      <c r="N361" s="29">
        <v>2.0005999999999999E-2</v>
      </c>
    </row>
    <row r="362" spans="2:14" x14ac:dyDescent="0.25">
      <c r="B362" s="24">
        <v>45061</v>
      </c>
      <c r="C362" s="24">
        <v>45062</v>
      </c>
      <c r="D362" s="24" t="s">
        <v>114</v>
      </c>
      <c r="E362" s="24" t="s">
        <v>115</v>
      </c>
      <c r="F362" s="27">
        <v>0</v>
      </c>
      <c r="G362" s="27">
        <v>0</v>
      </c>
      <c r="H362" s="26">
        <v>0</v>
      </c>
      <c r="I362" s="28">
        <v>0</v>
      </c>
      <c r="J362" s="28">
        <v>0</v>
      </c>
      <c r="K362" s="28">
        <v>0</v>
      </c>
      <c r="L362" s="29">
        <v>0</v>
      </c>
      <c r="M362" s="28">
        <v>0</v>
      </c>
      <c r="N362" s="29">
        <v>0</v>
      </c>
    </row>
    <row r="363" spans="2:14" x14ac:dyDescent="0.25">
      <c r="B363" s="24">
        <v>45061</v>
      </c>
      <c r="C363" s="24">
        <v>45062</v>
      </c>
      <c r="D363" s="24" t="s">
        <v>116</v>
      </c>
      <c r="E363" s="24" t="s">
        <v>117</v>
      </c>
      <c r="F363" s="27">
        <v>0</v>
      </c>
      <c r="G363" s="27">
        <v>0</v>
      </c>
      <c r="H363" s="26">
        <v>0</v>
      </c>
      <c r="I363" s="28">
        <v>0</v>
      </c>
      <c r="J363" s="28">
        <v>0</v>
      </c>
      <c r="K363" s="28">
        <v>0</v>
      </c>
      <c r="L363" s="29">
        <v>0</v>
      </c>
      <c r="M363" s="28">
        <v>0</v>
      </c>
      <c r="N363" s="29">
        <v>0</v>
      </c>
    </row>
    <row r="364" spans="2:14" x14ac:dyDescent="0.25">
      <c r="B364" s="24">
        <v>45061</v>
      </c>
      <c r="C364" s="24">
        <v>45062</v>
      </c>
      <c r="D364" s="24" t="s">
        <v>118</v>
      </c>
      <c r="E364" s="24" t="s">
        <v>119</v>
      </c>
      <c r="F364" s="27">
        <v>125.26273399999999</v>
      </c>
      <c r="G364" s="27">
        <v>6.282197</v>
      </c>
      <c r="H364" s="26">
        <v>10</v>
      </c>
      <c r="I364" s="28">
        <v>4.1655439999999997</v>
      </c>
      <c r="J364" s="28">
        <v>62.74</v>
      </c>
      <c r="K364" s="28">
        <v>62.74</v>
      </c>
      <c r="L364" s="29">
        <v>100</v>
      </c>
      <c r="M364" s="28">
        <v>62.74</v>
      </c>
      <c r="N364" s="29">
        <v>0</v>
      </c>
    </row>
    <row r="365" spans="2:14" x14ac:dyDescent="0.25">
      <c r="B365" s="24">
        <v>45061</v>
      </c>
      <c r="C365" s="24">
        <v>45062</v>
      </c>
      <c r="D365" s="24" t="s">
        <v>124</v>
      </c>
      <c r="E365" s="24" t="s">
        <v>125</v>
      </c>
      <c r="F365" s="27">
        <v>0</v>
      </c>
      <c r="G365" s="27">
        <v>0</v>
      </c>
      <c r="H365" s="26">
        <v>0</v>
      </c>
      <c r="I365" s="28">
        <v>0</v>
      </c>
      <c r="J365" s="28">
        <v>0</v>
      </c>
      <c r="K365" s="28">
        <v>0</v>
      </c>
      <c r="L365" s="29">
        <v>0</v>
      </c>
      <c r="M365" s="28">
        <v>0</v>
      </c>
      <c r="N365" s="29">
        <v>0</v>
      </c>
    </row>
    <row r="366" spans="2:14" x14ac:dyDescent="0.25">
      <c r="B366" s="53">
        <v>45068</v>
      </c>
      <c r="C366" s="53">
        <v>45069</v>
      </c>
      <c r="D366" s="53" t="s">
        <v>78</v>
      </c>
      <c r="E366" s="53" t="s">
        <v>79</v>
      </c>
      <c r="F366" s="54">
        <v>186.248762</v>
      </c>
      <c r="G366" s="54">
        <v>93.153380999999996</v>
      </c>
      <c r="H366" s="55">
        <v>100</v>
      </c>
      <c r="I366" s="56">
        <v>3.9934120000000002</v>
      </c>
      <c r="J366" s="56">
        <v>92.652000000000001</v>
      </c>
      <c r="K366" s="56">
        <v>92.652000000000001</v>
      </c>
      <c r="L366" s="57">
        <v>100</v>
      </c>
      <c r="M366" s="56">
        <v>92.652000000000001</v>
      </c>
      <c r="N366" s="57">
        <v>0</v>
      </c>
    </row>
    <row r="367" spans="2:14" x14ac:dyDescent="0.25">
      <c r="B367" s="53">
        <v>45068</v>
      </c>
      <c r="C367" s="53">
        <v>45069</v>
      </c>
      <c r="D367" s="53" t="s">
        <v>80</v>
      </c>
      <c r="E367" s="53" t="s">
        <v>81</v>
      </c>
      <c r="F367" s="54">
        <v>247.03313399999999</v>
      </c>
      <c r="G367" s="54">
        <v>158.82937200000001</v>
      </c>
      <c r="H367" s="55">
        <v>180</v>
      </c>
      <c r="I367" s="56">
        <v>4.111389</v>
      </c>
      <c r="J367" s="56">
        <v>88.206777000000002</v>
      </c>
      <c r="K367" s="56">
        <v>88.212000000000003</v>
      </c>
      <c r="L367" s="57">
        <v>100</v>
      </c>
      <c r="M367" s="56">
        <v>88.201999999999998</v>
      </c>
      <c r="N367" s="57">
        <v>4.777E-3</v>
      </c>
    </row>
    <row r="368" spans="2:14" x14ac:dyDescent="0.25">
      <c r="B368" s="53">
        <v>45068</v>
      </c>
      <c r="C368" s="53">
        <v>45069</v>
      </c>
      <c r="D368" s="53" t="s">
        <v>82</v>
      </c>
      <c r="E368" s="53" t="s">
        <v>83</v>
      </c>
      <c r="F368" s="54">
        <v>923.45648100000005</v>
      </c>
      <c r="G368" s="54">
        <v>51.505808999999999</v>
      </c>
      <c r="H368" s="55">
        <v>57.1</v>
      </c>
      <c r="I368" s="56">
        <v>3.9320710000000001</v>
      </c>
      <c r="J368" s="56">
        <v>89.784999999999997</v>
      </c>
      <c r="K368" s="56">
        <v>89.784999999999997</v>
      </c>
      <c r="L368" s="57">
        <v>25.377776999999998</v>
      </c>
      <c r="M368" s="56">
        <v>89.784999999999997</v>
      </c>
      <c r="N368" s="57">
        <v>0</v>
      </c>
    </row>
    <row r="369" spans="2:15" x14ac:dyDescent="0.25">
      <c r="B369" s="53">
        <v>45068</v>
      </c>
      <c r="C369" s="53">
        <v>45069</v>
      </c>
      <c r="D369" s="53" t="s">
        <v>84</v>
      </c>
      <c r="E369" s="53" t="s">
        <v>85</v>
      </c>
      <c r="F369" s="54">
        <v>8.2511890000000001</v>
      </c>
      <c r="G369" s="54">
        <v>0</v>
      </c>
      <c r="H369" s="55">
        <v>0</v>
      </c>
      <c r="I369" s="56">
        <v>0</v>
      </c>
      <c r="J369" s="56">
        <v>0</v>
      </c>
      <c r="K369" s="56">
        <v>0</v>
      </c>
      <c r="L369" s="57">
        <v>0</v>
      </c>
      <c r="M369" s="56">
        <v>0</v>
      </c>
      <c r="N369" s="57">
        <v>0</v>
      </c>
    </row>
    <row r="370" spans="2:15" x14ac:dyDescent="0.25">
      <c r="B370" s="53">
        <v>45068</v>
      </c>
      <c r="C370" s="53">
        <v>45069</v>
      </c>
      <c r="D370" s="53" t="s">
        <v>86</v>
      </c>
      <c r="E370" s="53" t="s">
        <v>87</v>
      </c>
      <c r="F370" s="54">
        <v>229.87983600000001</v>
      </c>
      <c r="G370" s="54">
        <v>139.285079</v>
      </c>
      <c r="H370" s="55">
        <v>166</v>
      </c>
      <c r="I370" s="56">
        <v>3.923921</v>
      </c>
      <c r="J370" s="56">
        <v>83.867999999999995</v>
      </c>
      <c r="K370" s="56">
        <v>83.873000000000005</v>
      </c>
      <c r="L370" s="57">
        <v>100</v>
      </c>
      <c r="M370" s="56">
        <v>83.863</v>
      </c>
      <c r="N370" s="57">
        <v>5.0000000000000001E-3</v>
      </c>
    </row>
    <row r="371" spans="2:15" x14ac:dyDescent="0.25">
      <c r="B371" s="53">
        <v>45068</v>
      </c>
      <c r="C371" s="53">
        <v>45069</v>
      </c>
      <c r="D371" s="53" t="s">
        <v>88</v>
      </c>
      <c r="E371" s="53" t="s">
        <v>89</v>
      </c>
      <c r="F371" s="54">
        <v>187.315686</v>
      </c>
      <c r="G371" s="54">
        <v>44.639817999999998</v>
      </c>
      <c r="H371" s="55">
        <v>50</v>
      </c>
      <c r="I371" s="56">
        <v>3.8663029999999998</v>
      </c>
      <c r="J371" s="56">
        <v>89.141999999999996</v>
      </c>
      <c r="K371" s="56">
        <v>89.141999999999996</v>
      </c>
      <c r="L371" s="57">
        <v>100</v>
      </c>
      <c r="M371" s="56">
        <v>89.141999999999996</v>
      </c>
      <c r="N371" s="57">
        <v>0</v>
      </c>
    </row>
    <row r="372" spans="2:15" x14ac:dyDescent="0.25">
      <c r="B372" s="53">
        <v>45068</v>
      </c>
      <c r="C372" s="53">
        <v>45069</v>
      </c>
      <c r="D372" s="53" t="s">
        <v>90</v>
      </c>
      <c r="E372" s="53" t="s">
        <v>91</v>
      </c>
      <c r="F372" s="54">
        <v>22.570549</v>
      </c>
      <c r="G372" s="54">
        <v>0</v>
      </c>
      <c r="H372" s="55">
        <v>0</v>
      </c>
      <c r="I372" s="56">
        <v>0</v>
      </c>
      <c r="J372" s="56">
        <v>0</v>
      </c>
      <c r="K372" s="56">
        <v>0</v>
      </c>
      <c r="L372" s="57">
        <v>0</v>
      </c>
      <c r="M372" s="56">
        <v>0</v>
      </c>
      <c r="N372" s="57">
        <v>0</v>
      </c>
    </row>
    <row r="373" spans="2:15" x14ac:dyDescent="0.25">
      <c r="B373" s="53">
        <v>45068</v>
      </c>
      <c r="C373" s="53">
        <v>45069</v>
      </c>
      <c r="D373" s="53" t="s">
        <v>120</v>
      </c>
      <c r="E373" s="53" t="s">
        <v>121</v>
      </c>
      <c r="F373" s="54">
        <v>201.218658</v>
      </c>
      <c r="G373" s="54">
        <v>74.275926999999996</v>
      </c>
      <c r="H373" s="55">
        <v>90</v>
      </c>
      <c r="I373" s="56">
        <v>3.993169</v>
      </c>
      <c r="J373" s="56">
        <v>82.374110999999999</v>
      </c>
      <c r="K373" s="56">
        <v>82.376999999999995</v>
      </c>
      <c r="L373" s="57">
        <v>100</v>
      </c>
      <c r="M373" s="56">
        <v>82.373000000000005</v>
      </c>
      <c r="N373" s="57">
        <v>1.111E-3</v>
      </c>
    </row>
    <row r="374" spans="2:15" x14ac:dyDescent="0.25">
      <c r="B374" s="53">
        <v>45068</v>
      </c>
      <c r="C374" s="53">
        <v>45069</v>
      </c>
      <c r="D374" s="53" t="s">
        <v>92</v>
      </c>
      <c r="E374" s="53" t="s">
        <v>93</v>
      </c>
      <c r="F374" s="54">
        <v>279.01592499999998</v>
      </c>
      <c r="G374" s="54">
        <v>208.26152999999999</v>
      </c>
      <c r="H374" s="55">
        <v>250</v>
      </c>
      <c r="I374" s="56">
        <v>3.8499140000000001</v>
      </c>
      <c r="J374" s="56">
        <v>83.230500000000006</v>
      </c>
      <c r="K374" s="56">
        <v>83.238</v>
      </c>
      <c r="L374" s="57">
        <v>100</v>
      </c>
      <c r="M374" s="56">
        <v>83.222999999999999</v>
      </c>
      <c r="N374" s="57">
        <v>7.4999999999999997E-3</v>
      </c>
    </row>
    <row r="375" spans="2:15" x14ac:dyDescent="0.25">
      <c r="B375" s="53">
        <v>45078</v>
      </c>
      <c r="C375" s="53">
        <v>45079</v>
      </c>
      <c r="D375" s="53" t="s">
        <v>126</v>
      </c>
      <c r="E375" s="53" t="s">
        <v>127</v>
      </c>
      <c r="F375" s="54">
        <v>38.267246999999998</v>
      </c>
      <c r="G375" s="54">
        <v>29.789636999999999</v>
      </c>
      <c r="H375" s="55">
        <v>35</v>
      </c>
      <c r="I375" s="56">
        <v>4.4471410000000002</v>
      </c>
      <c r="J375" s="56">
        <v>83.937171000000006</v>
      </c>
      <c r="K375" s="56">
        <v>83.98</v>
      </c>
      <c r="L375" s="57">
        <v>100</v>
      </c>
      <c r="M375" s="56">
        <v>83.88</v>
      </c>
      <c r="N375" s="57">
        <v>5.7171E-2</v>
      </c>
      <c r="O375" s="53"/>
    </row>
    <row r="376" spans="2:15" x14ac:dyDescent="0.25">
      <c r="B376" s="53">
        <v>45078</v>
      </c>
      <c r="C376" s="53">
        <v>45079</v>
      </c>
      <c r="D376" s="53" t="s">
        <v>128</v>
      </c>
      <c r="E376" s="53" t="s">
        <v>129</v>
      </c>
      <c r="F376" s="54">
        <v>8.8216570000000001</v>
      </c>
      <c r="G376" s="54">
        <v>8.8216570000000001</v>
      </c>
      <c r="H376" s="55">
        <v>10</v>
      </c>
      <c r="I376" s="56">
        <v>4.4448270000000001</v>
      </c>
      <c r="J376" s="56">
        <v>86.95</v>
      </c>
      <c r="K376" s="56">
        <v>86.95</v>
      </c>
      <c r="L376" s="57">
        <v>100</v>
      </c>
      <c r="M376" s="56">
        <v>86.95</v>
      </c>
      <c r="N376" s="57">
        <v>0</v>
      </c>
      <c r="O376" s="53"/>
    </row>
    <row r="377" spans="2:15" x14ac:dyDescent="0.25">
      <c r="B377" s="53">
        <v>45078</v>
      </c>
      <c r="C377" s="53">
        <v>45079</v>
      </c>
      <c r="D377" s="53" t="s">
        <v>130</v>
      </c>
      <c r="E377" s="53" t="s">
        <v>131</v>
      </c>
      <c r="F377" s="54">
        <v>0</v>
      </c>
      <c r="G377" s="54">
        <v>0</v>
      </c>
      <c r="H377" s="55">
        <v>0</v>
      </c>
      <c r="I377" s="56">
        <v>0</v>
      </c>
      <c r="J377" s="56">
        <v>0</v>
      </c>
      <c r="K377" s="56">
        <v>0</v>
      </c>
      <c r="L377" s="57">
        <v>0</v>
      </c>
      <c r="M377" s="56">
        <v>0</v>
      </c>
      <c r="N377" s="57">
        <v>0</v>
      </c>
      <c r="O377" s="53"/>
    </row>
    <row r="378" spans="2:15" x14ac:dyDescent="0.25">
      <c r="B378" s="53">
        <v>45078</v>
      </c>
      <c r="C378" s="53">
        <v>45079</v>
      </c>
      <c r="D378" s="53" t="s">
        <v>132</v>
      </c>
      <c r="E378" s="53" t="s">
        <v>133</v>
      </c>
      <c r="F378" s="54">
        <v>0</v>
      </c>
      <c r="G378" s="54">
        <v>0</v>
      </c>
      <c r="H378" s="55">
        <v>0</v>
      </c>
      <c r="I378" s="56">
        <v>0</v>
      </c>
      <c r="J378" s="56">
        <v>0</v>
      </c>
      <c r="K378" s="56">
        <v>0</v>
      </c>
      <c r="L378" s="57">
        <v>0</v>
      </c>
      <c r="M378" s="56">
        <v>0</v>
      </c>
      <c r="N378" s="57">
        <v>0</v>
      </c>
      <c r="O378" s="53"/>
    </row>
    <row r="379" spans="2:15" x14ac:dyDescent="0.25">
      <c r="B379" s="53">
        <v>45078</v>
      </c>
      <c r="C379" s="53">
        <v>45079</v>
      </c>
      <c r="D379" s="53" t="s">
        <v>134</v>
      </c>
      <c r="E379" s="53" t="s">
        <v>135</v>
      </c>
      <c r="F379" s="54">
        <v>0</v>
      </c>
      <c r="G379" s="54">
        <v>0</v>
      </c>
      <c r="H379" s="55">
        <v>0</v>
      </c>
      <c r="I379" s="56">
        <v>0</v>
      </c>
      <c r="J379" s="56">
        <v>0</v>
      </c>
      <c r="K379" s="56">
        <v>0</v>
      </c>
      <c r="L379" s="57">
        <v>0</v>
      </c>
      <c r="M379" s="56">
        <v>0</v>
      </c>
      <c r="N379" s="57">
        <v>0</v>
      </c>
      <c r="O379" s="53"/>
    </row>
    <row r="380" spans="2:15" x14ac:dyDescent="0.25">
      <c r="B380" s="53">
        <v>45078</v>
      </c>
      <c r="C380" s="53">
        <v>45079</v>
      </c>
      <c r="D380" s="53" t="s">
        <v>136</v>
      </c>
      <c r="E380" s="53" t="s">
        <v>137</v>
      </c>
      <c r="F380" s="54">
        <v>0</v>
      </c>
      <c r="G380" s="54">
        <v>0</v>
      </c>
      <c r="H380" s="55">
        <v>0</v>
      </c>
      <c r="I380" s="56">
        <v>0</v>
      </c>
      <c r="J380" s="56">
        <v>0</v>
      </c>
      <c r="K380" s="56">
        <v>0</v>
      </c>
      <c r="L380" s="57">
        <v>0</v>
      </c>
      <c r="M380" s="56">
        <v>0</v>
      </c>
      <c r="N380" s="57">
        <v>0</v>
      </c>
      <c r="O380" s="53"/>
    </row>
    <row r="381" spans="2:15" x14ac:dyDescent="0.25">
      <c r="B381" s="53">
        <v>45078</v>
      </c>
      <c r="C381" s="53">
        <v>45079</v>
      </c>
      <c r="D381" s="53" t="s">
        <v>138</v>
      </c>
      <c r="E381" s="53" t="s">
        <v>139</v>
      </c>
      <c r="F381" s="54">
        <v>0</v>
      </c>
      <c r="G381" s="54">
        <v>0</v>
      </c>
      <c r="H381" s="55">
        <v>0</v>
      </c>
      <c r="I381" s="56">
        <v>0</v>
      </c>
      <c r="J381" s="56">
        <v>0</v>
      </c>
      <c r="K381" s="56">
        <v>0</v>
      </c>
      <c r="L381" s="57">
        <v>0</v>
      </c>
      <c r="M381" s="56">
        <v>0</v>
      </c>
      <c r="N381" s="57">
        <v>0</v>
      </c>
      <c r="O381" s="53"/>
    </row>
    <row r="382" spans="2:15" x14ac:dyDescent="0.25">
      <c r="B382" s="53">
        <v>45078</v>
      </c>
      <c r="C382" s="53">
        <v>45079</v>
      </c>
      <c r="D382" s="53" t="s">
        <v>140</v>
      </c>
      <c r="E382" s="53" t="s">
        <v>141</v>
      </c>
      <c r="F382" s="54">
        <v>452.30055199999998</v>
      </c>
      <c r="G382" s="54">
        <v>432.46899500000001</v>
      </c>
      <c r="H382" s="55">
        <v>1065.9000000000001</v>
      </c>
      <c r="I382" s="56">
        <v>4.3729089999999999</v>
      </c>
      <c r="J382" s="56">
        <v>40.503619</v>
      </c>
      <c r="K382" s="56">
        <v>40.628999999999998</v>
      </c>
      <c r="L382" s="57">
        <v>95.081631999999999</v>
      </c>
      <c r="M382" s="56">
        <v>40.341000000000001</v>
      </c>
      <c r="N382" s="57">
        <v>0.16261900000000001</v>
      </c>
      <c r="O382" s="53"/>
    </row>
    <row r="383" spans="2:15" x14ac:dyDescent="0.25">
      <c r="B383" s="53">
        <v>45078</v>
      </c>
      <c r="C383" s="53">
        <v>45079</v>
      </c>
      <c r="D383" s="53" t="s">
        <v>142</v>
      </c>
      <c r="E383" s="53" t="s">
        <v>143</v>
      </c>
      <c r="F383" s="54">
        <v>224.41743099999999</v>
      </c>
      <c r="G383" s="54">
        <v>24.978135000000002</v>
      </c>
      <c r="H383" s="55">
        <v>50</v>
      </c>
      <c r="I383" s="56">
        <v>4.3891460000000002</v>
      </c>
      <c r="J383" s="56">
        <v>49.534999999999997</v>
      </c>
      <c r="K383" s="56">
        <v>49.534999999999997</v>
      </c>
      <c r="L383" s="57">
        <v>100</v>
      </c>
      <c r="M383" s="56">
        <v>49.534999999999997</v>
      </c>
      <c r="N383" s="57">
        <v>0</v>
      </c>
      <c r="O383" s="53"/>
    </row>
    <row r="384" spans="2:15" x14ac:dyDescent="0.25">
      <c r="B384" s="53">
        <v>45078</v>
      </c>
      <c r="C384" s="53">
        <v>45079</v>
      </c>
      <c r="D384" s="53" t="s">
        <v>144</v>
      </c>
      <c r="E384" s="53" t="s">
        <v>145</v>
      </c>
      <c r="F384" s="54">
        <v>0</v>
      </c>
      <c r="G384" s="54">
        <v>0</v>
      </c>
      <c r="H384" s="55">
        <v>0</v>
      </c>
      <c r="I384" s="56">
        <v>0</v>
      </c>
      <c r="J384" s="56">
        <v>0</v>
      </c>
      <c r="K384" s="56">
        <v>0</v>
      </c>
      <c r="L384" s="57">
        <v>0</v>
      </c>
      <c r="M384" s="56">
        <v>0</v>
      </c>
      <c r="N384" s="57">
        <v>0</v>
      </c>
      <c r="O384" s="53"/>
    </row>
    <row r="385" spans="2:15" x14ac:dyDescent="0.25">
      <c r="B385" s="53">
        <v>45078</v>
      </c>
      <c r="C385" s="53">
        <v>45079</v>
      </c>
      <c r="D385" s="53" t="s">
        <v>146</v>
      </c>
      <c r="E385" s="53" t="s">
        <v>147</v>
      </c>
      <c r="F385" s="54">
        <v>0</v>
      </c>
      <c r="G385" s="54">
        <v>0</v>
      </c>
      <c r="H385" s="55">
        <v>0</v>
      </c>
      <c r="I385" s="56">
        <v>0</v>
      </c>
      <c r="J385" s="56">
        <v>0</v>
      </c>
      <c r="K385" s="56">
        <v>0</v>
      </c>
      <c r="L385" s="57">
        <v>0</v>
      </c>
      <c r="M385" s="56">
        <v>0</v>
      </c>
      <c r="N385" s="57">
        <v>0</v>
      </c>
      <c r="O385" s="53"/>
    </row>
    <row r="386" spans="2:15" x14ac:dyDescent="0.25">
      <c r="B386" s="53">
        <v>45078</v>
      </c>
      <c r="C386" s="53">
        <v>45079</v>
      </c>
      <c r="D386" s="53" t="s">
        <v>148</v>
      </c>
      <c r="E386" s="53" t="s">
        <v>149</v>
      </c>
      <c r="F386" s="54">
        <v>0</v>
      </c>
      <c r="G386" s="54">
        <v>0</v>
      </c>
      <c r="H386" s="55">
        <v>0</v>
      </c>
      <c r="I386" s="56">
        <v>0</v>
      </c>
      <c r="J386" s="56">
        <v>0</v>
      </c>
      <c r="K386" s="56">
        <v>0</v>
      </c>
      <c r="L386" s="57">
        <v>0</v>
      </c>
      <c r="M386" s="56">
        <v>0</v>
      </c>
      <c r="N386" s="57">
        <v>0</v>
      </c>
      <c r="O386" s="53"/>
    </row>
    <row r="387" spans="2:15" x14ac:dyDescent="0.25">
      <c r="B387" s="53">
        <v>45078</v>
      </c>
      <c r="C387" s="53">
        <v>45079</v>
      </c>
      <c r="D387" s="53" t="s">
        <v>150</v>
      </c>
      <c r="E387" s="53" t="s">
        <v>151</v>
      </c>
      <c r="F387" s="54">
        <v>0</v>
      </c>
      <c r="G387" s="54">
        <v>0</v>
      </c>
      <c r="H387" s="55">
        <v>0</v>
      </c>
      <c r="I387" s="56">
        <v>0</v>
      </c>
      <c r="J387" s="56">
        <v>0</v>
      </c>
      <c r="K387" s="56">
        <v>0</v>
      </c>
      <c r="L387" s="57">
        <v>0</v>
      </c>
      <c r="M387" s="56">
        <v>0</v>
      </c>
      <c r="N387" s="57">
        <v>0</v>
      </c>
      <c r="O387" s="53"/>
    </row>
    <row r="388" spans="2:15" x14ac:dyDescent="0.25">
      <c r="B388" s="53">
        <v>45078</v>
      </c>
      <c r="C388" s="53">
        <v>45079</v>
      </c>
      <c r="D388" s="53" t="s">
        <v>152</v>
      </c>
      <c r="E388" s="53" t="s">
        <v>153</v>
      </c>
      <c r="F388" s="54">
        <v>172.223354</v>
      </c>
      <c r="G388" s="54">
        <v>145.906711</v>
      </c>
      <c r="H388" s="55">
        <v>265</v>
      </c>
      <c r="I388" s="56">
        <v>4.3124200000000004</v>
      </c>
      <c r="J388" s="56">
        <v>54.426012999999998</v>
      </c>
      <c r="K388" s="56">
        <v>54.47</v>
      </c>
      <c r="L388" s="57">
        <v>100</v>
      </c>
      <c r="M388" s="56">
        <v>54.15</v>
      </c>
      <c r="N388" s="57">
        <v>0.27601300000000001</v>
      </c>
      <c r="O388" s="53"/>
    </row>
    <row r="389" spans="2:15" x14ac:dyDescent="0.25">
      <c r="B389" s="53">
        <v>45078</v>
      </c>
      <c r="C389" s="53">
        <v>45079</v>
      </c>
      <c r="D389" s="53" t="s">
        <v>154</v>
      </c>
      <c r="E389" s="53" t="s">
        <v>155</v>
      </c>
      <c r="F389" s="54">
        <v>138.36264499999999</v>
      </c>
      <c r="G389" s="54">
        <v>119.423142</v>
      </c>
      <c r="H389" s="55">
        <v>125</v>
      </c>
      <c r="I389" s="56">
        <v>4.3225530000000001</v>
      </c>
      <c r="J389" s="56">
        <v>94.090999999999994</v>
      </c>
      <c r="K389" s="56">
        <v>94.090999999999994</v>
      </c>
      <c r="L389" s="57">
        <v>100</v>
      </c>
      <c r="M389" s="56">
        <v>94.090999999999994</v>
      </c>
      <c r="N389" s="57">
        <v>0</v>
      </c>
      <c r="O389" s="53"/>
    </row>
    <row r="390" spans="2:15" x14ac:dyDescent="0.25">
      <c r="B390" s="53">
        <v>45078</v>
      </c>
      <c r="C390" s="53">
        <v>45079</v>
      </c>
      <c r="D390" s="53" t="s">
        <v>156</v>
      </c>
      <c r="E390" s="53" t="s">
        <v>157</v>
      </c>
      <c r="F390" s="54">
        <v>0</v>
      </c>
      <c r="G390" s="54">
        <v>0</v>
      </c>
      <c r="H390" s="55">
        <v>0</v>
      </c>
      <c r="I390" s="56">
        <v>0</v>
      </c>
      <c r="J390" s="56">
        <v>0</v>
      </c>
      <c r="K390" s="56">
        <v>0</v>
      </c>
      <c r="L390" s="57">
        <v>0</v>
      </c>
      <c r="M390" s="56">
        <v>0</v>
      </c>
      <c r="N390" s="57">
        <v>0</v>
      </c>
      <c r="O390" s="53"/>
    </row>
    <row r="391" spans="2:15" x14ac:dyDescent="0.25">
      <c r="B391" s="53">
        <v>45078</v>
      </c>
      <c r="C391" s="53">
        <v>45079</v>
      </c>
      <c r="D391" s="53" t="s">
        <v>158</v>
      </c>
      <c r="E391" s="53" t="s">
        <v>159</v>
      </c>
      <c r="F391" s="54">
        <v>0</v>
      </c>
      <c r="G391" s="54">
        <v>0</v>
      </c>
      <c r="H391" s="55">
        <v>0</v>
      </c>
      <c r="I391" s="56">
        <v>0</v>
      </c>
      <c r="J391" s="56">
        <v>0</v>
      </c>
      <c r="K391" s="56">
        <v>0</v>
      </c>
      <c r="L391" s="57">
        <v>0</v>
      </c>
      <c r="M391" s="56">
        <v>0</v>
      </c>
      <c r="N391" s="57">
        <v>0</v>
      </c>
      <c r="O391" s="53"/>
    </row>
    <row r="392" spans="2:15" x14ac:dyDescent="0.25">
      <c r="B392" s="53">
        <v>45078</v>
      </c>
      <c r="C392" s="53">
        <v>45079</v>
      </c>
      <c r="D392" s="53" t="s">
        <v>160</v>
      </c>
      <c r="E392" s="53" t="s">
        <v>161</v>
      </c>
      <c r="F392" s="54">
        <v>8.584657</v>
      </c>
      <c r="G392" s="54">
        <v>8.584657</v>
      </c>
      <c r="H392" s="55">
        <v>10</v>
      </c>
      <c r="I392" s="56">
        <v>4.2735120000000002</v>
      </c>
      <c r="J392" s="56">
        <v>84.58</v>
      </c>
      <c r="K392" s="56">
        <v>84.58</v>
      </c>
      <c r="L392" s="57">
        <v>100</v>
      </c>
      <c r="M392" s="56">
        <v>84.58</v>
      </c>
      <c r="N392" s="57">
        <v>0</v>
      </c>
      <c r="O392" s="53"/>
    </row>
    <row r="393" spans="2:15" x14ac:dyDescent="0.25">
      <c r="B393" s="53">
        <v>45078</v>
      </c>
      <c r="C393" s="53">
        <v>45079</v>
      </c>
      <c r="D393" s="53" t="s">
        <v>162</v>
      </c>
      <c r="E393" s="53" t="s">
        <v>163</v>
      </c>
      <c r="F393" s="54">
        <v>0</v>
      </c>
      <c r="G393" s="54">
        <v>0</v>
      </c>
      <c r="H393" s="55">
        <v>0</v>
      </c>
      <c r="I393" s="56">
        <v>0</v>
      </c>
      <c r="J393" s="56">
        <v>0</v>
      </c>
      <c r="K393" s="56">
        <v>0</v>
      </c>
      <c r="L393" s="57">
        <v>0</v>
      </c>
      <c r="M393" s="56">
        <v>0</v>
      </c>
      <c r="N393" s="57">
        <v>0</v>
      </c>
      <c r="O393" s="53"/>
    </row>
    <row r="394" spans="2:15" x14ac:dyDescent="0.25">
      <c r="B394" s="24">
        <v>45082</v>
      </c>
      <c r="C394" s="24">
        <v>45083</v>
      </c>
      <c r="D394" s="25" t="s">
        <v>94</v>
      </c>
      <c r="E394" s="25" t="s">
        <v>95</v>
      </c>
      <c r="F394" s="26">
        <v>382.14453200000003</v>
      </c>
      <c r="G394" s="27">
        <v>305.91842600000001</v>
      </c>
      <c r="H394" s="26">
        <v>400</v>
      </c>
      <c r="I394" s="28">
        <v>4.1108190000000002</v>
      </c>
      <c r="J394" s="28">
        <v>76.433499999999995</v>
      </c>
      <c r="K394" s="28">
        <v>76.441999999999993</v>
      </c>
      <c r="L394" s="29">
        <v>100</v>
      </c>
      <c r="M394" s="28">
        <v>76.424999999999997</v>
      </c>
      <c r="N394" s="29">
        <v>8.5000000000000006E-3</v>
      </c>
    </row>
    <row r="395" spans="2:15" x14ac:dyDescent="0.25">
      <c r="B395" s="24">
        <v>45082</v>
      </c>
      <c r="C395" s="24">
        <v>45083</v>
      </c>
      <c r="D395" s="25" t="s">
        <v>96</v>
      </c>
      <c r="E395" s="25" t="s">
        <v>97</v>
      </c>
      <c r="F395" s="26">
        <v>209.44793000000001</v>
      </c>
      <c r="G395" s="27">
        <v>209.44793100000001</v>
      </c>
      <c r="H395" s="26">
        <v>201</v>
      </c>
      <c r="I395" s="28">
        <v>4.0917479999999999</v>
      </c>
      <c r="J395" s="28">
        <v>104.21600100000001</v>
      </c>
      <c r="K395" s="28">
        <v>104.233</v>
      </c>
      <c r="L395" s="29">
        <v>100</v>
      </c>
      <c r="M395" s="28">
        <v>104.202</v>
      </c>
      <c r="N395" s="29">
        <v>1.4001E-2</v>
      </c>
    </row>
    <row r="396" spans="2:15" x14ac:dyDescent="0.25">
      <c r="B396" s="24">
        <v>45082</v>
      </c>
      <c r="C396" s="24">
        <v>45083</v>
      </c>
      <c r="D396" s="25" t="s">
        <v>98</v>
      </c>
      <c r="E396" s="25" t="s">
        <v>99</v>
      </c>
      <c r="F396" s="26">
        <v>14.667403</v>
      </c>
      <c r="G396" s="27">
        <v>0</v>
      </c>
      <c r="H396" s="26">
        <v>0</v>
      </c>
      <c r="I396" s="28">
        <v>0</v>
      </c>
      <c r="J396" s="28">
        <v>0</v>
      </c>
      <c r="K396" s="28">
        <v>0</v>
      </c>
      <c r="L396" s="29">
        <v>0</v>
      </c>
      <c r="M396" s="28">
        <v>0</v>
      </c>
      <c r="N396" s="29">
        <v>0</v>
      </c>
    </row>
    <row r="397" spans="2:15" x14ac:dyDescent="0.25">
      <c r="B397" s="24">
        <v>45082</v>
      </c>
      <c r="C397" s="24">
        <v>45083</v>
      </c>
      <c r="D397" s="25" t="s">
        <v>100</v>
      </c>
      <c r="E397" s="25" t="s">
        <v>101</v>
      </c>
      <c r="F397" s="26">
        <v>669.64672900000005</v>
      </c>
      <c r="G397" s="27">
        <v>209.470035</v>
      </c>
      <c r="H397" s="26">
        <v>207.3</v>
      </c>
      <c r="I397" s="28">
        <v>4.1081719999999997</v>
      </c>
      <c r="J397" s="28">
        <v>101.058487</v>
      </c>
      <c r="K397" s="28">
        <v>101.07299999999999</v>
      </c>
      <c r="L397" s="29">
        <v>93.738316999999995</v>
      </c>
      <c r="M397" s="28">
        <v>101.04300000000001</v>
      </c>
      <c r="N397" s="29">
        <v>1.5487000000000001E-2</v>
      </c>
    </row>
    <row r="398" spans="2:15" x14ac:dyDescent="0.25">
      <c r="B398" s="24">
        <v>45082</v>
      </c>
      <c r="C398" s="24">
        <v>45083</v>
      </c>
      <c r="D398" s="25" t="s">
        <v>102</v>
      </c>
      <c r="E398" s="25" t="s">
        <v>103</v>
      </c>
      <c r="F398" s="26">
        <v>0</v>
      </c>
      <c r="G398" s="27">
        <v>0</v>
      </c>
      <c r="H398" s="26">
        <v>0</v>
      </c>
      <c r="I398" s="28">
        <v>0</v>
      </c>
      <c r="J398" s="28">
        <v>0</v>
      </c>
      <c r="K398" s="28">
        <v>0</v>
      </c>
      <c r="L398" s="29">
        <v>0</v>
      </c>
      <c r="M398" s="28">
        <v>0</v>
      </c>
      <c r="N398" s="29">
        <v>0</v>
      </c>
    </row>
    <row r="399" spans="2:15" x14ac:dyDescent="0.25">
      <c r="B399" s="24">
        <v>45082</v>
      </c>
      <c r="C399" s="24">
        <v>45083</v>
      </c>
      <c r="D399" s="25" t="s">
        <v>104</v>
      </c>
      <c r="E399" s="25" t="s">
        <v>105</v>
      </c>
      <c r="F399" s="26">
        <v>425.34001899999998</v>
      </c>
      <c r="G399" s="27">
        <v>0</v>
      </c>
      <c r="H399" s="26">
        <v>0</v>
      </c>
      <c r="I399" s="28">
        <v>0</v>
      </c>
      <c r="J399" s="28">
        <v>0</v>
      </c>
      <c r="K399" s="28">
        <v>0</v>
      </c>
      <c r="L399" s="29">
        <v>0</v>
      </c>
      <c r="M399" s="28">
        <v>0</v>
      </c>
      <c r="N399" s="29">
        <v>0</v>
      </c>
    </row>
    <row r="400" spans="2:15" x14ac:dyDescent="0.25">
      <c r="B400" s="24">
        <v>45082</v>
      </c>
      <c r="C400" s="24">
        <v>45083</v>
      </c>
      <c r="D400" s="25" t="s">
        <v>106</v>
      </c>
      <c r="E400" s="25" t="s">
        <v>107</v>
      </c>
      <c r="F400" s="26">
        <v>0</v>
      </c>
      <c r="G400" s="27">
        <v>0</v>
      </c>
      <c r="H400" s="26">
        <v>0</v>
      </c>
      <c r="I400" s="28">
        <v>0</v>
      </c>
      <c r="J400" s="28">
        <v>0</v>
      </c>
      <c r="K400" s="28">
        <v>0</v>
      </c>
      <c r="L400" s="29">
        <v>0</v>
      </c>
      <c r="M400" s="28">
        <v>0</v>
      </c>
      <c r="N400" s="29">
        <v>0</v>
      </c>
    </row>
    <row r="401" spans="2:14" x14ac:dyDescent="0.25">
      <c r="B401" s="24">
        <v>45082</v>
      </c>
      <c r="C401" s="24">
        <v>45083</v>
      </c>
      <c r="D401" s="25" t="s">
        <v>108</v>
      </c>
      <c r="E401" s="25" t="s">
        <v>109</v>
      </c>
      <c r="F401" s="26">
        <v>10.849911000000001</v>
      </c>
      <c r="G401" s="27">
        <v>0</v>
      </c>
      <c r="H401" s="26">
        <v>0</v>
      </c>
      <c r="I401" s="28">
        <v>0</v>
      </c>
      <c r="J401" s="28">
        <v>0</v>
      </c>
      <c r="K401" s="28">
        <v>0</v>
      </c>
      <c r="L401" s="29">
        <v>0</v>
      </c>
      <c r="M401" s="28">
        <v>0</v>
      </c>
      <c r="N401" s="29">
        <v>0</v>
      </c>
    </row>
    <row r="402" spans="2:14" x14ac:dyDescent="0.25">
      <c r="B402" s="24">
        <v>45082</v>
      </c>
      <c r="C402" s="24">
        <v>45083</v>
      </c>
      <c r="D402" s="25" t="s">
        <v>110</v>
      </c>
      <c r="E402" s="25" t="s">
        <v>111</v>
      </c>
      <c r="F402" s="26">
        <v>65.182878000000002</v>
      </c>
      <c r="G402" s="27">
        <v>0</v>
      </c>
      <c r="H402" s="26">
        <v>0</v>
      </c>
      <c r="I402" s="28">
        <v>0</v>
      </c>
      <c r="J402" s="28">
        <v>0</v>
      </c>
      <c r="K402" s="28">
        <v>0</v>
      </c>
      <c r="L402" s="29">
        <v>0</v>
      </c>
      <c r="M402" s="28">
        <v>0</v>
      </c>
      <c r="N402" s="29">
        <v>0</v>
      </c>
    </row>
    <row r="403" spans="2:14" x14ac:dyDescent="0.25">
      <c r="B403" s="24">
        <v>45082</v>
      </c>
      <c r="C403" s="24">
        <v>45083</v>
      </c>
      <c r="D403" s="25" t="s">
        <v>112</v>
      </c>
      <c r="E403" s="25" t="s">
        <v>113</v>
      </c>
      <c r="F403" s="26">
        <v>0</v>
      </c>
      <c r="G403" s="27">
        <v>0</v>
      </c>
      <c r="H403" s="26">
        <v>0</v>
      </c>
      <c r="I403" s="28">
        <v>0</v>
      </c>
      <c r="J403" s="28">
        <v>0</v>
      </c>
      <c r="K403" s="28">
        <v>0</v>
      </c>
      <c r="L403" s="29">
        <v>0</v>
      </c>
      <c r="M403" s="28">
        <v>0</v>
      </c>
      <c r="N403" s="29">
        <v>0</v>
      </c>
    </row>
    <row r="404" spans="2:14" x14ac:dyDescent="0.25">
      <c r="B404" s="24">
        <v>45082</v>
      </c>
      <c r="C404" s="24">
        <v>45083</v>
      </c>
      <c r="D404" s="25" t="s">
        <v>114</v>
      </c>
      <c r="E404" s="25" t="s">
        <v>115</v>
      </c>
      <c r="F404" s="26">
        <v>19.722390000000001</v>
      </c>
      <c r="G404" s="27">
        <v>0</v>
      </c>
      <c r="H404" s="26">
        <v>0</v>
      </c>
      <c r="I404" s="28">
        <v>0</v>
      </c>
      <c r="J404" s="28">
        <v>0</v>
      </c>
      <c r="K404" s="28">
        <v>0</v>
      </c>
      <c r="L404" s="29">
        <v>0</v>
      </c>
      <c r="M404" s="28">
        <v>0</v>
      </c>
      <c r="N404" s="29">
        <v>0</v>
      </c>
    </row>
    <row r="405" spans="2:14" x14ac:dyDescent="0.25">
      <c r="B405" s="24">
        <v>45082</v>
      </c>
      <c r="C405" s="24">
        <v>45083</v>
      </c>
      <c r="D405" s="25" t="s">
        <v>116</v>
      </c>
      <c r="E405" s="25" t="s">
        <v>117</v>
      </c>
      <c r="F405" s="26">
        <v>0</v>
      </c>
      <c r="G405" s="27">
        <v>0</v>
      </c>
      <c r="H405" s="26">
        <v>0</v>
      </c>
      <c r="I405" s="28">
        <v>0</v>
      </c>
      <c r="J405" s="28">
        <v>0</v>
      </c>
      <c r="K405" s="28">
        <v>0</v>
      </c>
      <c r="L405" s="29">
        <v>0</v>
      </c>
      <c r="M405" s="28">
        <v>0</v>
      </c>
      <c r="N405" s="29">
        <v>0</v>
      </c>
    </row>
    <row r="406" spans="2:14" x14ac:dyDescent="0.25">
      <c r="B406" s="24">
        <v>45082</v>
      </c>
      <c r="C406" s="24">
        <v>45083</v>
      </c>
      <c r="D406" s="25" t="s">
        <v>118</v>
      </c>
      <c r="E406" s="25" t="s">
        <v>119</v>
      </c>
      <c r="F406" s="26">
        <v>66.025557000000006</v>
      </c>
      <c r="G406" s="27">
        <v>0</v>
      </c>
      <c r="H406" s="26">
        <v>0</v>
      </c>
      <c r="I406" s="28">
        <v>0</v>
      </c>
      <c r="J406" s="28">
        <v>0</v>
      </c>
      <c r="K406" s="28">
        <v>0</v>
      </c>
      <c r="L406" s="29">
        <v>0</v>
      </c>
      <c r="M406" s="28">
        <v>0</v>
      </c>
      <c r="N406" s="29">
        <v>0</v>
      </c>
    </row>
    <row r="407" spans="2:14" x14ac:dyDescent="0.25">
      <c r="B407" s="24">
        <v>45082</v>
      </c>
      <c r="C407" s="24">
        <v>45083</v>
      </c>
      <c r="D407" s="25" t="s">
        <v>124</v>
      </c>
      <c r="E407" s="25" t="s">
        <v>125</v>
      </c>
      <c r="F407" s="26">
        <v>57.088352999999998</v>
      </c>
      <c r="G407" s="27">
        <v>45.075437000000001</v>
      </c>
      <c r="H407" s="26">
        <v>45</v>
      </c>
      <c r="I407" s="28">
        <v>4.486065</v>
      </c>
      <c r="J407" s="28">
        <v>100.180007</v>
      </c>
      <c r="K407" s="28">
        <v>100.23</v>
      </c>
      <c r="L407" s="29">
        <v>100</v>
      </c>
      <c r="M407" s="28">
        <v>100.16</v>
      </c>
      <c r="N407" s="29">
        <v>2.0007E-2</v>
      </c>
    </row>
    <row r="408" spans="2:14" x14ac:dyDescent="0.25">
      <c r="B408" s="24">
        <v>45089</v>
      </c>
      <c r="C408" s="24">
        <v>45090</v>
      </c>
      <c r="D408" s="25" t="s">
        <v>126</v>
      </c>
      <c r="E408" s="25" t="s">
        <v>127</v>
      </c>
      <c r="F408" s="26">
        <v>0</v>
      </c>
      <c r="G408" s="27">
        <v>0</v>
      </c>
      <c r="H408" s="26">
        <v>0</v>
      </c>
      <c r="I408" s="28">
        <v>0</v>
      </c>
      <c r="J408" s="28">
        <v>0</v>
      </c>
      <c r="K408" s="28">
        <v>0</v>
      </c>
      <c r="L408" s="29">
        <v>0</v>
      </c>
      <c r="M408" s="28">
        <v>0</v>
      </c>
      <c r="N408" s="29">
        <v>0</v>
      </c>
    </row>
    <row r="409" spans="2:14" x14ac:dyDescent="0.25">
      <c r="B409" s="24">
        <v>45089</v>
      </c>
      <c r="C409" s="24">
        <v>45090</v>
      </c>
      <c r="D409" s="25" t="s">
        <v>128</v>
      </c>
      <c r="E409" s="25" t="s">
        <v>129</v>
      </c>
      <c r="F409" s="26">
        <v>0</v>
      </c>
      <c r="G409" s="27">
        <v>0</v>
      </c>
      <c r="H409" s="26">
        <v>0</v>
      </c>
      <c r="I409" s="28">
        <v>0</v>
      </c>
      <c r="J409" s="28">
        <v>0</v>
      </c>
      <c r="K409" s="28">
        <v>0</v>
      </c>
      <c r="L409" s="29">
        <v>0</v>
      </c>
      <c r="M409" s="28">
        <v>0</v>
      </c>
      <c r="N409" s="29">
        <v>0</v>
      </c>
    </row>
    <row r="410" spans="2:14" x14ac:dyDescent="0.25">
      <c r="B410" s="24">
        <v>45089</v>
      </c>
      <c r="C410" s="24">
        <v>45090</v>
      </c>
      <c r="D410" s="25" t="s">
        <v>130</v>
      </c>
      <c r="E410" s="25" t="s">
        <v>131</v>
      </c>
      <c r="F410" s="26">
        <v>0</v>
      </c>
      <c r="G410" s="27">
        <v>0</v>
      </c>
      <c r="H410" s="26">
        <v>0</v>
      </c>
      <c r="I410" s="28">
        <v>0</v>
      </c>
      <c r="J410" s="28">
        <v>0</v>
      </c>
      <c r="K410" s="28">
        <v>0</v>
      </c>
      <c r="L410" s="29">
        <v>0</v>
      </c>
      <c r="M410" s="28">
        <v>0</v>
      </c>
      <c r="N410" s="29">
        <v>0</v>
      </c>
    </row>
    <row r="411" spans="2:14" x14ac:dyDescent="0.25">
      <c r="B411" s="24">
        <v>45089</v>
      </c>
      <c r="C411" s="24">
        <v>45090</v>
      </c>
      <c r="D411" s="25" t="s">
        <v>132</v>
      </c>
      <c r="E411" s="25" t="s">
        <v>133</v>
      </c>
      <c r="F411" s="26">
        <v>0</v>
      </c>
      <c r="G411" s="27">
        <v>0</v>
      </c>
      <c r="H411" s="26">
        <v>0</v>
      </c>
      <c r="I411" s="28">
        <v>0</v>
      </c>
      <c r="J411" s="28">
        <v>0</v>
      </c>
      <c r="K411" s="28">
        <v>0</v>
      </c>
      <c r="L411" s="29">
        <v>0</v>
      </c>
      <c r="M411" s="28">
        <v>0</v>
      </c>
      <c r="N411" s="29">
        <v>0</v>
      </c>
    </row>
    <row r="412" spans="2:14" x14ac:dyDescent="0.25">
      <c r="B412" s="24">
        <v>45089</v>
      </c>
      <c r="C412" s="24">
        <v>45090</v>
      </c>
      <c r="D412" s="25" t="s">
        <v>134</v>
      </c>
      <c r="E412" s="25" t="s">
        <v>135</v>
      </c>
      <c r="F412" s="26">
        <v>103.25590099999999</v>
      </c>
      <c r="G412" s="27">
        <v>5.0749560000000002</v>
      </c>
      <c r="H412" s="26">
        <v>9</v>
      </c>
      <c r="I412" s="28">
        <v>4.5327679999999999</v>
      </c>
      <c r="J412" s="28">
        <v>55.8</v>
      </c>
      <c r="K412" s="28">
        <v>55.8</v>
      </c>
      <c r="L412" s="29">
        <v>100</v>
      </c>
      <c r="M412" s="28">
        <v>55.8</v>
      </c>
      <c r="N412" s="29">
        <v>0</v>
      </c>
    </row>
    <row r="413" spans="2:14" x14ac:dyDescent="0.25">
      <c r="B413" s="24">
        <v>45089</v>
      </c>
      <c r="C413" s="24">
        <v>45090</v>
      </c>
      <c r="D413" s="25" t="s">
        <v>136</v>
      </c>
      <c r="E413" s="25" t="s">
        <v>137</v>
      </c>
      <c r="F413" s="26">
        <v>0</v>
      </c>
      <c r="G413" s="27">
        <v>0</v>
      </c>
      <c r="H413" s="26">
        <v>0</v>
      </c>
      <c r="I413" s="28">
        <v>0</v>
      </c>
      <c r="J413" s="28">
        <v>0</v>
      </c>
      <c r="K413" s="28">
        <v>0</v>
      </c>
      <c r="L413" s="29">
        <v>0</v>
      </c>
      <c r="M413" s="28">
        <v>0</v>
      </c>
      <c r="N413" s="29">
        <v>0</v>
      </c>
    </row>
    <row r="414" spans="2:14" x14ac:dyDescent="0.25">
      <c r="B414" s="24">
        <v>45089</v>
      </c>
      <c r="C414" s="24">
        <v>45090</v>
      </c>
      <c r="D414" s="25" t="s">
        <v>138</v>
      </c>
      <c r="E414" s="25" t="s">
        <v>139</v>
      </c>
      <c r="F414" s="26">
        <v>0</v>
      </c>
      <c r="G414" s="27">
        <v>0</v>
      </c>
      <c r="H414" s="26">
        <v>0</v>
      </c>
      <c r="I414" s="28">
        <v>0</v>
      </c>
      <c r="J414" s="28">
        <v>0</v>
      </c>
      <c r="K414" s="28">
        <v>0</v>
      </c>
      <c r="L414" s="29">
        <v>0</v>
      </c>
      <c r="M414" s="28">
        <v>0</v>
      </c>
      <c r="N414" s="29">
        <v>0</v>
      </c>
    </row>
    <row r="415" spans="2:14" x14ac:dyDescent="0.25">
      <c r="B415" s="24">
        <v>45089</v>
      </c>
      <c r="C415" s="24">
        <v>45090</v>
      </c>
      <c r="D415" s="25" t="s">
        <v>140</v>
      </c>
      <c r="E415" s="25" t="s">
        <v>141</v>
      </c>
      <c r="F415" s="26">
        <v>7.8277590000000004</v>
      </c>
      <c r="G415" s="27">
        <v>0</v>
      </c>
      <c r="H415" s="26">
        <v>0</v>
      </c>
      <c r="I415" s="28">
        <v>0</v>
      </c>
      <c r="J415" s="28">
        <v>0</v>
      </c>
      <c r="K415" s="28">
        <v>0</v>
      </c>
      <c r="L415" s="29">
        <v>0</v>
      </c>
      <c r="M415" s="28">
        <v>0</v>
      </c>
      <c r="N415" s="29">
        <v>0</v>
      </c>
    </row>
    <row r="416" spans="2:14" x14ac:dyDescent="0.25">
      <c r="B416" s="24">
        <v>45089</v>
      </c>
      <c r="C416" s="24">
        <v>45090</v>
      </c>
      <c r="D416" s="25" t="s">
        <v>142</v>
      </c>
      <c r="E416" s="25" t="s">
        <v>143</v>
      </c>
      <c r="F416" s="26">
        <v>280.25543299999998</v>
      </c>
      <c r="G416" s="27">
        <v>44.625551000000002</v>
      </c>
      <c r="H416" s="26">
        <v>91</v>
      </c>
      <c r="I416" s="28">
        <v>4.4850250000000003</v>
      </c>
      <c r="J416" s="28">
        <v>48.579839</v>
      </c>
      <c r="K416" s="28">
        <v>48.610999999999997</v>
      </c>
      <c r="L416" s="29">
        <v>100</v>
      </c>
      <c r="M416" s="28">
        <v>48.523000000000003</v>
      </c>
      <c r="N416" s="29">
        <v>5.6839000000000001E-2</v>
      </c>
    </row>
    <row r="417" spans="2:14" x14ac:dyDescent="0.25">
      <c r="B417" s="24">
        <v>45089</v>
      </c>
      <c r="C417" s="24">
        <v>45090</v>
      </c>
      <c r="D417" s="25" t="s">
        <v>144</v>
      </c>
      <c r="E417" s="25" t="s">
        <v>145</v>
      </c>
      <c r="F417" s="26">
        <v>44.595996999999997</v>
      </c>
      <c r="G417" s="27">
        <v>44.595996999999997</v>
      </c>
      <c r="H417" s="26">
        <v>50</v>
      </c>
      <c r="I417" s="28">
        <v>4.5116959999999997</v>
      </c>
      <c r="J417" s="28">
        <v>87.721000000000004</v>
      </c>
      <c r="K417" s="28">
        <v>87.721000000000004</v>
      </c>
      <c r="L417" s="29">
        <v>100</v>
      </c>
      <c r="M417" s="28">
        <v>87.721000000000004</v>
      </c>
      <c r="N417" s="29">
        <v>0</v>
      </c>
    </row>
    <row r="418" spans="2:14" x14ac:dyDescent="0.25">
      <c r="B418" s="24">
        <v>45089</v>
      </c>
      <c r="C418" s="24">
        <v>45090</v>
      </c>
      <c r="D418" s="25" t="s">
        <v>146</v>
      </c>
      <c r="E418" s="25" t="s">
        <v>147</v>
      </c>
      <c r="F418" s="26">
        <v>435.964428</v>
      </c>
      <c r="G418" s="27">
        <v>435.964428</v>
      </c>
      <c r="H418" s="26">
        <v>846</v>
      </c>
      <c r="I418" s="28">
        <v>4.4802949999999999</v>
      </c>
      <c r="J418" s="28">
        <v>50.981338999999998</v>
      </c>
      <c r="K418" s="28">
        <v>51.003</v>
      </c>
      <c r="L418" s="29">
        <v>100</v>
      </c>
      <c r="M418" s="28">
        <v>50.96</v>
      </c>
      <c r="N418" s="29">
        <v>2.1339E-2</v>
      </c>
    </row>
    <row r="419" spans="2:14" x14ac:dyDescent="0.25">
      <c r="B419" s="24">
        <v>45089</v>
      </c>
      <c r="C419" s="24">
        <v>45090</v>
      </c>
      <c r="D419" s="25" t="s">
        <v>148</v>
      </c>
      <c r="E419" s="25" t="s">
        <v>149</v>
      </c>
      <c r="F419" s="26">
        <v>2.6280429999999999</v>
      </c>
      <c r="G419" s="27">
        <v>2.628044</v>
      </c>
      <c r="H419" s="26">
        <v>5</v>
      </c>
      <c r="I419" s="28">
        <v>4.4639709999999999</v>
      </c>
      <c r="J419" s="28">
        <v>52.33</v>
      </c>
      <c r="K419" s="28">
        <v>52.33</v>
      </c>
      <c r="L419" s="29">
        <v>100</v>
      </c>
      <c r="M419" s="28">
        <v>52.33</v>
      </c>
      <c r="N419" s="29">
        <v>0</v>
      </c>
    </row>
    <row r="420" spans="2:14" x14ac:dyDescent="0.25">
      <c r="B420" s="24">
        <v>45089</v>
      </c>
      <c r="C420" s="24">
        <v>45090</v>
      </c>
      <c r="D420" s="25" t="s">
        <v>150</v>
      </c>
      <c r="E420" s="25" t="s">
        <v>151</v>
      </c>
      <c r="F420" s="26">
        <v>191.251724</v>
      </c>
      <c r="G420" s="27">
        <v>71.281727000000004</v>
      </c>
      <c r="H420" s="26">
        <v>74</v>
      </c>
      <c r="I420" s="28">
        <v>4.4694739999999999</v>
      </c>
      <c r="J420" s="28">
        <v>96.257007000000002</v>
      </c>
      <c r="K420" s="28">
        <v>96.290999999999997</v>
      </c>
      <c r="L420" s="29">
        <v>100</v>
      </c>
      <c r="M420" s="28">
        <v>96.183000000000007</v>
      </c>
      <c r="N420" s="29">
        <v>7.4007000000000003E-2</v>
      </c>
    </row>
    <row r="421" spans="2:14" x14ac:dyDescent="0.25">
      <c r="B421" s="24">
        <v>45089</v>
      </c>
      <c r="C421" s="24">
        <v>45090</v>
      </c>
      <c r="D421" s="25" t="s">
        <v>152</v>
      </c>
      <c r="E421" s="25" t="s">
        <v>153</v>
      </c>
      <c r="F421" s="26">
        <v>0</v>
      </c>
      <c r="G421" s="27">
        <v>0</v>
      </c>
      <c r="H421" s="26">
        <v>0</v>
      </c>
      <c r="I421" s="28">
        <v>0</v>
      </c>
      <c r="J421" s="28">
        <v>0</v>
      </c>
      <c r="K421" s="28">
        <v>0</v>
      </c>
      <c r="L421" s="29">
        <v>0</v>
      </c>
      <c r="M421" s="28">
        <v>0</v>
      </c>
      <c r="N421" s="29">
        <v>0</v>
      </c>
    </row>
    <row r="422" spans="2:14" x14ac:dyDescent="0.25">
      <c r="B422" s="24">
        <v>45089</v>
      </c>
      <c r="C422" s="24">
        <v>45090</v>
      </c>
      <c r="D422" s="25" t="s">
        <v>154</v>
      </c>
      <c r="E422" s="25" t="s">
        <v>155</v>
      </c>
      <c r="F422" s="26">
        <v>18.885012</v>
      </c>
      <c r="G422" s="27">
        <v>18.885012</v>
      </c>
      <c r="H422" s="26">
        <v>20</v>
      </c>
      <c r="I422" s="28">
        <v>4.3940020000000004</v>
      </c>
      <c r="J422" s="28">
        <v>92.855999999999995</v>
      </c>
      <c r="K422" s="28">
        <v>92.855999999999995</v>
      </c>
      <c r="L422" s="29">
        <v>100</v>
      </c>
      <c r="M422" s="28">
        <v>92.855999999999995</v>
      </c>
      <c r="N422" s="29">
        <v>0</v>
      </c>
    </row>
    <row r="423" spans="2:14" x14ac:dyDescent="0.25">
      <c r="B423" s="24">
        <v>45089</v>
      </c>
      <c r="C423" s="24">
        <v>45090</v>
      </c>
      <c r="D423" s="25" t="s">
        <v>156</v>
      </c>
      <c r="E423" s="25" t="s">
        <v>157</v>
      </c>
      <c r="F423" s="26">
        <v>173.494944</v>
      </c>
      <c r="G423" s="27">
        <v>100.774066</v>
      </c>
      <c r="H423" s="26">
        <v>340.4</v>
      </c>
      <c r="I423" s="28">
        <v>4.228828</v>
      </c>
      <c r="J423" s="28">
        <v>29.533657999999999</v>
      </c>
      <c r="K423" s="28">
        <v>29.593</v>
      </c>
      <c r="L423" s="29">
        <v>18.636362999999999</v>
      </c>
      <c r="M423" s="28">
        <v>29.413</v>
      </c>
      <c r="N423" s="29">
        <v>0.120658</v>
      </c>
    </row>
    <row r="424" spans="2:14" x14ac:dyDescent="0.25">
      <c r="B424" s="24">
        <v>45089</v>
      </c>
      <c r="C424" s="24">
        <v>45090</v>
      </c>
      <c r="D424" s="25" t="s">
        <v>158</v>
      </c>
      <c r="E424" s="25" t="s">
        <v>159</v>
      </c>
      <c r="F424" s="26">
        <v>3.2845330000000001</v>
      </c>
      <c r="G424" s="27">
        <v>3.2845330000000001</v>
      </c>
      <c r="H424" s="26">
        <v>5</v>
      </c>
      <c r="I424" s="28">
        <v>4.3288549999999999</v>
      </c>
      <c r="J424" s="28">
        <v>64.709999999999994</v>
      </c>
      <c r="K424" s="28">
        <v>64.709999999999994</v>
      </c>
      <c r="L424" s="29">
        <v>100</v>
      </c>
      <c r="M424" s="28">
        <v>64.709999999999994</v>
      </c>
      <c r="N424" s="29">
        <v>0</v>
      </c>
    </row>
    <row r="425" spans="2:14" x14ac:dyDescent="0.25">
      <c r="B425" s="24">
        <v>45089</v>
      </c>
      <c r="C425" s="24">
        <v>45090</v>
      </c>
      <c r="D425" s="25" t="s">
        <v>160</v>
      </c>
      <c r="E425" s="25" t="s">
        <v>161</v>
      </c>
      <c r="F425" s="26">
        <v>16.987584999999999</v>
      </c>
      <c r="G425" s="27">
        <v>16.987586</v>
      </c>
      <c r="H425" s="26">
        <v>20</v>
      </c>
      <c r="I425" s="28">
        <v>4.3322719999999997</v>
      </c>
      <c r="J425" s="28">
        <v>83.565084999999996</v>
      </c>
      <c r="K425" s="28">
        <v>83.65</v>
      </c>
      <c r="L425" s="29">
        <v>100</v>
      </c>
      <c r="M425" s="28">
        <v>83.48</v>
      </c>
      <c r="N425" s="29">
        <v>8.5084999999999994E-2</v>
      </c>
    </row>
    <row r="426" spans="2:14" x14ac:dyDescent="0.25">
      <c r="B426" s="24">
        <v>45089</v>
      </c>
      <c r="C426" s="24">
        <v>45090</v>
      </c>
      <c r="D426" s="25" t="s">
        <v>162</v>
      </c>
      <c r="E426" s="25" t="s">
        <v>163</v>
      </c>
      <c r="F426" s="26">
        <v>25.869980000000002</v>
      </c>
      <c r="G426" s="27">
        <v>25.869980999999999</v>
      </c>
      <c r="H426" s="26">
        <v>55</v>
      </c>
      <c r="I426" s="28">
        <v>4.2082750000000004</v>
      </c>
      <c r="J426" s="28">
        <v>46.805506999999999</v>
      </c>
      <c r="K426" s="28">
        <v>46.86</v>
      </c>
      <c r="L426" s="29">
        <v>100</v>
      </c>
      <c r="M426" s="28">
        <v>46.76</v>
      </c>
      <c r="N426" s="29">
        <v>4.5506999999999999E-2</v>
      </c>
    </row>
    <row r="427" spans="2:14" x14ac:dyDescent="0.25">
      <c r="B427" s="24">
        <v>45092</v>
      </c>
      <c r="C427" s="24">
        <v>45093</v>
      </c>
      <c r="D427" s="25" t="s">
        <v>78</v>
      </c>
      <c r="E427" s="25" t="s">
        <v>79</v>
      </c>
      <c r="F427" s="26">
        <v>356.21923199999998</v>
      </c>
      <c r="G427" s="27">
        <v>333.40652499999999</v>
      </c>
      <c r="H427" s="26">
        <v>365</v>
      </c>
      <c r="I427" s="28">
        <v>4.7463249999999997</v>
      </c>
      <c r="J427" s="28">
        <v>90.743425999999999</v>
      </c>
      <c r="K427" s="28">
        <v>90.76</v>
      </c>
      <c r="L427" s="29">
        <v>100</v>
      </c>
      <c r="M427" s="28">
        <v>90.72</v>
      </c>
      <c r="N427" s="29">
        <v>2.3425999999999999E-2</v>
      </c>
    </row>
    <row r="428" spans="2:14" x14ac:dyDescent="0.25">
      <c r="B428" s="24">
        <v>45092</v>
      </c>
      <c r="C428" s="24">
        <v>45093</v>
      </c>
      <c r="D428" s="25" t="s">
        <v>80</v>
      </c>
      <c r="E428" s="25" t="s">
        <v>81</v>
      </c>
      <c r="F428" s="26">
        <v>207.132845</v>
      </c>
      <c r="G428" s="27">
        <v>207.132846</v>
      </c>
      <c r="H428" s="26">
        <v>240</v>
      </c>
      <c r="I428" s="28">
        <v>4.873882</v>
      </c>
      <c r="J428" s="28">
        <v>86.249008000000003</v>
      </c>
      <c r="K428" s="28">
        <v>86.29</v>
      </c>
      <c r="L428" s="29">
        <v>100</v>
      </c>
      <c r="M428" s="28">
        <v>86.203999999999994</v>
      </c>
      <c r="N428" s="29">
        <v>4.5007999999999999E-2</v>
      </c>
    </row>
    <row r="429" spans="2:14" x14ac:dyDescent="0.25">
      <c r="B429" s="24">
        <v>45092</v>
      </c>
      <c r="C429" s="24">
        <v>45093</v>
      </c>
      <c r="D429" s="25" t="s">
        <v>82</v>
      </c>
      <c r="E429" s="25" t="s">
        <v>83</v>
      </c>
      <c r="F429" s="26">
        <v>231.890523</v>
      </c>
      <c r="G429" s="27">
        <v>12.313796999999999</v>
      </c>
      <c r="H429" s="26">
        <v>14</v>
      </c>
      <c r="I429" s="28">
        <v>4.6458110000000001</v>
      </c>
      <c r="J429" s="28">
        <v>87.455001999999993</v>
      </c>
      <c r="K429" s="28">
        <v>87.47</v>
      </c>
      <c r="L429" s="29">
        <v>100</v>
      </c>
      <c r="M429" s="28">
        <v>87.44</v>
      </c>
      <c r="N429" s="29">
        <v>1.5002E-2</v>
      </c>
    </row>
    <row r="430" spans="2:14" x14ac:dyDescent="0.25">
      <c r="B430" s="24">
        <v>45092</v>
      </c>
      <c r="C430" s="24">
        <v>45093</v>
      </c>
      <c r="D430" s="25" t="s">
        <v>84</v>
      </c>
      <c r="E430" s="25" t="s">
        <v>85</v>
      </c>
      <c r="F430" s="26">
        <v>0</v>
      </c>
      <c r="G430" s="27">
        <v>0</v>
      </c>
      <c r="H430" s="26">
        <v>0</v>
      </c>
      <c r="I430" s="28">
        <v>0</v>
      </c>
      <c r="J430" s="28">
        <v>0</v>
      </c>
      <c r="K430" s="28">
        <v>0</v>
      </c>
      <c r="L430" s="29">
        <v>0</v>
      </c>
      <c r="M430" s="28">
        <v>0</v>
      </c>
      <c r="N430" s="29">
        <v>0</v>
      </c>
    </row>
    <row r="431" spans="2:14" x14ac:dyDescent="0.25">
      <c r="B431" s="24">
        <v>45092</v>
      </c>
      <c r="C431" s="24">
        <v>45093</v>
      </c>
      <c r="D431" s="25" t="s">
        <v>86</v>
      </c>
      <c r="E431" s="25" t="s">
        <v>87</v>
      </c>
      <c r="F431" s="26">
        <v>40.793480000000002</v>
      </c>
      <c r="G431" s="27">
        <v>40.793481</v>
      </c>
      <c r="H431" s="26">
        <v>50</v>
      </c>
      <c r="I431" s="28">
        <v>4.6023550000000002</v>
      </c>
      <c r="J431" s="28">
        <v>81.540000000000006</v>
      </c>
      <c r="K431" s="28">
        <v>81.540000000000006</v>
      </c>
      <c r="L431" s="29">
        <v>100</v>
      </c>
      <c r="M431" s="28">
        <v>81.540000000000006</v>
      </c>
      <c r="N431" s="29">
        <v>0</v>
      </c>
    </row>
    <row r="432" spans="2:14" x14ac:dyDescent="0.25">
      <c r="B432" s="24">
        <v>45092</v>
      </c>
      <c r="C432" s="24">
        <v>45093</v>
      </c>
      <c r="D432" s="25" t="s">
        <v>88</v>
      </c>
      <c r="E432" s="25" t="s">
        <v>89</v>
      </c>
      <c r="F432" s="26">
        <v>534.14438600000005</v>
      </c>
      <c r="G432" s="27">
        <v>176.33834899999999</v>
      </c>
      <c r="H432" s="26">
        <v>203.6</v>
      </c>
      <c r="I432" s="28">
        <v>4.5224159999999998</v>
      </c>
      <c r="J432" s="28">
        <v>86.366004000000004</v>
      </c>
      <c r="K432" s="28">
        <v>86.44</v>
      </c>
      <c r="L432" s="29">
        <v>84.599998999999997</v>
      </c>
      <c r="M432" s="28">
        <v>86.35</v>
      </c>
      <c r="N432" s="29">
        <v>1.6004000000000001E-2</v>
      </c>
    </row>
    <row r="433" spans="2:14" x14ac:dyDescent="0.25">
      <c r="B433" s="24">
        <v>45092</v>
      </c>
      <c r="C433" s="24">
        <v>45093</v>
      </c>
      <c r="D433" s="25" t="s">
        <v>90</v>
      </c>
      <c r="E433" s="25" t="s">
        <v>91</v>
      </c>
      <c r="F433" s="26">
        <v>0</v>
      </c>
      <c r="G433" s="27">
        <v>0</v>
      </c>
      <c r="H433" s="26">
        <v>0</v>
      </c>
      <c r="I433" s="28">
        <v>0</v>
      </c>
      <c r="J433" s="28">
        <v>0</v>
      </c>
      <c r="K433" s="28">
        <v>0</v>
      </c>
      <c r="L433" s="29">
        <v>0</v>
      </c>
      <c r="M433" s="28">
        <v>0</v>
      </c>
      <c r="N433" s="29">
        <v>0</v>
      </c>
    </row>
    <row r="434" spans="2:14" x14ac:dyDescent="0.25">
      <c r="B434" s="24">
        <v>45092</v>
      </c>
      <c r="C434" s="24">
        <v>45093</v>
      </c>
      <c r="D434" s="25" t="s">
        <v>120</v>
      </c>
      <c r="E434" s="25" t="s">
        <v>121</v>
      </c>
      <c r="F434" s="26">
        <v>277.15745800000002</v>
      </c>
      <c r="G434" s="27">
        <v>0</v>
      </c>
      <c r="H434" s="26">
        <v>0</v>
      </c>
      <c r="I434" s="28">
        <v>0</v>
      </c>
      <c r="J434" s="28">
        <v>0</v>
      </c>
      <c r="K434" s="28">
        <v>0</v>
      </c>
      <c r="L434" s="29">
        <v>0</v>
      </c>
      <c r="M434" s="28">
        <v>0</v>
      </c>
      <c r="N434" s="29">
        <v>0</v>
      </c>
    </row>
    <row r="435" spans="2:14" x14ac:dyDescent="0.25">
      <c r="B435" s="24">
        <v>45092</v>
      </c>
      <c r="C435" s="24">
        <v>45093</v>
      </c>
      <c r="D435" s="25" t="s">
        <v>92</v>
      </c>
      <c r="E435" s="25" t="s">
        <v>93</v>
      </c>
      <c r="F435" s="26">
        <v>0</v>
      </c>
      <c r="G435" s="27">
        <v>0</v>
      </c>
      <c r="H435" s="26">
        <v>0</v>
      </c>
      <c r="I435" s="28">
        <v>0</v>
      </c>
      <c r="J435" s="28">
        <v>0</v>
      </c>
      <c r="K435" s="28">
        <v>0</v>
      </c>
      <c r="L435" s="29">
        <v>0</v>
      </c>
      <c r="M435" s="28">
        <v>0</v>
      </c>
      <c r="N435" s="29">
        <v>0</v>
      </c>
    </row>
    <row r="436" spans="2:14" x14ac:dyDescent="0.25">
      <c r="B436" s="24">
        <v>45096</v>
      </c>
      <c r="C436" s="24">
        <v>45097</v>
      </c>
      <c r="D436" s="25" t="s">
        <v>94</v>
      </c>
      <c r="E436" s="25" t="s">
        <v>95</v>
      </c>
      <c r="F436" s="26">
        <v>0</v>
      </c>
      <c r="G436" s="27">
        <v>0</v>
      </c>
      <c r="H436" s="26">
        <v>0</v>
      </c>
      <c r="I436" s="28">
        <v>0</v>
      </c>
      <c r="J436" s="28">
        <v>0</v>
      </c>
      <c r="K436" s="28">
        <v>0</v>
      </c>
      <c r="L436" s="29">
        <v>0</v>
      </c>
      <c r="M436" s="28">
        <v>0</v>
      </c>
      <c r="N436" s="29">
        <v>0</v>
      </c>
    </row>
    <row r="437" spans="2:14" x14ac:dyDescent="0.25">
      <c r="B437" s="24">
        <v>45096</v>
      </c>
      <c r="C437" s="24">
        <v>45097</v>
      </c>
      <c r="D437" s="25" t="s">
        <v>96</v>
      </c>
      <c r="E437" s="25" t="s">
        <v>97</v>
      </c>
      <c r="F437" s="26">
        <v>204.3</v>
      </c>
      <c r="G437" s="27">
        <v>204.3</v>
      </c>
      <c r="H437" s="26">
        <v>200</v>
      </c>
      <c r="I437" s="28">
        <v>4.4379999999999997</v>
      </c>
      <c r="J437" s="28">
        <v>101.962</v>
      </c>
      <c r="K437" s="28">
        <v>101.98099999999999</v>
      </c>
      <c r="L437" s="29">
        <v>100</v>
      </c>
      <c r="M437" s="28">
        <v>101.93300000000001</v>
      </c>
      <c r="N437" s="29">
        <v>0.03</v>
      </c>
    </row>
    <row r="438" spans="2:14" x14ac:dyDescent="0.25">
      <c r="B438" s="24">
        <v>45096</v>
      </c>
      <c r="C438" s="24">
        <v>45097</v>
      </c>
      <c r="D438" s="25" t="s">
        <v>98</v>
      </c>
      <c r="E438" s="25" t="s">
        <v>99</v>
      </c>
      <c r="F438" s="26">
        <v>17.899999999999999</v>
      </c>
      <c r="G438" s="27">
        <v>0</v>
      </c>
      <c r="H438" s="26">
        <v>0</v>
      </c>
      <c r="I438" s="28">
        <v>0</v>
      </c>
      <c r="J438" s="28">
        <v>0</v>
      </c>
      <c r="K438" s="28">
        <v>0</v>
      </c>
      <c r="L438" s="29">
        <v>0</v>
      </c>
      <c r="M438" s="28">
        <v>0</v>
      </c>
      <c r="N438" s="29">
        <v>0</v>
      </c>
    </row>
    <row r="439" spans="2:14" x14ac:dyDescent="0.25">
      <c r="B439" s="24">
        <v>45096</v>
      </c>
      <c r="C439" s="24">
        <v>45097</v>
      </c>
      <c r="D439" s="25" t="s">
        <v>100</v>
      </c>
      <c r="E439" s="25" t="s">
        <v>101</v>
      </c>
      <c r="F439" s="26">
        <v>692.9</v>
      </c>
      <c r="G439" s="27">
        <v>336.8</v>
      </c>
      <c r="H439" s="26">
        <v>339.6</v>
      </c>
      <c r="I439" s="28">
        <v>4.3819999999999997</v>
      </c>
      <c r="J439" s="28">
        <v>99.027000000000001</v>
      </c>
      <c r="K439" s="28">
        <v>99.063000000000002</v>
      </c>
      <c r="L439" s="29">
        <v>29.6</v>
      </c>
      <c r="M439" s="28">
        <v>98.962999999999994</v>
      </c>
      <c r="N439" s="29">
        <v>0.06</v>
      </c>
    </row>
    <row r="440" spans="2:14" x14ac:dyDescent="0.25">
      <c r="B440" s="24">
        <v>45096</v>
      </c>
      <c r="C440" s="24">
        <v>45097</v>
      </c>
      <c r="D440" s="25" t="s">
        <v>122</v>
      </c>
      <c r="E440" s="25" t="s">
        <v>123</v>
      </c>
      <c r="F440" s="26">
        <v>82</v>
      </c>
      <c r="G440" s="27">
        <v>0</v>
      </c>
      <c r="H440" s="26">
        <v>0</v>
      </c>
      <c r="I440" s="28">
        <v>0</v>
      </c>
      <c r="J440" s="28">
        <v>0</v>
      </c>
      <c r="K440" s="28">
        <v>0</v>
      </c>
      <c r="L440" s="29">
        <v>0</v>
      </c>
      <c r="M440" s="28">
        <v>0</v>
      </c>
      <c r="N440" s="29">
        <v>0</v>
      </c>
    </row>
    <row r="441" spans="2:14" x14ac:dyDescent="0.25">
      <c r="B441" s="24">
        <v>45096</v>
      </c>
      <c r="C441" s="24">
        <v>45097</v>
      </c>
      <c r="D441" s="25" t="s">
        <v>102</v>
      </c>
      <c r="E441" s="25" t="s">
        <v>103</v>
      </c>
      <c r="F441" s="26">
        <v>150.69999999999999</v>
      </c>
      <c r="G441" s="27">
        <v>0</v>
      </c>
      <c r="H441" s="26">
        <v>0</v>
      </c>
      <c r="I441" s="28">
        <v>0</v>
      </c>
      <c r="J441" s="28">
        <v>0</v>
      </c>
      <c r="K441" s="28">
        <v>0</v>
      </c>
      <c r="L441" s="29">
        <v>0</v>
      </c>
      <c r="M441" s="28">
        <v>0</v>
      </c>
      <c r="N441" s="29">
        <v>0</v>
      </c>
    </row>
    <row r="442" spans="2:14" x14ac:dyDescent="0.25">
      <c r="B442" s="24">
        <v>45096</v>
      </c>
      <c r="C442" s="24">
        <v>45097</v>
      </c>
      <c r="D442" s="25" t="s">
        <v>104</v>
      </c>
      <c r="E442" s="25" t="s">
        <v>105</v>
      </c>
      <c r="F442" s="26">
        <v>258.5</v>
      </c>
      <c r="G442" s="27">
        <v>0</v>
      </c>
      <c r="H442" s="26">
        <v>0</v>
      </c>
      <c r="I442" s="28">
        <v>0</v>
      </c>
      <c r="J442" s="28">
        <v>0</v>
      </c>
      <c r="K442" s="28">
        <v>0</v>
      </c>
      <c r="L442" s="29">
        <v>0</v>
      </c>
      <c r="M442" s="28">
        <v>0</v>
      </c>
      <c r="N442" s="29">
        <v>0</v>
      </c>
    </row>
    <row r="443" spans="2:14" x14ac:dyDescent="0.25">
      <c r="B443" s="24">
        <v>45096</v>
      </c>
      <c r="C443" s="24">
        <v>45097</v>
      </c>
      <c r="D443" s="25" t="s">
        <v>106</v>
      </c>
      <c r="E443" s="25" t="s">
        <v>107</v>
      </c>
      <c r="F443" s="26">
        <v>0</v>
      </c>
      <c r="G443" s="27">
        <v>0</v>
      </c>
      <c r="H443" s="26">
        <v>0</v>
      </c>
      <c r="I443" s="28">
        <v>0</v>
      </c>
      <c r="J443" s="28">
        <v>0</v>
      </c>
      <c r="K443" s="28">
        <v>0</v>
      </c>
      <c r="L443" s="29">
        <v>0</v>
      </c>
      <c r="M443" s="28">
        <v>0</v>
      </c>
      <c r="N443" s="29">
        <v>0</v>
      </c>
    </row>
    <row r="444" spans="2:14" x14ac:dyDescent="0.25">
      <c r="B444" s="24">
        <v>45096</v>
      </c>
      <c r="C444" s="24">
        <v>45097</v>
      </c>
      <c r="D444" s="25" t="s">
        <v>108</v>
      </c>
      <c r="E444" s="25" t="s">
        <v>109</v>
      </c>
      <c r="F444" s="26">
        <v>21.3</v>
      </c>
      <c r="G444" s="27">
        <v>0</v>
      </c>
      <c r="H444" s="26">
        <v>0</v>
      </c>
      <c r="I444" s="28">
        <v>0</v>
      </c>
      <c r="J444" s="28">
        <v>0</v>
      </c>
      <c r="K444" s="28">
        <v>0</v>
      </c>
      <c r="L444" s="29">
        <v>0</v>
      </c>
      <c r="M444" s="28">
        <v>0</v>
      </c>
      <c r="N444" s="29">
        <v>0</v>
      </c>
    </row>
    <row r="445" spans="2:14" x14ac:dyDescent="0.25">
      <c r="B445" s="24">
        <v>45096</v>
      </c>
      <c r="C445" s="24">
        <v>45097</v>
      </c>
      <c r="D445" s="25" t="s">
        <v>110</v>
      </c>
      <c r="E445" s="25" t="s">
        <v>111</v>
      </c>
      <c r="F445" s="26">
        <v>51.9</v>
      </c>
      <c r="G445" s="27">
        <v>0</v>
      </c>
      <c r="H445" s="26">
        <v>0</v>
      </c>
      <c r="I445" s="28">
        <v>0</v>
      </c>
      <c r="J445" s="28">
        <v>0</v>
      </c>
      <c r="K445" s="28">
        <v>0</v>
      </c>
      <c r="L445" s="29">
        <v>0</v>
      </c>
      <c r="M445" s="28">
        <v>0</v>
      </c>
      <c r="N445" s="29">
        <v>0</v>
      </c>
    </row>
    <row r="446" spans="2:14" x14ac:dyDescent="0.25">
      <c r="B446" s="24">
        <v>45096</v>
      </c>
      <c r="C446" s="24">
        <v>45097</v>
      </c>
      <c r="D446" s="25" t="s">
        <v>112</v>
      </c>
      <c r="E446" s="25" t="s">
        <v>113</v>
      </c>
      <c r="F446" s="26">
        <v>0</v>
      </c>
      <c r="G446" s="27">
        <v>0</v>
      </c>
      <c r="H446" s="26">
        <v>0</v>
      </c>
      <c r="I446" s="28">
        <v>0</v>
      </c>
      <c r="J446" s="28">
        <v>0</v>
      </c>
      <c r="K446" s="28">
        <v>0</v>
      </c>
      <c r="L446" s="29">
        <v>0</v>
      </c>
      <c r="M446" s="28">
        <v>0</v>
      </c>
      <c r="N446" s="29">
        <v>0</v>
      </c>
    </row>
    <row r="447" spans="2:14" x14ac:dyDescent="0.25">
      <c r="B447" s="24">
        <v>45096</v>
      </c>
      <c r="C447" s="24">
        <v>45097</v>
      </c>
      <c r="D447" s="25" t="s">
        <v>114</v>
      </c>
      <c r="E447" s="25" t="s">
        <v>115</v>
      </c>
      <c r="F447" s="26">
        <v>0</v>
      </c>
      <c r="G447" s="27">
        <v>0</v>
      </c>
      <c r="H447" s="26">
        <v>0</v>
      </c>
      <c r="I447" s="28">
        <v>0</v>
      </c>
      <c r="J447" s="28">
        <v>0</v>
      </c>
      <c r="K447" s="28">
        <v>0</v>
      </c>
      <c r="L447" s="29">
        <v>0</v>
      </c>
      <c r="M447" s="28">
        <v>0</v>
      </c>
      <c r="N447" s="29">
        <v>0</v>
      </c>
    </row>
    <row r="448" spans="2:14" x14ac:dyDescent="0.25">
      <c r="B448" s="24">
        <v>45096</v>
      </c>
      <c r="C448" s="24">
        <v>45097</v>
      </c>
      <c r="D448" s="25" t="s">
        <v>116</v>
      </c>
      <c r="E448" s="25" t="s">
        <v>117</v>
      </c>
      <c r="F448" s="26">
        <v>0</v>
      </c>
      <c r="G448" s="27">
        <v>0</v>
      </c>
      <c r="H448" s="26">
        <v>0</v>
      </c>
      <c r="I448" s="28">
        <v>0</v>
      </c>
      <c r="J448" s="28">
        <v>0</v>
      </c>
      <c r="K448" s="28">
        <v>0</v>
      </c>
      <c r="L448" s="29">
        <v>0</v>
      </c>
      <c r="M448" s="28">
        <v>0</v>
      </c>
      <c r="N448" s="29">
        <v>0</v>
      </c>
    </row>
    <row r="449" spans="2:14" x14ac:dyDescent="0.25">
      <c r="B449" s="24">
        <v>45096</v>
      </c>
      <c r="C449" s="24">
        <v>45097</v>
      </c>
      <c r="D449" s="25" t="s">
        <v>118</v>
      </c>
      <c r="E449" s="25" t="s">
        <v>119</v>
      </c>
      <c r="F449" s="26">
        <v>224.8</v>
      </c>
      <c r="G449" s="27">
        <v>198.2</v>
      </c>
      <c r="H449" s="26">
        <v>334</v>
      </c>
      <c r="I449" s="28">
        <v>4.5640000000000001</v>
      </c>
      <c r="J449" s="28">
        <v>59.13</v>
      </c>
      <c r="K449" s="28">
        <v>59.18</v>
      </c>
      <c r="L449" s="29">
        <v>100</v>
      </c>
      <c r="M449" s="28">
        <v>59.040999999999997</v>
      </c>
      <c r="N449" s="29">
        <v>0.09</v>
      </c>
    </row>
    <row r="450" spans="2:14" x14ac:dyDescent="0.25">
      <c r="B450" s="24">
        <v>45096</v>
      </c>
      <c r="C450" s="24">
        <v>45097</v>
      </c>
      <c r="D450" s="25" t="s">
        <v>124</v>
      </c>
      <c r="E450" s="25" t="s">
        <v>125</v>
      </c>
      <c r="F450" s="26">
        <v>50.5</v>
      </c>
      <c r="G450" s="27">
        <v>30.7</v>
      </c>
      <c r="H450" s="26">
        <v>31</v>
      </c>
      <c r="I450" s="28">
        <v>4.5949999999999998</v>
      </c>
      <c r="J450" s="28">
        <v>98.79</v>
      </c>
      <c r="K450" s="28">
        <v>98.79</v>
      </c>
      <c r="L450" s="29">
        <v>100</v>
      </c>
      <c r="M450" s="28">
        <v>98.79</v>
      </c>
      <c r="N450" s="29">
        <v>0</v>
      </c>
    </row>
    <row r="451" spans="2:14" x14ac:dyDescent="0.25">
      <c r="B451" s="58">
        <v>45103</v>
      </c>
      <c r="C451" s="58">
        <v>45104</v>
      </c>
      <c r="D451" s="58" t="s">
        <v>126</v>
      </c>
      <c r="E451" s="58" t="s">
        <v>127</v>
      </c>
      <c r="F451" s="59">
        <v>17.01191</v>
      </c>
      <c r="G451" s="59">
        <v>0</v>
      </c>
      <c r="H451" s="60">
        <v>0</v>
      </c>
      <c r="I451" s="61">
        <v>0</v>
      </c>
      <c r="J451" s="61">
        <v>0</v>
      </c>
      <c r="K451" s="61">
        <v>0</v>
      </c>
      <c r="L451" s="62">
        <v>0</v>
      </c>
      <c r="M451" s="61">
        <v>0</v>
      </c>
      <c r="N451" s="62">
        <v>0</v>
      </c>
    </row>
    <row r="452" spans="2:14" x14ac:dyDescent="0.25">
      <c r="B452" s="58">
        <v>45103</v>
      </c>
      <c r="C452" s="58">
        <v>45104</v>
      </c>
      <c r="D452" s="58" t="s">
        <v>128</v>
      </c>
      <c r="E452" s="58" t="s">
        <v>129</v>
      </c>
      <c r="F452" s="59">
        <v>459.440136</v>
      </c>
      <c r="G452" s="59">
        <v>459.44013699999999</v>
      </c>
      <c r="H452" s="60">
        <v>521</v>
      </c>
      <c r="I452" s="61">
        <v>4.46875</v>
      </c>
      <c r="J452" s="61">
        <v>86.676000000000002</v>
      </c>
      <c r="K452" s="61">
        <v>86.676000000000002</v>
      </c>
      <c r="L452" s="62">
        <v>100</v>
      </c>
      <c r="M452" s="61">
        <v>86.676000000000002</v>
      </c>
      <c r="N452" s="62">
        <v>0</v>
      </c>
    </row>
    <row r="453" spans="2:14" x14ac:dyDescent="0.25">
      <c r="B453" s="58">
        <v>45103</v>
      </c>
      <c r="C453" s="58">
        <v>45104</v>
      </c>
      <c r="D453" s="58" t="s">
        <v>130</v>
      </c>
      <c r="E453" s="58" t="s">
        <v>131</v>
      </c>
      <c r="F453" s="59">
        <v>0</v>
      </c>
      <c r="G453" s="59">
        <v>0</v>
      </c>
      <c r="H453" s="60">
        <v>0</v>
      </c>
      <c r="I453" s="61">
        <v>0</v>
      </c>
      <c r="J453" s="61">
        <v>0</v>
      </c>
      <c r="K453" s="61">
        <v>0</v>
      </c>
      <c r="L453" s="62">
        <v>0</v>
      </c>
      <c r="M453" s="61">
        <v>0</v>
      </c>
      <c r="N453" s="62">
        <v>0</v>
      </c>
    </row>
    <row r="454" spans="2:14" x14ac:dyDescent="0.25">
      <c r="B454" s="58">
        <v>45103</v>
      </c>
      <c r="C454" s="58">
        <v>45104</v>
      </c>
      <c r="D454" s="58" t="s">
        <v>132</v>
      </c>
      <c r="E454" s="58" t="s">
        <v>133</v>
      </c>
      <c r="F454" s="59">
        <v>0</v>
      </c>
      <c r="G454" s="59">
        <v>0</v>
      </c>
      <c r="H454" s="60">
        <v>0</v>
      </c>
      <c r="I454" s="61">
        <v>0</v>
      </c>
      <c r="J454" s="61">
        <v>0</v>
      </c>
      <c r="K454" s="61">
        <v>0</v>
      </c>
      <c r="L454" s="62">
        <v>0</v>
      </c>
      <c r="M454" s="61">
        <v>0</v>
      </c>
      <c r="N454" s="62">
        <v>0</v>
      </c>
    </row>
    <row r="455" spans="2:14" x14ac:dyDescent="0.25">
      <c r="B455" s="58">
        <v>45103</v>
      </c>
      <c r="C455" s="58">
        <v>45104</v>
      </c>
      <c r="D455" s="58" t="s">
        <v>134</v>
      </c>
      <c r="E455" s="58" t="s">
        <v>135</v>
      </c>
      <c r="F455" s="59">
        <v>0</v>
      </c>
      <c r="G455" s="59">
        <v>0</v>
      </c>
      <c r="H455" s="60">
        <v>0</v>
      </c>
      <c r="I455" s="61">
        <v>0</v>
      </c>
      <c r="J455" s="61">
        <v>0</v>
      </c>
      <c r="K455" s="61">
        <v>0</v>
      </c>
      <c r="L455" s="62">
        <v>0</v>
      </c>
      <c r="M455" s="61">
        <v>0</v>
      </c>
      <c r="N455" s="62">
        <v>0</v>
      </c>
    </row>
    <row r="456" spans="2:14" x14ac:dyDescent="0.25">
      <c r="B456" s="58">
        <v>45103</v>
      </c>
      <c r="C456" s="58">
        <v>45104</v>
      </c>
      <c r="D456" s="58" t="s">
        <v>136</v>
      </c>
      <c r="E456" s="58" t="s">
        <v>137</v>
      </c>
      <c r="F456" s="59">
        <v>0</v>
      </c>
      <c r="G456" s="59">
        <v>0</v>
      </c>
      <c r="H456" s="60">
        <v>0</v>
      </c>
      <c r="I456" s="61">
        <v>0</v>
      </c>
      <c r="J456" s="61">
        <v>0</v>
      </c>
      <c r="K456" s="61">
        <v>0</v>
      </c>
      <c r="L456" s="62">
        <v>0</v>
      </c>
      <c r="M456" s="61">
        <v>0</v>
      </c>
      <c r="N456" s="62">
        <v>0</v>
      </c>
    </row>
    <row r="457" spans="2:14" x14ac:dyDescent="0.25">
      <c r="B457" s="58">
        <v>45103</v>
      </c>
      <c r="C457" s="58">
        <v>45104</v>
      </c>
      <c r="D457" s="58" t="s">
        <v>138</v>
      </c>
      <c r="E457" s="58" t="s">
        <v>139</v>
      </c>
      <c r="F457" s="59">
        <v>0</v>
      </c>
      <c r="G457" s="59">
        <v>0</v>
      </c>
      <c r="H457" s="60">
        <v>0</v>
      </c>
      <c r="I457" s="61">
        <v>0</v>
      </c>
      <c r="J457" s="61">
        <v>0</v>
      </c>
      <c r="K457" s="61">
        <v>0</v>
      </c>
      <c r="L457" s="62">
        <v>0</v>
      </c>
      <c r="M457" s="61">
        <v>0</v>
      </c>
      <c r="N457" s="62">
        <v>0</v>
      </c>
    </row>
    <row r="458" spans="2:14" x14ac:dyDescent="0.25">
      <c r="B458" s="58">
        <v>45103</v>
      </c>
      <c r="C458" s="58">
        <v>45104</v>
      </c>
      <c r="D458" s="58" t="s">
        <v>140</v>
      </c>
      <c r="E458" s="58" t="s">
        <v>141</v>
      </c>
      <c r="F458" s="59">
        <v>193.77269799999999</v>
      </c>
      <c r="G458" s="59">
        <v>104.462548</v>
      </c>
      <c r="H458" s="60">
        <v>255</v>
      </c>
      <c r="I458" s="61">
        <v>4.3437210000000004</v>
      </c>
      <c r="J458" s="61">
        <v>40.853050000000003</v>
      </c>
      <c r="K458" s="61">
        <v>40.902999999999999</v>
      </c>
      <c r="L458" s="62">
        <v>100</v>
      </c>
      <c r="M458" s="61">
        <v>40.792999999999999</v>
      </c>
      <c r="N458" s="62">
        <v>6.0049999999999999E-2</v>
      </c>
    </row>
    <row r="459" spans="2:14" x14ac:dyDescent="0.25">
      <c r="B459" s="58">
        <v>45103</v>
      </c>
      <c r="C459" s="58">
        <v>45104</v>
      </c>
      <c r="D459" s="58" t="s">
        <v>142</v>
      </c>
      <c r="E459" s="58" t="s">
        <v>143</v>
      </c>
      <c r="F459" s="59">
        <v>48.667468</v>
      </c>
      <c r="G459" s="59">
        <v>23.658670000000001</v>
      </c>
      <c r="H459" s="60">
        <v>47</v>
      </c>
      <c r="I459" s="61">
        <v>4.3669219999999997</v>
      </c>
      <c r="J459" s="61">
        <v>49.83</v>
      </c>
      <c r="K459" s="61">
        <v>49.83</v>
      </c>
      <c r="L459" s="62">
        <v>100</v>
      </c>
      <c r="M459" s="61">
        <v>49.83</v>
      </c>
      <c r="N459" s="62">
        <v>0</v>
      </c>
    </row>
    <row r="460" spans="2:14" x14ac:dyDescent="0.25">
      <c r="B460" s="58">
        <v>45103</v>
      </c>
      <c r="C460" s="58">
        <v>45104</v>
      </c>
      <c r="D460" s="58" t="s">
        <v>144</v>
      </c>
      <c r="E460" s="58" t="s">
        <v>145</v>
      </c>
      <c r="F460" s="59">
        <v>0</v>
      </c>
      <c r="G460" s="59">
        <v>0</v>
      </c>
      <c r="H460" s="60">
        <v>0</v>
      </c>
      <c r="I460" s="61">
        <v>0</v>
      </c>
      <c r="J460" s="61">
        <v>0</v>
      </c>
      <c r="K460" s="61">
        <v>0</v>
      </c>
      <c r="L460" s="62">
        <v>0</v>
      </c>
      <c r="M460" s="61">
        <v>0</v>
      </c>
      <c r="N460" s="62">
        <v>0</v>
      </c>
    </row>
    <row r="461" spans="2:14" x14ac:dyDescent="0.25">
      <c r="B461" s="58">
        <v>45103</v>
      </c>
      <c r="C461" s="58">
        <v>45104</v>
      </c>
      <c r="D461" s="58" t="s">
        <v>148</v>
      </c>
      <c r="E461" s="58" t="s">
        <v>149</v>
      </c>
      <c r="F461" s="59">
        <v>35.166970999999997</v>
      </c>
      <c r="G461" s="59">
        <v>24.418365000000001</v>
      </c>
      <c r="H461" s="60">
        <v>45</v>
      </c>
      <c r="I461" s="61">
        <v>4.3201390000000002</v>
      </c>
      <c r="J461" s="61">
        <v>53.970011</v>
      </c>
      <c r="K461" s="61">
        <v>54</v>
      </c>
      <c r="L461" s="62">
        <v>100</v>
      </c>
      <c r="M461" s="61">
        <v>53.94</v>
      </c>
      <c r="N461" s="62">
        <v>3.0010999999999999E-2</v>
      </c>
    </row>
    <row r="462" spans="2:14" x14ac:dyDescent="0.25">
      <c r="B462" s="58">
        <v>45103</v>
      </c>
      <c r="C462" s="58">
        <v>45104</v>
      </c>
      <c r="D462" s="58" t="s">
        <v>150</v>
      </c>
      <c r="E462" s="58" t="s">
        <v>151</v>
      </c>
      <c r="F462" s="59">
        <v>24.612909999999999</v>
      </c>
      <c r="G462" s="59">
        <v>9.8633240000000004</v>
      </c>
      <c r="H462" s="60">
        <v>10</v>
      </c>
      <c r="I462" s="61">
        <v>4.3422179999999999</v>
      </c>
      <c r="J462" s="61">
        <v>98.400999999999996</v>
      </c>
      <c r="K462" s="61">
        <v>98.400999999999996</v>
      </c>
      <c r="L462" s="62">
        <v>100</v>
      </c>
      <c r="M462" s="61">
        <v>98.400999999999996</v>
      </c>
      <c r="N462" s="62">
        <v>0</v>
      </c>
    </row>
    <row r="463" spans="2:14" x14ac:dyDescent="0.25">
      <c r="B463" s="58">
        <v>45103</v>
      </c>
      <c r="C463" s="58">
        <v>45104</v>
      </c>
      <c r="D463" s="58" t="s">
        <v>152</v>
      </c>
      <c r="E463" s="58" t="s">
        <v>153</v>
      </c>
      <c r="F463" s="59">
        <v>199.971192</v>
      </c>
      <c r="G463" s="59">
        <v>97.995427000000007</v>
      </c>
      <c r="H463" s="60">
        <v>174.4</v>
      </c>
      <c r="I463" s="61">
        <v>4.2316060000000002</v>
      </c>
      <c r="J463" s="61">
        <v>55.435937000000003</v>
      </c>
      <c r="K463" s="61">
        <v>55.52</v>
      </c>
      <c r="L463" s="62">
        <v>9.6</v>
      </c>
      <c r="M463" s="61">
        <v>55.35</v>
      </c>
      <c r="N463" s="62">
        <v>8.5936999999999999E-2</v>
      </c>
    </row>
    <row r="464" spans="2:14" x14ac:dyDescent="0.25">
      <c r="B464" s="58">
        <v>45103</v>
      </c>
      <c r="C464" s="58">
        <v>45104</v>
      </c>
      <c r="D464" s="58" t="s">
        <v>154</v>
      </c>
      <c r="E464" s="58" t="s">
        <v>155</v>
      </c>
      <c r="F464" s="59">
        <v>96.504756</v>
      </c>
      <c r="G464" s="59">
        <v>0</v>
      </c>
      <c r="H464" s="60">
        <v>0</v>
      </c>
      <c r="I464" s="61">
        <v>0</v>
      </c>
      <c r="J464" s="61">
        <v>0</v>
      </c>
      <c r="K464" s="61">
        <v>0</v>
      </c>
      <c r="L464" s="62">
        <v>0</v>
      </c>
      <c r="M464" s="61">
        <v>0</v>
      </c>
      <c r="N464" s="62">
        <v>0</v>
      </c>
    </row>
    <row r="465" spans="2:14" x14ac:dyDescent="0.25">
      <c r="B465" s="58">
        <v>45103</v>
      </c>
      <c r="C465" s="58">
        <v>45104</v>
      </c>
      <c r="D465" s="58" t="s">
        <v>156</v>
      </c>
      <c r="E465" s="58" t="s">
        <v>157</v>
      </c>
      <c r="F465" s="59">
        <v>57.935302999999998</v>
      </c>
      <c r="G465" s="59">
        <v>50.132762</v>
      </c>
      <c r="H465" s="60">
        <v>160</v>
      </c>
      <c r="I465" s="61">
        <v>4.0458530000000001</v>
      </c>
      <c r="J465" s="61">
        <v>31.242834999999999</v>
      </c>
      <c r="K465" s="61">
        <v>31.26</v>
      </c>
      <c r="L465" s="62">
        <v>100</v>
      </c>
      <c r="M465" s="61">
        <v>31.19</v>
      </c>
      <c r="N465" s="62">
        <v>5.2835E-2</v>
      </c>
    </row>
    <row r="466" spans="2:14" x14ac:dyDescent="0.25">
      <c r="B466" s="58">
        <v>45103</v>
      </c>
      <c r="C466" s="58">
        <v>45104</v>
      </c>
      <c r="D466" s="58" t="s">
        <v>158</v>
      </c>
      <c r="E466" s="58" t="s">
        <v>159</v>
      </c>
      <c r="F466" s="59">
        <v>0</v>
      </c>
      <c r="G466" s="59">
        <v>0</v>
      </c>
      <c r="H466" s="60">
        <v>0</v>
      </c>
      <c r="I466" s="61">
        <v>0</v>
      </c>
      <c r="J466" s="61">
        <v>0</v>
      </c>
      <c r="K466" s="61">
        <v>0</v>
      </c>
      <c r="L466" s="62">
        <v>0</v>
      </c>
      <c r="M466" s="61">
        <v>0</v>
      </c>
      <c r="N466" s="62">
        <v>0</v>
      </c>
    </row>
    <row r="467" spans="2:14" x14ac:dyDescent="0.25">
      <c r="B467" s="58">
        <v>45103</v>
      </c>
      <c r="C467" s="58">
        <v>45104</v>
      </c>
      <c r="D467" s="58" t="s">
        <v>160</v>
      </c>
      <c r="E467" s="58" t="s">
        <v>161</v>
      </c>
      <c r="F467" s="59">
        <v>21.954571000000001</v>
      </c>
      <c r="G467" s="59">
        <v>0</v>
      </c>
      <c r="H467" s="60">
        <v>0</v>
      </c>
      <c r="I467" s="61">
        <v>0</v>
      </c>
      <c r="J467" s="61">
        <v>0</v>
      </c>
      <c r="K467" s="61">
        <v>0</v>
      </c>
      <c r="L467" s="62">
        <v>0</v>
      </c>
      <c r="M467" s="61">
        <v>0</v>
      </c>
      <c r="N467" s="62">
        <v>0</v>
      </c>
    </row>
    <row r="468" spans="2:14" x14ac:dyDescent="0.25">
      <c r="B468" s="58">
        <v>45103</v>
      </c>
      <c r="C468" s="58">
        <v>45104</v>
      </c>
      <c r="D468" s="58" t="s">
        <v>162</v>
      </c>
      <c r="E468" s="58" t="s">
        <v>163</v>
      </c>
      <c r="F468" s="59">
        <v>0</v>
      </c>
      <c r="G468" s="59">
        <v>0</v>
      </c>
      <c r="H468" s="60">
        <v>0</v>
      </c>
      <c r="I468" s="61">
        <v>0</v>
      </c>
      <c r="J468" s="61">
        <v>0</v>
      </c>
      <c r="K468" s="61">
        <v>0</v>
      </c>
      <c r="L468" s="62">
        <v>0</v>
      </c>
      <c r="M468" s="61">
        <v>0</v>
      </c>
      <c r="N468" s="62">
        <v>0</v>
      </c>
    </row>
    <row r="469" spans="2:14" x14ac:dyDescent="0.25">
      <c r="B469" s="58">
        <v>45110</v>
      </c>
      <c r="C469" s="58">
        <v>45111</v>
      </c>
      <c r="D469" s="58" t="s">
        <v>78</v>
      </c>
      <c r="E469" s="58" t="s">
        <v>79</v>
      </c>
      <c r="F469" s="59">
        <v>203.616682</v>
      </c>
      <c r="G469" s="59">
        <v>131.24585099999999</v>
      </c>
      <c r="H469" s="60">
        <v>145</v>
      </c>
      <c r="I469" s="61">
        <v>5.1421159999999997</v>
      </c>
      <c r="J469" s="61">
        <v>89.838965999999999</v>
      </c>
      <c r="K469" s="61">
        <v>89.844999999999999</v>
      </c>
      <c r="L469" s="62">
        <v>100</v>
      </c>
      <c r="M469" s="61">
        <v>89.825000000000003</v>
      </c>
      <c r="N469" s="62">
        <v>1.3965999999999999E-2</v>
      </c>
    </row>
    <row r="470" spans="2:14" x14ac:dyDescent="0.25">
      <c r="B470" s="58">
        <v>45110</v>
      </c>
      <c r="C470" s="58">
        <v>45111</v>
      </c>
      <c r="D470" s="58" t="s">
        <v>80</v>
      </c>
      <c r="E470" s="58" t="s">
        <v>81</v>
      </c>
      <c r="F470" s="59">
        <v>535.00132699999995</v>
      </c>
      <c r="G470" s="59">
        <v>205.18215799999999</v>
      </c>
      <c r="H470" s="60">
        <v>240</v>
      </c>
      <c r="I470" s="61">
        <v>5.2438149999999997</v>
      </c>
      <c r="J470" s="61">
        <v>85.417771000000002</v>
      </c>
      <c r="K470" s="61">
        <v>85.427999999999997</v>
      </c>
      <c r="L470" s="62">
        <v>100</v>
      </c>
      <c r="M470" s="61">
        <v>85.411000000000001</v>
      </c>
      <c r="N470" s="62">
        <v>6.7710000000000001E-3</v>
      </c>
    </row>
    <row r="471" spans="2:14" x14ac:dyDescent="0.25">
      <c r="B471" s="58">
        <v>45110</v>
      </c>
      <c r="C471" s="58">
        <v>45111</v>
      </c>
      <c r="D471" s="58" t="s">
        <v>82</v>
      </c>
      <c r="E471" s="58" t="s">
        <v>83</v>
      </c>
      <c r="F471" s="59">
        <v>18.270596999999999</v>
      </c>
      <c r="G471" s="59">
        <v>0</v>
      </c>
      <c r="H471" s="60">
        <v>0</v>
      </c>
      <c r="I471" s="61">
        <v>0</v>
      </c>
      <c r="J471" s="61">
        <v>0</v>
      </c>
      <c r="K471" s="61">
        <v>0</v>
      </c>
      <c r="L471" s="62">
        <v>0</v>
      </c>
      <c r="M471" s="61">
        <v>0</v>
      </c>
      <c r="N471" s="62">
        <v>0</v>
      </c>
    </row>
    <row r="472" spans="2:14" x14ac:dyDescent="0.25">
      <c r="B472" s="58">
        <v>45110</v>
      </c>
      <c r="C472" s="58">
        <v>45111</v>
      </c>
      <c r="D472" s="58" t="s">
        <v>84</v>
      </c>
      <c r="E472" s="58" t="s">
        <v>85</v>
      </c>
      <c r="F472" s="59">
        <v>0</v>
      </c>
      <c r="G472" s="59">
        <v>0</v>
      </c>
      <c r="H472" s="60">
        <v>0</v>
      </c>
      <c r="I472" s="61">
        <v>0</v>
      </c>
      <c r="J472" s="61">
        <v>0</v>
      </c>
      <c r="K472" s="61">
        <v>0</v>
      </c>
      <c r="L472" s="62">
        <v>0</v>
      </c>
      <c r="M472" s="61">
        <v>0</v>
      </c>
      <c r="N472" s="62">
        <v>0</v>
      </c>
    </row>
    <row r="473" spans="2:14" x14ac:dyDescent="0.25">
      <c r="B473" s="58">
        <v>45110</v>
      </c>
      <c r="C473" s="58">
        <v>45111</v>
      </c>
      <c r="D473" s="58" t="s">
        <v>86</v>
      </c>
      <c r="E473" s="58" t="s">
        <v>87</v>
      </c>
      <c r="F473" s="59">
        <v>32.245269999999998</v>
      </c>
      <c r="G473" s="59">
        <v>0</v>
      </c>
      <c r="H473" s="60">
        <v>0</v>
      </c>
      <c r="I473" s="61">
        <v>0</v>
      </c>
      <c r="J473" s="61">
        <v>0</v>
      </c>
      <c r="K473" s="61">
        <v>0</v>
      </c>
      <c r="L473" s="62">
        <v>0</v>
      </c>
      <c r="M473" s="61">
        <v>0</v>
      </c>
      <c r="N473" s="62">
        <v>0</v>
      </c>
    </row>
    <row r="474" spans="2:14" x14ac:dyDescent="0.25">
      <c r="B474" s="58">
        <v>45110</v>
      </c>
      <c r="C474" s="58">
        <v>45111</v>
      </c>
      <c r="D474" s="58" t="s">
        <v>88</v>
      </c>
      <c r="E474" s="58" t="s">
        <v>89</v>
      </c>
      <c r="F474" s="59">
        <v>1055.4125770000001</v>
      </c>
      <c r="G474" s="59">
        <v>389.469607</v>
      </c>
      <c r="H474" s="60">
        <v>453.7</v>
      </c>
      <c r="I474" s="61">
        <v>4.7467269999999999</v>
      </c>
      <c r="J474" s="61">
        <v>85.518870000000007</v>
      </c>
      <c r="K474" s="61">
        <v>85.533000000000001</v>
      </c>
      <c r="L474" s="62">
        <v>78.083332999999996</v>
      </c>
      <c r="M474" s="61">
        <v>85.503</v>
      </c>
      <c r="N474" s="62">
        <v>1.5869999999999999E-2</v>
      </c>
    </row>
    <row r="475" spans="2:14" x14ac:dyDescent="0.25">
      <c r="B475" s="58">
        <v>45110</v>
      </c>
      <c r="C475" s="58">
        <v>45111</v>
      </c>
      <c r="D475" s="58" t="s">
        <v>90</v>
      </c>
      <c r="E475" s="58" t="s">
        <v>91</v>
      </c>
      <c r="F475" s="59">
        <v>0</v>
      </c>
      <c r="G475" s="59">
        <v>0</v>
      </c>
      <c r="H475" s="60">
        <v>0</v>
      </c>
      <c r="I475" s="61">
        <v>0</v>
      </c>
      <c r="J475" s="61">
        <v>0</v>
      </c>
      <c r="K475" s="61">
        <v>0</v>
      </c>
      <c r="L475" s="62">
        <v>0</v>
      </c>
      <c r="M475" s="61">
        <v>0</v>
      </c>
      <c r="N475" s="62">
        <v>0</v>
      </c>
    </row>
    <row r="476" spans="2:14" x14ac:dyDescent="0.25">
      <c r="B476" s="58">
        <v>45110</v>
      </c>
      <c r="C476" s="58">
        <v>45111</v>
      </c>
      <c r="D476" s="58" t="s">
        <v>120</v>
      </c>
      <c r="E476" s="58" t="s">
        <v>121</v>
      </c>
      <c r="F476" s="59">
        <v>39.717353000000003</v>
      </c>
      <c r="G476" s="59">
        <v>0</v>
      </c>
      <c r="H476" s="60">
        <v>0</v>
      </c>
      <c r="I476" s="61">
        <v>0</v>
      </c>
      <c r="J476" s="61">
        <v>0</v>
      </c>
      <c r="K476" s="61">
        <v>0</v>
      </c>
      <c r="L476" s="62">
        <v>0</v>
      </c>
      <c r="M476" s="61">
        <v>0</v>
      </c>
      <c r="N476" s="62">
        <v>0</v>
      </c>
    </row>
    <row r="477" spans="2:14" x14ac:dyDescent="0.25">
      <c r="B477" s="58">
        <v>45110</v>
      </c>
      <c r="C477" s="58">
        <v>45111</v>
      </c>
      <c r="D477" s="58" t="s">
        <v>92</v>
      </c>
      <c r="E477" s="58" t="s">
        <v>93</v>
      </c>
      <c r="F477" s="59">
        <v>240.52266</v>
      </c>
      <c r="G477" s="59">
        <v>64.035617000000002</v>
      </c>
      <c r="H477" s="60">
        <v>80</v>
      </c>
      <c r="I477" s="61">
        <v>4.5902649999999996</v>
      </c>
      <c r="J477" s="61">
        <v>79.87</v>
      </c>
      <c r="K477" s="61">
        <v>79.87</v>
      </c>
      <c r="L477" s="62">
        <v>100</v>
      </c>
      <c r="M477" s="61">
        <v>79.87</v>
      </c>
      <c r="N477" s="62">
        <v>0</v>
      </c>
    </row>
    <row r="478" spans="2:14" x14ac:dyDescent="0.25">
      <c r="B478" s="24">
        <v>45124</v>
      </c>
      <c r="C478" s="24">
        <v>45125</v>
      </c>
      <c r="D478" s="24" t="s">
        <v>94</v>
      </c>
      <c r="E478" s="24" t="s">
        <v>95</v>
      </c>
      <c r="F478" s="27">
        <v>514.97495400000003</v>
      </c>
      <c r="G478" s="27">
        <v>458.69035000000002</v>
      </c>
      <c r="H478" s="26">
        <v>610</v>
      </c>
      <c r="I478" s="28">
        <v>4.4196710000000001</v>
      </c>
      <c r="J478" s="28">
        <v>75.105999999999995</v>
      </c>
      <c r="K478" s="28">
        <v>75.105999999999995</v>
      </c>
      <c r="L478" s="29">
        <v>100</v>
      </c>
      <c r="M478" s="28">
        <v>75.105999999999995</v>
      </c>
      <c r="N478" s="29">
        <v>0</v>
      </c>
    </row>
    <row r="479" spans="2:14" x14ac:dyDescent="0.25">
      <c r="B479" s="24">
        <v>45124</v>
      </c>
      <c r="C479" s="24">
        <v>45125</v>
      </c>
      <c r="D479" s="24" t="s">
        <v>96</v>
      </c>
      <c r="E479" s="24" t="s">
        <v>97</v>
      </c>
      <c r="F479" s="27">
        <v>205.289207</v>
      </c>
      <c r="G479" s="27">
        <v>153.98665600000001</v>
      </c>
      <c r="H479" s="26">
        <v>150</v>
      </c>
      <c r="I479" s="28">
        <v>4.4090280000000002</v>
      </c>
      <c r="J479" s="28">
        <v>102.125668</v>
      </c>
      <c r="K479" s="28">
        <v>102.136</v>
      </c>
      <c r="L479" s="29">
        <v>100</v>
      </c>
      <c r="M479" s="28">
        <v>102.105</v>
      </c>
      <c r="N479" s="29">
        <v>2.0667999999999999E-2</v>
      </c>
    </row>
    <row r="480" spans="2:14" x14ac:dyDescent="0.25">
      <c r="B480" s="24">
        <v>45124</v>
      </c>
      <c r="C480" s="24">
        <v>45125</v>
      </c>
      <c r="D480" s="24" t="s">
        <v>98</v>
      </c>
      <c r="E480" s="24" t="s">
        <v>99</v>
      </c>
      <c r="F480" s="27">
        <v>368.36801200000002</v>
      </c>
      <c r="G480" s="27">
        <v>177.30516</v>
      </c>
      <c r="H480" s="26">
        <v>245.4</v>
      </c>
      <c r="I480" s="28">
        <v>4.4049899999999997</v>
      </c>
      <c r="J480" s="28">
        <v>72.135469999999998</v>
      </c>
      <c r="K480" s="28">
        <v>72.143000000000001</v>
      </c>
      <c r="L480" s="29">
        <v>40.588234999999997</v>
      </c>
      <c r="M480" s="28">
        <v>72.123000000000005</v>
      </c>
      <c r="N480" s="29">
        <v>1.247E-2</v>
      </c>
    </row>
    <row r="481" spans="2:14" x14ac:dyDescent="0.25">
      <c r="B481" s="24">
        <v>45124</v>
      </c>
      <c r="C481" s="24">
        <v>45125</v>
      </c>
      <c r="D481" s="24" t="s">
        <v>100</v>
      </c>
      <c r="E481" s="24" t="s">
        <v>101</v>
      </c>
      <c r="F481" s="27">
        <v>39.792836999999999</v>
      </c>
      <c r="G481" s="27">
        <v>0</v>
      </c>
      <c r="H481" s="26">
        <v>0</v>
      </c>
      <c r="I481" s="28">
        <v>0</v>
      </c>
      <c r="J481" s="28">
        <v>0</v>
      </c>
      <c r="K481" s="28">
        <v>0</v>
      </c>
      <c r="L481" s="29">
        <v>0</v>
      </c>
      <c r="M481" s="28">
        <v>0</v>
      </c>
      <c r="N481" s="29">
        <v>0</v>
      </c>
    </row>
    <row r="482" spans="2:14" x14ac:dyDescent="0.25">
      <c r="B482" s="24">
        <v>45124</v>
      </c>
      <c r="C482" s="24">
        <v>45125</v>
      </c>
      <c r="D482" s="24" t="s">
        <v>122</v>
      </c>
      <c r="E482" s="24" t="s">
        <v>123</v>
      </c>
      <c r="F482" s="27">
        <v>50.370254000000003</v>
      </c>
      <c r="G482" s="27">
        <v>0</v>
      </c>
      <c r="H482" s="26">
        <v>0</v>
      </c>
      <c r="I482" s="28">
        <v>0</v>
      </c>
      <c r="J482" s="28">
        <v>0</v>
      </c>
      <c r="K482" s="28">
        <v>0</v>
      </c>
      <c r="L482" s="29">
        <v>0</v>
      </c>
      <c r="M482" s="28">
        <v>0</v>
      </c>
      <c r="N482" s="29">
        <v>0</v>
      </c>
    </row>
    <row r="483" spans="2:14" x14ac:dyDescent="0.25">
      <c r="B483" s="24">
        <v>45124</v>
      </c>
      <c r="C483" s="24">
        <v>45125</v>
      </c>
      <c r="D483" s="24" t="s">
        <v>102</v>
      </c>
      <c r="E483" s="24" t="s">
        <v>103</v>
      </c>
      <c r="F483" s="27">
        <v>0</v>
      </c>
      <c r="G483" s="27">
        <v>0</v>
      </c>
      <c r="H483" s="26">
        <v>0</v>
      </c>
      <c r="I483" s="28">
        <v>0</v>
      </c>
      <c r="J483" s="28">
        <v>0</v>
      </c>
      <c r="K483" s="28">
        <v>0</v>
      </c>
      <c r="L483" s="29">
        <v>0</v>
      </c>
      <c r="M483" s="28">
        <v>0</v>
      </c>
      <c r="N483" s="29">
        <v>0</v>
      </c>
    </row>
    <row r="484" spans="2:14" x14ac:dyDescent="0.25">
      <c r="B484" s="24">
        <v>45124</v>
      </c>
      <c r="C484" s="24">
        <v>45125</v>
      </c>
      <c r="D484" s="24" t="s">
        <v>104</v>
      </c>
      <c r="E484" s="24" t="s">
        <v>105</v>
      </c>
      <c r="F484" s="27">
        <v>32.335026999999997</v>
      </c>
      <c r="G484" s="27">
        <v>0</v>
      </c>
      <c r="H484" s="26">
        <v>0</v>
      </c>
      <c r="I484" s="28">
        <v>0</v>
      </c>
      <c r="J484" s="28">
        <v>0</v>
      </c>
      <c r="K484" s="28">
        <v>0</v>
      </c>
      <c r="L484" s="29">
        <v>0</v>
      </c>
      <c r="M484" s="28">
        <v>0</v>
      </c>
      <c r="N484" s="29">
        <v>0</v>
      </c>
    </row>
    <row r="485" spans="2:14" x14ac:dyDescent="0.25">
      <c r="B485" s="24">
        <v>45124</v>
      </c>
      <c r="C485" s="24">
        <v>45125</v>
      </c>
      <c r="D485" s="24" t="s">
        <v>106</v>
      </c>
      <c r="E485" s="24" t="s">
        <v>107</v>
      </c>
      <c r="F485" s="27">
        <v>187.72646</v>
      </c>
      <c r="G485" s="27">
        <v>0</v>
      </c>
      <c r="H485" s="26">
        <v>0</v>
      </c>
      <c r="I485" s="28">
        <v>0</v>
      </c>
      <c r="J485" s="28">
        <v>0</v>
      </c>
      <c r="K485" s="28">
        <v>0</v>
      </c>
      <c r="L485" s="29">
        <v>0</v>
      </c>
      <c r="M485" s="28">
        <v>0</v>
      </c>
      <c r="N485" s="29">
        <v>0</v>
      </c>
    </row>
    <row r="486" spans="2:14" x14ac:dyDescent="0.25">
      <c r="B486" s="24">
        <v>45124</v>
      </c>
      <c r="C486" s="24">
        <v>45125</v>
      </c>
      <c r="D486" s="24" t="s">
        <v>108</v>
      </c>
      <c r="E486" s="24" t="s">
        <v>109</v>
      </c>
      <c r="F486" s="27">
        <v>0</v>
      </c>
      <c r="G486" s="27">
        <v>0</v>
      </c>
      <c r="H486" s="26">
        <v>0</v>
      </c>
      <c r="I486" s="28">
        <v>0</v>
      </c>
      <c r="J486" s="28">
        <v>0</v>
      </c>
      <c r="K486" s="28">
        <v>0</v>
      </c>
      <c r="L486" s="29">
        <v>0</v>
      </c>
      <c r="M486" s="28">
        <v>0</v>
      </c>
      <c r="N486" s="29">
        <v>0</v>
      </c>
    </row>
    <row r="487" spans="2:14" x14ac:dyDescent="0.25">
      <c r="B487" s="24">
        <v>45124</v>
      </c>
      <c r="C487" s="24">
        <v>45125</v>
      </c>
      <c r="D487" s="24" t="s">
        <v>110</v>
      </c>
      <c r="E487" s="24" t="s">
        <v>111</v>
      </c>
      <c r="F487" s="27">
        <v>23.508783000000001</v>
      </c>
      <c r="G487" s="27">
        <v>0</v>
      </c>
      <c r="H487" s="26">
        <v>0</v>
      </c>
      <c r="I487" s="28">
        <v>0</v>
      </c>
      <c r="J487" s="28">
        <v>0</v>
      </c>
      <c r="K487" s="28">
        <v>0</v>
      </c>
      <c r="L487" s="29">
        <v>0</v>
      </c>
      <c r="M487" s="28">
        <v>0</v>
      </c>
      <c r="N487" s="29">
        <v>0</v>
      </c>
    </row>
    <row r="488" spans="2:14" x14ac:dyDescent="0.25">
      <c r="B488" s="24">
        <v>45124</v>
      </c>
      <c r="C488" s="24">
        <v>45125</v>
      </c>
      <c r="D488" s="24" t="s">
        <v>112</v>
      </c>
      <c r="E488" s="24" t="s">
        <v>113</v>
      </c>
      <c r="F488" s="27">
        <v>18.678629000000001</v>
      </c>
      <c r="G488" s="27">
        <v>0</v>
      </c>
      <c r="H488" s="26">
        <v>0</v>
      </c>
      <c r="I488" s="28">
        <v>0</v>
      </c>
      <c r="J488" s="28">
        <v>0</v>
      </c>
      <c r="K488" s="28">
        <v>0</v>
      </c>
      <c r="L488" s="29">
        <v>0</v>
      </c>
      <c r="M488" s="28">
        <v>0</v>
      </c>
      <c r="N488" s="29">
        <v>0</v>
      </c>
    </row>
    <row r="489" spans="2:14" x14ac:dyDescent="0.25">
      <c r="B489" s="24">
        <v>45124</v>
      </c>
      <c r="C489" s="24">
        <v>45125</v>
      </c>
      <c r="D489" s="24" t="s">
        <v>114</v>
      </c>
      <c r="E489" s="24" t="s">
        <v>115</v>
      </c>
      <c r="F489" s="27">
        <v>0</v>
      </c>
      <c r="G489" s="27">
        <v>0</v>
      </c>
      <c r="H489" s="26">
        <v>0</v>
      </c>
      <c r="I489" s="28">
        <v>0</v>
      </c>
      <c r="J489" s="28">
        <v>0</v>
      </c>
      <c r="K489" s="28">
        <v>0</v>
      </c>
      <c r="L489" s="29">
        <v>0</v>
      </c>
      <c r="M489" s="28">
        <v>0</v>
      </c>
      <c r="N489" s="29">
        <v>0</v>
      </c>
    </row>
    <row r="490" spans="2:14" x14ac:dyDescent="0.25">
      <c r="B490" s="24">
        <v>45124</v>
      </c>
      <c r="C490" s="24">
        <v>45125</v>
      </c>
      <c r="D490" s="24" t="s">
        <v>116</v>
      </c>
      <c r="E490" s="24" t="s">
        <v>117</v>
      </c>
      <c r="F490" s="27">
        <v>28.824327</v>
      </c>
      <c r="G490" s="27">
        <v>0</v>
      </c>
      <c r="H490" s="26">
        <v>0</v>
      </c>
      <c r="I490" s="28">
        <v>0</v>
      </c>
      <c r="J490" s="28">
        <v>0</v>
      </c>
      <c r="K490" s="28">
        <v>0</v>
      </c>
      <c r="L490" s="29">
        <v>0</v>
      </c>
      <c r="M490" s="28">
        <v>0</v>
      </c>
      <c r="N490" s="29">
        <v>0</v>
      </c>
    </row>
    <row r="491" spans="2:14" x14ac:dyDescent="0.25">
      <c r="B491" s="24">
        <v>45124</v>
      </c>
      <c r="C491" s="24">
        <v>45125</v>
      </c>
      <c r="D491" s="24" t="s">
        <v>118</v>
      </c>
      <c r="E491" s="24" t="s">
        <v>119</v>
      </c>
      <c r="F491" s="27">
        <v>8.8860690000000009</v>
      </c>
      <c r="G491" s="27">
        <v>0</v>
      </c>
      <c r="H491" s="26">
        <v>0</v>
      </c>
      <c r="I491" s="28">
        <v>0</v>
      </c>
      <c r="J491" s="28">
        <v>0</v>
      </c>
      <c r="K491" s="28">
        <v>0</v>
      </c>
      <c r="L491" s="29">
        <v>0</v>
      </c>
      <c r="M491" s="28">
        <v>0</v>
      </c>
      <c r="N491" s="29">
        <v>0</v>
      </c>
    </row>
    <row r="492" spans="2:14" x14ac:dyDescent="0.25">
      <c r="B492" s="24">
        <v>45124</v>
      </c>
      <c r="C492" s="24">
        <v>45125</v>
      </c>
      <c r="D492" s="24" t="s">
        <v>124</v>
      </c>
      <c r="E492" s="24" t="s">
        <v>125</v>
      </c>
      <c r="F492" s="27">
        <v>0</v>
      </c>
      <c r="G492" s="27">
        <v>0</v>
      </c>
      <c r="H492" s="26">
        <v>0</v>
      </c>
      <c r="I492" s="28">
        <v>0</v>
      </c>
      <c r="J492" s="28">
        <v>0</v>
      </c>
      <c r="K492" s="28">
        <v>0</v>
      </c>
      <c r="L492" s="29">
        <v>0</v>
      </c>
      <c r="M492" s="28">
        <v>0</v>
      </c>
      <c r="N492" s="29">
        <v>0</v>
      </c>
    </row>
    <row r="493" spans="2:14" x14ac:dyDescent="0.25">
      <c r="B493" s="24">
        <v>45131</v>
      </c>
      <c r="C493" s="24">
        <v>45132</v>
      </c>
      <c r="D493" s="24" t="s">
        <v>126</v>
      </c>
      <c r="E493" s="24" t="s">
        <v>127</v>
      </c>
      <c r="F493" s="27">
        <v>0</v>
      </c>
      <c r="G493" s="27">
        <v>0</v>
      </c>
      <c r="H493" s="26">
        <v>0</v>
      </c>
      <c r="I493" s="28">
        <v>0</v>
      </c>
      <c r="J493" s="28">
        <v>0</v>
      </c>
      <c r="K493" s="28">
        <v>0</v>
      </c>
      <c r="L493" s="29">
        <v>0</v>
      </c>
      <c r="M493" s="28">
        <v>0</v>
      </c>
      <c r="N493" s="29">
        <v>0</v>
      </c>
    </row>
    <row r="494" spans="2:14" x14ac:dyDescent="0.25">
      <c r="B494" s="24">
        <v>45131</v>
      </c>
      <c r="C494" s="24">
        <v>45132</v>
      </c>
      <c r="D494" s="24" t="s">
        <v>128</v>
      </c>
      <c r="E494" s="24" t="s">
        <v>129</v>
      </c>
      <c r="F494" s="27">
        <v>0</v>
      </c>
      <c r="G494" s="27">
        <v>0</v>
      </c>
      <c r="H494" s="26">
        <v>0</v>
      </c>
      <c r="I494" s="28">
        <v>0</v>
      </c>
      <c r="J494" s="28">
        <v>0</v>
      </c>
      <c r="K494" s="28">
        <v>0</v>
      </c>
      <c r="L494" s="29">
        <v>0</v>
      </c>
      <c r="M494" s="28">
        <v>0</v>
      </c>
      <c r="N494" s="29">
        <v>0</v>
      </c>
    </row>
    <row r="495" spans="2:14" x14ac:dyDescent="0.25">
      <c r="B495" s="24">
        <v>45131</v>
      </c>
      <c r="C495" s="24">
        <v>45132</v>
      </c>
      <c r="D495" s="24" t="s">
        <v>130</v>
      </c>
      <c r="E495" s="24" t="s">
        <v>131</v>
      </c>
      <c r="F495" s="27">
        <v>27.170023</v>
      </c>
      <c r="G495" s="27">
        <v>0</v>
      </c>
      <c r="H495" s="26">
        <v>0</v>
      </c>
      <c r="I495" s="28">
        <v>0</v>
      </c>
      <c r="J495" s="28">
        <v>0</v>
      </c>
      <c r="K495" s="28">
        <v>0</v>
      </c>
      <c r="L495" s="29">
        <v>0</v>
      </c>
      <c r="M495" s="28">
        <v>0</v>
      </c>
      <c r="N495" s="29">
        <v>0</v>
      </c>
    </row>
    <row r="496" spans="2:14" x14ac:dyDescent="0.25">
      <c r="B496" s="24">
        <v>45131</v>
      </c>
      <c r="C496" s="24">
        <v>45132</v>
      </c>
      <c r="D496" s="24" t="s">
        <v>132</v>
      </c>
      <c r="E496" s="24" t="s">
        <v>133</v>
      </c>
      <c r="F496" s="27">
        <v>0</v>
      </c>
      <c r="G496" s="27">
        <v>0</v>
      </c>
      <c r="H496" s="26">
        <v>0</v>
      </c>
      <c r="I496" s="28">
        <v>0</v>
      </c>
      <c r="J496" s="28">
        <v>0</v>
      </c>
      <c r="K496" s="28">
        <v>0</v>
      </c>
      <c r="L496" s="29">
        <v>0</v>
      </c>
      <c r="M496" s="28">
        <v>0</v>
      </c>
      <c r="N496" s="29">
        <v>0</v>
      </c>
    </row>
    <row r="497" spans="2:15" x14ac:dyDescent="0.25">
      <c r="B497" s="24">
        <v>45131</v>
      </c>
      <c r="C497" s="24">
        <v>45132</v>
      </c>
      <c r="D497" s="24" t="s">
        <v>134</v>
      </c>
      <c r="E497" s="24" t="s">
        <v>135</v>
      </c>
      <c r="F497" s="27">
        <v>0</v>
      </c>
      <c r="G497" s="27">
        <v>0</v>
      </c>
      <c r="H497" s="26">
        <v>0</v>
      </c>
      <c r="I497" s="28">
        <v>0</v>
      </c>
      <c r="J497" s="28">
        <v>0</v>
      </c>
      <c r="K497" s="28">
        <v>0</v>
      </c>
      <c r="L497" s="29">
        <v>0</v>
      </c>
      <c r="M497" s="28">
        <v>0</v>
      </c>
      <c r="N497" s="29">
        <v>0</v>
      </c>
    </row>
    <row r="498" spans="2:15" x14ac:dyDescent="0.25">
      <c r="B498" s="24">
        <v>45131</v>
      </c>
      <c r="C498" s="24">
        <v>45132</v>
      </c>
      <c r="D498" s="24" t="s">
        <v>136</v>
      </c>
      <c r="E498" s="24" t="s">
        <v>137</v>
      </c>
      <c r="F498" s="27">
        <v>0</v>
      </c>
      <c r="G498" s="27">
        <v>0</v>
      </c>
      <c r="H498" s="26">
        <v>0</v>
      </c>
      <c r="I498" s="28">
        <v>0</v>
      </c>
      <c r="J498" s="28">
        <v>0</v>
      </c>
      <c r="K498" s="28">
        <v>0</v>
      </c>
      <c r="L498" s="29">
        <v>0</v>
      </c>
      <c r="M498" s="28">
        <v>0</v>
      </c>
      <c r="N498" s="29">
        <v>0</v>
      </c>
    </row>
    <row r="499" spans="2:15" x14ac:dyDescent="0.25">
      <c r="B499" s="24">
        <v>45131</v>
      </c>
      <c r="C499" s="24">
        <v>45132</v>
      </c>
      <c r="D499" s="24" t="s">
        <v>138</v>
      </c>
      <c r="E499" s="24" t="s">
        <v>139</v>
      </c>
      <c r="F499" s="27">
        <v>0</v>
      </c>
      <c r="G499" s="27">
        <v>0</v>
      </c>
      <c r="H499" s="26">
        <v>0</v>
      </c>
      <c r="I499" s="28">
        <v>0</v>
      </c>
      <c r="J499" s="28">
        <v>0</v>
      </c>
      <c r="K499" s="28">
        <v>0</v>
      </c>
      <c r="L499" s="29">
        <v>0</v>
      </c>
      <c r="M499" s="28">
        <v>0</v>
      </c>
      <c r="N499" s="29">
        <v>0</v>
      </c>
    </row>
    <row r="500" spans="2:15" x14ac:dyDescent="0.25">
      <c r="B500" s="24">
        <v>45131</v>
      </c>
      <c r="C500" s="24">
        <v>45132</v>
      </c>
      <c r="D500" s="24" t="s">
        <v>140</v>
      </c>
      <c r="E500" s="24" t="s">
        <v>141</v>
      </c>
      <c r="F500" s="27">
        <v>707.33732799999996</v>
      </c>
      <c r="G500" s="27">
        <v>465.887631</v>
      </c>
      <c r="H500" s="26">
        <v>1129</v>
      </c>
      <c r="I500" s="28">
        <v>4.3261539999999998</v>
      </c>
      <c r="J500" s="28">
        <v>41.105007000000001</v>
      </c>
      <c r="K500" s="28">
        <v>41.133000000000003</v>
      </c>
      <c r="L500" s="29">
        <v>100</v>
      </c>
      <c r="M500" s="28">
        <v>41.033000000000001</v>
      </c>
      <c r="N500" s="29">
        <v>7.2007000000000002E-2</v>
      </c>
    </row>
    <row r="501" spans="2:15" x14ac:dyDescent="0.25">
      <c r="B501" s="24">
        <v>45131</v>
      </c>
      <c r="C501" s="24">
        <v>45132</v>
      </c>
      <c r="D501" s="24" t="s">
        <v>142</v>
      </c>
      <c r="E501" s="24" t="s">
        <v>143</v>
      </c>
      <c r="F501" s="27">
        <v>608.33339699999999</v>
      </c>
      <c r="G501" s="27">
        <v>229.25855000000001</v>
      </c>
      <c r="H501" s="26">
        <v>458</v>
      </c>
      <c r="I501" s="28">
        <v>4.350193</v>
      </c>
      <c r="J501" s="28">
        <v>50.077196999999998</v>
      </c>
      <c r="K501" s="28">
        <v>50.124000000000002</v>
      </c>
      <c r="L501" s="29">
        <v>100</v>
      </c>
      <c r="M501" s="28">
        <v>49.951000000000001</v>
      </c>
      <c r="N501" s="29">
        <v>0.126197</v>
      </c>
    </row>
    <row r="502" spans="2:15" x14ac:dyDescent="0.25">
      <c r="B502" s="24">
        <v>45131</v>
      </c>
      <c r="C502" s="24">
        <v>45132</v>
      </c>
      <c r="D502" s="24" t="s">
        <v>144</v>
      </c>
      <c r="E502" s="24" t="s">
        <v>145</v>
      </c>
      <c r="F502" s="27">
        <v>0</v>
      </c>
      <c r="G502" s="27">
        <v>0</v>
      </c>
      <c r="H502" s="26">
        <v>0</v>
      </c>
      <c r="I502" s="28">
        <v>0</v>
      </c>
      <c r="J502" s="28">
        <v>0</v>
      </c>
      <c r="K502" s="28">
        <v>0</v>
      </c>
      <c r="L502" s="29">
        <v>0</v>
      </c>
      <c r="M502" s="28">
        <v>0</v>
      </c>
      <c r="N502" s="29">
        <v>0</v>
      </c>
    </row>
    <row r="503" spans="2:15" x14ac:dyDescent="0.25">
      <c r="B503" s="24">
        <v>45131</v>
      </c>
      <c r="C503" s="24">
        <v>45132</v>
      </c>
      <c r="D503" s="24" t="s">
        <v>146</v>
      </c>
      <c r="E503" s="24" t="s">
        <v>147</v>
      </c>
      <c r="F503" s="27">
        <v>0</v>
      </c>
      <c r="G503" s="27">
        <v>0</v>
      </c>
      <c r="H503" s="26">
        <v>0</v>
      </c>
      <c r="I503" s="28">
        <v>0</v>
      </c>
      <c r="J503" s="28">
        <v>0</v>
      </c>
      <c r="K503" s="28">
        <v>0</v>
      </c>
      <c r="L503" s="29">
        <v>0</v>
      </c>
      <c r="M503" s="28">
        <v>0</v>
      </c>
      <c r="N503" s="29">
        <v>0</v>
      </c>
    </row>
    <row r="504" spans="2:15" x14ac:dyDescent="0.25">
      <c r="B504" s="24">
        <v>45131</v>
      </c>
      <c r="C504" s="24">
        <v>45132</v>
      </c>
      <c r="D504" s="24" t="s">
        <v>148</v>
      </c>
      <c r="E504" s="24" t="s">
        <v>149</v>
      </c>
      <c r="F504" s="27">
        <v>0</v>
      </c>
      <c r="G504" s="27">
        <v>0</v>
      </c>
      <c r="H504" s="26">
        <v>0</v>
      </c>
      <c r="I504" s="28">
        <v>0</v>
      </c>
      <c r="J504" s="28">
        <v>0</v>
      </c>
      <c r="K504" s="28">
        <v>0</v>
      </c>
      <c r="L504" s="29">
        <v>0</v>
      </c>
      <c r="M504" s="28">
        <v>0</v>
      </c>
      <c r="N504" s="29">
        <v>0</v>
      </c>
    </row>
    <row r="505" spans="2:15" x14ac:dyDescent="0.25">
      <c r="B505" s="24">
        <v>45131</v>
      </c>
      <c r="C505" s="24">
        <v>45132</v>
      </c>
      <c r="D505" s="24" t="s">
        <v>150</v>
      </c>
      <c r="E505" s="24" t="s">
        <v>151</v>
      </c>
      <c r="F505" s="27">
        <v>0</v>
      </c>
      <c r="G505" s="27">
        <v>0</v>
      </c>
      <c r="H505" s="26">
        <v>0</v>
      </c>
      <c r="I505" s="28">
        <v>0</v>
      </c>
      <c r="J505" s="28">
        <v>0</v>
      </c>
      <c r="K505" s="28">
        <v>0</v>
      </c>
      <c r="L505" s="29">
        <v>0</v>
      </c>
      <c r="M505" s="28">
        <v>0</v>
      </c>
      <c r="N505" s="29">
        <v>0</v>
      </c>
    </row>
    <row r="506" spans="2:15" x14ac:dyDescent="0.25">
      <c r="B506" s="24">
        <v>45131</v>
      </c>
      <c r="C506" s="24">
        <v>45132</v>
      </c>
      <c r="D506" s="24" t="s">
        <v>152</v>
      </c>
      <c r="E506" s="24" t="s">
        <v>153</v>
      </c>
      <c r="F506" s="27">
        <v>8.3241390000000006</v>
      </c>
      <c r="G506" s="27">
        <v>8.3241399999999999</v>
      </c>
      <c r="H506" s="26">
        <v>15</v>
      </c>
      <c r="I506" s="28">
        <v>4.2318090000000002</v>
      </c>
      <c r="J506" s="28">
        <v>55.48</v>
      </c>
      <c r="K506" s="28">
        <v>55.48</v>
      </c>
      <c r="L506" s="29">
        <v>100</v>
      </c>
      <c r="M506" s="28">
        <v>55.48</v>
      </c>
      <c r="N506" s="29">
        <v>0</v>
      </c>
    </row>
    <row r="507" spans="2:15" x14ac:dyDescent="0.25">
      <c r="B507" s="24">
        <v>45131</v>
      </c>
      <c r="C507" s="24">
        <v>45132</v>
      </c>
      <c r="D507" s="24" t="s">
        <v>154</v>
      </c>
      <c r="E507" s="24" t="s">
        <v>155</v>
      </c>
      <c r="F507" s="27">
        <v>0</v>
      </c>
      <c r="G507" s="27">
        <v>0</v>
      </c>
      <c r="H507" s="26">
        <v>0</v>
      </c>
      <c r="I507" s="28">
        <v>0</v>
      </c>
      <c r="J507" s="28">
        <v>0</v>
      </c>
      <c r="K507" s="28">
        <v>0</v>
      </c>
      <c r="L507" s="29">
        <v>0</v>
      </c>
      <c r="M507" s="28">
        <v>0</v>
      </c>
      <c r="N507" s="29">
        <v>0</v>
      </c>
    </row>
    <row r="508" spans="2:15" x14ac:dyDescent="0.25">
      <c r="B508" s="24">
        <v>45131</v>
      </c>
      <c r="C508" s="24">
        <v>45132</v>
      </c>
      <c r="D508" s="24" t="s">
        <v>156</v>
      </c>
      <c r="E508" s="24" t="s">
        <v>157</v>
      </c>
      <c r="F508" s="27">
        <v>0</v>
      </c>
      <c r="G508" s="27">
        <v>0</v>
      </c>
      <c r="H508" s="26">
        <v>0</v>
      </c>
      <c r="I508" s="28">
        <v>0</v>
      </c>
      <c r="J508" s="28">
        <v>0</v>
      </c>
      <c r="K508" s="28">
        <v>0</v>
      </c>
      <c r="L508" s="29">
        <v>0</v>
      </c>
      <c r="M508" s="28">
        <v>0</v>
      </c>
      <c r="N508" s="29">
        <v>0</v>
      </c>
    </row>
    <row r="509" spans="2:15" x14ac:dyDescent="0.25">
      <c r="B509" s="24">
        <v>45131</v>
      </c>
      <c r="C509" s="24">
        <v>45132</v>
      </c>
      <c r="D509" s="24" t="s">
        <v>158</v>
      </c>
      <c r="E509" s="24" t="s">
        <v>159</v>
      </c>
      <c r="F509" s="27">
        <v>85.683366000000007</v>
      </c>
      <c r="G509" s="27">
        <v>69.539175</v>
      </c>
      <c r="H509" s="26">
        <v>103.8</v>
      </c>
      <c r="I509" s="28">
        <v>4.1738629999999999</v>
      </c>
      <c r="J509" s="28">
        <v>66.973298999999997</v>
      </c>
      <c r="K509" s="28">
        <v>67.052999999999997</v>
      </c>
      <c r="L509" s="29">
        <v>99</v>
      </c>
      <c r="M509" s="28">
        <v>66.709999999999994</v>
      </c>
      <c r="N509" s="29">
        <v>0.26329900000000001</v>
      </c>
    </row>
    <row r="510" spans="2:15" x14ac:dyDescent="0.25">
      <c r="B510" s="24">
        <v>45131</v>
      </c>
      <c r="C510" s="24">
        <v>45132</v>
      </c>
      <c r="D510" s="24" t="s">
        <v>160</v>
      </c>
      <c r="E510" s="24" t="s">
        <v>161</v>
      </c>
      <c r="F510" s="27">
        <v>24.036819000000001</v>
      </c>
      <c r="G510" s="27">
        <v>12.039865000000001</v>
      </c>
      <c r="H510" s="26">
        <v>14</v>
      </c>
      <c r="I510" s="28">
        <v>4.1961519999999997</v>
      </c>
      <c r="J510" s="28">
        <v>85.970534000000001</v>
      </c>
      <c r="K510" s="28">
        <v>86.025000000000006</v>
      </c>
      <c r="L510" s="29">
        <v>100</v>
      </c>
      <c r="M510" s="28">
        <v>85.915999999999997</v>
      </c>
      <c r="N510" s="29">
        <v>5.4533999999999999E-2</v>
      </c>
    </row>
    <row r="511" spans="2:15" x14ac:dyDescent="0.25">
      <c r="B511" s="24">
        <v>45131</v>
      </c>
      <c r="C511" s="24">
        <v>45132</v>
      </c>
      <c r="D511" s="24" t="s">
        <v>162</v>
      </c>
      <c r="E511" s="24" t="s">
        <v>163</v>
      </c>
      <c r="F511" s="27">
        <v>4.9457339999999999</v>
      </c>
      <c r="G511" s="27">
        <v>4.945735</v>
      </c>
      <c r="H511" s="26">
        <v>10</v>
      </c>
      <c r="I511" s="28">
        <v>4.0289859999999997</v>
      </c>
      <c r="J511" s="28">
        <v>49.04</v>
      </c>
      <c r="K511" s="28">
        <v>49.04</v>
      </c>
      <c r="L511" s="29">
        <v>100</v>
      </c>
      <c r="M511" s="28">
        <v>49.04</v>
      </c>
      <c r="N511" s="29">
        <v>0</v>
      </c>
    </row>
    <row r="512" spans="2:15" x14ac:dyDescent="0.25">
      <c r="B512" s="24">
        <v>45145</v>
      </c>
      <c r="C512" s="24">
        <v>45146</v>
      </c>
      <c r="D512" s="25" t="s">
        <v>126</v>
      </c>
      <c r="E512" s="25" t="s">
        <v>127</v>
      </c>
      <c r="F512" s="26">
        <v>40.712066999999998</v>
      </c>
      <c r="G512" s="27">
        <v>40.712067934785999</v>
      </c>
      <c r="H512" s="26">
        <v>50</v>
      </c>
      <c r="I512" s="28">
        <v>4.6826910000000002</v>
      </c>
      <c r="J512" s="28">
        <v>81.274068999999997</v>
      </c>
      <c r="K512" s="28">
        <v>81.349000000000004</v>
      </c>
      <c r="L512" s="29">
        <v>100</v>
      </c>
      <c r="M512" s="28">
        <v>81.198999999999998</v>
      </c>
      <c r="N512" s="29">
        <v>7.5068999999999997E-2</v>
      </c>
      <c r="O512" s="29"/>
    </row>
    <row r="513" spans="2:15" x14ac:dyDescent="0.25">
      <c r="B513" s="24">
        <v>45145</v>
      </c>
      <c r="C513" s="24">
        <v>45146</v>
      </c>
      <c r="D513" s="25" t="s">
        <v>128</v>
      </c>
      <c r="E513" s="25" t="s">
        <v>129</v>
      </c>
      <c r="F513" s="26">
        <v>0</v>
      </c>
      <c r="G513" s="27">
        <v>0</v>
      </c>
      <c r="H513" s="26">
        <v>0</v>
      </c>
      <c r="I513" s="28">
        <v>0</v>
      </c>
      <c r="J513" s="28">
        <v>0</v>
      </c>
      <c r="K513" s="28">
        <v>0</v>
      </c>
      <c r="L513" s="29">
        <v>0</v>
      </c>
      <c r="M513" s="28">
        <v>0</v>
      </c>
      <c r="N513" s="29">
        <v>0</v>
      </c>
      <c r="O513" s="29"/>
    </row>
    <row r="514" spans="2:15" x14ac:dyDescent="0.25">
      <c r="B514" s="24">
        <v>45145</v>
      </c>
      <c r="C514" s="24">
        <v>45146</v>
      </c>
      <c r="D514" s="25" t="s">
        <v>130</v>
      </c>
      <c r="E514" s="25" t="s">
        <v>131</v>
      </c>
      <c r="F514" s="26">
        <v>0</v>
      </c>
      <c r="G514" s="27">
        <v>0</v>
      </c>
      <c r="H514" s="26">
        <v>0</v>
      </c>
      <c r="I514" s="28">
        <v>0</v>
      </c>
      <c r="J514" s="28">
        <v>0</v>
      </c>
      <c r="K514" s="28">
        <v>0</v>
      </c>
      <c r="L514" s="29">
        <v>0</v>
      </c>
      <c r="M514" s="28">
        <v>0</v>
      </c>
      <c r="N514" s="29">
        <v>0</v>
      </c>
    </row>
    <row r="515" spans="2:15" x14ac:dyDescent="0.25">
      <c r="B515" s="24">
        <v>45145</v>
      </c>
      <c r="C515" s="24">
        <v>45146</v>
      </c>
      <c r="D515" s="25" t="s">
        <v>132</v>
      </c>
      <c r="E515" s="25" t="s">
        <v>133</v>
      </c>
      <c r="F515" s="26">
        <v>4.7259969999999996</v>
      </c>
      <c r="G515" s="27">
        <v>4.7259972677600004</v>
      </c>
      <c r="H515" s="26">
        <v>5</v>
      </c>
      <c r="I515" s="28">
        <v>4.6895389999999999</v>
      </c>
      <c r="J515" s="28">
        <v>93.8</v>
      </c>
      <c r="K515" s="28">
        <v>93.8</v>
      </c>
      <c r="L515" s="29">
        <v>100</v>
      </c>
      <c r="M515" s="28">
        <v>93.8</v>
      </c>
      <c r="N515" s="29">
        <v>0</v>
      </c>
    </row>
    <row r="516" spans="2:15" x14ac:dyDescent="0.25">
      <c r="B516" s="24">
        <v>45145</v>
      </c>
      <c r="C516" s="24">
        <v>45146</v>
      </c>
      <c r="D516" s="25" t="s">
        <v>134</v>
      </c>
      <c r="E516" s="25" t="s">
        <v>135</v>
      </c>
      <c r="F516" s="26">
        <v>0</v>
      </c>
      <c r="G516" s="27">
        <v>0</v>
      </c>
      <c r="H516" s="26">
        <v>0</v>
      </c>
      <c r="I516" s="28">
        <v>0</v>
      </c>
      <c r="J516" s="28">
        <v>0</v>
      </c>
      <c r="K516" s="28">
        <v>0</v>
      </c>
      <c r="L516" s="29">
        <v>0</v>
      </c>
      <c r="M516" s="28">
        <v>0</v>
      </c>
      <c r="N516" s="29">
        <v>0</v>
      </c>
    </row>
    <row r="517" spans="2:15" x14ac:dyDescent="0.25">
      <c r="B517" s="24">
        <v>45145</v>
      </c>
      <c r="C517" s="24">
        <v>45146</v>
      </c>
      <c r="D517" s="25" t="s">
        <v>136</v>
      </c>
      <c r="E517" s="25" t="s">
        <v>137</v>
      </c>
      <c r="F517" s="26">
        <v>5.7340840000000002</v>
      </c>
      <c r="G517" s="27">
        <v>5.7340842391300004</v>
      </c>
      <c r="H517" s="26">
        <v>10</v>
      </c>
      <c r="I517" s="28">
        <v>4.6239889999999999</v>
      </c>
      <c r="J517" s="28">
        <v>57.26</v>
      </c>
      <c r="K517" s="28">
        <v>57.26</v>
      </c>
      <c r="L517" s="29">
        <v>100</v>
      </c>
      <c r="M517" s="28">
        <v>57.26</v>
      </c>
      <c r="N517" s="29">
        <v>0</v>
      </c>
    </row>
    <row r="518" spans="2:15" x14ac:dyDescent="0.25">
      <c r="B518" s="24">
        <v>45145</v>
      </c>
      <c r="C518" s="24">
        <v>45146</v>
      </c>
      <c r="D518" s="25" t="s">
        <v>138</v>
      </c>
      <c r="E518" s="25" t="s">
        <v>139</v>
      </c>
      <c r="F518" s="26">
        <v>0</v>
      </c>
      <c r="G518" s="27">
        <v>0</v>
      </c>
      <c r="H518" s="26">
        <v>0</v>
      </c>
      <c r="I518" s="28">
        <v>0</v>
      </c>
      <c r="J518" s="28">
        <v>0</v>
      </c>
      <c r="K518" s="28">
        <v>0</v>
      </c>
      <c r="L518" s="29">
        <v>0</v>
      </c>
      <c r="M518" s="28">
        <v>0</v>
      </c>
      <c r="N518" s="29">
        <v>0</v>
      </c>
    </row>
    <row r="519" spans="2:15" x14ac:dyDescent="0.25">
      <c r="B519" s="24">
        <v>45145</v>
      </c>
      <c r="C519" s="24">
        <v>45146</v>
      </c>
      <c r="D519" s="25" t="s">
        <v>140</v>
      </c>
      <c r="E519" s="25" t="s">
        <v>141</v>
      </c>
      <c r="F519" s="26">
        <v>779.56739200000004</v>
      </c>
      <c r="G519" s="27">
        <v>440.09436786887397</v>
      </c>
      <c r="H519" s="26">
        <v>1128</v>
      </c>
      <c r="I519" s="28">
        <v>4.5806880000000003</v>
      </c>
      <c r="J519" s="28">
        <v>38.831375999999999</v>
      </c>
      <c r="K519" s="28">
        <v>39.073</v>
      </c>
      <c r="L519" s="29">
        <v>100</v>
      </c>
      <c r="M519" s="28">
        <v>38.710999999999999</v>
      </c>
      <c r="N519" s="29">
        <v>0.120376</v>
      </c>
    </row>
    <row r="520" spans="2:15" x14ac:dyDescent="0.25">
      <c r="B520" s="24">
        <v>45145</v>
      </c>
      <c r="C520" s="24">
        <v>45146</v>
      </c>
      <c r="D520" s="25" t="s">
        <v>142</v>
      </c>
      <c r="E520" s="25" t="s">
        <v>143</v>
      </c>
      <c r="F520" s="26">
        <v>177.940752</v>
      </c>
      <c r="G520" s="27">
        <v>143.11462173912</v>
      </c>
      <c r="H520" s="26">
        <v>300</v>
      </c>
      <c r="I520" s="28">
        <v>4.5896619999999997</v>
      </c>
      <c r="J520" s="28">
        <v>47.677892</v>
      </c>
      <c r="K520" s="28">
        <v>47.81</v>
      </c>
      <c r="L520" s="29">
        <v>100</v>
      </c>
      <c r="M520" s="28">
        <v>47.472000000000001</v>
      </c>
      <c r="N520" s="29">
        <v>0.20589199999999999</v>
      </c>
    </row>
    <row r="521" spans="2:15" x14ac:dyDescent="0.25">
      <c r="B521" s="24">
        <v>45145</v>
      </c>
      <c r="C521" s="24">
        <v>45146</v>
      </c>
      <c r="D521" s="25" t="s">
        <v>144</v>
      </c>
      <c r="E521" s="25" t="s">
        <v>145</v>
      </c>
      <c r="F521" s="26">
        <v>69.130135999999993</v>
      </c>
      <c r="G521" s="27">
        <v>69.130136956521</v>
      </c>
      <c r="H521" s="26">
        <v>80</v>
      </c>
      <c r="I521" s="28">
        <v>4.6162080000000003</v>
      </c>
      <c r="J521" s="28">
        <v>86.239559999999997</v>
      </c>
      <c r="K521" s="28">
        <v>86.361000000000004</v>
      </c>
      <c r="L521" s="29">
        <v>100</v>
      </c>
      <c r="M521" s="28">
        <v>86.11</v>
      </c>
      <c r="N521" s="29">
        <v>0.12956000000000001</v>
      </c>
    </row>
    <row r="522" spans="2:15" x14ac:dyDescent="0.25">
      <c r="B522" s="24">
        <v>45145</v>
      </c>
      <c r="C522" s="24">
        <v>45146</v>
      </c>
      <c r="D522" s="25" t="s">
        <v>146</v>
      </c>
      <c r="E522" s="25" t="s">
        <v>147</v>
      </c>
      <c r="F522" s="26">
        <v>0</v>
      </c>
      <c r="G522" s="27">
        <v>0</v>
      </c>
      <c r="H522" s="26">
        <v>0</v>
      </c>
      <c r="I522" s="28">
        <v>0</v>
      </c>
      <c r="J522" s="28">
        <v>0</v>
      </c>
      <c r="K522" s="28">
        <v>0</v>
      </c>
      <c r="L522" s="29">
        <v>0</v>
      </c>
      <c r="M522" s="28">
        <v>0</v>
      </c>
      <c r="N522" s="29">
        <v>0</v>
      </c>
    </row>
    <row r="523" spans="2:15" x14ac:dyDescent="0.25">
      <c r="B523" s="24">
        <v>45145</v>
      </c>
      <c r="C523" s="24">
        <v>45146</v>
      </c>
      <c r="D523" s="25" t="s">
        <v>148</v>
      </c>
      <c r="E523" s="25" t="s">
        <v>149</v>
      </c>
      <c r="F523" s="26">
        <v>59.505034000000002</v>
      </c>
      <c r="G523" s="27">
        <v>24.483480377048998</v>
      </c>
      <c r="H523" s="26">
        <v>47.3</v>
      </c>
      <c r="I523" s="28">
        <v>4.5705549999999997</v>
      </c>
      <c r="J523" s="28">
        <v>51.282769999999999</v>
      </c>
      <c r="K523" s="28">
        <v>51.55</v>
      </c>
      <c r="L523" s="29">
        <v>38.454545000000003</v>
      </c>
      <c r="M523" s="28">
        <v>51.250999999999998</v>
      </c>
      <c r="N523" s="29">
        <v>3.177E-2</v>
      </c>
    </row>
    <row r="524" spans="2:15" x14ac:dyDescent="0.25">
      <c r="B524" s="24">
        <v>45145</v>
      </c>
      <c r="C524" s="24">
        <v>45146</v>
      </c>
      <c r="D524" s="25" t="s">
        <v>150</v>
      </c>
      <c r="E524" s="25" t="s">
        <v>151</v>
      </c>
      <c r="F524" s="26">
        <v>4.7739969999999996</v>
      </c>
      <c r="G524" s="27">
        <v>4.7739972677600004</v>
      </c>
      <c r="H524" s="26">
        <v>5</v>
      </c>
      <c r="I524" s="28">
        <v>4.5611610000000002</v>
      </c>
      <c r="J524" s="28">
        <v>94.76</v>
      </c>
      <c r="K524" s="28">
        <v>94.76</v>
      </c>
      <c r="L524" s="29">
        <v>100</v>
      </c>
      <c r="M524" s="28">
        <v>94.76</v>
      </c>
      <c r="N524" s="29">
        <v>0</v>
      </c>
    </row>
    <row r="525" spans="2:15" x14ac:dyDescent="0.25">
      <c r="B525" s="24">
        <v>45145</v>
      </c>
      <c r="C525" s="24">
        <v>45146</v>
      </c>
      <c r="D525" s="25" t="s">
        <v>152</v>
      </c>
      <c r="E525" s="25" t="s">
        <v>153</v>
      </c>
      <c r="F525" s="26">
        <v>2.6430419999999999</v>
      </c>
      <c r="G525" s="27">
        <v>2.643042119565</v>
      </c>
      <c r="H525" s="26">
        <v>5</v>
      </c>
      <c r="I525" s="28">
        <v>4.464054</v>
      </c>
      <c r="J525" s="28">
        <v>52.78</v>
      </c>
      <c r="K525" s="28">
        <v>52.78</v>
      </c>
      <c r="L525" s="29">
        <v>100</v>
      </c>
      <c r="M525" s="28">
        <v>52.78</v>
      </c>
      <c r="N525" s="29">
        <v>0</v>
      </c>
    </row>
    <row r="526" spans="2:15" x14ac:dyDescent="0.25">
      <c r="B526" s="24">
        <v>45145</v>
      </c>
      <c r="C526" s="24">
        <v>45146</v>
      </c>
      <c r="D526" s="25" t="s">
        <v>154</v>
      </c>
      <c r="E526" s="25" t="s">
        <v>155</v>
      </c>
      <c r="F526" s="26">
        <v>0</v>
      </c>
      <c r="G526" s="27">
        <v>0</v>
      </c>
      <c r="H526" s="26">
        <v>0</v>
      </c>
      <c r="I526" s="28">
        <v>0</v>
      </c>
      <c r="J526" s="28">
        <v>0</v>
      </c>
      <c r="K526" s="28">
        <v>0</v>
      </c>
      <c r="L526" s="29">
        <v>0</v>
      </c>
      <c r="M526" s="28">
        <v>0</v>
      </c>
      <c r="N526" s="29">
        <v>0</v>
      </c>
    </row>
    <row r="527" spans="2:15" x14ac:dyDescent="0.25">
      <c r="B527" s="24">
        <v>45145</v>
      </c>
      <c r="C527" s="24">
        <v>45146</v>
      </c>
      <c r="D527" s="25" t="s">
        <v>156</v>
      </c>
      <c r="E527" s="25" t="s">
        <v>157</v>
      </c>
      <c r="F527" s="26">
        <v>7.3493849999999998</v>
      </c>
      <c r="G527" s="27">
        <v>7.349385245903</v>
      </c>
      <c r="H527" s="26">
        <v>25</v>
      </c>
      <c r="I527" s="28">
        <v>4.2738240000000003</v>
      </c>
      <c r="J527" s="28">
        <v>29.25</v>
      </c>
      <c r="K527" s="28">
        <v>29.25</v>
      </c>
      <c r="L527" s="29">
        <v>100</v>
      </c>
      <c r="M527" s="28">
        <v>29.25</v>
      </c>
      <c r="N527" s="29">
        <v>0</v>
      </c>
    </row>
    <row r="528" spans="2:15" x14ac:dyDescent="0.25">
      <c r="B528" s="24">
        <v>45145</v>
      </c>
      <c r="C528" s="24">
        <v>45146</v>
      </c>
      <c r="D528" s="25" t="s">
        <v>158</v>
      </c>
      <c r="E528" s="25" t="s">
        <v>159</v>
      </c>
      <c r="F528" s="26">
        <v>32.532099000000002</v>
      </c>
      <c r="G528" s="27">
        <v>26.199550543476999</v>
      </c>
      <c r="H528" s="26">
        <v>41</v>
      </c>
      <c r="I528" s="28">
        <v>4.3989900000000004</v>
      </c>
      <c r="J528" s="28">
        <v>63.785991000000003</v>
      </c>
      <c r="K528" s="28">
        <v>63.87</v>
      </c>
      <c r="L528" s="29">
        <v>100</v>
      </c>
      <c r="M528" s="28">
        <v>63.61</v>
      </c>
      <c r="N528" s="29">
        <v>0.17599100000000001</v>
      </c>
    </row>
    <row r="529" spans="2:14" x14ac:dyDescent="0.25">
      <c r="B529" s="24">
        <v>45145</v>
      </c>
      <c r="C529" s="24">
        <v>45146</v>
      </c>
      <c r="D529" s="25" t="s">
        <v>160</v>
      </c>
      <c r="E529" s="25" t="s">
        <v>161</v>
      </c>
      <c r="F529" s="26">
        <v>0</v>
      </c>
      <c r="G529" s="27">
        <v>0</v>
      </c>
      <c r="H529" s="26">
        <v>0</v>
      </c>
      <c r="I529" s="28">
        <v>0</v>
      </c>
      <c r="J529" s="28">
        <v>0</v>
      </c>
      <c r="K529" s="28">
        <v>0</v>
      </c>
      <c r="L529" s="29">
        <v>0</v>
      </c>
      <c r="M529" s="28">
        <v>0</v>
      </c>
      <c r="N529" s="29">
        <v>0</v>
      </c>
    </row>
    <row r="530" spans="2:14" x14ac:dyDescent="0.25">
      <c r="B530" s="24">
        <v>45145</v>
      </c>
      <c r="C530" s="24">
        <v>45146</v>
      </c>
      <c r="D530" s="25" t="s">
        <v>162</v>
      </c>
      <c r="E530" s="25" t="s">
        <v>163</v>
      </c>
      <c r="F530" s="26">
        <v>63.447161000000001</v>
      </c>
      <c r="G530" s="27">
        <v>20.996778688524</v>
      </c>
      <c r="H530" s="26">
        <v>45</v>
      </c>
      <c r="I530" s="28">
        <v>4.2661360000000004</v>
      </c>
      <c r="J530" s="28">
        <v>46.180230000000002</v>
      </c>
      <c r="K530" s="28">
        <v>46.307000000000002</v>
      </c>
      <c r="L530" s="29">
        <v>100</v>
      </c>
      <c r="M530" s="28">
        <v>46.052999999999997</v>
      </c>
      <c r="N530" s="29">
        <v>0.12723000000000001</v>
      </c>
    </row>
    <row r="531" spans="2:14" x14ac:dyDescent="0.25">
      <c r="B531" s="24">
        <v>45152</v>
      </c>
      <c r="C531" s="24">
        <v>45153</v>
      </c>
      <c r="D531" s="24" t="s">
        <v>80</v>
      </c>
      <c r="E531" s="24" t="s">
        <v>81</v>
      </c>
      <c r="F531" s="27">
        <v>621.72811899999999</v>
      </c>
      <c r="G531" s="27">
        <v>348.01731100000001</v>
      </c>
      <c r="H531" s="26">
        <v>400</v>
      </c>
      <c r="I531" s="28">
        <v>4.8683129999999997</v>
      </c>
      <c r="J531" s="28">
        <v>86.886499999999998</v>
      </c>
      <c r="K531" s="28">
        <v>86.891000000000005</v>
      </c>
      <c r="L531" s="29">
        <v>100</v>
      </c>
      <c r="M531" s="28">
        <v>86.882000000000005</v>
      </c>
      <c r="N531" s="29">
        <v>4.4999999999999997E-3</v>
      </c>
    </row>
    <row r="532" spans="2:14" x14ac:dyDescent="0.25">
      <c r="B532" s="24">
        <v>45152</v>
      </c>
      <c r="C532" s="24">
        <v>45153</v>
      </c>
      <c r="D532" s="24" t="s">
        <v>82</v>
      </c>
      <c r="E532" s="24" t="s">
        <v>83</v>
      </c>
      <c r="F532" s="27">
        <v>886.348119</v>
      </c>
      <c r="G532" s="27">
        <v>215.19172800000001</v>
      </c>
      <c r="H532" s="26">
        <v>245</v>
      </c>
      <c r="I532" s="28">
        <v>4.695246</v>
      </c>
      <c r="J532" s="28">
        <v>87.751835999999997</v>
      </c>
      <c r="K532" s="28">
        <v>87.756</v>
      </c>
      <c r="L532" s="29">
        <v>100</v>
      </c>
      <c r="M532" s="28">
        <v>87.75</v>
      </c>
      <c r="N532" s="29">
        <v>1.836E-3</v>
      </c>
    </row>
    <row r="533" spans="2:14" x14ac:dyDescent="0.25">
      <c r="B533" s="24">
        <v>45152</v>
      </c>
      <c r="C533" s="24">
        <v>45153</v>
      </c>
      <c r="D533" s="24" t="s">
        <v>84</v>
      </c>
      <c r="E533" s="24" t="s">
        <v>85</v>
      </c>
      <c r="F533" s="27">
        <v>0</v>
      </c>
      <c r="G533" s="27">
        <v>0</v>
      </c>
      <c r="H533" s="26">
        <v>0</v>
      </c>
      <c r="I533" s="28">
        <v>0</v>
      </c>
      <c r="J533" s="28">
        <v>0</v>
      </c>
      <c r="K533" s="28">
        <v>0</v>
      </c>
      <c r="L533" s="29">
        <v>0</v>
      </c>
      <c r="M533" s="28">
        <v>0</v>
      </c>
      <c r="N533" s="29">
        <v>0</v>
      </c>
    </row>
    <row r="534" spans="2:14" x14ac:dyDescent="0.25">
      <c r="B534" s="24">
        <v>45152</v>
      </c>
      <c r="C534" s="24">
        <v>45153</v>
      </c>
      <c r="D534" s="24" t="s">
        <v>86</v>
      </c>
      <c r="E534" s="24" t="s">
        <v>87</v>
      </c>
      <c r="F534" s="27">
        <v>147.579171</v>
      </c>
      <c r="G534" s="27">
        <v>131.19115199999999</v>
      </c>
      <c r="H534" s="26">
        <v>160</v>
      </c>
      <c r="I534" s="28">
        <v>4.6430049999999996</v>
      </c>
      <c r="J534" s="28">
        <v>81.989374999999995</v>
      </c>
      <c r="K534" s="28">
        <v>81.99</v>
      </c>
      <c r="L534" s="29">
        <v>100</v>
      </c>
      <c r="M534" s="28">
        <v>81.98</v>
      </c>
      <c r="N534" s="29">
        <v>9.3749999999999997E-3</v>
      </c>
    </row>
    <row r="535" spans="2:14" x14ac:dyDescent="0.25">
      <c r="B535" s="24">
        <v>45152</v>
      </c>
      <c r="C535" s="24">
        <v>45153</v>
      </c>
      <c r="D535" s="24" t="s">
        <v>88</v>
      </c>
      <c r="E535" s="24" t="s">
        <v>89</v>
      </c>
      <c r="F535" s="27">
        <v>113.165063</v>
      </c>
      <c r="G535" s="27">
        <v>48.672457999999999</v>
      </c>
      <c r="H535" s="26">
        <v>55.9</v>
      </c>
      <c r="I535" s="28">
        <v>4.5643690000000001</v>
      </c>
      <c r="J535" s="28">
        <v>86.56</v>
      </c>
      <c r="K535" s="28">
        <v>86.56</v>
      </c>
      <c r="L535" s="29">
        <v>55.899999000000001</v>
      </c>
      <c r="M535" s="28">
        <v>86.56</v>
      </c>
      <c r="N535" s="29">
        <v>0</v>
      </c>
    </row>
    <row r="536" spans="2:14" x14ac:dyDescent="0.25">
      <c r="B536" s="24">
        <v>45152</v>
      </c>
      <c r="C536" s="24">
        <v>45153</v>
      </c>
      <c r="D536" s="24" t="s">
        <v>90</v>
      </c>
      <c r="E536" s="24" t="s">
        <v>91</v>
      </c>
      <c r="F536" s="27">
        <v>77.365656000000001</v>
      </c>
      <c r="G536" s="27">
        <v>26.873037</v>
      </c>
      <c r="H536" s="26">
        <v>25</v>
      </c>
      <c r="I536" s="28">
        <v>4.6335160000000002</v>
      </c>
      <c r="J536" s="28">
        <v>106.361</v>
      </c>
      <c r="K536" s="28">
        <v>106.361</v>
      </c>
      <c r="L536" s="29">
        <v>100</v>
      </c>
      <c r="M536" s="28">
        <v>106.361</v>
      </c>
      <c r="N536" s="29">
        <v>0</v>
      </c>
    </row>
    <row r="537" spans="2:14" x14ac:dyDescent="0.25">
      <c r="B537" s="24">
        <v>45152</v>
      </c>
      <c r="C537" s="24">
        <v>45153</v>
      </c>
      <c r="D537" s="24" t="s">
        <v>120</v>
      </c>
      <c r="E537" s="24" t="s">
        <v>121</v>
      </c>
      <c r="F537" s="27">
        <v>60.120285000000003</v>
      </c>
      <c r="G537" s="27">
        <v>20.050094999999999</v>
      </c>
      <c r="H537" s="26">
        <v>25</v>
      </c>
      <c r="I537" s="28">
        <v>4.652952</v>
      </c>
      <c r="J537" s="28">
        <v>80.180000000000007</v>
      </c>
      <c r="K537" s="28">
        <v>80.180000000000007</v>
      </c>
      <c r="L537" s="29">
        <v>100</v>
      </c>
      <c r="M537" s="28">
        <v>80.180000000000007</v>
      </c>
      <c r="N537" s="29">
        <v>0</v>
      </c>
    </row>
    <row r="538" spans="2:14" x14ac:dyDescent="0.25">
      <c r="B538" s="24">
        <v>45152</v>
      </c>
      <c r="C538" s="24">
        <v>45153</v>
      </c>
      <c r="D538" s="24" t="s">
        <v>92</v>
      </c>
      <c r="E538" s="24" t="s">
        <v>93</v>
      </c>
      <c r="F538" s="27">
        <v>24.248079000000001</v>
      </c>
      <c r="G538" s="27">
        <v>0</v>
      </c>
      <c r="H538" s="26">
        <v>0</v>
      </c>
      <c r="I538" s="28">
        <v>0</v>
      </c>
      <c r="J538" s="28">
        <v>0</v>
      </c>
      <c r="K538" s="28">
        <v>0</v>
      </c>
      <c r="L538" s="29">
        <v>0</v>
      </c>
      <c r="M538" s="28">
        <v>0</v>
      </c>
      <c r="N538" s="29">
        <v>0</v>
      </c>
    </row>
    <row r="539" spans="2:14" x14ac:dyDescent="0.25">
      <c r="B539" s="24">
        <v>45159</v>
      </c>
      <c r="C539" s="24">
        <v>45160</v>
      </c>
      <c r="D539" s="25" t="s">
        <v>94</v>
      </c>
      <c r="E539" s="25" t="s">
        <v>95</v>
      </c>
      <c r="F539" s="26">
        <v>14.872999999999999</v>
      </c>
      <c r="G539" s="27">
        <v>0</v>
      </c>
      <c r="H539" s="26">
        <v>0</v>
      </c>
      <c r="I539" s="28">
        <v>0</v>
      </c>
      <c r="J539" s="28">
        <v>0</v>
      </c>
      <c r="K539" s="28">
        <v>0</v>
      </c>
      <c r="L539" s="29">
        <v>0</v>
      </c>
      <c r="M539" s="28">
        <v>0</v>
      </c>
      <c r="N539" s="29">
        <v>0</v>
      </c>
    </row>
    <row r="540" spans="2:14" x14ac:dyDescent="0.25">
      <c r="B540" s="24">
        <v>45159</v>
      </c>
      <c r="C540" s="24">
        <v>45160</v>
      </c>
      <c r="D540" s="25" t="s">
        <v>96</v>
      </c>
      <c r="E540" s="25" t="s">
        <v>97</v>
      </c>
      <c r="F540" s="26">
        <v>254.399597</v>
      </c>
      <c r="G540" s="27">
        <v>254.39959699452601</v>
      </c>
      <c r="H540" s="26">
        <v>250</v>
      </c>
      <c r="I540" s="28">
        <v>4.6227640000000001</v>
      </c>
      <c r="J540" s="28">
        <v>100.7735</v>
      </c>
      <c r="K540" s="28">
        <v>100.78100000000001</v>
      </c>
      <c r="L540" s="29">
        <v>100</v>
      </c>
      <c r="M540" s="28">
        <v>100.76600000000001</v>
      </c>
      <c r="N540" s="29">
        <v>7.4999999999999997E-3</v>
      </c>
    </row>
    <row r="541" spans="2:14" x14ac:dyDescent="0.25">
      <c r="B541" s="24">
        <v>45159</v>
      </c>
      <c r="C541" s="24">
        <v>45160</v>
      </c>
      <c r="D541" s="25" t="s">
        <v>98</v>
      </c>
      <c r="E541" s="25" t="s">
        <v>99</v>
      </c>
      <c r="F541" s="26">
        <v>14.221989000000001</v>
      </c>
      <c r="G541" s="27">
        <v>14.221989130434</v>
      </c>
      <c r="H541" s="26">
        <v>20</v>
      </c>
      <c r="I541" s="28">
        <v>4.6443240000000001</v>
      </c>
      <c r="J541" s="28">
        <v>71.094999999999999</v>
      </c>
      <c r="K541" s="28">
        <v>71.094999999999999</v>
      </c>
      <c r="L541" s="29">
        <v>100</v>
      </c>
      <c r="M541" s="28">
        <v>71.094999999999999</v>
      </c>
      <c r="N541" s="29">
        <v>0</v>
      </c>
    </row>
    <row r="542" spans="2:14" x14ac:dyDescent="0.25">
      <c r="B542" s="24">
        <v>45159</v>
      </c>
      <c r="C542" s="24">
        <v>45160</v>
      </c>
      <c r="D542" s="25" t="s">
        <v>100</v>
      </c>
      <c r="E542" s="25" t="s">
        <v>101</v>
      </c>
      <c r="F542" s="26">
        <v>588.39818100000002</v>
      </c>
      <c r="G542" s="27">
        <v>0</v>
      </c>
      <c r="H542" s="26">
        <v>0</v>
      </c>
      <c r="I542" s="28">
        <v>0</v>
      </c>
      <c r="J542" s="28">
        <v>0</v>
      </c>
      <c r="K542" s="28">
        <v>0</v>
      </c>
      <c r="L542" s="29">
        <v>0</v>
      </c>
      <c r="M542" s="28">
        <v>0</v>
      </c>
      <c r="N542" s="29">
        <v>0</v>
      </c>
    </row>
    <row r="543" spans="2:14" x14ac:dyDescent="0.25">
      <c r="B543" s="24">
        <v>45159</v>
      </c>
      <c r="C543" s="24">
        <v>45160</v>
      </c>
      <c r="D543" s="25" t="s">
        <v>122</v>
      </c>
      <c r="E543" s="25" t="s">
        <v>123</v>
      </c>
      <c r="F543" s="26">
        <v>139.75211899999999</v>
      </c>
      <c r="G543" s="27">
        <v>34.972654891304998</v>
      </c>
      <c r="H543" s="26">
        <v>50</v>
      </c>
      <c r="I543" s="28">
        <v>4.7011779999999996</v>
      </c>
      <c r="J543" s="28">
        <v>69.893000000000001</v>
      </c>
      <c r="K543" s="28">
        <v>69.893000000000001</v>
      </c>
      <c r="L543" s="29">
        <v>100</v>
      </c>
      <c r="M543" s="28">
        <v>69.893000000000001</v>
      </c>
      <c r="N543" s="29">
        <v>0</v>
      </c>
    </row>
    <row r="544" spans="2:14" x14ac:dyDescent="0.25">
      <c r="B544" s="24">
        <v>45159</v>
      </c>
      <c r="C544" s="24">
        <v>45160</v>
      </c>
      <c r="D544" s="25" t="s">
        <v>102</v>
      </c>
      <c r="E544" s="25" t="s">
        <v>103</v>
      </c>
      <c r="F544" s="26">
        <v>243.39720800000001</v>
      </c>
      <c r="G544" s="27">
        <v>78.455613043480994</v>
      </c>
      <c r="H544" s="26">
        <v>78.5</v>
      </c>
      <c r="I544" s="28">
        <v>4.7475719999999999</v>
      </c>
      <c r="J544" s="28">
        <v>97.889110000000002</v>
      </c>
      <c r="K544" s="28">
        <v>97.9</v>
      </c>
      <c r="L544" s="29">
        <v>57</v>
      </c>
      <c r="M544" s="28">
        <v>97.87</v>
      </c>
      <c r="N544" s="29">
        <v>1.9109999999999999E-2</v>
      </c>
    </row>
    <row r="545" spans="2:14" x14ac:dyDescent="0.25">
      <c r="B545" s="24">
        <v>45159</v>
      </c>
      <c r="C545" s="24">
        <v>45160</v>
      </c>
      <c r="D545" s="25" t="s">
        <v>104</v>
      </c>
      <c r="E545" s="25" t="s">
        <v>105</v>
      </c>
      <c r="F545" s="26">
        <v>1221.0735199999999</v>
      </c>
      <c r="G545" s="27">
        <v>0</v>
      </c>
      <c r="H545" s="26">
        <v>0</v>
      </c>
      <c r="I545" s="28">
        <v>0</v>
      </c>
      <c r="J545" s="28">
        <v>0</v>
      </c>
      <c r="K545" s="28">
        <v>0</v>
      </c>
      <c r="L545" s="29">
        <v>0</v>
      </c>
      <c r="M545" s="28">
        <v>0</v>
      </c>
      <c r="N545" s="29">
        <v>0</v>
      </c>
    </row>
    <row r="546" spans="2:14" x14ac:dyDescent="0.25">
      <c r="B546" s="24">
        <v>45159</v>
      </c>
      <c r="C546" s="24">
        <v>45160</v>
      </c>
      <c r="D546" s="25" t="s">
        <v>106</v>
      </c>
      <c r="E546" s="25" t="s">
        <v>107</v>
      </c>
      <c r="F546" s="26">
        <v>9.6730210000000003</v>
      </c>
      <c r="G546" s="27">
        <v>0</v>
      </c>
      <c r="H546" s="26">
        <v>0</v>
      </c>
      <c r="I546" s="28">
        <v>0</v>
      </c>
      <c r="J546" s="28">
        <v>0</v>
      </c>
      <c r="K546" s="28">
        <v>0</v>
      </c>
      <c r="L546" s="29">
        <v>0</v>
      </c>
      <c r="M546" s="28">
        <v>0</v>
      </c>
      <c r="N546" s="29">
        <v>0</v>
      </c>
    </row>
    <row r="547" spans="2:14" x14ac:dyDescent="0.25">
      <c r="B547" s="24">
        <v>45159</v>
      </c>
      <c r="C547" s="24">
        <v>45160</v>
      </c>
      <c r="D547" s="25" t="s">
        <v>108</v>
      </c>
      <c r="E547" s="25" t="s">
        <v>109</v>
      </c>
      <c r="F547" s="26">
        <v>442.39138500000001</v>
      </c>
      <c r="G547" s="27">
        <v>407.85392869566198</v>
      </c>
      <c r="H547" s="26">
        <v>588</v>
      </c>
      <c r="I547" s="28">
        <v>4.8657170000000001</v>
      </c>
      <c r="J547" s="28">
        <v>68.563999999999993</v>
      </c>
      <c r="K547" s="28">
        <v>68.563999999999993</v>
      </c>
      <c r="L547" s="29">
        <v>100</v>
      </c>
      <c r="M547" s="28">
        <v>68.563999999999993</v>
      </c>
      <c r="N547" s="29">
        <v>0</v>
      </c>
    </row>
    <row r="548" spans="2:14" x14ac:dyDescent="0.25">
      <c r="B548" s="24">
        <v>45159</v>
      </c>
      <c r="C548" s="24">
        <v>45160</v>
      </c>
      <c r="D548" s="25" t="s">
        <v>110</v>
      </c>
      <c r="E548" s="25" t="s">
        <v>111</v>
      </c>
      <c r="F548" s="26">
        <v>29.780901</v>
      </c>
      <c r="G548" s="27">
        <v>0</v>
      </c>
      <c r="H548" s="26">
        <v>0</v>
      </c>
      <c r="I548" s="28">
        <v>0</v>
      </c>
      <c r="J548" s="28">
        <v>0</v>
      </c>
      <c r="K548" s="28">
        <v>0</v>
      </c>
      <c r="L548" s="29">
        <v>0</v>
      </c>
      <c r="M548" s="28">
        <v>0</v>
      </c>
      <c r="N548" s="29">
        <v>0</v>
      </c>
    </row>
    <row r="549" spans="2:14" x14ac:dyDescent="0.25">
      <c r="B549" s="24">
        <v>45159</v>
      </c>
      <c r="C549" s="24">
        <v>45160</v>
      </c>
      <c r="D549" s="25" t="s">
        <v>114</v>
      </c>
      <c r="E549" s="25" t="s">
        <v>115</v>
      </c>
      <c r="F549" s="26">
        <v>0</v>
      </c>
      <c r="G549" s="27">
        <v>0</v>
      </c>
      <c r="H549" s="26">
        <v>0</v>
      </c>
      <c r="I549" s="28">
        <v>0</v>
      </c>
      <c r="J549" s="28">
        <v>0</v>
      </c>
      <c r="K549" s="28">
        <v>0</v>
      </c>
      <c r="L549" s="29">
        <v>0</v>
      </c>
      <c r="M549" s="28">
        <v>0</v>
      </c>
      <c r="N549" s="29">
        <v>0</v>
      </c>
    </row>
    <row r="550" spans="2:14" x14ac:dyDescent="0.25">
      <c r="B550" s="24">
        <v>45159</v>
      </c>
      <c r="C550" s="24">
        <v>45160</v>
      </c>
      <c r="D550" s="25" t="s">
        <v>116</v>
      </c>
      <c r="E550" s="25" t="s">
        <v>117</v>
      </c>
      <c r="F550" s="26">
        <v>0</v>
      </c>
      <c r="G550" s="27">
        <v>0</v>
      </c>
      <c r="H550" s="26">
        <v>0</v>
      </c>
      <c r="I550" s="28">
        <v>0</v>
      </c>
      <c r="J550" s="28">
        <v>0</v>
      </c>
      <c r="K550" s="28">
        <v>0</v>
      </c>
      <c r="L550" s="29">
        <v>0</v>
      </c>
      <c r="M550" s="28">
        <v>0</v>
      </c>
      <c r="N550" s="29">
        <v>0</v>
      </c>
    </row>
    <row r="551" spans="2:14" x14ac:dyDescent="0.25">
      <c r="B551" s="24">
        <v>45159</v>
      </c>
      <c r="C551" s="24">
        <v>45160</v>
      </c>
      <c r="D551" s="25" t="s">
        <v>118</v>
      </c>
      <c r="E551" s="25" t="s">
        <v>119</v>
      </c>
      <c r="F551" s="26">
        <v>39.770615999999997</v>
      </c>
      <c r="G551" s="27">
        <v>0</v>
      </c>
      <c r="H551" s="26">
        <v>0</v>
      </c>
      <c r="I551" s="28">
        <v>0</v>
      </c>
      <c r="J551" s="28">
        <v>0</v>
      </c>
      <c r="K551" s="28">
        <v>0</v>
      </c>
      <c r="L551" s="29">
        <v>0</v>
      </c>
      <c r="M551" s="28">
        <v>0</v>
      </c>
      <c r="N551" s="29">
        <v>0</v>
      </c>
    </row>
    <row r="552" spans="2:14" x14ac:dyDescent="0.25">
      <c r="B552" s="24">
        <v>45159</v>
      </c>
      <c r="C552" s="24">
        <v>45160</v>
      </c>
      <c r="D552" s="25" t="s">
        <v>124</v>
      </c>
      <c r="E552" s="25" t="s">
        <v>125</v>
      </c>
      <c r="F552" s="26">
        <v>0</v>
      </c>
      <c r="G552" s="27">
        <v>0</v>
      </c>
      <c r="H552" s="26">
        <v>0</v>
      </c>
      <c r="I552" s="28">
        <v>0</v>
      </c>
      <c r="J552" s="28">
        <v>0</v>
      </c>
      <c r="K552" s="28">
        <v>0</v>
      </c>
      <c r="L552" s="29">
        <v>0</v>
      </c>
      <c r="M552" s="28">
        <v>0</v>
      </c>
      <c r="N552" s="29">
        <v>0</v>
      </c>
    </row>
    <row r="553" spans="2:14" x14ac:dyDescent="0.25">
      <c r="B553" s="24">
        <v>45180</v>
      </c>
      <c r="C553" s="24">
        <v>45181</v>
      </c>
      <c r="D553" s="25" t="s">
        <v>80</v>
      </c>
      <c r="E553" s="25" t="s">
        <v>81</v>
      </c>
      <c r="F553" s="26">
        <v>1219.982577</v>
      </c>
      <c r="G553" s="27">
        <v>377.19458100000003</v>
      </c>
      <c r="H553" s="26">
        <v>429.4</v>
      </c>
      <c r="I553" s="28">
        <v>4.6725180000000002</v>
      </c>
      <c r="J553" s="28">
        <v>87.695724999999996</v>
      </c>
      <c r="K553" s="28">
        <v>87.72</v>
      </c>
      <c r="L553" s="29">
        <v>90.545454000000007</v>
      </c>
      <c r="M553" s="28">
        <v>87.685000000000002</v>
      </c>
      <c r="N553" s="29">
        <v>1.0725E-2</v>
      </c>
    </row>
    <row r="554" spans="2:14" x14ac:dyDescent="0.25">
      <c r="B554" s="24">
        <v>45180</v>
      </c>
      <c r="C554" s="24">
        <v>45181</v>
      </c>
      <c r="D554" s="25" t="s">
        <v>82</v>
      </c>
      <c r="E554" s="25" t="s">
        <v>83</v>
      </c>
      <c r="F554" s="26">
        <v>659.70464600000003</v>
      </c>
      <c r="G554" s="27">
        <v>0</v>
      </c>
      <c r="H554" s="26">
        <v>0</v>
      </c>
      <c r="I554" s="28">
        <v>0</v>
      </c>
      <c r="J554" s="28">
        <v>0</v>
      </c>
      <c r="K554" s="28">
        <v>0</v>
      </c>
      <c r="L554" s="29">
        <v>0</v>
      </c>
      <c r="M554" s="28">
        <v>0</v>
      </c>
      <c r="N554" s="29">
        <v>0</v>
      </c>
    </row>
    <row r="555" spans="2:14" x14ac:dyDescent="0.25">
      <c r="B555" s="24">
        <v>45180</v>
      </c>
      <c r="C555" s="24">
        <v>45181</v>
      </c>
      <c r="D555" s="25" t="s">
        <v>84</v>
      </c>
      <c r="E555" s="25" t="s">
        <v>85</v>
      </c>
      <c r="F555" s="26">
        <v>0</v>
      </c>
      <c r="G555" s="27">
        <v>0</v>
      </c>
      <c r="H555" s="26">
        <v>0</v>
      </c>
      <c r="I555" s="28">
        <v>0</v>
      </c>
      <c r="J555" s="28">
        <v>0</v>
      </c>
      <c r="K555" s="28">
        <v>0</v>
      </c>
      <c r="L555" s="29">
        <v>0</v>
      </c>
      <c r="M555" s="28">
        <v>0</v>
      </c>
      <c r="N555" s="29">
        <v>0</v>
      </c>
    </row>
    <row r="556" spans="2:14" x14ac:dyDescent="0.25">
      <c r="B556" s="24">
        <v>45180</v>
      </c>
      <c r="C556" s="24">
        <v>45181</v>
      </c>
      <c r="D556" s="25" t="s">
        <v>86</v>
      </c>
      <c r="E556" s="25" t="s">
        <v>87</v>
      </c>
      <c r="F556" s="26">
        <v>78.548374999999993</v>
      </c>
      <c r="G556" s="27">
        <v>24.815881999999998</v>
      </c>
      <c r="H556" s="26">
        <v>30</v>
      </c>
      <c r="I556" s="28">
        <v>4.5186650000000004</v>
      </c>
      <c r="J556" s="28">
        <v>82.704999999999998</v>
      </c>
      <c r="K556" s="28">
        <v>82.704999999999998</v>
      </c>
      <c r="L556" s="29">
        <v>100</v>
      </c>
      <c r="M556" s="28">
        <v>82.704999999999998</v>
      </c>
      <c r="N556" s="29">
        <v>0</v>
      </c>
    </row>
    <row r="557" spans="2:14" x14ac:dyDescent="0.25">
      <c r="B557" s="24">
        <v>45180</v>
      </c>
      <c r="C557" s="24">
        <v>45181</v>
      </c>
      <c r="D557" s="25" t="s">
        <v>88</v>
      </c>
      <c r="E557" s="25" t="s">
        <v>89</v>
      </c>
      <c r="F557" s="26">
        <v>267.99310800000001</v>
      </c>
      <c r="G557" s="27">
        <v>166.958518</v>
      </c>
      <c r="H557" s="26">
        <v>190</v>
      </c>
      <c r="I557" s="28">
        <v>4.4443140000000003</v>
      </c>
      <c r="J557" s="28">
        <v>87.238</v>
      </c>
      <c r="K557" s="28">
        <v>87.242999999999995</v>
      </c>
      <c r="L557" s="29">
        <v>100</v>
      </c>
      <c r="M557" s="28">
        <v>87.233000000000004</v>
      </c>
      <c r="N557" s="29">
        <v>5.0000000000000001E-3</v>
      </c>
    </row>
    <row r="558" spans="2:14" x14ac:dyDescent="0.25">
      <c r="B558" s="24">
        <v>45180</v>
      </c>
      <c r="C558" s="24">
        <v>45181</v>
      </c>
      <c r="D558" s="25" t="s">
        <v>90</v>
      </c>
      <c r="E558" s="25" t="s">
        <v>91</v>
      </c>
      <c r="F558" s="26">
        <v>0</v>
      </c>
      <c r="G558" s="27">
        <v>0</v>
      </c>
      <c r="H558" s="26">
        <v>0</v>
      </c>
      <c r="I558" s="28">
        <v>0</v>
      </c>
      <c r="J558" s="28">
        <v>0</v>
      </c>
      <c r="K558" s="28">
        <v>0</v>
      </c>
      <c r="L558" s="29">
        <v>0</v>
      </c>
      <c r="M558" s="28">
        <v>0</v>
      </c>
      <c r="N558" s="29">
        <v>0</v>
      </c>
    </row>
    <row r="559" spans="2:14" x14ac:dyDescent="0.25">
      <c r="B559" s="24">
        <v>45180</v>
      </c>
      <c r="C559" s="24">
        <v>45181</v>
      </c>
      <c r="D559" s="25" t="s">
        <v>120</v>
      </c>
      <c r="E559" s="25" t="s">
        <v>121</v>
      </c>
      <c r="F559" s="26">
        <v>80.958422999999996</v>
      </c>
      <c r="G559" s="27">
        <v>80.958423999999994</v>
      </c>
      <c r="H559" s="26">
        <v>100</v>
      </c>
      <c r="I559" s="28">
        <v>4.5390280000000001</v>
      </c>
      <c r="J559" s="28">
        <v>80.900000000000006</v>
      </c>
      <c r="K559" s="28">
        <v>80.900000000000006</v>
      </c>
      <c r="L559" s="29">
        <v>100</v>
      </c>
      <c r="M559" s="28">
        <v>80.900000000000006</v>
      </c>
      <c r="N559" s="29">
        <v>0</v>
      </c>
    </row>
    <row r="560" spans="2:14" x14ac:dyDescent="0.25">
      <c r="B560" s="24">
        <v>45180</v>
      </c>
      <c r="C560" s="24">
        <v>45181</v>
      </c>
      <c r="D560" s="25" t="s">
        <v>92</v>
      </c>
      <c r="E560" s="25" t="s">
        <v>93</v>
      </c>
      <c r="F560" s="26">
        <v>0</v>
      </c>
      <c r="G560" s="27">
        <v>0</v>
      </c>
      <c r="H560" s="26">
        <v>0</v>
      </c>
      <c r="I560" s="28">
        <v>0</v>
      </c>
      <c r="J560" s="28">
        <v>0</v>
      </c>
      <c r="K560" s="28">
        <v>0</v>
      </c>
      <c r="L560" s="29">
        <v>0</v>
      </c>
      <c r="M560" s="28">
        <v>0</v>
      </c>
      <c r="N560" s="29">
        <v>0</v>
      </c>
    </row>
    <row r="561" spans="2:14" x14ac:dyDescent="0.25">
      <c r="B561" s="24">
        <v>45187</v>
      </c>
      <c r="C561" s="24">
        <v>45188</v>
      </c>
      <c r="D561" s="24" t="s">
        <v>94</v>
      </c>
      <c r="E561" s="24" t="s">
        <v>95</v>
      </c>
      <c r="F561" s="27">
        <v>0</v>
      </c>
      <c r="G561" s="27">
        <v>0</v>
      </c>
      <c r="H561" s="26">
        <v>0</v>
      </c>
      <c r="I561" s="28">
        <v>0</v>
      </c>
      <c r="J561" s="28">
        <v>0</v>
      </c>
      <c r="K561" s="28">
        <v>0</v>
      </c>
      <c r="L561" s="29">
        <v>0</v>
      </c>
      <c r="M561" s="28">
        <v>0</v>
      </c>
      <c r="N561" s="29">
        <v>0</v>
      </c>
    </row>
    <row r="562" spans="2:14" x14ac:dyDescent="0.25">
      <c r="B562" s="24">
        <v>45187</v>
      </c>
      <c r="C562" s="24">
        <v>45188</v>
      </c>
      <c r="D562" s="24" t="s">
        <v>96</v>
      </c>
      <c r="E562" s="24" t="s">
        <v>97</v>
      </c>
      <c r="F562" s="27">
        <v>843.51458600000001</v>
      </c>
      <c r="G562" s="27">
        <v>635.19440799999995</v>
      </c>
      <c r="H562" s="26">
        <v>609.79999999999995</v>
      </c>
      <c r="I562" s="28">
        <v>4.2912860000000004</v>
      </c>
      <c r="J562" s="28">
        <v>102.81465900000001</v>
      </c>
      <c r="K562" s="28">
        <v>102.837</v>
      </c>
      <c r="L562" s="29">
        <v>12.249999000000001</v>
      </c>
      <c r="M562" s="28">
        <v>102.76300000000001</v>
      </c>
      <c r="N562" s="29">
        <v>5.1658999999999997E-2</v>
      </c>
    </row>
    <row r="563" spans="2:14" x14ac:dyDescent="0.25">
      <c r="B563" s="24">
        <v>45187</v>
      </c>
      <c r="C563" s="24">
        <v>45188</v>
      </c>
      <c r="D563" s="24" t="s">
        <v>98</v>
      </c>
      <c r="E563" s="24" t="s">
        <v>99</v>
      </c>
      <c r="F563" s="27">
        <v>73.083967000000001</v>
      </c>
      <c r="G563" s="27">
        <v>0</v>
      </c>
      <c r="H563" s="26">
        <v>0</v>
      </c>
      <c r="I563" s="28">
        <v>0</v>
      </c>
      <c r="J563" s="28">
        <v>0</v>
      </c>
      <c r="K563" s="28">
        <v>0</v>
      </c>
      <c r="L563" s="29">
        <v>0</v>
      </c>
      <c r="M563" s="28">
        <v>0</v>
      </c>
      <c r="N563" s="29">
        <v>0</v>
      </c>
    </row>
    <row r="564" spans="2:14" x14ac:dyDescent="0.25">
      <c r="B564" s="24">
        <v>45187</v>
      </c>
      <c r="C564" s="24">
        <v>45188</v>
      </c>
      <c r="D564" s="24" t="s">
        <v>100</v>
      </c>
      <c r="E564" s="24" t="s">
        <v>101</v>
      </c>
      <c r="F564" s="27">
        <v>268.82962600000002</v>
      </c>
      <c r="G564" s="27">
        <v>0</v>
      </c>
      <c r="H564" s="26">
        <v>0</v>
      </c>
      <c r="I564" s="28">
        <v>0</v>
      </c>
      <c r="J564" s="28">
        <v>0</v>
      </c>
      <c r="K564" s="28">
        <v>0</v>
      </c>
      <c r="L564" s="29">
        <v>0</v>
      </c>
      <c r="M564" s="28">
        <v>0</v>
      </c>
      <c r="N564" s="29">
        <v>0</v>
      </c>
    </row>
    <row r="565" spans="2:14" x14ac:dyDescent="0.25">
      <c r="B565" s="24">
        <v>45187</v>
      </c>
      <c r="C565" s="24">
        <v>45188</v>
      </c>
      <c r="D565" s="24" t="s">
        <v>102</v>
      </c>
      <c r="E565" s="24" t="s">
        <v>103</v>
      </c>
      <c r="F565" s="27">
        <v>0</v>
      </c>
      <c r="G565" s="27">
        <v>0</v>
      </c>
      <c r="H565" s="26">
        <v>0</v>
      </c>
      <c r="I565" s="28">
        <v>0</v>
      </c>
      <c r="J565" s="28">
        <v>0</v>
      </c>
      <c r="K565" s="28">
        <v>0</v>
      </c>
      <c r="L565" s="29">
        <v>0</v>
      </c>
      <c r="M565" s="28">
        <v>0</v>
      </c>
      <c r="N565" s="29">
        <v>0</v>
      </c>
    </row>
    <row r="566" spans="2:14" x14ac:dyDescent="0.25">
      <c r="B566" s="24">
        <v>45187</v>
      </c>
      <c r="C566" s="24">
        <v>45188</v>
      </c>
      <c r="D566" s="24" t="s">
        <v>104</v>
      </c>
      <c r="E566" s="24" t="s">
        <v>105</v>
      </c>
      <c r="F566" s="27">
        <v>678.80784400000005</v>
      </c>
      <c r="G566" s="27">
        <v>0</v>
      </c>
      <c r="H566" s="26">
        <v>0</v>
      </c>
      <c r="I566" s="28">
        <v>0</v>
      </c>
      <c r="J566" s="28">
        <v>0</v>
      </c>
      <c r="K566" s="28">
        <v>0</v>
      </c>
      <c r="L566" s="29">
        <v>0</v>
      </c>
      <c r="M566" s="28">
        <v>0</v>
      </c>
      <c r="N566" s="29">
        <v>0</v>
      </c>
    </row>
    <row r="567" spans="2:14" x14ac:dyDescent="0.25">
      <c r="B567" s="24">
        <v>45187</v>
      </c>
      <c r="C567" s="24">
        <v>45188</v>
      </c>
      <c r="D567" s="24" t="s">
        <v>106</v>
      </c>
      <c r="E567" s="24" t="s">
        <v>107</v>
      </c>
      <c r="F567" s="27">
        <v>0</v>
      </c>
      <c r="G567" s="27">
        <v>0</v>
      </c>
      <c r="H567" s="26">
        <v>0</v>
      </c>
      <c r="I567" s="28">
        <v>0</v>
      </c>
      <c r="J567" s="28">
        <v>0</v>
      </c>
      <c r="K567" s="28">
        <v>0</v>
      </c>
      <c r="L567" s="29">
        <v>0</v>
      </c>
      <c r="M567" s="28">
        <v>0</v>
      </c>
      <c r="N567" s="29">
        <v>0</v>
      </c>
    </row>
    <row r="568" spans="2:14" x14ac:dyDescent="0.25">
      <c r="B568" s="24">
        <v>45187</v>
      </c>
      <c r="C568" s="24">
        <v>45188</v>
      </c>
      <c r="D568" s="24" t="s">
        <v>108</v>
      </c>
      <c r="E568" s="24" t="s">
        <v>109</v>
      </c>
      <c r="F568" s="27">
        <v>0</v>
      </c>
      <c r="G568" s="27">
        <v>0</v>
      </c>
      <c r="H568" s="26">
        <v>0</v>
      </c>
      <c r="I568" s="28">
        <v>0</v>
      </c>
      <c r="J568" s="28">
        <v>0</v>
      </c>
      <c r="K568" s="28">
        <v>0</v>
      </c>
      <c r="L568" s="29">
        <v>0</v>
      </c>
      <c r="M568" s="28">
        <v>0</v>
      </c>
      <c r="N568" s="29">
        <v>0</v>
      </c>
    </row>
    <row r="569" spans="2:14" x14ac:dyDescent="0.25">
      <c r="B569" s="24">
        <v>45187</v>
      </c>
      <c r="C569" s="24">
        <v>45188</v>
      </c>
      <c r="D569" s="24" t="s">
        <v>110</v>
      </c>
      <c r="E569" s="24" t="s">
        <v>111</v>
      </c>
      <c r="F569" s="27">
        <v>0</v>
      </c>
      <c r="G569" s="27">
        <v>0</v>
      </c>
      <c r="H569" s="26">
        <v>0</v>
      </c>
      <c r="I569" s="28">
        <v>0</v>
      </c>
      <c r="J569" s="28">
        <v>0</v>
      </c>
      <c r="K569" s="28">
        <v>0</v>
      </c>
      <c r="L569" s="29">
        <v>0</v>
      </c>
      <c r="M569" s="28">
        <v>0</v>
      </c>
      <c r="N569" s="29">
        <v>0</v>
      </c>
    </row>
    <row r="570" spans="2:14" x14ac:dyDescent="0.25">
      <c r="B570" s="24">
        <v>45187</v>
      </c>
      <c r="C570" s="24">
        <v>45188</v>
      </c>
      <c r="D570" s="24" t="s">
        <v>112</v>
      </c>
      <c r="E570" s="24" t="s">
        <v>113</v>
      </c>
      <c r="F570" s="27">
        <v>0</v>
      </c>
      <c r="G570" s="27">
        <v>0</v>
      </c>
      <c r="H570" s="26">
        <v>0</v>
      </c>
      <c r="I570" s="28">
        <v>0</v>
      </c>
      <c r="J570" s="28">
        <v>0</v>
      </c>
      <c r="K570" s="28">
        <v>0</v>
      </c>
      <c r="L570" s="29">
        <v>0</v>
      </c>
      <c r="M570" s="28">
        <v>0</v>
      </c>
      <c r="N570" s="29">
        <v>0</v>
      </c>
    </row>
    <row r="571" spans="2:14" x14ac:dyDescent="0.25">
      <c r="B571" s="24">
        <v>45187</v>
      </c>
      <c r="C571" s="24">
        <v>45188</v>
      </c>
      <c r="D571" s="24" t="s">
        <v>114</v>
      </c>
      <c r="E571" s="24" t="s">
        <v>115</v>
      </c>
      <c r="F571" s="27">
        <v>0</v>
      </c>
      <c r="G571" s="27">
        <v>0</v>
      </c>
      <c r="H571" s="26">
        <v>0</v>
      </c>
      <c r="I571" s="28">
        <v>0</v>
      </c>
      <c r="J571" s="28">
        <v>0</v>
      </c>
      <c r="K571" s="28">
        <v>0</v>
      </c>
      <c r="L571" s="29">
        <v>0</v>
      </c>
      <c r="M571" s="28">
        <v>0</v>
      </c>
      <c r="N571" s="29">
        <v>0</v>
      </c>
    </row>
    <row r="572" spans="2:14" x14ac:dyDescent="0.25">
      <c r="B572" s="24">
        <v>45187</v>
      </c>
      <c r="C572" s="24">
        <v>45188</v>
      </c>
      <c r="D572" s="24" t="s">
        <v>116</v>
      </c>
      <c r="E572" s="24" t="s">
        <v>117</v>
      </c>
      <c r="F572" s="27">
        <v>4.7908819999999999</v>
      </c>
      <c r="G572" s="27">
        <v>0</v>
      </c>
      <c r="H572" s="26">
        <v>0</v>
      </c>
      <c r="I572" s="28">
        <v>0</v>
      </c>
      <c r="J572" s="28">
        <v>0</v>
      </c>
      <c r="K572" s="28">
        <v>0</v>
      </c>
      <c r="L572" s="29">
        <v>0</v>
      </c>
      <c r="M572" s="28">
        <v>0</v>
      </c>
      <c r="N572" s="29">
        <v>0</v>
      </c>
    </row>
    <row r="573" spans="2:14" x14ac:dyDescent="0.25">
      <c r="B573" s="24">
        <v>45187</v>
      </c>
      <c r="C573" s="24">
        <v>45188</v>
      </c>
      <c r="D573" s="24" t="s">
        <v>118</v>
      </c>
      <c r="E573" s="24" t="s">
        <v>119</v>
      </c>
      <c r="F573" s="27">
        <v>147.00053700000001</v>
      </c>
      <c r="G573" s="27">
        <v>14.721323999999999</v>
      </c>
      <c r="H573" s="26">
        <v>25</v>
      </c>
      <c r="I573" s="28">
        <v>4.6884800000000002</v>
      </c>
      <c r="J573" s="28">
        <v>58.372999999999998</v>
      </c>
      <c r="K573" s="28">
        <v>58.372999999999998</v>
      </c>
      <c r="L573" s="29">
        <v>100</v>
      </c>
      <c r="M573" s="28">
        <v>58.372999999999998</v>
      </c>
      <c r="N573" s="29">
        <v>0</v>
      </c>
    </row>
    <row r="574" spans="2:14" x14ac:dyDescent="0.25">
      <c r="B574" s="24">
        <v>45187</v>
      </c>
      <c r="C574" s="24">
        <v>45188</v>
      </c>
      <c r="D574" s="24" t="s">
        <v>124</v>
      </c>
      <c r="E574" s="24" t="s">
        <v>125</v>
      </c>
      <c r="F574" s="27">
        <v>73.396516000000005</v>
      </c>
      <c r="G574" s="27">
        <v>0</v>
      </c>
      <c r="H574" s="26">
        <v>0</v>
      </c>
      <c r="I574" s="28">
        <v>0</v>
      </c>
      <c r="J574" s="28">
        <v>0</v>
      </c>
      <c r="K574" s="28">
        <v>0</v>
      </c>
      <c r="L574" s="29">
        <v>0</v>
      </c>
      <c r="M574" s="28">
        <v>0</v>
      </c>
      <c r="N574" s="29">
        <v>0</v>
      </c>
    </row>
    <row r="575" spans="2:14" x14ac:dyDescent="0.25">
      <c r="B575" s="24">
        <v>45194</v>
      </c>
      <c r="C575" s="24">
        <v>45195</v>
      </c>
      <c r="D575" s="25" t="s">
        <v>126</v>
      </c>
      <c r="E575" s="25" t="s">
        <v>127</v>
      </c>
      <c r="F575" s="26">
        <v>74.075029999999998</v>
      </c>
      <c r="G575" s="27">
        <v>0</v>
      </c>
      <c r="H575" s="26">
        <v>0</v>
      </c>
      <c r="I575" s="28">
        <v>0</v>
      </c>
      <c r="J575" s="28">
        <v>0</v>
      </c>
      <c r="K575" s="28">
        <v>0</v>
      </c>
      <c r="L575" s="29">
        <v>0</v>
      </c>
      <c r="M575" s="28">
        <v>0</v>
      </c>
      <c r="N575" s="29">
        <v>0</v>
      </c>
    </row>
    <row r="576" spans="2:14" x14ac:dyDescent="0.25">
      <c r="B576" s="24">
        <v>45194</v>
      </c>
      <c r="C576" s="24">
        <v>45195</v>
      </c>
      <c r="D576" s="25" t="s">
        <v>128</v>
      </c>
      <c r="E576" s="25" t="s">
        <v>129</v>
      </c>
      <c r="F576" s="26">
        <v>0</v>
      </c>
      <c r="G576" s="27">
        <v>0</v>
      </c>
      <c r="H576" s="26">
        <v>0</v>
      </c>
      <c r="I576" s="28">
        <v>0</v>
      </c>
      <c r="J576" s="28">
        <v>0</v>
      </c>
      <c r="K576" s="28">
        <v>0</v>
      </c>
      <c r="L576" s="29">
        <v>0</v>
      </c>
      <c r="M576" s="28">
        <v>0</v>
      </c>
      <c r="N576" s="29">
        <v>0</v>
      </c>
    </row>
    <row r="577" spans="2:14" x14ac:dyDescent="0.25">
      <c r="B577" s="24">
        <v>45194</v>
      </c>
      <c r="C577" s="24">
        <v>45195</v>
      </c>
      <c r="D577" s="25" t="s">
        <v>130</v>
      </c>
      <c r="E577" s="25" t="s">
        <v>131</v>
      </c>
      <c r="F577" s="26">
        <v>9.387105</v>
      </c>
      <c r="G577" s="27">
        <v>0</v>
      </c>
      <c r="H577" s="26">
        <v>0</v>
      </c>
      <c r="I577" s="28">
        <v>0</v>
      </c>
      <c r="J577" s="28">
        <v>0</v>
      </c>
      <c r="K577" s="28">
        <v>0</v>
      </c>
      <c r="L577" s="29">
        <v>0</v>
      </c>
      <c r="M577" s="28">
        <v>0</v>
      </c>
      <c r="N577" s="29">
        <v>0</v>
      </c>
    </row>
    <row r="578" spans="2:14" x14ac:dyDescent="0.25">
      <c r="B578" s="24">
        <v>45194</v>
      </c>
      <c r="C578" s="24">
        <v>45195</v>
      </c>
      <c r="D578" s="25" t="s">
        <v>132</v>
      </c>
      <c r="E578" s="25" t="s">
        <v>133</v>
      </c>
      <c r="F578" s="26">
        <v>61.810816000000003</v>
      </c>
      <c r="G578" s="27">
        <v>61.810817</v>
      </c>
      <c r="H578" s="26">
        <v>66</v>
      </c>
      <c r="I578" s="28">
        <v>4.7988499999999998</v>
      </c>
      <c r="J578" s="28">
        <v>92.363840999999994</v>
      </c>
      <c r="K578" s="28">
        <v>92.39</v>
      </c>
      <c r="L578" s="29">
        <v>100</v>
      </c>
      <c r="M578" s="28">
        <v>92.281999999999996</v>
      </c>
      <c r="N578" s="29">
        <v>8.1840999999999997E-2</v>
      </c>
    </row>
    <row r="579" spans="2:14" x14ac:dyDescent="0.25">
      <c r="B579" s="24">
        <v>45194</v>
      </c>
      <c r="C579" s="24">
        <v>45195</v>
      </c>
      <c r="D579" s="25" t="s">
        <v>134</v>
      </c>
      <c r="E579" s="25" t="s">
        <v>135</v>
      </c>
      <c r="F579" s="26">
        <v>5.3939019999999998</v>
      </c>
      <c r="G579" s="27">
        <v>5.3939019999999998</v>
      </c>
      <c r="H579" s="26">
        <v>10</v>
      </c>
      <c r="I579" s="28">
        <v>4.778016</v>
      </c>
      <c r="J579" s="28">
        <v>53.67</v>
      </c>
      <c r="K579" s="28">
        <v>53.67</v>
      </c>
      <c r="L579" s="29">
        <v>100</v>
      </c>
      <c r="M579" s="28">
        <v>53.67</v>
      </c>
      <c r="N579" s="29">
        <v>0</v>
      </c>
    </row>
    <row r="580" spans="2:14" x14ac:dyDescent="0.25">
      <c r="B580" s="24">
        <v>45194</v>
      </c>
      <c r="C580" s="24">
        <v>45195</v>
      </c>
      <c r="D580" s="25" t="s">
        <v>136</v>
      </c>
      <c r="E580" s="25" t="s">
        <v>137</v>
      </c>
      <c r="F580" s="26">
        <v>5.6173849999999996</v>
      </c>
      <c r="G580" s="27">
        <v>0</v>
      </c>
      <c r="H580" s="26">
        <v>0</v>
      </c>
      <c r="I580" s="28">
        <v>0</v>
      </c>
      <c r="J580" s="28">
        <v>0</v>
      </c>
      <c r="K580" s="28">
        <v>0</v>
      </c>
      <c r="L580" s="29">
        <v>0</v>
      </c>
      <c r="M580" s="28">
        <v>0</v>
      </c>
      <c r="N580" s="29">
        <v>0</v>
      </c>
    </row>
    <row r="581" spans="2:14" x14ac:dyDescent="0.25">
      <c r="B581" s="24">
        <v>45194</v>
      </c>
      <c r="C581" s="24">
        <v>45195</v>
      </c>
      <c r="D581" s="25" t="s">
        <v>138</v>
      </c>
      <c r="E581" s="25" t="s">
        <v>139</v>
      </c>
      <c r="F581" s="26">
        <v>32.639626999999997</v>
      </c>
      <c r="G581" s="27">
        <v>32.639626999999997</v>
      </c>
      <c r="H581" s="26">
        <v>35</v>
      </c>
      <c r="I581" s="28">
        <v>4.7911140000000003</v>
      </c>
      <c r="J581" s="28">
        <v>91.967242999999996</v>
      </c>
      <c r="K581" s="28">
        <v>92.07</v>
      </c>
      <c r="L581" s="29">
        <v>100</v>
      </c>
      <c r="M581" s="28">
        <v>91.84</v>
      </c>
      <c r="N581" s="29">
        <v>0.12724299999999999</v>
      </c>
    </row>
    <row r="582" spans="2:14" x14ac:dyDescent="0.25">
      <c r="B582" s="24">
        <v>45194</v>
      </c>
      <c r="C582" s="24">
        <v>45195</v>
      </c>
      <c r="D582" s="25" t="s">
        <v>140</v>
      </c>
      <c r="E582" s="25" t="s">
        <v>141</v>
      </c>
      <c r="F582" s="26">
        <v>380.60300999999998</v>
      </c>
      <c r="G582" s="27">
        <v>380.60301099999998</v>
      </c>
      <c r="H582" s="26">
        <v>1000</v>
      </c>
      <c r="I582" s="28">
        <v>4.7184460000000001</v>
      </c>
      <c r="J582" s="28">
        <v>37.792203000000001</v>
      </c>
      <c r="K582" s="28">
        <v>37.808999999999997</v>
      </c>
      <c r="L582" s="29">
        <v>100</v>
      </c>
      <c r="M582" s="28">
        <v>37.774999999999999</v>
      </c>
      <c r="N582" s="29">
        <v>1.7203E-2</v>
      </c>
    </row>
    <row r="583" spans="2:14" x14ac:dyDescent="0.25">
      <c r="B583" s="24">
        <v>45194</v>
      </c>
      <c r="C583" s="24">
        <v>45195</v>
      </c>
      <c r="D583" s="25" t="s">
        <v>142</v>
      </c>
      <c r="E583" s="25" t="s">
        <v>143</v>
      </c>
      <c r="F583" s="26">
        <v>122.606077</v>
      </c>
      <c r="G583" s="27">
        <v>34.869211</v>
      </c>
      <c r="H583" s="26">
        <v>75</v>
      </c>
      <c r="I583" s="28">
        <v>4.7450530000000004</v>
      </c>
      <c r="J583" s="28">
        <v>46.298684999999999</v>
      </c>
      <c r="K583" s="28">
        <v>46.33</v>
      </c>
      <c r="L583" s="29">
        <v>100</v>
      </c>
      <c r="M583" s="28">
        <v>46.26</v>
      </c>
      <c r="N583" s="29">
        <v>3.8684999999999997E-2</v>
      </c>
    </row>
    <row r="584" spans="2:14" x14ac:dyDescent="0.25">
      <c r="B584" s="24">
        <v>45194</v>
      </c>
      <c r="C584" s="24">
        <v>45195</v>
      </c>
      <c r="D584" s="25" t="s">
        <v>144</v>
      </c>
      <c r="E584" s="25" t="s">
        <v>145</v>
      </c>
      <c r="F584" s="26">
        <v>0</v>
      </c>
      <c r="G584" s="27">
        <v>0</v>
      </c>
      <c r="H584" s="26">
        <v>0</v>
      </c>
      <c r="I584" s="28">
        <v>0</v>
      </c>
      <c r="J584" s="28">
        <v>0</v>
      </c>
      <c r="K584" s="28">
        <v>0</v>
      </c>
      <c r="L584" s="29">
        <v>0</v>
      </c>
      <c r="M584" s="28">
        <v>0</v>
      </c>
      <c r="N584" s="29">
        <v>0</v>
      </c>
    </row>
    <row r="585" spans="2:14" x14ac:dyDescent="0.25">
      <c r="B585" s="24">
        <v>45194</v>
      </c>
      <c r="C585" s="24">
        <v>45195</v>
      </c>
      <c r="D585" s="25" t="s">
        <v>148</v>
      </c>
      <c r="E585" s="25" t="s">
        <v>149</v>
      </c>
      <c r="F585" s="26">
        <v>0</v>
      </c>
      <c r="G585" s="27">
        <v>0</v>
      </c>
      <c r="H585" s="26">
        <v>0</v>
      </c>
      <c r="I585" s="28">
        <v>0</v>
      </c>
      <c r="J585" s="28">
        <v>0</v>
      </c>
      <c r="K585" s="28">
        <v>0</v>
      </c>
      <c r="L585" s="29">
        <v>0</v>
      </c>
      <c r="M585" s="28">
        <v>0</v>
      </c>
      <c r="N585" s="29">
        <v>0</v>
      </c>
    </row>
    <row r="586" spans="2:14" x14ac:dyDescent="0.25">
      <c r="B586" s="24">
        <v>45194</v>
      </c>
      <c r="C586" s="24">
        <v>45195</v>
      </c>
      <c r="D586" s="25" t="s">
        <v>150</v>
      </c>
      <c r="E586" s="25" t="s">
        <v>151</v>
      </c>
      <c r="F586" s="26">
        <v>0</v>
      </c>
      <c r="G586" s="27">
        <v>0</v>
      </c>
      <c r="H586" s="26">
        <v>0</v>
      </c>
      <c r="I586" s="28">
        <v>0</v>
      </c>
      <c r="J586" s="28">
        <v>0</v>
      </c>
      <c r="K586" s="28">
        <v>0</v>
      </c>
      <c r="L586" s="29">
        <v>0</v>
      </c>
      <c r="M586" s="28">
        <v>0</v>
      </c>
      <c r="N586" s="29">
        <v>0</v>
      </c>
    </row>
    <row r="587" spans="2:14" x14ac:dyDescent="0.25">
      <c r="B587" s="24">
        <v>45194</v>
      </c>
      <c r="C587" s="24">
        <v>45195</v>
      </c>
      <c r="D587" s="25" t="s">
        <v>152</v>
      </c>
      <c r="E587" s="25" t="s">
        <v>153</v>
      </c>
      <c r="F587" s="26">
        <v>30.548915000000001</v>
      </c>
      <c r="G587" s="27">
        <v>9.7629380000000001</v>
      </c>
      <c r="H587" s="26">
        <v>19.100000000000001</v>
      </c>
      <c r="I587" s="28">
        <v>4.6506109999999996</v>
      </c>
      <c r="J587" s="28">
        <v>50.801000000000002</v>
      </c>
      <c r="K587" s="28">
        <v>50.801000000000002</v>
      </c>
      <c r="L587" s="29">
        <v>95.499999000000003</v>
      </c>
      <c r="M587" s="28">
        <v>50.801000000000002</v>
      </c>
      <c r="N587" s="29">
        <v>0</v>
      </c>
    </row>
    <row r="588" spans="2:14" x14ac:dyDescent="0.25">
      <c r="B588" s="24">
        <v>45194</v>
      </c>
      <c r="C588" s="24">
        <v>45195</v>
      </c>
      <c r="D588" s="25" t="s">
        <v>154</v>
      </c>
      <c r="E588" s="25" t="s">
        <v>155</v>
      </c>
      <c r="F588" s="26">
        <v>75.370131999999998</v>
      </c>
      <c r="G588" s="27">
        <v>44.493696</v>
      </c>
      <c r="H588" s="26">
        <v>50</v>
      </c>
      <c r="I588" s="28">
        <v>4.6738210000000002</v>
      </c>
      <c r="J588" s="28">
        <v>88.270016999999996</v>
      </c>
      <c r="K588" s="28">
        <v>88.31</v>
      </c>
      <c r="L588" s="29">
        <v>100</v>
      </c>
      <c r="M588" s="28">
        <v>88.23</v>
      </c>
      <c r="N588" s="29">
        <v>4.0016999999999997E-2</v>
      </c>
    </row>
    <row r="589" spans="2:14" x14ac:dyDescent="0.25">
      <c r="B589" s="24">
        <v>45194</v>
      </c>
      <c r="C589" s="24">
        <v>45195</v>
      </c>
      <c r="D589" s="25" t="s">
        <v>156</v>
      </c>
      <c r="E589" s="25" t="s">
        <v>157</v>
      </c>
      <c r="F589" s="26">
        <v>107.036427</v>
      </c>
      <c r="G589" s="27">
        <v>80.381820000000005</v>
      </c>
      <c r="H589" s="26">
        <v>285</v>
      </c>
      <c r="I589" s="28">
        <v>4.4333470000000004</v>
      </c>
      <c r="J589" s="28">
        <v>27.989754000000001</v>
      </c>
      <c r="K589" s="28">
        <v>28.042999999999999</v>
      </c>
      <c r="L589" s="29">
        <v>100</v>
      </c>
      <c r="M589" s="28">
        <v>27.922999999999998</v>
      </c>
      <c r="N589" s="29">
        <v>6.6753999999999994E-2</v>
      </c>
    </row>
    <row r="590" spans="2:14" x14ac:dyDescent="0.25">
      <c r="B590" s="24">
        <v>45194</v>
      </c>
      <c r="C590" s="24">
        <v>45195</v>
      </c>
      <c r="D590" s="25" t="s">
        <v>158</v>
      </c>
      <c r="E590" s="25" t="s">
        <v>159</v>
      </c>
      <c r="F590" s="26">
        <v>0</v>
      </c>
      <c r="G590" s="27">
        <v>0</v>
      </c>
      <c r="H590" s="26">
        <v>0</v>
      </c>
      <c r="I590" s="28">
        <v>0</v>
      </c>
      <c r="J590" s="28">
        <v>0</v>
      </c>
      <c r="K590" s="28">
        <v>0</v>
      </c>
      <c r="L590" s="29">
        <v>0</v>
      </c>
      <c r="M590" s="28">
        <v>0</v>
      </c>
      <c r="N590" s="29">
        <v>0</v>
      </c>
    </row>
    <row r="591" spans="2:14" x14ac:dyDescent="0.25">
      <c r="B591" s="24">
        <v>45194</v>
      </c>
      <c r="C591" s="24">
        <v>45195</v>
      </c>
      <c r="D591" s="25" t="s">
        <v>160</v>
      </c>
      <c r="E591" s="25" t="s">
        <v>161</v>
      </c>
      <c r="F591" s="26">
        <v>0</v>
      </c>
      <c r="G591" s="27">
        <v>0</v>
      </c>
      <c r="H591" s="26">
        <v>0</v>
      </c>
      <c r="I591" s="28">
        <v>0</v>
      </c>
      <c r="J591" s="28">
        <v>0</v>
      </c>
      <c r="K591" s="28">
        <v>0</v>
      </c>
      <c r="L591" s="29">
        <v>0</v>
      </c>
      <c r="M591" s="28">
        <v>0</v>
      </c>
      <c r="N591" s="29">
        <v>0</v>
      </c>
    </row>
    <row r="592" spans="2:14" x14ac:dyDescent="0.25">
      <c r="B592" s="24">
        <v>45194</v>
      </c>
      <c r="C592" s="24">
        <v>45195</v>
      </c>
      <c r="D592" s="25" t="s">
        <v>162</v>
      </c>
      <c r="E592" s="25" t="s">
        <v>163</v>
      </c>
      <c r="F592" s="26">
        <v>0</v>
      </c>
      <c r="G592" s="27">
        <v>0</v>
      </c>
      <c r="H592" s="26">
        <v>0</v>
      </c>
      <c r="I592" s="28">
        <v>0</v>
      </c>
      <c r="J592" s="28">
        <v>0</v>
      </c>
      <c r="K592" s="28">
        <v>0</v>
      </c>
      <c r="L592" s="29">
        <v>0</v>
      </c>
      <c r="M592" s="28">
        <v>0</v>
      </c>
      <c r="N592" s="29">
        <v>0</v>
      </c>
    </row>
    <row r="593" spans="2:14" x14ac:dyDescent="0.25">
      <c r="B593" s="24">
        <v>45201</v>
      </c>
      <c r="C593" s="24">
        <v>45202</v>
      </c>
      <c r="D593" s="25" t="s">
        <v>80</v>
      </c>
      <c r="E593" s="25" t="s">
        <v>81</v>
      </c>
      <c r="F593" s="26">
        <v>557.56920600000001</v>
      </c>
      <c r="G593" s="26">
        <v>296.54205999999999</v>
      </c>
      <c r="H593" s="26">
        <v>335</v>
      </c>
      <c r="I593" s="28">
        <v>4.5025250000000003</v>
      </c>
      <c r="J593" s="28">
        <v>88.351984999999999</v>
      </c>
      <c r="K593" s="28">
        <v>88.355000000000004</v>
      </c>
      <c r="L593" s="29">
        <v>100</v>
      </c>
      <c r="M593" s="28">
        <v>88.344999999999999</v>
      </c>
      <c r="N593" s="29">
        <v>6.9849999999999999E-3</v>
      </c>
    </row>
    <row r="594" spans="2:14" x14ac:dyDescent="0.25">
      <c r="B594" s="24">
        <v>45201</v>
      </c>
      <c r="C594" s="24">
        <v>45202</v>
      </c>
      <c r="D594" s="25" t="s">
        <v>82</v>
      </c>
      <c r="E594" s="25" t="s">
        <v>83</v>
      </c>
      <c r="F594" s="26">
        <v>227.71745200000001</v>
      </c>
      <c r="G594" s="26">
        <v>89.355462000000003</v>
      </c>
      <c r="H594" s="26">
        <v>100</v>
      </c>
      <c r="I594" s="28">
        <v>4.3918679999999997</v>
      </c>
      <c r="J594" s="28">
        <v>89.107500000000002</v>
      </c>
      <c r="K594" s="28">
        <v>89.11</v>
      </c>
      <c r="L594" s="29">
        <v>100</v>
      </c>
      <c r="M594" s="28">
        <v>89.105000000000004</v>
      </c>
      <c r="N594" s="29">
        <v>2.5000000000000001E-3</v>
      </c>
    </row>
    <row r="595" spans="2:14" x14ac:dyDescent="0.25">
      <c r="B595" s="24">
        <v>45201</v>
      </c>
      <c r="C595" s="24">
        <v>45202</v>
      </c>
      <c r="D595" s="25" t="s">
        <v>84</v>
      </c>
      <c r="E595" s="25" t="s">
        <v>85</v>
      </c>
      <c r="F595" s="26">
        <v>0</v>
      </c>
      <c r="G595" s="26">
        <v>0</v>
      </c>
      <c r="H595" s="26">
        <v>0</v>
      </c>
      <c r="I595" s="28">
        <v>0</v>
      </c>
      <c r="J595" s="28">
        <v>0</v>
      </c>
      <c r="K595" s="28">
        <v>0</v>
      </c>
      <c r="L595" s="29">
        <v>0</v>
      </c>
      <c r="M595" s="28">
        <v>0</v>
      </c>
      <c r="N595" s="29">
        <v>0</v>
      </c>
    </row>
    <row r="596" spans="2:14" x14ac:dyDescent="0.25">
      <c r="B596" s="24">
        <v>45201</v>
      </c>
      <c r="C596" s="24">
        <v>45202</v>
      </c>
      <c r="D596" s="25" t="s">
        <v>86</v>
      </c>
      <c r="E596" s="25" t="s">
        <v>87</v>
      </c>
      <c r="F596" s="26">
        <v>833.21369100000004</v>
      </c>
      <c r="G596" s="26">
        <v>58.390317000000003</v>
      </c>
      <c r="H596" s="26">
        <v>70</v>
      </c>
      <c r="I596" s="28">
        <v>4.3807710000000002</v>
      </c>
      <c r="J596" s="28">
        <v>83.393000000000001</v>
      </c>
      <c r="K596" s="28">
        <v>83.393000000000001</v>
      </c>
      <c r="L596" s="29">
        <v>100</v>
      </c>
      <c r="M596" s="28">
        <v>83.393000000000001</v>
      </c>
      <c r="N596" s="29">
        <v>0</v>
      </c>
    </row>
    <row r="597" spans="2:14" x14ac:dyDescent="0.25">
      <c r="B597" s="24">
        <v>45201</v>
      </c>
      <c r="C597" s="24">
        <v>45202</v>
      </c>
      <c r="D597" s="25" t="s">
        <v>88</v>
      </c>
      <c r="E597" s="25" t="s">
        <v>89</v>
      </c>
      <c r="F597" s="26">
        <v>154.06646699999999</v>
      </c>
      <c r="G597" s="26">
        <v>0</v>
      </c>
      <c r="H597" s="26">
        <v>0</v>
      </c>
      <c r="I597" s="28">
        <v>0</v>
      </c>
      <c r="J597" s="28">
        <v>0</v>
      </c>
      <c r="K597" s="28">
        <v>0</v>
      </c>
      <c r="L597" s="29">
        <v>0</v>
      </c>
      <c r="M597" s="28">
        <v>0</v>
      </c>
      <c r="N597" s="29">
        <v>0</v>
      </c>
    </row>
    <row r="598" spans="2:14" x14ac:dyDescent="0.25">
      <c r="B598" s="24">
        <v>45201</v>
      </c>
      <c r="C598" s="24">
        <v>45202</v>
      </c>
      <c r="D598" s="25" t="s">
        <v>90</v>
      </c>
      <c r="E598" s="25" t="s">
        <v>91</v>
      </c>
      <c r="F598" s="26">
        <v>0</v>
      </c>
      <c r="G598" s="26">
        <v>0</v>
      </c>
      <c r="H598" s="26">
        <v>0</v>
      </c>
      <c r="I598" s="28">
        <v>0</v>
      </c>
      <c r="J598" s="28">
        <v>0</v>
      </c>
      <c r="K598" s="28">
        <v>0</v>
      </c>
      <c r="L598" s="29">
        <v>0</v>
      </c>
      <c r="M598" s="28">
        <v>0</v>
      </c>
      <c r="N598" s="29">
        <v>0</v>
      </c>
    </row>
    <row r="599" spans="2:14" x14ac:dyDescent="0.25">
      <c r="B599" s="24">
        <v>45201</v>
      </c>
      <c r="C599" s="24">
        <v>45202</v>
      </c>
      <c r="D599" s="25" t="s">
        <v>120</v>
      </c>
      <c r="E599" s="25" t="s">
        <v>121</v>
      </c>
      <c r="F599" s="26">
        <v>77.518007999999995</v>
      </c>
      <c r="G599" s="26">
        <v>0</v>
      </c>
      <c r="H599" s="26">
        <v>0</v>
      </c>
      <c r="I599" s="28">
        <v>0</v>
      </c>
      <c r="J599" s="28">
        <v>0</v>
      </c>
      <c r="K599" s="28">
        <v>0</v>
      </c>
      <c r="L599" s="29">
        <v>0</v>
      </c>
      <c r="M599" s="28">
        <v>0</v>
      </c>
      <c r="N599" s="29">
        <v>0</v>
      </c>
    </row>
    <row r="600" spans="2:14" x14ac:dyDescent="0.25">
      <c r="B600" s="24">
        <v>45201</v>
      </c>
      <c r="C600" s="24">
        <v>45202</v>
      </c>
      <c r="D600" s="25" t="s">
        <v>92</v>
      </c>
      <c r="E600" s="25" t="s">
        <v>93</v>
      </c>
      <c r="F600" s="26">
        <v>226.20321000000001</v>
      </c>
      <c r="G600" s="26">
        <v>225.62744599999999</v>
      </c>
      <c r="H600" s="26">
        <v>274.3</v>
      </c>
      <c r="I600" s="28">
        <v>4.3117000000000001</v>
      </c>
      <c r="J600" s="28">
        <v>81.863645000000005</v>
      </c>
      <c r="K600" s="28">
        <v>81.87</v>
      </c>
      <c r="L600" s="29">
        <v>99.6</v>
      </c>
      <c r="M600" s="28">
        <v>81.86</v>
      </c>
      <c r="N600" s="29">
        <v>3.6449999999999998E-3</v>
      </c>
    </row>
    <row r="601" spans="2:14" x14ac:dyDescent="0.25">
      <c r="B601" s="24">
        <v>45208</v>
      </c>
      <c r="C601" s="24">
        <v>45209</v>
      </c>
      <c r="D601" s="25" t="s">
        <v>126</v>
      </c>
      <c r="E601" s="25" t="s">
        <v>127</v>
      </c>
      <c r="F601" s="26">
        <v>108.82283</v>
      </c>
      <c r="G601" s="26">
        <v>70.469570000000004</v>
      </c>
      <c r="H601" s="26">
        <v>90</v>
      </c>
      <c r="I601" s="28">
        <v>5.0238639999999997</v>
      </c>
      <c r="J601" s="28">
        <v>77.593018999999998</v>
      </c>
      <c r="K601" s="28">
        <v>77.644000000000005</v>
      </c>
      <c r="L601" s="29">
        <v>100</v>
      </c>
      <c r="M601" s="28">
        <v>77.55</v>
      </c>
      <c r="N601" s="29">
        <v>4.3019000000000002E-2</v>
      </c>
    </row>
    <row r="602" spans="2:14" x14ac:dyDescent="0.25">
      <c r="B602" s="24">
        <v>45208</v>
      </c>
      <c r="C602" s="24">
        <v>45209</v>
      </c>
      <c r="D602" s="25" t="s">
        <v>128</v>
      </c>
      <c r="E602" s="25" t="s">
        <v>129</v>
      </c>
      <c r="F602" s="26">
        <v>12.112629999999999</v>
      </c>
      <c r="G602" s="26">
        <v>12.112629999999999</v>
      </c>
      <c r="H602" s="26">
        <v>15</v>
      </c>
      <c r="I602" s="28">
        <v>5.0437609999999999</v>
      </c>
      <c r="J602" s="28">
        <v>79.989999999999995</v>
      </c>
      <c r="K602" s="28">
        <v>79.989999999999995</v>
      </c>
      <c r="L602" s="29">
        <v>100</v>
      </c>
      <c r="M602" s="28">
        <v>79.989999999999995</v>
      </c>
      <c r="N602" s="29">
        <v>0</v>
      </c>
    </row>
    <row r="603" spans="2:14" x14ac:dyDescent="0.25">
      <c r="B603" s="24">
        <v>45208</v>
      </c>
      <c r="C603" s="24">
        <v>45209</v>
      </c>
      <c r="D603" s="25" t="s">
        <v>130</v>
      </c>
      <c r="E603" s="25" t="s">
        <v>131</v>
      </c>
      <c r="F603" s="26">
        <v>102.845181</v>
      </c>
      <c r="G603" s="26">
        <v>4.5038819999999999</v>
      </c>
      <c r="H603" s="26">
        <v>10</v>
      </c>
      <c r="I603" s="28">
        <v>5.0054939999999997</v>
      </c>
      <c r="J603" s="28">
        <v>44.87</v>
      </c>
      <c r="K603" s="28">
        <v>44.87</v>
      </c>
      <c r="L603" s="29">
        <v>100</v>
      </c>
      <c r="M603" s="28">
        <v>44.87</v>
      </c>
      <c r="N603" s="29">
        <v>0</v>
      </c>
    </row>
    <row r="604" spans="2:14" x14ac:dyDescent="0.25">
      <c r="B604" s="24">
        <v>45208</v>
      </c>
      <c r="C604" s="24">
        <v>45209</v>
      </c>
      <c r="D604" s="25" t="s">
        <v>132</v>
      </c>
      <c r="E604" s="25" t="s">
        <v>133</v>
      </c>
      <c r="F604" s="26">
        <v>13.594725</v>
      </c>
      <c r="G604" s="26">
        <v>13.594725</v>
      </c>
      <c r="H604" s="26">
        <v>15</v>
      </c>
      <c r="I604" s="28">
        <v>5.0471120000000003</v>
      </c>
      <c r="J604" s="28">
        <v>89.18</v>
      </c>
      <c r="K604" s="28">
        <v>89.18</v>
      </c>
      <c r="L604" s="29">
        <v>100</v>
      </c>
      <c r="M604" s="28">
        <v>89.18</v>
      </c>
      <c r="N604" s="29">
        <v>0</v>
      </c>
    </row>
    <row r="605" spans="2:14" x14ac:dyDescent="0.25">
      <c r="B605" s="24">
        <v>45208</v>
      </c>
      <c r="C605" s="24">
        <v>45209</v>
      </c>
      <c r="D605" s="25" t="s">
        <v>134</v>
      </c>
      <c r="E605" s="25" t="s">
        <v>135</v>
      </c>
      <c r="F605" s="26">
        <v>5.1746080000000001</v>
      </c>
      <c r="G605" s="26">
        <v>5.1746090000000002</v>
      </c>
      <c r="H605" s="26">
        <v>10</v>
      </c>
      <c r="I605" s="28">
        <v>5.022494</v>
      </c>
      <c r="J605" s="28">
        <v>51.42</v>
      </c>
      <c r="K605" s="28">
        <v>51.42</v>
      </c>
      <c r="L605" s="29">
        <v>100</v>
      </c>
      <c r="M605" s="28">
        <v>51.42</v>
      </c>
      <c r="N605" s="29">
        <v>0</v>
      </c>
    </row>
    <row r="606" spans="2:14" x14ac:dyDescent="0.25">
      <c r="B606" s="24">
        <v>45208</v>
      </c>
      <c r="C606" s="24">
        <v>45209</v>
      </c>
      <c r="D606" s="25" t="s">
        <v>136</v>
      </c>
      <c r="E606" s="25" t="s">
        <v>137</v>
      </c>
      <c r="F606" s="26">
        <v>0</v>
      </c>
      <c r="G606" s="26">
        <v>0</v>
      </c>
      <c r="H606" s="26">
        <v>0</v>
      </c>
      <c r="I606" s="28">
        <v>0</v>
      </c>
      <c r="J606" s="28">
        <v>0</v>
      </c>
      <c r="K606" s="28">
        <v>0</v>
      </c>
      <c r="L606" s="29">
        <v>0</v>
      </c>
      <c r="M606" s="28">
        <v>0</v>
      </c>
      <c r="N606" s="29">
        <v>0</v>
      </c>
    </row>
    <row r="607" spans="2:14" x14ac:dyDescent="0.25">
      <c r="B607" s="24">
        <v>45208</v>
      </c>
      <c r="C607" s="24">
        <v>45209</v>
      </c>
      <c r="D607" s="25" t="s">
        <v>138</v>
      </c>
      <c r="E607" s="25" t="s">
        <v>139</v>
      </c>
      <c r="F607" s="26">
        <v>22.400375</v>
      </c>
      <c r="G607" s="26">
        <v>0</v>
      </c>
      <c r="H607" s="26">
        <v>0</v>
      </c>
      <c r="I607" s="28">
        <v>0</v>
      </c>
      <c r="J607" s="28">
        <v>0</v>
      </c>
      <c r="K607" s="28">
        <v>0</v>
      </c>
      <c r="L607" s="29">
        <v>0</v>
      </c>
      <c r="M607" s="28">
        <v>0</v>
      </c>
      <c r="N607" s="29">
        <v>0</v>
      </c>
    </row>
    <row r="608" spans="2:14" x14ac:dyDescent="0.25">
      <c r="B608" s="24">
        <v>45208</v>
      </c>
      <c r="C608" s="24">
        <v>45209</v>
      </c>
      <c r="D608" s="25" t="s">
        <v>140</v>
      </c>
      <c r="E608" s="25" t="s">
        <v>141</v>
      </c>
      <c r="F608" s="26">
        <v>17.881004000000001</v>
      </c>
      <c r="G608" s="26">
        <v>0</v>
      </c>
      <c r="H608" s="26">
        <v>0</v>
      </c>
      <c r="I608" s="28">
        <v>0</v>
      </c>
      <c r="J608" s="28">
        <v>0</v>
      </c>
      <c r="K608" s="28">
        <v>0</v>
      </c>
      <c r="L608" s="29">
        <v>0</v>
      </c>
      <c r="M608" s="28">
        <v>0</v>
      </c>
      <c r="N608" s="29">
        <v>0</v>
      </c>
    </row>
    <row r="609" spans="2:14" x14ac:dyDescent="0.25">
      <c r="B609" s="24">
        <v>45208</v>
      </c>
      <c r="C609" s="24">
        <v>45209</v>
      </c>
      <c r="D609" s="25" t="s">
        <v>142</v>
      </c>
      <c r="E609" s="25" t="s">
        <v>143</v>
      </c>
      <c r="F609" s="26">
        <v>238.46340900000001</v>
      </c>
      <c r="G609" s="26">
        <v>203.467975</v>
      </c>
      <c r="H609" s="26">
        <v>460</v>
      </c>
      <c r="I609" s="28">
        <v>5.0003580000000003</v>
      </c>
      <c r="J609" s="28">
        <v>43.991034999999997</v>
      </c>
      <c r="K609" s="28">
        <v>44.042999999999999</v>
      </c>
      <c r="L609" s="29">
        <v>100</v>
      </c>
      <c r="M609" s="28">
        <v>43.933</v>
      </c>
      <c r="N609" s="29">
        <v>5.8035000000000003E-2</v>
      </c>
    </row>
    <row r="610" spans="2:14" x14ac:dyDescent="0.25">
      <c r="B610" s="24">
        <v>45208</v>
      </c>
      <c r="C610" s="24">
        <v>45209</v>
      </c>
      <c r="D610" s="25" t="s">
        <v>144</v>
      </c>
      <c r="E610" s="25" t="s">
        <v>145</v>
      </c>
      <c r="F610" s="26">
        <v>81.471467000000004</v>
      </c>
      <c r="G610" s="26">
        <v>61.123913000000002</v>
      </c>
      <c r="H610" s="26">
        <v>75</v>
      </c>
      <c r="I610" s="28">
        <v>5.026478</v>
      </c>
      <c r="J610" s="28">
        <v>80.683344000000005</v>
      </c>
      <c r="K610" s="28">
        <v>80.704999999999998</v>
      </c>
      <c r="L610" s="29">
        <v>100</v>
      </c>
      <c r="M610" s="28">
        <v>80.64</v>
      </c>
      <c r="N610" s="29">
        <v>4.3344000000000001E-2</v>
      </c>
    </row>
    <row r="611" spans="2:14" x14ac:dyDescent="0.25">
      <c r="B611" s="24">
        <v>45208</v>
      </c>
      <c r="C611" s="24">
        <v>45209</v>
      </c>
      <c r="D611" s="25" t="s">
        <v>148</v>
      </c>
      <c r="E611" s="25" t="s">
        <v>149</v>
      </c>
      <c r="F611" s="26">
        <v>0</v>
      </c>
      <c r="G611" s="26">
        <v>0</v>
      </c>
      <c r="H611" s="26">
        <v>0</v>
      </c>
      <c r="I611" s="28">
        <v>0</v>
      </c>
      <c r="J611" s="28">
        <v>0</v>
      </c>
      <c r="K611" s="28">
        <v>0</v>
      </c>
      <c r="L611" s="29">
        <v>0</v>
      </c>
      <c r="M611" s="28">
        <v>0</v>
      </c>
      <c r="N611" s="29">
        <v>0</v>
      </c>
    </row>
    <row r="612" spans="2:14" x14ac:dyDescent="0.25">
      <c r="B612" s="24">
        <v>45208</v>
      </c>
      <c r="C612" s="24">
        <v>45209</v>
      </c>
      <c r="D612" s="25" t="s">
        <v>150</v>
      </c>
      <c r="E612" s="25" t="s">
        <v>151</v>
      </c>
      <c r="F612" s="26">
        <v>89.171102000000005</v>
      </c>
      <c r="G612" s="26">
        <v>0</v>
      </c>
      <c r="H612" s="26">
        <v>0</v>
      </c>
      <c r="I612" s="28">
        <v>0</v>
      </c>
      <c r="J612" s="28">
        <v>0</v>
      </c>
      <c r="K612" s="28">
        <v>0</v>
      </c>
      <c r="L612" s="29">
        <v>0</v>
      </c>
      <c r="M612" s="28">
        <v>0</v>
      </c>
      <c r="N612" s="29">
        <v>0</v>
      </c>
    </row>
    <row r="613" spans="2:14" x14ac:dyDescent="0.25">
      <c r="B613" s="24">
        <v>45208</v>
      </c>
      <c r="C613" s="24">
        <v>45209</v>
      </c>
      <c r="D613" s="25" t="s">
        <v>152</v>
      </c>
      <c r="E613" s="25" t="s">
        <v>153</v>
      </c>
      <c r="F613" s="26">
        <v>0</v>
      </c>
      <c r="G613" s="26">
        <v>0</v>
      </c>
      <c r="H613" s="26">
        <v>0</v>
      </c>
      <c r="I613" s="28">
        <v>0</v>
      </c>
      <c r="J613" s="28">
        <v>0</v>
      </c>
      <c r="K613" s="28">
        <v>0</v>
      </c>
      <c r="L613" s="29">
        <v>0</v>
      </c>
      <c r="M613" s="28">
        <v>0</v>
      </c>
      <c r="N613" s="29">
        <v>0</v>
      </c>
    </row>
    <row r="614" spans="2:14" x14ac:dyDescent="0.25">
      <c r="B614" s="24">
        <v>45208</v>
      </c>
      <c r="C614" s="24">
        <v>45209</v>
      </c>
      <c r="D614" s="25" t="s">
        <v>154</v>
      </c>
      <c r="E614" s="25" t="s">
        <v>155</v>
      </c>
      <c r="F614" s="26">
        <v>0</v>
      </c>
      <c r="G614" s="26">
        <v>0</v>
      </c>
      <c r="H614" s="26">
        <v>0</v>
      </c>
      <c r="I614" s="28">
        <v>0</v>
      </c>
      <c r="J614" s="28">
        <v>0</v>
      </c>
      <c r="K614" s="28">
        <v>0</v>
      </c>
      <c r="L614" s="29">
        <v>0</v>
      </c>
      <c r="M614" s="28">
        <v>0</v>
      </c>
      <c r="N614" s="29">
        <v>0</v>
      </c>
    </row>
    <row r="615" spans="2:14" x14ac:dyDescent="0.25">
      <c r="B615" s="24">
        <v>45208</v>
      </c>
      <c r="C615" s="24">
        <v>45209</v>
      </c>
      <c r="D615" s="25" t="s">
        <v>156</v>
      </c>
      <c r="E615" s="25" t="s">
        <v>157</v>
      </c>
      <c r="F615" s="26">
        <v>76.605237000000002</v>
      </c>
      <c r="G615" s="26">
        <v>74.545422000000002</v>
      </c>
      <c r="H615" s="26">
        <v>285.10000000000002</v>
      </c>
      <c r="I615" s="28">
        <v>4.6991670000000001</v>
      </c>
      <c r="J615" s="28">
        <v>25.913512999999998</v>
      </c>
      <c r="K615" s="28">
        <v>25.934000000000001</v>
      </c>
      <c r="L615" s="29">
        <v>21</v>
      </c>
      <c r="M615" s="28">
        <v>25.84</v>
      </c>
      <c r="N615" s="29">
        <v>7.3512999999999995E-2</v>
      </c>
    </row>
    <row r="616" spans="2:14" x14ac:dyDescent="0.25">
      <c r="B616" s="24">
        <v>45208</v>
      </c>
      <c r="C616" s="24">
        <v>45209</v>
      </c>
      <c r="D616" s="25" t="s">
        <v>158</v>
      </c>
      <c r="E616" s="25" t="s">
        <v>159</v>
      </c>
      <c r="F616" s="26">
        <v>0</v>
      </c>
      <c r="G616" s="26">
        <v>0</v>
      </c>
      <c r="H616" s="26">
        <v>0</v>
      </c>
      <c r="I616" s="28">
        <v>0</v>
      </c>
      <c r="J616" s="28">
        <v>0</v>
      </c>
      <c r="K616" s="28">
        <v>0</v>
      </c>
      <c r="L616" s="29">
        <v>0</v>
      </c>
      <c r="M616" s="28">
        <v>0</v>
      </c>
      <c r="N616" s="29">
        <v>0</v>
      </c>
    </row>
    <row r="617" spans="2:14" x14ac:dyDescent="0.25">
      <c r="B617" s="24">
        <v>45208</v>
      </c>
      <c r="C617" s="24">
        <v>45209</v>
      </c>
      <c r="D617" s="25" t="s">
        <v>160</v>
      </c>
      <c r="E617" s="25" t="s">
        <v>161</v>
      </c>
      <c r="F617" s="26">
        <v>13.660356</v>
      </c>
      <c r="G617" s="26">
        <v>13.660356999999999</v>
      </c>
      <c r="H617" s="26">
        <v>18</v>
      </c>
      <c r="I617" s="28">
        <v>4.8696289999999998</v>
      </c>
      <c r="J617" s="28">
        <v>75.13</v>
      </c>
      <c r="K617" s="28">
        <v>75.13</v>
      </c>
      <c r="L617" s="29">
        <v>100</v>
      </c>
      <c r="M617" s="28">
        <v>75.13</v>
      </c>
      <c r="N617" s="29">
        <v>0</v>
      </c>
    </row>
    <row r="618" spans="2:14" x14ac:dyDescent="0.25">
      <c r="B618" s="24">
        <v>45208</v>
      </c>
      <c r="C618" s="24">
        <v>45209</v>
      </c>
      <c r="D618" s="25" t="s">
        <v>162</v>
      </c>
      <c r="E618" s="25" t="s">
        <v>163</v>
      </c>
      <c r="F618" s="26">
        <v>215.532128</v>
      </c>
      <c r="G618" s="26">
        <v>211.32610700000001</v>
      </c>
      <c r="H618" s="26">
        <v>500</v>
      </c>
      <c r="I618" s="28">
        <v>4.7094430000000003</v>
      </c>
      <c r="J618" s="28">
        <v>41.506003999999997</v>
      </c>
      <c r="K618" s="28">
        <v>41.526000000000003</v>
      </c>
      <c r="L618" s="29">
        <v>100</v>
      </c>
      <c r="M618" s="28">
        <v>41.485999999999997</v>
      </c>
      <c r="N618" s="29">
        <v>2.0004000000000001E-2</v>
      </c>
    </row>
    <row r="619" spans="2:14" x14ac:dyDescent="0.25">
      <c r="B619" s="24">
        <v>45215</v>
      </c>
      <c r="C619" s="24">
        <v>45216</v>
      </c>
      <c r="D619" s="24" t="s">
        <v>94</v>
      </c>
      <c r="E619" s="24" t="s">
        <v>95</v>
      </c>
      <c r="F619" s="27">
        <v>213.33095499999999</v>
      </c>
      <c r="G619" s="27">
        <v>38.132939</v>
      </c>
      <c r="H619" s="26">
        <v>50</v>
      </c>
      <c r="I619" s="28">
        <v>4.3348490000000002</v>
      </c>
      <c r="J619" s="28">
        <v>76.271000000000001</v>
      </c>
      <c r="K619" s="28">
        <v>76.271000000000001</v>
      </c>
      <c r="L619" s="29">
        <v>100</v>
      </c>
      <c r="M619" s="28">
        <v>76.271000000000001</v>
      </c>
      <c r="N619" s="29">
        <v>0</v>
      </c>
    </row>
    <row r="620" spans="2:14" x14ac:dyDescent="0.25">
      <c r="B620" s="24">
        <v>45215</v>
      </c>
      <c r="C620" s="24">
        <v>45216</v>
      </c>
      <c r="D620" s="24" t="s">
        <v>96</v>
      </c>
      <c r="E620" s="24" t="s">
        <v>97</v>
      </c>
      <c r="F620" s="27">
        <v>125.083037</v>
      </c>
      <c r="G620" s="27">
        <v>114.660526</v>
      </c>
      <c r="H620" s="26">
        <v>110</v>
      </c>
      <c r="I620" s="28">
        <v>4.3343639999999999</v>
      </c>
      <c r="J620" s="28">
        <v>102.52372699999999</v>
      </c>
      <c r="K620" s="28">
        <v>102.53100000000001</v>
      </c>
      <c r="L620" s="29">
        <v>100</v>
      </c>
      <c r="M620" s="28">
        <v>102.523</v>
      </c>
      <c r="N620" s="29">
        <v>7.27E-4</v>
      </c>
    </row>
    <row r="621" spans="2:14" x14ac:dyDescent="0.25">
      <c r="B621" s="24">
        <v>45215</v>
      </c>
      <c r="C621" s="24">
        <v>45216</v>
      </c>
      <c r="D621" s="24" t="s">
        <v>98</v>
      </c>
      <c r="E621" s="24" t="s">
        <v>99</v>
      </c>
      <c r="F621" s="27">
        <v>0</v>
      </c>
      <c r="G621" s="27">
        <v>0</v>
      </c>
      <c r="H621" s="26">
        <v>0</v>
      </c>
      <c r="I621" s="28">
        <v>0</v>
      </c>
      <c r="J621" s="28">
        <v>0</v>
      </c>
      <c r="K621" s="28">
        <v>0</v>
      </c>
      <c r="L621" s="29">
        <v>0</v>
      </c>
      <c r="M621" s="28">
        <v>0</v>
      </c>
      <c r="N621" s="29">
        <v>0</v>
      </c>
    </row>
    <row r="622" spans="2:14" x14ac:dyDescent="0.25">
      <c r="B622" s="24">
        <v>45215</v>
      </c>
      <c r="C622" s="24">
        <v>45216</v>
      </c>
      <c r="D622" s="24" t="s">
        <v>100</v>
      </c>
      <c r="E622" s="24" t="s">
        <v>101</v>
      </c>
      <c r="F622" s="27">
        <v>191.122995</v>
      </c>
      <c r="G622" s="27">
        <v>125.83123399999999</v>
      </c>
      <c r="H622" s="26">
        <v>125</v>
      </c>
      <c r="I622" s="28">
        <v>4.3710360000000001</v>
      </c>
      <c r="J622" s="28">
        <v>99.132199999999997</v>
      </c>
      <c r="K622" s="28">
        <v>99.132999999999996</v>
      </c>
      <c r="L622" s="29">
        <v>100</v>
      </c>
      <c r="M622" s="28">
        <v>99.132000000000005</v>
      </c>
      <c r="N622" s="29">
        <v>2.0000000000000001E-4</v>
      </c>
    </row>
    <row r="623" spans="2:14" x14ac:dyDescent="0.25">
      <c r="B623" s="24">
        <v>45215</v>
      </c>
      <c r="C623" s="24">
        <v>45216</v>
      </c>
      <c r="D623" s="24" t="s">
        <v>122</v>
      </c>
      <c r="E623" s="24" t="s">
        <v>123</v>
      </c>
      <c r="F623" s="27">
        <v>0</v>
      </c>
      <c r="G623" s="27">
        <v>0</v>
      </c>
      <c r="H623" s="26">
        <v>0</v>
      </c>
      <c r="I623" s="28">
        <v>0</v>
      </c>
      <c r="J623" s="28">
        <v>0</v>
      </c>
      <c r="K623" s="28">
        <v>0</v>
      </c>
      <c r="L623" s="29">
        <v>0</v>
      </c>
      <c r="M623" s="28">
        <v>0</v>
      </c>
      <c r="N623" s="29">
        <v>0</v>
      </c>
    </row>
    <row r="624" spans="2:14" x14ac:dyDescent="0.25">
      <c r="B624" s="24">
        <v>45215</v>
      </c>
      <c r="C624" s="24">
        <v>45216</v>
      </c>
      <c r="D624" s="24" t="s">
        <v>102</v>
      </c>
      <c r="E624" s="24" t="s">
        <v>103</v>
      </c>
      <c r="F624" s="27">
        <v>192.15841</v>
      </c>
      <c r="G624" s="27">
        <v>76.674689000000001</v>
      </c>
      <c r="H624" s="26">
        <v>76.599999999999994</v>
      </c>
      <c r="I624" s="28">
        <v>4.5461169999999997</v>
      </c>
      <c r="J624" s="28">
        <v>99.602999999999994</v>
      </c>
      <c r="K624" s="28">
        <v>99.602999999999994</v>
      </c>
      <c r="L624" s="29">
        <v>79.791666000000006</v>
      </c>
      <c r="M624" s="28">
        <v>99.602999999999994</v>
      </c>
      <c r="N624" s="29">
        <v>0</v>
      </c>
    </row>
    <row r="625" spans="2:14" x14ac:dyDescent="0.25">
      <c r="B625" s="24">
        <v>45215</v>
      </c>
      <c r="C625" s="24">
        <v>45216</v>
      </c>
      <c r="D625" s="24" t="s">
        <v>104</v>
      </c>
      <c r="E625" s="24" t="s">
        <v>105</v>
      </c>
      <c r="F625" s="27">
        <v>266.01181200000002</v>
      </c>
      <c r="G625" s="27">
        <v>48.208105000000003</v>
      </c>
      <c r="H625" s="26">
        <v>75</v>
      </c>
      <c r="I625" s="28">
        <v>4.5992199999999999</v>
      </c>
      <c r="J625" s="28">
        <v>64.144999999999996</v>
      </c>
      <c r="K625" s="28">
        <v>64.144999999999996</v>
      </c>
      <c r="L625" s="29">
        <v>100</v>
      </c>
      <c r="M625" s="28">
        <v>64.144999999999996</v>
      </c>
      <c r="N625" s="29">
        <v>0</v>
      </c>
    </row>
    <row r="626" spans="2:14" x14ac:dyDescent="0.25">
      <c r="B626" s="24">
        <v>45215</v>
      </c>
      <c r="C626" s="24">
        <v>45216</v>
      </c>
      <c r="D626" s="24" t="s">
        <v>106</v>
      </c>
      <c r="E626" s="24" t="s">
        <v>107</v>
      </c>
      <c r="F626" s="27">
        <v>29.088408999999999</v>
      </c>
      <c r="G626" s="27">
        <v>0</v>
      </c>
      <c r="H626" s="26">
        <v>0</v>
      </c>
      <c r="I626" s="28">
        <v>0</v>
      </c>
      <c r="J626" s="28">
        <v>0</v>
      </c>
      <c r="K626" s="28">
        <v>0</v>
      </c>
      <c r="L626" s="29">
        <v>0</v>
      </c>
      <c r="M626" s="28">
        <v>0</v>
      </c>
      <c r="N626" s="29">
        <v>0</v>
      </c>
    </row>
    <row r="627" spans="2:14" x14ac:dyDescent="0.25">
      <c r="B627" s="24">
        <v>45215</v>
      </c>
      <c r="C627" s="24">
        <v>45216</v>
      </c>
      <c r="D627" s="24" t="s">
        <v>108</v>
      </c>
      <c r="E627" s="24" t="s">
        <v>109</v>
      </c>
      <c r="F627" s="27">
        <v>0</v>
      </c>
      <c r="G627" s="27">
        <v>0</v>
      </c>
      <c r="H627" s="26">
        <v>0</v>
      </c>
      <c r="I627" s="28">
        <v>0</v>
      </c>
      <c r="J627" s="28">
        <v>0</v>
      </c>
      <c r="K627" s="28">
        <v>0</v>
      </c>
      <c r="L627" s="29">
        <v>0</v>
      </c>
      <c r="M627" s="28">
        <v>0</v>
      </c>
      <c r="N627" s="29">
        <v>0</v>
      </c>
    </row>
    <row r="628" spans="2:14" x14ac:dyDescent="0.25">
      <c r="B628" s="24">
        <v>45215</v>
      </c>
      <c r="C628" s="24">
        <v>45216</v>
      </c>
      <c r="D628" s="24" t="s">
        <v>110</v>
      </c>
      <c r="E628" s="24" t="s">
        <v>111</v>
      </c>
      <c r="F628" s="27">
        <v>0</v>
      </c>
      <c r="G628" s="27">
        <v>0</v>
      </c>
      <c r="H628" s="26">
        <v>0</v>
      </c>
      <c r="I628" s="28">
        <v>0</v>
      </c>
      <c r="J628" s="28">
        <v>0</v>
      </c>
      <c r="K628" s="28">
        <v>0</v>
      </c>
      <c r="L628" s="29">
        <v>0</v>
      </c>
      <c r="M628" s="28">
        <v>0</v>
      </c>
      <c r="N628" s="29">
        <v>0</v>
      </c>
    </row>
    <row r="629" spans="2:14" x14ac:dyDescent="0.25">
      <c r="B629" s="24">
        <v>45215</v>
      </c>
      <c r="C629" s="24">
        <v>45216</v>
      </c>
      <c r="D629" s="24" t="s">
        <v>112</v>
      </c>
      <c r="E629" s="24" t="s">
        <v>113</v>
      </c>
      <c r="F629" s="27">
        <v>0</v>
      </c>
      <c r="G629" s="27">
        <v>0</v>
      </c>
      <c r="H629" s="26">
        <v>0</v>
      </c>
      <c r="I629" s="28">
        <v>0</v>
      </c>
      <c r="J629" s="28">
        <v>0</v>
      </c>
      <c r="K629" s="28">
        <v>0</v>
      </c>
      <c r="L629" s="29">
        <v>0</v>
      </c>
      <c r="M629" s="28">
        <v>0</v>
      </c>
      <c r="N629" s="29">
        <v>0</v>
      </c>
    </row>
    <row r="630" spans="2:14" x14ac:dyDescent="0.25">
      <c r="B630" s="24">
        <v>45215</v>
      </c>
      <c r="C630" s="24">
        <v>45216</v>
      </c>
      <c r="D630" s="24" t="s">
        <v>114</v>
      </c>
      <c r="E630" s="24" t="s">
        <v>115</v>
      </c>
      <c r="F630" s="27">
        <v>23.576008000000002</v>
      </c>
      <c r="G630" s="27">
        <v>23.576008000000002</v>
      </c>
      <c r="H630" s="26">
        <v>25</v>
      </c>
      <c r="I630" s="28">
        <v>4.8087580000000001</v>
      </c>
      <c r="J630" s="28">
        <v>93.837000000000003</v>
      </c>
      <c r="K630" s="28">
        <v>93.837000000000003</v>
      </c>
      <c r="L630" s="29">
        <v>100</v>
      </c>
      <c r="M630" s="28">
        <v>93.837000000000003</v>
      </c>
      <c r="N630" s="29">
        <v>0</v>
      </c>
    </row>
    <row r="631" spans="2:14" x14ac:dyDescent="0.25">
      <c r="B631" s="24">
        <v>45215</v>
      </c>
      <c r="C631" s="24">
        <v>45216</v>
      </c>
      <c r="D631" s="24" t="s">
        <v>116</v>
      </c>
      <c r="E631" s="24" t="s">
        <v>117</v>
      </c>
      <c r="F631" s="27">
        <v>47.331392999999998</v>
      </c>
      <c r="G631" s="27">
        <v>47.331392999999998</v>
      </c>
      <c r="H631" s="26">
        <v>50</v>
      </c>
      <c r="I631" s="28">
        <v>4.8441179999999999</v>
      </c>
      <c r="J631" s="28">
        <v>93.13</v>
      </c>
      <c r="K631" s="28">
        <v>93.13</v>
      </c>
      <c r="L631" s="29">
        <v>100</v>
      </c>
      <c r="M631" s="28">
        <v>93.13</v>
      </c>
      <c r="N631" s="29">
        <v>0</v>
      </c>
    </row>
    <row r="632" spans="2:14" x14ac:dyDescent="0.25">
      <c r="B632" s="24">
        <v>45215</v>
      </c>
      <c r="C632" s="24">
        <v>45216</v>
      </c>
      <c r="D632" s="24" t="s">
        <v>118</v>
      </c>
      <c r="E632" s="24" t="s">
        <v>119</v>
      </c>
      <c r="F632" s="27">
        <v>168.471374</v>
      </c>
      <c r="G632" s="27">
        <v>122.83303600000001</v>
      </c>
      <c r="H632" s="26">
        <v>215</v>
      </c>
      <c r="I632" s="28">
        <v>4.8422090000000004</v>
      </c>
      <c r="J632" s="28">
        <v>57.148721000000002</v>
      </c>
      <c r="K632" s="28">
        <v>57.151000000000003</v>
      </c>
      <c r="L632" s="29">
        <v>100</v>
      </c>
      <c r="M632" s="28">
        <v>57.14</v>
      </c>
      <c r="N632" s="29">
        <v>8.7209999999999996E-3</v>
      </c>
    </row>
    <row r="633" spans="2:14" x14ac:dyDescent="0.25">
      <c r="B633" s="24">
        <v>45215</v>
      </c>
      <c r="C633" s="24">
        <v>45216</v>
      </c>
      <c r="D633" s="24" t="s">
        <v>124</v>
      </c>
      <c r="E633" s="24" t="s">
        <v>125</v>
      </c>
      <c r="F633" s="27">
        <v>72.671212999999995</v>
      </c>
      <c r="G633" s="27">
        <v>72.671212999999995</v>
      </c>
      <c r="H633" s="26">
        <v>75</v>
      </c>
      <c r="I633" s="28">
        <v>4.8825269999999996</v>
      </c>
      <c r="J633" s="28">
        <v>95.272000000000006</v>
      </c>
      <c r="K633" s="28">
        <v>95.272000000000006</v>
      </c>
      <c r="L633" s="29">
        <v>100</v>
      </c>
      <c r="M633" s="28">
        <v>95.272000000000006</v>
      </c>
      <c r="N633" s="29">
        <v>0</v>
      </c>
    </row>
    <row r="634" spans="2:14" x14ac:dyDescent="0.25">
      <c r="B634" s="24">
        <v>45218</v>
      </c>
      <c r="C634" s="24">
        <v>45219</v>
      </c>
      <c r="D634" s="24" t="s">
        <v>80</v>
      </c>
      <c r="E634" s="24" t="s">
        <v>81</v>
      </c>
      <c r="F634" s="27">
        <v>171.89175399999999</v>
      </c>
      <c r="G634" s="27">
        <v>171.89175399999999</v>
      </c>
      <c r="H634" s="26">
        <v>195</v>
      </c>
      <c r="I634" s="28">
        <v>4.6443329999999996</v>
      </c>
      <c r="J634" s="28">
        <v>88.151667000000003</v>
      </c>
      <c r="K634" s="28">
        <v>88.161000000000001</v>
      </c>
      <c r="L634" s="29">
        <v>100</v>
      </c>
      <c r="M634" s="28">
        <v>88.143000000000001</v>
      </c>
      <c r="N634" s="29">
        <v>8.6669999999999994E-3</v>
      </c>
    </row>
    <row r="635" spans="2:14" x14ac:dyDescent="0.25">
      <c r="B635" s="24">
        <v>45218</v>
      </c>
      <c r="C635" s="24">
        <v>45219</v>
      </c>
      <c r="D635" s="24" t="s">
        <v>82</v>
      </c>
      <c r="E635" s="24" t="s">
        <v>83</v>
      </c>
      <c r="F635" s="27">
        <v>429.94031899999999</v>
      </c>
      <c r="G635" s="27">
        <v>22.224426999999999</v>
      </c>
      <c r="H635" s="26">
        <v>25</v>
      </c>
      <c r="I635" s="28">
        <v>4.5912699999999997</v>
      </c>
      <c r="J635" s="28">
        <v>88.591999999999999</v>
      </c>
      <c r="K635" s="28">
        <v>88.591999999999999</v>
      </c>
      <c r="L635" s="29">
        <v>100</v>
      </c>
      <c r="M635" s="28">
        <v>88.591999999999999</v>
      </c>
      <c r="N635" s="29">
        <v>0</v>
      </c>
    </row>
    <row r="636" spans="2:14" x14ac:dyDescent="0.25">
      <c r="B636" s="24">
        <v>45218</v>
      </c>
      <c r="C636" s="24">
        <v>45219</v>
      </c>
      <c r="D636" s="24" t="s">
        <v>84</v>
      </c>
      <c r="E636" s="24" t="s">
        <v>85</v>
      </c>
      <c r="F636" s="27">
        <v>30.040085999999999</v>
      </c>
      <c r="G636" s="27">
        <v>30.040087</v>
      </c>
      <c r="H636" s="26">
        <v>30</v>
      </c>
      <c r="I636" s="28">
        <v>4.634131</v>
      </c>
      <c r="J636" s="28">
        <v>98.566000000000003</v>
      </c>
      <c r="K636" s="28">
        <v>98.566000000000003</v>
      </c>
      <c r="L636" s="29">
        <v>100</v>
      </c>
      <c r="M636" s="28">
        <v>98.566000000000003</v>
      </c>
      <c r="N636" s="29">
        <v>0</v>
      </c>
    </row>
    <row r="637" spans="2:14" x14ac:dyDescent="0.25">
      <c r="B637" s="24">
        <v>45218</v>
      </c>
      <c r="C637" s="24">
        <v>45219</v>
      </c>
      <c r="D637" s="24" t="s">
        <v>86</v>
      </c>
      <c r="E637" s="24" t="s">
        <v>87</v>
      </c>
      <c r="F637" s="27">
        <v>337.19184000000001</v>
      </c>
      <c r="G637" s="27">
        <v>47.831285999999999</v>
      </c>
      <c r="H637" s="26">
        <v>57.7</v>
      </c>
      <c r="I637" s="28">
        <v>4.5780510000000003</v>
      </c>
      <c r="J637" s="28">
        <v>82.868999000000002</v>
      </c>
      <c r="K637" s="28">
        <v>82.885000000000005</v>
      </c>
      <c r="L637" s="29">
        <v>2.3076919999999999</v>
      </c>
      <c r="M637" s="28">
        <v>82.843000000000004</v>
      </c>
      <c r="N637" s="29">
        <v>2.5999000000000001E-2</v>
      </c>
    </row>
    <row r="638" spans="2:14" x14ac:dyDescent="0.25">
      <c r="B638" s="24">
        <v>45218</v>
      </c>
      <c r="C638" s="24">
        <v>45219</v>
      </c>
      <c r="D638" s="24" t="s">
        <v>88</v>
      </c>
      <c r="E638" s="24" t="s">
        <v>89</v>
      </c>
      <c r="F638" s="27">
        <v>174.23424</v>
      </c>
      <c r="G638" s="27">
        <v>174.23424</v>
      </c>
      <c r="H638" s="26">
        <v>200</v>
      </c>
      <c r="I638" s="28">
        <v>4.5283920000000002</v>
      </c>
      <c r="J638" s="28">
        <v>87.126002</v>
      </c>
      <c r="K638" s="28">
        <v>87.141000000000005</v>
      </c>
      <c r="L638" s="29">
        <v>100</v>
      </c>
      <c r="M638" s="28">
        <v>87.111000000000004</v>
      </c>
      <c r="N638" s="29">
        <v>1.5002E-2</v>
      </c>
    </row>
    <row r="639" spans="2:14" x14ac:dyDescent="0.25">
      <c r="B639" s="24">
        <v>45218</v>
      </c>
      <c r="C639" s="24">
        <v>45219</v>
      </c>
      <c r="D639" s="24" t="s">
        <v>90</v>
      </c>
      <c r="E639" s="24" t="s">
        <v>91</v>
      </c>
      <c r="F639" s="27">
        <v>162.98117199999999</v>
      </c>
      <c r="G639" s="27">
        <v>162.98117199999999</v>
      </c>
      <c r="H639" s="26">
        <v>150</v>
      </c>
      <c r="I639" s="28">
        <v>4.5759020000000001</v>
      </c>
      <c r="J639" s="28">
        <v>106.441</v>
      </c>
      <c r="K639" s="28">
        <v>106.441</v>
      </c>
      <c r="L639" s="29">
        <v>100</v>
      </c>
      <c r="M639" s="28">
        <v>106.441</v>
      </c>
      <c r="N639" s="29">
        <v>0</v>
      </c>
    </row>
    <row r="640" spans="2:14" x14ac:dyDescent="0.25">
      <c r="B640" s="24">
        <v>45218</v>
      </c>
      <c r="C640" s="24">
        <v>45219</v>
      </c>
      <c r="D640" s="24" t="s">
        <v>120</v>
      </c>
      <c r="E640" s="24" t="s">
        <v>121</v>
      </c>
      <c r="F640" s="27">
        <v>132.82893899999999</v>
      </c>
      <c r="G640" s="27">
        <v>60.776291000000001</v>
      </c>
      <c r="H640" s="26">
        <v>75</v>
      </c>
      <c r="I640" s="28">
        <v>4.6115620000000002</v>
      </c>
      <c r="J640" s="28">
        <v>80.924999999999997</v>
      </c>
      <c r="K640" s="28">
        <v>80.924999999999997</v>
      </c>
      <c r="L640" s="29">
        <v>100</v>
      </c>
      <c r="M640" s="28">
        <v>80.924999999999997</v>
      </c>
      <c r="N640" s="29">
        <v>0</v>
      </c>
    </row>
    <row r="641" spans="2:14" x14ac:dyDescent="0.25">
      <c r="B641" s="24">
        <v>45218</v>
      </c>
      <c r="C641" s="24">
        <v>45219</v>
      </c>
      <c r="D641" s="24" t="s">
        <v>92</v>
      </c>
      <c r="E641" s="24" t="s">
        <v>93</v>
      </c>
      <c r="F641" s="27">
        <v>0</v>
      </c>
      <c r="G641" s="27">
        <v>0</v>
      </c>
      <c r="H641" s="26">
        <v>0</v>
      </c>
      <c r="I641" s="28">
        <v>0</v>
      </c>
      <c r="J641" s="28">
        <v>0</v>
      </c>
      <c r="K641" s="28">
        <v>0</v>
      </c>
      <c r="L641" s="29">
        <v>0</v>
      </c>
      <c r="M641" s="28">
        <v>0</v>
      </c>
      <c r="N641" s="29">
        <v>0</v>
      </c>
    </row>
    <row r="642" spans="2:14" x14ac:dyDescent="0.25">
      <c r="B642" s="24">
        <v>45222</v>
      </c>
      <c r="C642" s="24">
        <v>45223</v>
      </c>
      <c r="D642" s="25" t="s">
        <v>126</v>
      </c>
      <c r="E642" s="25" t="s">
        <v>127</v>
      </c>
      <c r="F642" s="26">
        <v>667.53501800000004</v>
      </c>
      <c r="G642" s="27">
        <v>10.665214663044001</v>
      </c>
      <c r="H642" s="26">
        <v>13.9</v>
      </c>
      <c r="I642" s="28">
        <v>5.1866409999999998</v>
      </c>
      <c r="J642" s="28">
        <v>75.897999999999996</v>
      </c>
      <c r="K642" s="28">
        <v>75.897999999999996</v>
      </c>
      <c r="L642" s="29">
        <v>1.597701</v>
      </c>
      <c r="M642" s="28">
        <v>75.897999999999996</v>
      </c>
      <c r="N642" s="29">
        <v>0</v>
      </c>
    </row>
    <row r="643" spans="2:14" x14ac:dyDescent="0.25">
      <c r="B643" s="24">
        <v>45222</v>
      </c>
      <c r="C643" s="24">
        <v>45223</v>
      </c>
      <c r="D643" s="25" t="s">
        <v>128</v>
      </c>
      <c r="E643" s="25" t="s">
        <v>129</v>
      </c>
      <c r="F643" s="26">
        <v>0</v>
      </c>
      <c r="G643" s="27">
        <v>0</v>
      </c>
      <c r="H643" s="26">
        <v>0</v>
      </c>
      <c r="I643" s="28">
        <v>0</v>
      </c>
      <c r="J643" s="28">
        <v>0</v>
      </c>
      <c r="K643" s="28">
        <v>0</v>
      </c>
      <c r="L643" s="29">
        <v>0</v>
      </c>
      <c r="M643" s="28">
        <v>0</v>
      </c>
      <c r="N643" s="29">
        <v>0</v>
      </c>
    </row>
    <row r="644" spans="2:14" x14ac:dyDescent="0.25">
      <c r="B644" s="24">
        <v>45222</v>
      </c>
      <c r="C644" s="24">
        <v>45223</v>
      </c>
      <c r="D644" s="25" t="s">
        <v>130</v>
      </c>
      <c r="E644" s="25" t="s">
        <v>131</v>
      </c>
      <c r="F644" s="26">
        <v>0</v>
      </c>
      <c r="G644" s="27">
        <v>0</v>
      </c>
      <c r="H644" s="26">
        <v>0</v>
      </c>
      <c r="I644" s="28">
        <v>0</v>
      </c>
      <c r="J644" s="28">
        <v>0</v>
      </c>
      <c r="K644" s="28">
        <v>0</v>
      </c>
      <c r="L644" s="29">
        <v>0</v>
      </c>
      <c r="M644" s="28">
        <v>0</v>
      </c>
      <c r="N644" s="29">
        <v>0</v>
      </c>
    </row>
    <row r="645" spans="2:14" x14ac:dyDescent="0.25">
      <c r="B645" s="24">
        <v>45222</v>
      </c>
      <c r="C645" s="24">
        <v>45223</v>
      </c>
      <c r="D645" s="25" t="s">
        <v>132</v>
      </c>
      <c r="E645" s="25" t="s">
        <v>133</v>
      </c>
      <c r="F645" s="26">
        <v>62.414549000000001</v>
      </c>
      <c r="G645" s="27">
        <v>62.414549726775</v>
      </c>
      <c r="H645" s="26">
        <v>70</v>
      </c>
      <c r="I645" s="28">
        <v>5.179627</v>
      </c>
      <c r="J645" s="28">
        <v>87.549576000000002</v>
      </c>
      <c r="K645" s="28">
        <v>87.572999999999993</v>
      </c>
      <c r="L645" s="29">
        <v>100</v>
      </c>
      <c r="M645" s="28">
        <v>87.531999999999996</v>
      </c>
      <c r="N645" s="29">
        <v>1.7576000000000001E-2</v>
      </c>
    </row>
    <row r="646" spans="2:14" x14ac:dyDescent="0.25">
      <c r="B646" s="24">
        <v>45222</v>
      </c>
      <c r="C646" s="24">
        <v>45223</v>
      </c>
      <c r="D646" s="25" t="s">
        <v>134</v>
      </c>
      <c r="E646" s="25" t="s">
        <v>135</v>
      </c>
      <c r="F646" s="26">
        <v>0</v>
      </c>
      <c r="G646" s="27">
        <v>0</v>
      </c>
      <c r="H646" s="26">
        <v>0</v>
      </c>
      <c r="I646" s="28">
        <v>0</v>
      </c>
      <c r="J646" s="28">
        <v>0</v>
      </c>
      <c r="K646" s="28">
        <v>0</v>
      </c>
      <c r="L646" s="29">
        <v>0</v>
      </c>
      <c r="M646" s="28">
        <v>0</v>
      </c>
      <c r="N646" s="29">
        <v>0</v>
      </c>
    </row>
    <row r="647" spans="2:14" x14ac:dyDescent="0.25">
      <c r="B647" s="24">
        <v>45222</v>
      </c>
      <c r="C647" s="24">
        <v>45223</v>
      </c>
      <c r="D647" s="25" t="s">
        <v>136</v>
      </c>
      <c r="E647" s="25" t="s">
        <v>137</v>
      </c>
      <c r="F647" s="26">
        <v>0</v>
      </c>
      <c r="G647" s="27">
        <v>0</v>
      </c>
      <c r="H647" s="26">
        <v>0</v>
      </c>
      <c r="I647" s="28">
        <v>0</v>
      </c>
      <c r="J647" s="28">
        <v>0</v>
      </c>
      <c r="K647" s="28">
        <v>0</v>
      </c>
      <c r="L647" s="29">
        <v>0</v>
      </c>
      <c r="M647" s="28">
        <v>0</v>
      </c>
      <c r="N647" s="29">
        <v>0</v>
      </c>
    </row>
    <row r="648" spans="2:14" x14ac:dyDescent="0.25">
      <c r="B648" s="24">
        <v>45222</v>
      </c>
      <c r="C648" s="24">
        <v>45223</v>
      </c>
      <c r="D648" s="25" t="s">
        <v>138</v>
      </c>
      <c r="E648" s="25" t="s">
        <v>139</v>
      </c>
      <c r="F648" s="26">
        <v>26.563821000000001</v>
      </c>
      <c r="G648" s="27">
        <v>26.563821311474999</v>
      </c>
      <c r="H648" s="26">
        <v>30</v>
      </c>
      <c r="I648" s="28">
        <v>5.1668329999999996</v>
      </c>
      <c r="J648" s="28">
        <v>86.932000000000002</v>
      </c>
      <c r="K648" s="28">
        <v>86.932000000000002</v>
      </c>
      <c r="L648" s="29">
        <v>100</v>
      </c>
      <c r="M648" s="28">
        <v>86.932000000000002</v>
      </c>
      <c r="N648" s="29">
        <v>0</v>
      </c>
    </row>
    <row r="649" spans="2:14" x14ac:dyDescent="0.25">
      <c r="B649" s="24">
        <v>45222</v>
      </c>
      <c r="C649" s="24">
        <v>45223</v>
      </c>
      <c r="D649" s="25" t="s">
        <v>140</v>
      </c>
      <c r="E649" s="25" t="s">
        <v>141</v>
      </c>
      <c r="F649" s="26">
        <v>15.569535999999999</v>
      </c>
      <c r="G649" s="26">
        <v>6.94468306011</v>
      </c>
      <c r="H649" s="26">
        <v>20</v>
      </c>
      <c r="I649" s="26">
        <v>5.1087860000000003</v>
      </c>
      <c r="J649" s="26">
        <v>34.72</v>
      </c>
      <c r="K649" s="28">
        <v>34.72</v>
      </c>
      <c r="L649" s="26">
        <v>100</v>
      </c>
      <c r="M649" s="28">
        <v>34.72</v>
      </c>
      <c r="N649" s="29">
        <v>0</v>
      </c>
    </row>
    <row r="650" spans="2:14" x14ac:dyDescent="0.25">
      <c r="B650" s="24">
        <v>45222</v>
      </c>
      <c r="C650" s="24">
        <v>45223</v>
      </c>
      <c r="D650" s="24" t="s">
        <v>142</v>
      </c>
      <c r="E650" s="24" t="s">
        <v>143</v>
      </c>
      <c r="F650" s="26">
        <v>296.532601</v>
      </c>
      <c r="G650" s="26">
        <v>296.53260135871699</v>
      </c>
      <c r="H650" s="26">
        <v>685</v>
      </c>
      <c r="I650" s="26">
        <v>5.1175009999999999</v>
      </c>
      <c r="J650" s="26">
        <v>43.000796000000001</v>
      </c>
      <c r="K650" s="28">
        <v>43.073</v>
      </c>
      <c r="L650" s="26">
        <v>100</v>
      </c>
      <c r="M650" s="28">
        <v>42.850999999999999</v>
      </c>
      <c r="N650" s="29">
        <v>0.14979600000000001</v>
      </c>
    </row>
    <row r="651" spans="2:14" x14ac:dyDescent="0.25">
      <c r="B651" s="24">
        <v>45222</v>
      </c>
      <c r="C651" s="24">
        <v>45223</v>
      </c>
      <c r="D651" s="24" t="s">
        <v>144</v>
      </c>
      <c r="E651" s="24" t="s">
        <v>145</v>
      </c>
      <c r="F651" s="26">
        <v>16.017575999999998</v>
      </c>
      <c r="G651" s="26">
        <v>16.017576086956002</v>
      </c>
      <c r="H651" s="26">
        <v>20</v>
      </c>
      <c r="I651" s="26">
        <v>5.1486270000000003</v>
      </c>
      <c r="J651" s="26">
        <v>79.130004</v>
      </c>
      <c r="K651" s="28">
        <v>79.150000000000006</v>
      </c>
      <c r="L651" s="26">
        <v>100</v>
      </c>
      <c r="M651" s="28">
        <v>79.11</v>
      </c>
      <c r="N651" s="29">
        <v>2.0004000000000001E-2</v>
      </c>
    </row>
    <row r="652" spans="2:14" x14ac:dyDescent="0.25">
      <c r="B652" s="24">
        <v>45222</v>
      </c>
      <c r="C652" s="24">
        <v>45223</v>
      </c>
      <c r="D652" s="24" t="s">
        <v>146</v>
      </c>
      <c r="E652" s="24" t="s">
        <v>147</v>
      </c>
      <c r="F652" s="26">
        <v>0</v>
      </c>
      <c r="G652" s="26">
        <v>0</v>
      </c>
      <c r="H652" s="26">
        <v>0</v>
      </c>
      <c r="I652" s="26">
        <v>0</v>
      </c>
      <c r="J652" s="26">
        <v>0</v>
      </c>
      <c r="K652" s="28">
        <v>0</v>
      </c>
      <c r="L652" s="26">
        <v>0</v>
      </c>
      <c r="M652" s="28">
        <v>0</v>
      </c>
      <c r="N652" s="29">
        <v>0</v>
      </c>
    </row>
    <row r="653" spans="2:14" x14ac:dyDescent="0.25">
      <c r="B653" s="24">
        <v>45222</v>
      </c>
      <c r="C653" s="24">
        <v>45223</v>
      </c>
      <c r="D653" s="24" t="s">
        <v>148</v>
      </c>
      <c r="E653" s="24" t="s">
        <v>149</v>
      </c>
      <c r="F653" s="26">
        <v>23.124939000000001</v>
      </c>
      <c r="G653" s="26">
        <v>23.124939890709999</v>
      </c>
      <c r="H653" s="26">
        <v>50</v>
      </c>
      <c r="I653" s="26">
        <v>5.0921029999999998</v>
      </c>
      <c r="J653" s="26">
        <v>46.241</v>
      </c>
      <c r="K653" s="28">
        <v>46.241</v>
      </c>
      <c r="L653" s="26">
        <v>100</v>
      </c>
      <c r="M653" s="28">
        <v>46.241</v>
      </c>
      <c r="N653" s="29">
        <v>0</v>
      </c>
    </row>
    <row r="654" spans="2:14" x14ac:dyDescent="0.25">
      <c r="B654" s="24">
        <v>45222</v>
      </c>
      <c r="C654" s="24">
        <v>45223</v>
      </c>
      <c r="D654" s="24" t="s">
        <v>150</v>
      </c>
      <c r="E654" s="24" t="s">
        <v>151</v>
      </c>
      <c r="F654" s="26">
        <v>22.008167</v>
      </c>
      <c r="G654" s="26">
        <v>22.008167759563001</v>
      </c>
      <c r="H654" s="26">
        <v>25</v>
      </c>
      <c r="I654" s="26">
        <v>5.1153149999999998</v>
      </c>
      <c r="J654" s="26">
        <v>86.418638000000001</v>
      </c>
      <c r="K654" s="28">
        <v>86.49</v>
      </c>
      <c r="L654" s="26">
        <v>100</v>
      </c>
      <c r="M654" s="28">
        <v>86.370999999999995</v>
      </c>
      <c r="N654" s="29">
        <v>4.7638E-2</v>
      </c>
    </row>
    <row r="655" spans="2:14" x14ac:dyDescent="0.25">
      <c r="B655" s="24">
        <v>45222</v>
      </c>
      <c r="C655" s="24">
        <v>45223</v>
      </c>
      <c r="D655" s="24" t="s">
        <v>152</v>
      </c>
      <c r="E655" s="24" t="s">
        <v>153</v>
      </c>
      <c r="F655" s="26">
        <v>73.594865999999996</v>
      </c>
      <c r="G655" s="26">
        <v>73.594866847836997</v>
      </c>
      <c r="H655" s="26">
        <v>155</v>
      </c>
      <c r="I655" s="26">
        <v>5.0250779999999997</v>
      </c>
      <c r="J655" s="26">
        <v>47.033568000000002</v>
      </c>
      <c r="K655" s="28">
        <v>47.08</v>
      </c>
      <c r="L655" s="26">
        <v>100</v>
      </c>
      <c r="M655" s="28">
        <v>46.98</v>
      </c>
      <c r="N655" s="29">
        <v>5.3567999999999998E-2</v>
      </c>
    </row>
    <row r="656" spans="2:14" x14ac:dyDescent="0.25">
      <c r="B656" s="24">
        <v>45222</v>
      </c>
      <c r="C656" s="24">
        <v>45223</v>
      </c>
      <c r="D656" s="24" t="s">
        <v>154</v>
      </c>
      <c r="E656" s="24" t="s">
        <v>155</v>
      </c>
      <c r="F656" s="26">
        <v>8.3561730000000001</v>
      </c>
      <c r="G656" s="26">
        <v>8.3561739130429995</v>
      </c>
      <c r="H656" s="26">
        <v>10</v>
      </c>
      <c r="I656" s="26">
        <v>5.0550660000000001</v>
      </c>
      <c r="J656" s="26">
        <v>82.54</v>
      </c>
      <c r="K656" s="28">
        <v>82.54</v>
      </c>
      <c r="L656" s="26">
        <v>100</v>
      </c>
      <c r="M656" s="28">
        <v>82.54</v>
      </c>
      <c r="N656" s="29">
        <v>0</v>
      </c>
    </row>
    <row r="657" spans="2:14" x14ac:dyDescent="0.25">
      <c r="B657" s="24">
        <v>45222</v>
      </c>
      <c r="C657" s="24">
        <v>45223</v>
      </c>
      <c r="D657" s="24" t="s">
        <v>156</v>
      </c>
      <c r="E657" s="24" t="s">
        <v>157</v>
      </c>
      <c r="F657" s="26">
        <v>106.34090399999999</v>
      </c>
      <c r="G657" s="26">
        <v>93.882038579246</v>
      </c>
      <c r="H657" s="26">
        <v>374</v>
      </c>
      <c r="I657" s="26">
        <v>4.8127370000000003</v>
      </c>
      <c r="J657" s="26">
        <v>25.099522</v>
      </c>
      <c r="K657" s="28">
        <v>25.134</v>
      </c>
      <c r="L657" s="26">
        <v>100</v>
      </c>
      <c r="M657" s="28">
        <v>24.984999999999999</v>
      </c>
      <c r="N657" s="29">
        <v>0.114522</v>
      </c>
    </row>
    <row r="658" spans="2:14" x14ac:dyDescent="0.25">
      <c r="B658" s="24">
        <v>45222</v>
      </c>
      <c r="C658" s="24">
        <v>45223</v>
      </c>
      <c r="D658" s="24" t="s">
        <v>158</v>
      </c>
      <c r="E658" s="24" t="s">
        <v>159</v>
      </c>
      <c r="F658" s="26">
        <v>0</v>
      </c>
      <c r="G658" s="26">
        <v>0</v>
      </c>
      <c r="H658" s="26">
        <v>0</v>
      </c>
      <c r="I658" s="26">
        <v>0</v>
      </c>
      <c r="J658" s="26">
        <v>0</v>
      </c>
      <c r="K658" s="28">
        <v>0</v>
      </c>
      <c r="L658" s="26">
        <v>0</v>
      </c>
      <c r="M658" s="28">
        <v>0</v>
      </c>
      <c r="N658" s="29">
        <v>0</v>
      </c>
    </row>
    <row r="659" spans="2:14" x14ac:dyDescent="0.25">
      <c r="B659" s="24">
        <v>45222</v>
      </c>
      <c r="C659" s="24">
        <v>45223</v>
      </c>
      <c r="D659" s="24" t="s">
        <v>160</v>
      </c>
      <c r="E659" s="24" t="s">
        <v>161</v>
      </c>
      <c r="F659" s="26">
        <v>29.850007999999999</v>
      </c>
      <c r="G659" s="26">
        <v>29.850008695652001</v>
      </c>
      <c r="H659" s="26">
        <v>40</v>
      </c>
      <c r="I659" s="26">
        <v>4.9681850000000001</v>
      </c>
      <c r="J659" s="26">
        <v>73.730999999999995</v>
      </c>
      <c r="K659" s="28">
        <v>73.730999999999995</v>
      </c>
      <c r="L659" s="26">
        <v>100</v>
      </c>
      <c r="M659" s="28">
        <v>73.730999999999995</v>
      </c>
      <c r="N659" s="29">
        <v>0</v>
      </c>
    </row>
    <row r="660" spans="2:14" x14ac:dyDescent="0.25">
      <c r="B660" s="24">
        <v>45222</v>
      </c>
      <c r="C660" s="24">
        <v>45223</v>
      </c>
      <c r="D660" s="24" t="s">
        <v>162</v>
      </c>
      <c r="E660" s="24" t="s">
        <v>163</v>
      </c>
      <c r="F660" s="26">
        <v>0</v>
      </c>
      <c r="G660" s="26">
        <v>0</v>
      </c>
      <c r="H660" s="26">
        <v>0</v>
      </c>
      <c r="I660" s="26">
        <v>0</v>
      </c>
      <c r="J660" s="26">
        <v>0</v>
      </c>
      <c r="K660" s="28">
        <v>0</v>
      </c>
      <c r="L660" s="26">
        <v>0</v>
      </c>
      <c r="M660" s="28">
        <v>0</v>
      </c>
      <c r="N660" s="29">
        <v>0</v>
      </c>
    </row>
    <row r="661" spans="2:14" x14ac:dyDescent="0.25">
      <c r="B661" s="24">
        <v>45229</v>
      </c>
      <c r="C661" s="24">
        <v>45230</v>
      </c>
      <c r="D661" s="24" t="s">
        <v>96</v>
      </c>
      <c r="E661" s="24" t="s">
        <v>97</v>
      </c>
      <c r="F661" s="26">
        <v>155.83021299999999</v>
      </c>
      <c r="G661" s="26">
        <v>76.883638000000005</v>
      </c>
      <c r="H661" s="26">
        <v>74</v>
      </c>
      <c r="I661" s="26">
        <v>4.4177689999999998</v>
      </c>
      <c r="J661" s="26">
        <v>102.002</v>
      </c>
      <c r="K661" s="28">
        <v>102.002</v>
      </c>
      <c r="L661" s="26">
        <v>98.666666000000006</v>
      </c>
      <c r="M661" s="28">
        <v>102.002</v>
      </c>
      <c r="N661" s="29">
        <v>0</v>
      </c>
    </row>
    <row r="662" spans="2:14" x14ac:dyDescent="0.25">
      <c r="B662" s="24">
        <v>45229</v>
      </c>
      <c r="C662" s="24">
        <v>45230</v>
      </c>
      <c r="D662" s="24" t="s">
        <v>98</v>
      </c>
      <c r="E662" s="24" t="s">
        <v>99</v>
      </c>
      <c r="F662" s="26">
        <v>254.18525</v>
      </c>
      <c r="G662" s="26">
        <v>108.97575000000001</v>
      </c>
      <c r="H662" s="26">
        <v>150</v>
      </c>
      <c r="I662" s="26">
        <v>4.4746899999999998</v>
      </c>
      <c r="J662" s="26">
        <v>72.587999999999994</v>
      </c>
      <c r="K662" s="28">
        <v>72.593000000000004</v>
      </c>
      <c r="L662" s="26">
        <v>100</v>
      </c>
      <c r="M662" s="28">
        <v>72.582999999999998</v>
      </c>
      <c r="N662" s="29">
        <v>5.0000000000000001E-3</v>
      </c>
    </row>
    <row r="663" spans="2:14" x14ac:dyDescent="0.25">
      <c r="B663" s="24">
        <v>45229</v>
      </c>
      <c r="C663" s="24">
        <v>45230</v>
      </c>
      <c r="D663" s="24" t="s">
        <v>100</v>
      </c>
      <c r="E663" s="24" t="s">
        <v>101</v>
      </c>
      <c r="F663" s="26">
        <v>289.19752999999997</v>
      </c>
      <c r="G663" s="26">
        <v>0</v>
      </c>
      <c r="H663" s="26">
        <v>0</v>
      </c>
      <c r="I663" s="26">
        <v>0</v>
      </c>
      <c r="J663" s="26">
        <v>0</v>
      </c>
      <c r="K663" s="28">
        <v>0</v>
      </c>
      <c r="L663" s="26">
        <v>0</v>
      </c>
      <c r="M663" s="28">
        <v>0</v>
      </c>
      <c r="N663" s="29">
        <v>0</v>
      </c>
    </row>
    <row r="664" spans="2:14" x14ac:dyDescent="0.25">
      <c r="B664" s="24">
        <v>45229</v>
      </c>
      <c r="C664" s="24">
        <v>45230</v>
      </c>
      <c r="D664" s="24" t="s">
        <v>122</v>
      </c>
      <c r="E664" s="24" t="s">
        <v>123</v>
      </c>
      <c r="F664" s="26">
        <v>159.90843699999999</v>
      </c>
      <c r="G664" s="26">
        <v>0</v>
      </c>
      <c r="H664" s="26">
        <v>0</v>
      </c>
      <c r="I664" s="26">
        <v>0</v>
      </c>
      <c r="J664" s="26">
        <v>0</v>
      </c>
      <c r="K664" s="28">
        <v>0</v>
      </c>
      <c r="L664" s="26">
        <v>0</v>
      </c>
      <c r="M664" s="28">
        <v>0</v>
      </c>
      <c r="N664" s="29">
        <v>0</v>
      </c>
    </row>
    <row r="665" spans="2:14" x14ac:dyDescent="0.25">
      <c r="B665" s="24">
        <v>45229</v>
      </c>
      <c r="C665" s="24">
        <v>45230</v>
      </c>
      <c r="D665" s="24" t="s">
        <v>102</v>
      </c>
      <c r="E665" s="24" t="s">
        <v>103</v>
      </c>
      <c r="F665" s="26">
        <v>69.337306999999996</v>
      </c>
      <c r="G665" s="26">
        <v>0</v>
      </c>
      <c r="H665" s="26">
        <v>0</v>
      </c>
      <c r="I665" s="26">
        <v>0</v>
      </c>
      <c r="J665" s="26">
        <v>0</v>
      </c>
      <c r="K665" s="28">
        <v>0</v>
      </c>
      <c r="L665" s="26">
        <v>0</v>
      </c>
      <c r="M665" s="28">
        <v>0</v>
      </c>
      <c r="N665" s="29">
        <v>0</v>
      </c>
    </row>
    <row r="666" spans="2:14" x14ac:dyDescent="0.25">
      <c r="B666" s="24">
        <v>45229</v>
      </c>
      <c r="C666" s="24">
        <v>45230</v>
      </c>
      <c r="D666" s="24" t="s">
        <v>104</v>
      </c>
      <c r="E666" s="24" t="s">
        <v>105</v>
      </c>
      <c r="F666" s="26">
        <v>360.88862499999999</v>
      </c>
      <c r="G666" s="26">
        <v>0</v>
      </c>
      <c r="H666" s="26">
        <v>0</v>
      </c>
      <c r="I666" s="26">
        <v>0</v>
      </c>
      <c r="J666" s="26">
        <v>0</v>
      </c>
      <c r="K666" s="28">
        <v>0</v>
      </c>
      <c r="L666" s="26">
        <v>0</v>
      </c>
      <c r="M666" s="28">
        <v>0</v>
      </c>
      <c r="N666" s="29">
        <v>0</v>
      </c>
    </row>
    <row r="667" spans="2:14" x14ac:dyDescent="0.25">
      <c r="B667" s="24">
        <v>45229</v>
      </c>
      <c r="C667" s="24">
        <v>45230</v>
      </c>
      <c r="D667" s="24" t="s">
        <v>106</v>
      </c>
      <c r="E667" s="24" t="s">
        <v>107</v>
      </c>
      <c r="F667" s="26">
        <v>23.952622999999999</v>
      </c>
      <c r="G667" s="26">
        <v>0</v>
      </c>
      <c r="H667" s="26">
        <v>0</v>
      </c>
      <c r="I667" s="26">
        <v>0</v>
      </c>
      <c r="J667" s="26">
        <v>0</v>
      </c>
      <c r="K667" s="28">
        <v>0</v>
      </c>
      <c r="L667" s="26">
        <v>0</v>
      </c>
      <c r="M667" s="28">
        <v>0</v>
      </c>
      <c r="N667" s="29">
        <v>0</v>
      </c>
    </row>
    <row r="668" spans="2:14" x14ac:dyDescent="0.25">
      <c r="B668" s="24">
        <v>45229</v>
      </c>
      <c r="C668" s="24">
        <v>45230</v>
      </c>
      <c r="D668" s="24" t="s">
        <v>108</v>
      </c>
      <c r="E668" s="24" t="s">
        <v>109</v>
      </c>
      <c r="F668" s="26">
        <v>0</v>
      </c>
      <c r="G668" s="26">
        <v>0</v>
      </c>
      <c r="H668" s="26">
        <v>0</v>
      </c>
      <c r="I668" s="26">
        <v>0</v>
      </c>
      <c r="J668" s="26">
        <v>0</v>
      </c>
      <c r="K668" s="28">
        <v>0</v>
      </c>
      <c r="L668" s="26">
        <v>0</v>
      </c>
      <c r="M668" s="28">
        <v>0</v>
      </c>
      <c r="N668" s="29">
        <v>0</v>
      </c>
    </row>
    <row r="669" spans="2:14" x14ac:dyDescent="0.25">
      <c r="B669" s="24">
        <v>45229</v>
      </c>
      <c r="C669" s="24">
        <v>45230</v>
      </c>
      <c r="D669" s="24" t="s">
        <v>110</v>
      </c>
      <c r="E669" s="24" t="s">
        <v>111</v>
      </c>
      <c r="F669" s="26">
        <v>0</v>
      </c>
      <c r="G669" s="26">
        <v>0</v>
      </c>
      <c r="H669" s="26">
        <v>0</v>
      </c>
      <c r="I669" s="26">
        <v>0</v>
      </c>
      <c r="J669" s="26">
        <v>0</v>
      </c>
      <c r="K669" s="28">
        <v>0</v>
      </c>
      <c r="L669" s="26">
        <v>0</v>
      </c>
      <c r="M669" s="28">
        <v>0</v>
      </c>
      <c r="N669" s="29">
        <v>0</v>
      </c>
    </row>
    <row r="670" spans="2:14" x14ac:dyDescent="0.25">
      <c r="B670" s="24">
        <v>45229</v>
      </c>
      <c r="C670" s="24">
        <v>45230</v>
      </c>
      <c r="D670" s="24" t="s">
        <v>112</v>
      </c>
      <c r="E670" s="24" t="s">
        <v>113</v>
      </c>
      <c r="F670" s="26">
        <v>522.83458700000006</v>
      </c>
      <c r="G670" s="26">
        <v>484.08502499999997</v>
      </c>
      <c r="H670" s="26">
        <v>810</v>
      </c>
      <c r="I670" s="26">
        <v>4.9375730000000004</v>
      </c>
      <c r="J670" s="26">
        <v>59.482334000000002</v>
      </c>
      <c r="K670" s="28">
        <v>59.491</v>
      </c>
      <c r="L670" s="26">
        <v>100</v>
      </c>
      <c r="M670" s="28">
        <v>59.473999999999997</v>
      </c>
      <c r="N670" s="29">
        <v>8.3339999999999994E-3</v>
      </c>
    </row>
    <row r="671" spans="2:14" x14ac:dyDescent="0.25">
      <c r="B671" s="24">
        <v>45229</v>
      </c>
      <c r="C671" s="24">
        <v>45230</v>
      </c>
      <c r="D671" s="24" t="s">
        <v>114</v>
      </c>
      <c r="E671" s="24" t="s">
        <v>115</v>
      </c>
      <c r="F671" s="26">
        <v>83.142345000000006</v>
      </c>
      <c r="G671" s="26">
        <v>0</v>
      </c>
      <c r="H671" s="26">
        <v>0</v>
      </c>
      <c r="I671" s="26">
        <v>0</v>
      </c>
      <c r="J671" s="26">
        <v>0</v>
      </c>
      <c r="K671" s="28">
        <v>0</v>
      </c>
      <c r="L671" s="26">
        <v>0</v>
      </c>
      <c r="M671" s="28">
        <v>0</v>
      </c>
      <c r="N671" s="29">
        <v>0</v>
      </c>
    </row>
    <row r="672" spans="2:14" x14ac:dyDescent="0.25">
      <c r="B672" s="24">
        <v>45229</v>
      </c>
      <c r="C672" s="24">
        <v>45230</v>
      </c>
      <c r="D672" s="24" t="s">
        <v>116</v>
      </c>
      <c r="E672" s="24" t="s">
        <v>117</v>
      </c>
      <c r="F672" s="26">
        <v>0</v>
      </c>
      <c r="G672" s="26">
        <v>0</v>
      </c>
      <c r="H672" s="26">
        <v>0</v>
      </c>
      <c r="I672" s="26">
        <v>0</v>
      </c>
      <c r="J672" s="26">
        <v>0</v>
      </c>
      <c r="K672" s="28">
        <v>0</v>
      </c>
      <c r="L672" s="26">
        <v>0</v>
      </c>
      <c r="M672" s="28">
        <v>0</v>
      </c>
      <c r="N672" s="29">
        <v>0</v>
      </c>
    </row>
    <row r="673" spans="2:14" x14ac:dyDescent="0.25">
      <c r="B673" s="24">
        <v>45229</v>
      </c>
      <c r="C673" s="24">
        <v>45230</v>
      </c>
      <c r="D673" s="24" t="s">
        <v>118</v>
      </c>
      <c r="E673" s="24" t="s">
        <v>119</v>
      </c>
      <c r="F673" s="26">
        <v>0</v>
      </c>
      <c r="G673" s="26">
        <v>0</v>
      </c>
      <c r="H673" s="26">
        <v>0</v>
      </c>
      <c r="I673" s="26">
        <v>0</v>
      </c>
      <c r="J673" s="26">
        <v>0</v>
      </c>
      <c r="K673" s="28">
        <v>0</v>
      </c>
      <c r="L673" s="26">
        <v>0</v>
      </c>
      <c r="M673" s="28">
        <v>0</v>
      </c>
      <c r="N673" s="29">
        <v>0</v>
      </c>
    </row>
    <row r="674" spans="2:14" x14ac:dyDescent="0.25">
      <c r="B674" s="24">
        <v>45229</v>
      </c>
      <c r="C674" s="24">
        <v>45230</v>
      </c>
      <c r="D674" s="24" t="s">
        <v>124</v>
      </c>
      <c r="E674" s="24" t="s">
        <v>125</v>
      </c>
      <c r="F674" s="26">
        <v>9.5245080000000009</v>
      </c>
      <c r="G674" s="26">
        <v>0</v>
      </c>
      <c r="H674" s="26">
        <v>0</v>
      </c>
      <c r="I674" s="26">
        <v>0</v>
      </c>
      <c r="J674" s="26">
        <v>0</v>
      </c>
      <c r="K674" s="28">
        <v>0</v>
      </c>
      <c r="L674" s="26">
        <v>0</v>
      </c>
      <c r="M674" s="28">
        <v>0</v>
      </c>
      <c r="N674" s="29">
        <v>0</v>
      </c>
    </row>
    <row r="675" spans="2:14" x14ac:dyDescent="0.25">
      <c r="B675" s="24">
        <v>45236</v>
      </c>
      <c r="C675" s="24">
        <v>45237</v>
      </c>
      <c r="D675" s="24" t="s">
        <v>126</v>
      </c>
      <c r="E675" s="24" t="s">
        <v>127</v>
      </c>
      <c r="F675" s="26">
        <v>711.99424399999998</v>
      </c>
      <c r="G675" s="26">
        <v>462.01133299999998</v>
      </c>
      <c r="H675" s="26">
        <v>573.9</v>
      </c>
      <c r="I675" s="26">
        <v>4.8484069999999999</v>
      </c>
      <c r="J675" s="26">
        <v>79.55</v>
      </c>
      <c r="K675" s="28">
        <v>79.55</v>
      </c>
      <c r="L675" s="26">
        <v>91.531099999999995</v>
      </c>
      <c r="M675" s="28">
        <v>79.55</v>
      </c>
      <c r="N675" s="29">
        <v>0</v>
      </c>
    </row>
    <row r="676" spans="2:14" x14ac:dyDescent="0.25">
      <c r="B676" s="24">
        <v>45236</v>
      </c>
      <c r="C676" s="24">
        <v>45237</v>
      </c>
      <c r="D676" s="24" t="s">
        <v>128</v>
      </c>
      <c r="E676" s="24" t="s">
        <v>129</v>
      </c>
      <c r="F676" s="26">
        <v>29.087009999999999</v>
      </c>
      <c r="G676" s="26">
        <v>0</v>
      </c>
      <c r="H676" s="26">
        <v>0</v>
      </c>
      <c r="I676" s="26">
        <v>0</v>
      </c>
      <c r="J676" s="26">
        <v>0</v>
      </c>
      <c r="K676" s="28">
        <v>0</v>
      </c>
      <c r="L676" s="26">
        <v>0</v>
      </c>
      <c r="M676" s="28">
        <v>0</v>
      </c>
      <c r="N676" s="29">
        <v>0</v>
      </c>
    </row>
    <row r="677" spans="2:14" x14ac:dyDescent="0.25">
      <c r="B677" s="24">
        <v>45236</v>
      </c>
      <c r="C677" s="24">
        <v>45237</v>
      </c>
      <c r="D677" s="24" t="s">
        <v>130</v>
      </c>
      <c r="E677" s="24" t="s">
        <v>131</v>
      </c>
      <c r="F677" s="26">
        <v>186.58160699999999</v>
      </c>
      <c r="G677" s="26">
        <v>2.3342700000000001</v>
      </c>
      <c r="H677" s="26">
        <v>5</v>
      </c>
      <c r="I677" s="26">
        <v>4.8306529999999999</v>
      </c>
      <c r="J677" s="26">
        <v>46.45</v>
      </c>
      <c r="K677" s="28">
        <v>46.45</v>
      </c>
      <c r="L677" s="26">
        <v>100</v>
      </c>
      <c r="M677" s="28">
        <v>46.45</v>
      </c>
      <c r="N677" s="29">
        <v>0</v>
      </c>
    </row>
    <row r="678" spans="2:14" x14ac:dyDescent="0.25">
      <c r="B678" s="24">
        <v>45236</v>
      </c>
      <c r="C678" s="24">
        <v>45237</v>
      </c>
      <c r="D678" s="24" t="s">
        <v>132</v>
      </c>
      <c r="E678" s="24" t="s">
        <v>133</v>
      </c>
      <c r="F678" s="26">
        <v>212.69674699999999</v>
      </c>
      <c r="G678" s="26">
        <v>84.016475</v>
      </c>
      <c r="H678" s="26">
        <v>90</v>
      </c>
      <c r="I678" s="26">
        <v>4.8610189999999998</v>
      </c>
      <c r="J678" s="26">
        <v>91.575004000000007</v>
      </c>
      <c r="K678" s="28">
        <v>91.6</v>
      </c>
      <c r="L678" s="26">
        <v>100</v>
      </c>
      <c r="M678" s="28">
        <v>91.55</v>
      </c>
      <c r="N678" s="29">
        <v>2.5003999999999998E-2</v>
      </c>
    </row>
    <row r="679" spans="2:14" x14ac:dyDescent="0.25">
      <c r="B679" s="24">
        <v>45236</v>
      </c>
      <c r="C679" s="24">
        <v>45237</v>
      </c>
      <c r="D679" s="24" t="s">
        <v>134</v>
      </c>
      <c r="E679" s="24" t="s">
        <v>135</v>
      </c>
      <c r="F679" s="26">
        <v>0</v>
      </c>
      <c r="G679" s="26">
        <v>0</v>
      </c>
      <c r="H679" s="26">
        <v>0</v>
      </c>
      <c r="I679" s="26">
        <v>0</v>
      </c>
      <c r="J679" s="26">
        <v>0</v>
      </c>
      <c r="K679" s="28">
        <v>0</v>
      </c>
      <c r="L679" s="26">
        <v>0</v>
      </c>
      <c r="M679" s="28">
        <v>0</v>
      </c>
      <c r="N679" s="29">
        <v>0</v>
      </c>
    </row>
    <row r="680" spans="2:14" x14ac:dyDescent="0.25">
      <c r="B680" s="24">
        <v>45236</v>
      </c>
      <c r="C680" s="24">
        <v>45237</v>
      </c>
      <c r="D680" s="24" t="s">
        <v>136</v>
      </c>
      <c r="E680" s="24" t="s">
        <v>137</v>
      </c>
      <c r="F680" s="26">
        <v>5.581658</v>
      </c>
      <c r="G680" s="26">
        <v>0</v>
      </c>
      <c r="H680" s="26">
        <v>0</v>
      </c>
      <c r="I680" s="26">
        <v>0</v>
      </c>
      <c r="J680" s="26">
        <v>0</v>
      </c>
      <c r="K680" s="28">
        <v>0</v>
      </c>
      <c r="L680" s="26">
        <v>0</v>
      </c>
      <c r="M680" s="28">
        <v>0</v>
      </c>
      <c r="N680" s="29">
        <v>0</v>
      </c>
    </row>
    <row r="681" spans="2:14" x14ac:dyDescent="0.25">
      <c r="B681" s="24">
        <v>45236</v>
      </c>
      <c r="C681" s="24">
        <v>45237</v>
      </c>
      <c r="D681" s="24" t="s">
        <v>138</v>
      </c>
      <c r="E681" s="24" t="s">
        <v>139</v>
      </c>
      <c r="F681" s="26">
        <v>32.418073</v>
      </c>
      <c r="G681" s="26">
        <v>0</v>
      </c>
      <c r="H681" s="26">
        <v>0</v>
      </c>
      <c r="I681" s="26">
        <v>0</v>
      </c>
      <c r="J681" s="26">
        <v>0</v>
      </c>
      <c r="K681" s="28">
        <v>0</v>
      </c>
      <c r="L681" s="26">
        <v>0</v>
      </c>
      <c r="M681" s="28">
        <v>0</v>
      </c>
      <c r="N681" s="29">
        <v>0</v>
      </c>
    </row>
    <row r="682" spans="2:14" x14ac:dyDescent="0.25">
      <c r="B682" s="24">
        <v>45236</v>
      </c>
      <c r="C682" s="24">
        <v>45237</v>
      </c>
      <c r="D682" s="24" t="s">
        <v>140</v>
      </c>
      <c r="E682" s="24" t="s">
        <v>141</v>
      </c>
      <c r="F682" s="26">
        <v>218.705195</v>
      </c>
      <c r="G682" s="26">
        <v>105.734116</v>
      </c>
      <c r="H682" s="26">
        <v>284</v>
      </c>
      <c r="I682" s="26">
        <v>4.8041320000000001</v>
      </c>
      <c r="J682" s="26">
        <v>37.203001999999998</v>
      </c>
      <c r="K682" s="28">
        <v>37.213000000000001</v>
      </c>
      <c r="L682" s="26">
        <v>100</v>
      </c>
      <c r="M682" s="28">
        <v>37.192999999999998</v>
      </c>
      <c r="N682" s="29">
        <v>1.0002E-2</v>
      </c>
    </row>
    <row r="683" spans="2:14" x14ac:dyDescent="0.25">
      <c r="B683" s="24">
        <v>45236</v>
      </c>
      <c r="C683" s="24">
        <v>45237</v>
      </c>
      <c r="D683" s="24" t="s">
        <v>142</v>
      </c>
      <c r="E683" s="24" t="s">
        <v>143</v>
      </c>
      <c r="F683" s="26">
        <v>153.73919100000001</v>
      </c>
      <c r="G683" s="26">
        <v>0</v>
      </c>
      <c r="H683" s="26">
        <v>0</v>
      </c>
      <c r="I683" s="26">
        <v>0</v>
      </c>
      <c r="J683" s="26">
        <v>0</v>
      </c>
      <c r="K683" s="28">
        <v>0</v>
      </c>
      <c r="L683" s="26">
        <v>0</v>
      </c>
      <c r="M683" s="28">
        <v>0</v>
      </c>
      <c r="N683" s="29">
        <v>0</v>
      </c>
    </row>
    <row r="684" spans="2:14" x14ac:dyDescent="0.25">
      <c r="B684" s="24">
        <v>45236</v>
      </c>
      <c r="C684" s="24">
        <v>45237</v>
      </c>
      <c r="D684" s="24" t="s">
        <v>144</v>
      </c>
      <c r="E684" s="24" t="s">
        <v>145</v>
      </c>
      <c r="F684" s="26">
        <v>0</v>
      </c>
      <c r="G684" s="26">
        <v>0</v>
      </c>
      <c r="H684" s="26">
        <v>0</v>
      </c>
      <c r="I684" s="26">
        <v>0</v>
      </c>
      <c r="J684" s="26">
        <v>0</v>
      </c>
      <c r="K684" s="28">
        <v>0</v>
      </c>
      <c r="L684" s="26">
        <v>0</v>
      </c>
      <c r="M684" s="28">
        <v>0</v>
      </c>
      <c r="N684" s="29">
        <v>0</v>
      </c>
    </row>
    <row r="685" spans="2:14" x14ac:dyDescent="0.25">
      <c r="B685" s="24">
        <v>45236</v>
      </c>
      <c r="C685" s="24">
        <v>45237</v>
      </c>
      <c r="D685" s="24" t="s">
        <v>146</v>
      </c>
      <c r="E685" s="24" t="s">
        <v>147</v>
      </c>
      <c r="F685" s="26">
        <v>0</v>
      </c>
      <c r="G685" s="26">
        <v>0</v>
      </c>
      <c r="H685" s="26">
        <v>0</v>
      </c>
      <c r="I685" s="26">
        <v>0</v>
      </c>
      <c r="J685" s="26">
        <v>0</v>
      </c>
      <c r="K685" s="28">
        <v>0</v>
      </c>
      <c r="L685" s="26">
        <v>0</v>
      </c>
      <c r="M685" s="28">
        <v>0</v>
      </c>
      <c r="N685" s="29">
        <v>0</v>
      </c>
    </row>
    <row r="686" spans="2:14" x14ac:dyDescent="0.25">
      <c r="B686" s="24">
        <v>45236</v>
      </c>
      <c r="C686" s="24">
        <v>45237</v>
      </c>
      <c r="D686" s="24" t="s">
        <v>148</v>
      </c>
      <c r="E686" s="24" t="s">
        <v>149</v>
      </c>
      <c r="F686" s="26">
        <v>0</v>
      </c>
      <c r="G686" s="26">
        <v>0</v>
      </c>
      <c r="H686" s="26">
        <v>0</v>
      </c>
      <c r="I686" s="26">
        <v>0</v>
      </c>
      <c r="J686" s="26">
        <v>0</v>
      </c>
      <c r="K686" s="28">
        <v>0</v>
      </c>
      <c r="L686" s="26">
        <v>0</v>
      </c>
      <c r="M686" s="28">
        <v>0</v>
      </c>
      <c r="N686" s="29">
        <v>0</v>
      </c>
    </row>
    <row r="687" spans="2:14" x14ac:dyDescent="0.25">
      <c r="B687" s="24">
        <v>45236</v>
      </c>
      <c r="C687" s="24">
        <v>45237</v>
      </c>
      <c r="D687" s="24" t="s">
        <v>150</v>
      </c>
      <c r="E687" s="24" t="s">
        <v>151</v>
      </c>
      <c r="F687" s="26">
        <v>0</v>
      </c>
      <c r="G687" s="26">
        <v>0</v>
      </c>
      <c r="H687" s="26">
        <v>0</v>
      </c>
      <c r="I687" s="26">
        <v>0</v>
      </c>
      <c r="J687" s="26">
        <v>0</v>
      </c>
      <c r="K687" s="28">
        <v>0</v>
      </c>
      <c r="L687" s="26">
        <v>0</v>
      </c>
      <c r="M687" s="28">
        <v>0</v>
      </c>
      <c r="N687" s="29">
        <v>0</v>
      </c>
    </row>
    <row r="688" spans="2:14" x14ac:dyDescent="0.25">
      <c r="B688" s="24">
        <v>45236</v>
      </c>
      <c r="C688" s="24">
        <v>45237</v>
      </c>
      <c r="D688" s="24" t="s">
        <v>152</v>
      </c>
      <c r="E688" s="24" t="s">
        <v>153</v>
      </c>
      <c r="F688" s="26">
        <v>60.210304000000001</v>
      </c>
      <c r="G688" s="26">
        <v>0</v>
      </c>
      <c r="H688" s="26">
        <v>0</v>
      </c>
      <c r="I688" s="26">
        <v>0</v>
      </c>
      <c r="J688" s="26">
        <v>0</v>
      </c>
      <c r="K688" s="28">
        <v>0</v>
      </c>
      <c r="L688" s="26">
        <v>0</v>
      </c>
      <c r="M688" s="28">
        <v>0</v>
      </c>
      <c r="N688" s="29">
        <v>0</v>
      </c>
    </row>
    <row r="689" spans="2:14" x14ac:dyDescent="0.25">
      <c r="B689" s="24">
        <v>45236</v>
      </c>
      <c r="C689" s="24">
        <v>45237</v>
      </c>
      <c r="D689" s="24" t="s">
        <v>154</v>
      </c>
      <c r="E689" s="24" t="s">
        <v>155</v>
      </c>
      <c r="F689" s="26">
        <v>25.569334000000001</v>
      </c>
      <c r="G689" s="26">
        <v>0</v>
      </c>
      <c r="H689" s="26">
        <v>0</v>
      </c>
      <c r="I689" s="26">
        <v>0</v>
      </c>
      <c r="J689" s="26">
        <v>0</v>
      </c>
      <c r="K689" s="28">
        <v>0</v>
      </c>
      <c r="L689" s="26">
        <v>0</v>
      </c>
      <c r="M689" s="28">
        <v>0</v>
      </c>
      <c r="N689" s="29">
        <v>0</v>
      </c>
    </row>
    <row r="690" spans="2:14" x14ac:dyDescent="0.25">
      <c r="B690" s="24">
        <v>45236</v>
      </c>
      <c r="C690" s="24">
        <v>45237</v>
      </c>
      <c r="D690" s="24" t="s">
        <v>156</v>
      </c>
      <c r="E690" s="24" t="s">
        <v>157</v>
      </c>
      <c r="F690" s="26">
        <v>87.766243000000003</v>
      </c>
      <c r="G690" s="26">
        <v>0</v>
      </c>
      <c r="H690" s="26">
        <v>0</v>
      </c>
      <c r="I690" s="26">
        <v>0</v>
      </c>
      <c r="J690" s="26">
        <v>0</v>
      </c>
      <c r="K690" s="28">
        <v>0</v>
      </c>
      <c r="L690" s="26">
        <v>0</v>
      </c>
      <c r="M690" s="28">
        <v>0</v>
      </c>
      <c r="N690" s="29">
        <v>0</v>
      </c>
    </row>
    <row r="691" spans="2:14" x14ac:dyDescent="0.25">
      <c r="B691" s="24">
        <v>45236</v>
      </c>
      <c r="C691" s="24">
        <v>45237</v>
      </c>
      <c r="D691" s="24" t="s">
        <v>158</v>
      </c>
      <c r="E691" s="24" t="s">
        <v>159</v>
      </c>
      <c r="F691" s="26">
        <v>0</v>
      </c>
      <c r="G691" s="26">
        <v>0</v>
      </c>
      <c r="H691" s="26">
        <v>0</v>
      </c>
      <c r="I691" s="26">
        <v>0</v>
      </c>
      <c r="J691" s="26">
        <v>0</v>
      </c>
      <c r="K691" s="28">
        <v>0</v>
      </c>
      <c r="L691" s="26">
        <v>0</v>
      </c>
      <c r="M691" s="28">
        <v>0</v>
      </c>
      <c r="N691" s="29">
        <v>0</v>
      </c>
    </row>
    <row r="692" spans="2:14" x14ac:dyDescent="0.25">
      <c r="B692" s="24">
        <v>45236</v>
      </c>
      <c r="C692" s="24">
        <v>45237</v>
      </c>
      <c r="D692" s="24" t="s">
        <v>160</v>
      </c>
      <c r="E692" s="24" t="s">
        <v>161</v>
      </c>
      <c r="F692" s="26">
        <v>23.727951999999998</v>
      </c>
      <c r="G692" s="26">
        <v>15.825435000000001</v>
      </c>
      <c r="H692" s="26">
        <v>20</v>
      </c>
      <c r="I692" s="26">
        <v>4.6714710000000004</v>
      </c>
      <c r="J692" s="26">
        <v>78.099999999999994</v>
      </c>
      <c r="K692" s="28">
        <v>78.099999999999994</v>
      </c>
      <c r="L692" s="26">
        <v>100</v>
      </c>
      <c r="M692" s="28">
        <v>78.099999999999994</v>
      </c>
      <c r="N692" s="29">
        <v>0</v>
      </c>
    </row>
    <row r="693" spans="2:14" x14ac:dyDescent="0.25">
      <c r="B693" s="24">
        <v>45236</v>
      </c>
      <c r="C693" s="24">
        <v>45237</v>
      </c>
      <c r="D693" s="24" t="s">
        <v>162</v>
      </c>
      <c r="E693" s="24" t="s">
        <v>163</v>
      </c>
      <c r="F693" s="26">
        <v>32.608027999999997</v>
      </c>
      <c r="G693" s="26">
        <v>0</v>
      </c>
      <c r="H693" s="26">
        <v>0</v>
      </c>
      <c r="I693" s="26">
        <v>0</v>
      </c>
      <c r="J693" s="26">
        <v>0</v>
      </c>
      <c r="K693" s="28">
        <v>0</v>
      </c>
      <c r="L693" s="26">
        <v>0</v>
      </c>
      <c r="M693" s="28">
        <v>0</v>
      </c>
      <c r="N693" s="29">
        <v>0</v>
      </c>
    </row>
    <row r="694" spans="2:14" x14ac:dyDescent="0.25">
      <c r="B694" s="24">
        <v>45243</v>
      </c>
      <c r="C694" s="24">
        <v>45244</v>
      </c>
      <c r="D694" s="24" t="s">
        <v>82</v>
      </c>
      <c r="E694" s="24" t="s">
        <v>83</v>
      </c>
      <c r="F694" s="27">
        <v>107.84575</v>
      </c>
      <c r="G694" s="27">
        <v>18.055125</v>
      </c>
      <c r="H694" s="26">
        <v>20</v>
      </c>
      <c r="I694" s="28">
        <v>4.2416330000000002</v>
      </c>
      <c r="J694" s="28">
        <v>89.885000000000005</v>
      </c>
      <c r="K694" s="28">
        <v>89.885000000000005</v>
      </c>
      <c r="L694" s="29">
        <v>100</v>
      </c>
      <c r="M694" s="28">
        <v>89.885000000000005</v>
      </c>
      <c r="N694" s="29">
        <v>0</v>
      </c>
    </row>
    <row r="695" spans="2:14" x14ac:dyDescent="0.25">
      <c r="B695" s="24">
        <v>45243</v>
      </c>
      <c r="C695" s="24">
        <v>45244</v>
      </c>
      <c r="D695" s="24" t="s">
        <v>84</v>
      </c>
      <c r="E695" s="24" t="s">
        <v>85</v>
      </c>
      <c r="F695" s="27">
        <v>0</v>
      </c>
      <c r="G695" s="27">
        <v>0</v>
      </c>
      <c r="H695" s="26">
        <v>0</v>
      </c>
      <c r="I695" s="28">
        <v>0</v>
      </c>
      <c r="J695" s="28">
        <v>0</v>
      </c>
      <c r="K695" s="28">
        <v>0</v>
      </c>
      <c r="L695" s="29">
        <v>0</v>
      </c>
      <c r="M695" s="28">
        <v>0</v>
      </c>
      <c r="N695" s="29">
        <v>0</v>
      </c>
    </row>
    <row r="696" spans="2:14" x14ac:dyDescent="0.25">
      <c r="B696" s="24">
        <v>45243</v>
      </c>
      <c r="C696" s="24">
        <v>45244</v>
      </c>
      <c r="D696" s="24" t="s">
        <v>86</v>
      </c>
      <c r="E696" s="24" t="s">
        <v>87</v>
      </c>
      <c r="F696" s="27">
        <v>547.45678499999997</v>
      </c>
      <c r="G696" s="27">
        <v>96.255268000000001</v>
      </c>
      <c r="H696" s="26">
        <v>114.2</v>
      </c>
      <c r="I696" s="28">
        <v>4.2481450000000001</v>
      </c>
      <c r="J696" s="28">
        <v>84.250577000000007</v>
      </c>
      <c r="K696" s="28">
        <v>84.284000000000006</v>
      </c>
      <c r="L696" s="29">
        <v>28.399999000000001</v>
      </c>
      <c r="M696" s="28">
        <v>84.2</v>
      </c>
      <c r="N696" s="29">
        <v>5.0576999999999997E-2</v>
      </c>
    </row>
    <row r="697" spans="2:14" x14ac:dyDescent="0.25">
      <c r="B697" s="24">
        <v>45243</v>
      </c>
      <c r="C697" s="24">
        <v>45244</v>
      </c>
      <c r="D697" s="24" t="s">
        <v>88</v>
      </c>
      <c r="E697" s="24" t="s">
        <v>89</v>
      </c>
      <c r="F697" s="27">
        <v>270.71880800000002</v>
      </c>
      <c r="G697" s="27">
        <v>252.995485</v>
      </c>
      <c r="H697" s="26">
        <v>285</v>
      </c>
      <c r="I697" s="28">
        <v>4.1894049999999998</v>
      </c>
      <c r="J697" s="28">
        <v>88.668251999999995</v>
      </c>
      <c r="K697" s="28">
        <v>88.731999999999999</v>
      </c>
      <c r="L697" s="29">
        <v>100</v>
      </c>
      <c r="M697" s="28">
        <v>88.594999999999999</v>
      </c>
      <c r="N697" s="29">
        <v>7.3251999999999998E-2</v>
      </c>
    </row>
    <row r="698" spans="2:14" x14ac:dyDescent="0.25">
      <c r="B698" s="24">
        <v>45243</v>
      </c>
      <c r="C698" s="24">
        <v>45244</v>
      </c>
      <c r="D698" s="24" t="s">
        <v>90</v>
      </c>
      <c r="E698" s="24" t="s">
        <v>91</v>
      </c>
      <c r="F698" s="27">
        <v>109.62295</v>
      </c>
      <c r="G698" s="27">
        <v>0</v>
      </c>
      <c r="H698" s="26">
        <v>0</v>
      </c>
      <c r="I698" s="28">
        <v>0</v>
      </c>
      <c r="J698" s="28">
        <v>0</v>
      </c>
      <c r="K698" s="28">
        <v>0</v>
      </c>
      <c r="L698" s="29">
        <v>0</v>
      </c>
      <c r="M698" s="28">
        <v>0</v>
      </c>
      <c r="N698" s="29">
        <v>0</v>
      </c>
    </row>
    <row r="699" spans="2:14" x14ac:dyDescent="0.25">
      <c r="B699" s="24">
        <v>45243</v>
      </c>
      <c r="C699" s="24">
        <v>45244</v>
      </c>
      <c r="D699" s="24" t="s">
        <v>120</v>
      </c>
      <c r="E699" s="24" t="s">
        <v>121</v>
      </c>
      <c r="F699" s="27">
        <v>256.32146699999998</v>
      </c>
      <c r="G699" s="27">
        <v>256.32146699999998</v>
      </c>
      <c r="H699" s="26">
        <v>310</v>
      </c>
      <c r="I699" s="28">
        <v>4.2720659999999997</v>
      </c>
      <c r="J699" s="28">
        <v>82.540336999999994</v>
      </c>
      <c r="K699" s="28">
        <v>82.582999999999998</v>
      </c>
      <c r="L699" s="29">
        <v>100</v>
      </c>
      <c r="M699" s="28">
        <v>82.46</v>
      </c>
      <c r="N699" s="29">
        <v>8.0337000000000006E-2</v>
      </c>
    </row>
    <row r="700" spans="2:14" x14ac:dyDescent="0.25">
      <c r="B700" s="24">
        <v>45243</v>
      </c>
      <c r="C700" s="24">
        <v>45244</v>
      </c>
      <c r="D700" s="24" t="s">
        <v>92</v>
      </c>
      <c r="E700" s="24" t="s">
        <v>93</v>
      </c>
      <c r="F700" s="27">
        <v>0</v>
      </c>
      <c r="G700" s="27">
        <v>0</v>
      </c>
      <c r="H700" s="26">
        <v>0</v>
      </c>
      <c r="I700" s="28">
        <v>0</v>
      </c>
      <c r="J700" s="28">
        <v>0</v>
      </c>
      <c r="K700" s="28">
        <v>0</v>
      </c>
      <c r="L700" s="29">
        <v>0</v>
      </c>
      <c r="M700" s="28">
        <v>0</v>
      </c>
      <c r="N700" s="29">
        <v>0</v>
      </c>
    </row>
    <row r="701" spans="2:14" x14ac:dyDescent="0.25">
      <c r="B701" s="24">
        <v>45243</v>
      </c>
      <c r="C701" s="24">
        <v>45244</v>
      </c>
      <c r="D701" s="24" t="s">
        <v>94</v>
      </c>
      <c r="E701" s="24" t="s">
        <v>95</v>
      </c>
      <c r="F701" s="27">
        <v>123.328704</v>
      </c>
      <c r="G701" s="27">
        <v>46.305138999999997</v>
      </c>
      <c r="H701" s="26">
        <v>60</v>
      </c>
      <c r="I701" s="28">
        <v>4.2067889999999997</v>
      </c>
      <c r="J701" s="28">
        <v>77.151666000000006</v>
      </c>
      <c r="K701" s="28">
        <v>77.16</v>
      </c>
      <c r="L701" s="29">
        <v>100</v>
      </c>
      <c r="M701" s="28">
        <v>77.150000000000006</v>
      </c>
      <c r="N701" s="29">
        <v>1.6659999999999999E-3</v>
      </c>
    </row>
    <row r="702" spans="2:14" x14ac:dyDescent="0.25">
      <c r="B702" s="24">
        <v>45250</v>
      </c>
      <c r="C702" s="24">
        <v>45251</v>
      </c>
      <c r="D702" s="25" t="s">
        <v>96</v>
      </c>
      <c r="E702" s="25" t="s">
        <v>97</v>
      </c>
      <c r="F702" s="26">
        <v>186.85136199999999</v>
      </c>
      <c r="G702" s="27">
        <v>0</v>
      </c>
      <c r="H702" s="26">
        <v>0</v>
      </c>
      <c r="I702" s="28">
        <v>0</v>
      </c>
      <c r="J702" s="28">
        <v>0</v>
      </c>
      <c r="K702" s="28">
        <v>0</v>
      </c>
      <c r="L702" s="29">
        <v>0</v>
      </c>
      <c r="M702" s="28">
        <v>0</v>
      </c>
      <c r="N702" s="29">
        <v>0</v>
      </c>
    </row>
    <row r="703" spans="2:14" x14ac:dyDescent="0.25">
      <c r="B703" s="24">
        <v>45250</v>
      </c>
      <c r="C703" s="24">
        <v>45251</v>
      </c>
      <c r="D703" s="25" t="s">
        <v>98</v>
      </c>
      <c r="E703" s="25" t="s">
        <v>99</v>
      </c>
      <c r="F703" s="26">
        <v>60.182713</v>
      </c>
      <c r="G703" s="27">
        <v>0</v>
      </c>
      <c r="H703" s="26">
        <v>0</v>
      </c>
      <c r="I703" s="28">
        <v>0</v>
      </c>
      <c r="J703" s="28">
        <v>0</v>
      </c>
      <c r="K703" s="28">
        <v>0</v>
      </c>
      <c r="L703" s="29">
        <v>0</v>
      </c>
      <c r="M703" s="28">
        <v>0</v>
      </c>
      <c r="N703" s="29">
        <v>0</v>
      </c>
    </row>
    <row r="704" spans="2:14" x14ac:dyDescent="0.25">
      <c r="B704" s="24">
        <v>45250</v>
      </c>
      <c r="C704" s="24">
        <v>45251</v>
      </c>
      <c r="D704" s="25" t="s">
        <v>100</v>
      </c>
      <c r="E704" s="25" t="s">
        <v>101</v>
      </c>
      <c r="F704" s="26">
        <v>72.385144999999994</v>
      </c>
      <c r="G704" s="27">
        <v>0</v>
      </c>
      <c r="H704" s="26">
        <v>0</v>
      </c>
      <c r="I704" s="28">
        <v>0</v>
      </c>
      <c r="J704" s="28">
        <v>0</v>
      </c>
      <c r="K704" s="28">
        <v>0</v>
      </c>
      <c r="L704" s="29">
        <v>0</v>
      </c>
      <c r="M704" s="28">
        <v>0</v>
      </c>
      <c r="N704" s="29">
        <v>0</v>
      </c>
    </row>
    <row r="705" spans="2:14" x14ac:dyDescent="0.25">
      <c r="B705" s="24">
        <v>45250</v>
      </c>
      <c r="C705" s="24">
        <v>45251</v>
      </c>
      <c r="D705" s="25" t="s">
        <v>122</v>
      </c>
      <c r="E705" s="25" t="s">
        <v>123</v>
      </c>
      <c r="F705" s="26">
        <v>0</v>
      </c>
      <c r="G705" s="27">
        <v>0</v>
      </c>
      <c r="H705" s="26">
        <v>0</v>
      </c>
      <c r="I705" s="28">
        <v>0</v>
      </c>
      <c r="J705" s="28">
        <v>0</v>
      </c>
      <c r="K705" s="28">
        <v>0</v>
      </c>
      <c r="L705" s="29">
        <v>0</v>
      </c>
      <c r="M705" s="28">
        <v>0</v>
      </c>
      <c r="N705" s="29">
        <v>0</v>
      </c>
    </row>
    <row r="706" spans="2:14" x14ac:dyDescent="0.25">
      <c r="B706" s="24">
        <v>45250</v>
      </c>
      <c r="C706" s="24">
        <v>45251</v>
      </c>
      <c r="D706" s="25" t="s">
        <v>102</v>
      </c>
      <c r="E706" s="25" t="s">
        <v>103</v>
      </c>
      <c r="F706" s="26">
        <v>351.08647200000001</v>
      </c>
      <c r="G706" s="27">
        <v>162.443291142861</v>
      </c>
      <c r="H706" s="26">
        <v>157.30000000000001</v>
      </c>
      <c r="I706" s="28">
        <v>4.2268090000000003</v>
      </c>
      <c r="J706" s="28">
        <v>102.342535</v>
      </c>
      <c r="K706" s="28">
        <v>102.343</v>
      </c>
      <c r="L706" s="29">
        <v>4.8666660000000004</v>
      </c>
      <c r="M706" s="28">
        <v>102.333</v>
      </c>
      <c r="N706" s="29">
        <v>9.5350000000000001E-3</v>
      </c>
    </row>
    <row r="707" spans="2:14" x14ac:dyDescent="0.25">
      <c r="B707" s="24">
        <v>45250</v>
      </c>
      <c r="C707" s="24">
        <v>45251</v>
      </c>
      <c r="D707" s="25" t="s">
        <v>104</v>
      </c>
      <c r="E707" s="25" t="s">
        <v>105</v>
      </c>
      <c r="F707" s="26">
        <v>423.403415</v>
      </c>
      <c r="G707" s="27">
        <v>0</v>
      </c>
      <c r="H707" s="26">
        <v>0</v>
      </c>
      <c r="I707" s="28">
        <v>0</v>
      </c>
      <c r="J707" s="28">
        <v>0</v>
      </c>
      <c r="K707" s="28">
        <v>0</v>
      </c>
      <c r="L707" s="29">
        <v>0</v>
      </c>
      <c r="M707" s="28">
        <v>0</v>
      </c>
      <c r="N707" s="29">
        <v>0</v>
      </c>
    </row>
    <row r="708" spans="2:14" x14ac:dyDescent="0.25">
      <c r="B708" s="24">
        <v>45250</v>
      </c>
      <c r="C708" s="24">
        <v>45251</v>
      </c>
      <c r="D708" s="25" t="s">
        <v>106</v>
      </c>
      <c r="E708" s="25" t="s">
        <v>107</v>
      </c>
      <c r="F708" s="26">
        <v>0</v>
      </c>
      <c r="G708" s="27">
        <v>0</v>
      </c>
      <c r="H708" s="26">
        <v>0</v>
      </c>
      <c r="I708" s="28">
        <v>0</v>
      </c>
      <c r="J708" s="28">
        <v>0</v>
      </c>
      <c r="K708" s="28">
        <v>0</v>
      </c>
      <c r="L708" s="29">
        <v>0</v>
      </c>
      <c r="M708" s="28">
        <v>0</v>
      </c>
      <c r="N708" s="29">
        <v>0</v>
      </c>
    </row>
    <row r="709" spans="2:14" x14ac:dyDescent="0.25">
      <c r="B709" s="24">
        <v>45250</v>
      </c>
      <c r="C709" s="24">
        <v>45251</v>
      </c>
      <c r="D709" s="25" t="s">
        <v>108</v>
      </c>
      <c r="E709" s="25" t="s">
        <v>109</v>
      </c>
      <c r="F709" s="26">
        <v>32.922258999999997</v>
      </c>
      <c r="G709" s="27">
        <v>0</v>
      </c>
      <c r="H709" s="26">
        <v>0</v>
      </c>
      <c r="I709" s="28">
        <v>0</v>
      </c>
      <c r="J709" s="28">
        <v>0</v>
      </c>
      <c r="K709" s="28">
        <v>0</v>
      </c>
      <c r="L709" s="29">
        <v>0</v>
      </c>
      <c r="M709" s="28">
        <v>0</v>
      </c>
      <c r="N709" s="29">
        <v>0</v>
      </c>
    </row>
    <row r="710" spans="2:14" x14ac:dyDescent="0.25">
      <c r="B710" s="24">
        <v>45250</v>
      </c>
      <c r="C710" s="24">
        <v>45251</v>
      </c>
      <c r="D710" s="25" t="s">
        <v>110</v>
      </c>
      <c r="E710" s="25" t="s">
        <v>111</v>
      </c>
      <c r="F710" s="26">
        <v>126.42801900000001</v>
      </c>
      <c r="G710" s="27">
        <v>0</v>
      </c>
      <c r="H710" s="26">
        <v>0</v>
      </c>
      <c r="I710" s="28">
        <v>0</v>
      </c>
      <c r="J710" s="28">
        <v>0</v>
      </c>
      <c r="K710" s="28">
        <v>0</v>
      </c>
      <c r="L710" s="29">
        <v>0</v>
      </c>
      <c r="M710" s="28">
        <v>0</v>
      </c>
      <c r="N710" s="29">
        <v>0</v>
      </c>
    </row>
    <row r="711" spans="2:14" x14ac:dyDescent="0.25">
      <c r="B711" s="24">
        <v>45250</v>
      </c>
      <c r="C711" s="24">
        <v>45251</v>
      </c>
      <c r="D711" s="25" t="s">
        <v>112</v>
      </c>
      <c r="E711" s="25" t="s">
        <v>113</v>
      </c>
      <c r="F711" s="26">
        <v>0</v>
      </c>
      <c r="G711" s="27">
        <v>0</v>
      </c>
      <c r="H711" s="26">
        <v>0</v>
      </c>
      <c r="I711" s="28">
        <v>0</v>
      </c>
      <c r="J711" s="28">
        <v>0</v>
      </c>
      <c r="K711" s="28">
        <v>0</v>
      </c>
      <c r="L711" s="29">
        <v>0</v>
      </c>
      <c r="M711" s="28">
        <v>0</v>
      </c>
      <c r="N711" s="29">
        <v>0</v>
      </c>
    </row>
    <row r="712" spans="2:14" x14ac:dyDescent="0.25">
      <c r="B712" s="24">
        <v>45250</v>
      </c>
      <c r="C712" s="24">
        <v>45251</v>
      </c>
      <c r="D712" s="25" t="s">
        <v>114</v>
      </c>
      <c r="E712" s="25" t="s">
        <v>115</v>
      </c>
      <c r="F712" s="26">
        <v>0</v>
      </c>
      <c r="G712" s="27">
        <v>0</v>
      </c>
      <c r="H712" s="26">
        <v>0</v>
      </c>
      <c r="I712" s="28">
        <v>0</v>
      </c>
      <c r="J712" s="28">
        <v>0</v>
      </c>
      <c r="K712" s="28">
        <v>0</v>
      </c>
      <c r="L712" s="29">
        <v>0</v>
      </c>
      <c r="M712" s="28">
        <v>0</v>
      </c>
      <c r="N712" s="29">
        <v>0</v>
      </c>
    </row>
    <row r="713" spans="2:14" x14ac:dyDescent="0.25">
      <c r="B713" s="24">
        <v>45250</v>
      </c>
      <c r="C713" s="24">
        <v>45251</v>
      </c>
      <c r="D713" s="25" t="s">
        <v>116</v>
      </c>
      <c r="E713" s="25" t="s">
        <v>117</v>
      </c>
      <c r="F713" s="26">
        <v>19.710341</v>
      </c>
      <c r="G713" s="27">
        <v>0</v>
      </c>
      <c r="H713" s="26">
        <v>0</v>
      </c>
      <c r="I713" s="28">
        <v>0</v>
      </c>
      <c r="J713" s="28">
        <v>0</v>
      </c>
      <c r="K713" s="28">
        <v>0</v>
      </c>
      <c r="L713" s="29">
        <v>0</v>
      </c>
      <c r="M713" s="28">
        <v>0</v>
      </c>
      <c r="N713" s="29">
        <v>0</v>
      </c>
    </row>
    <row r="714" spans="2:14" x14ac:dyDescent="0.25">
      <c r="B714" s="24">
        <v>45250</v>
      </c>
      <c r="C714" s="24">
        <v>45251</v>
      </c>
      <c r="D714" s="25" t="s">
        <v>118</v>
      </c>
      <c r="E714" s="25" t="s">
        <v>119</v>
      </c>
      <c r="F714" s="26">
        <v>107.770426</v>
      </c>
      <c r="G714" s="27">
        <v>0</v>
      </c>
      <c r="H714" s="26">
        <v>0</v>
      </c>
      <c r="I714" s="28">
        <v>0</v>
      </c>
      <c r="J714" s="28">
        <v>0</v>
      </c>
      <c r="K714" s="28">
        <v>0</v>
      </c>
      <c r="L714" s="29">
        <v>0</v>
      </c>
      <c r="M714" s="28">
        <v>0</v>
      </c>
      <c r="N714" s="29">
        <v>0</v>
      </c>
    </row>
    <row r="715" spans="2:14" x14ac:dyDescent="0.25">
      <c r="B715" s="24">
        <v>45250</v>
      </c>
      <c r="C715" s="24">
        <v>45251</v>
      </c>
      <c r="D715" s="25" t="s">
        <v>124</v>
      </c>
      <c r="E715" s="25" t="s">
        <v>125</v>
      </c>
      <c r="F715" s="26">
        <v>572.30129099999999</v>
      </c>
      <c r="G715" s="27">
        <v>507.48639344259999</v>
      </c>
      <c r="H715" s="26">
        <v>500</v>
      </c>
      <c r="I715" s="28">
        <v>4.5437770000000004</v>
      </c>
      <c r="J715" s="28">
        <v>99.444000000000003</v>
      </c>
      <c r="K715" s="28">
        <v>99.444000000000003</v>
      </c>
      <c r="L715" s="29">
        <v>100</v>
      </c>
      <c r="M715" s="28">
        <v>99.444000000000003</v>
      </c>
      <c r="N715" s="29">
        <v>0</v>
      </c>
    </row>
    <row r="716" spans="2:14" x14ac:dyDescent="0.25">
      <c r="B716" s="24">
        <v>45257</v>
      </c>
      <c r="C716" s="24">
        <v>45258</v>
      </c>
      <c r="D716" s="25" t="s">
        <v>82</v>
      </c>
      <c r="E716" s="25" t="s">
        <v>83</v>
      </c>
      <c r="F716" s="26">
        <v>231.83077900000001</v>
      </c>
      <c r="G716" s="27">
        <v>164.83982599999999</v>
      </c>
      <c r="H716" s="26">
        <v>182</v>
      </c>
      <c r="I716" s="28">
        <v>4.1935969999999996</v>
      </c>
      <c r="J716" s="28">
        <v>90.133154000000005</v>
      </c>
      <c r="K716" s="28">
        <v>90.144000000000005</v>
      </c>
      <c r="L716" s="29">
        <v>100</v>
      </c>
      <c r="M716" s="28">
        <v>90.122</v>
      </c>
      <c r="N716" s="29">
        <v>1.1154000000000001E-2</v>
      </c>
    </row>
    <row r="717" spans="2:14" x14ac:dyDescent="0.25">
      <c r="B717" s="24">
        <v>45257</v>
      </c>
      <c r="C717" s="24">
        <v>45258</v>
      </c>
      <c r="D717" s="25" t="s">
        <v>84</v>
      </c>
      <c r="E717" s="25" t="s">
        <v>85</v>
      </c>
      <c r="F717" s="26">
        <v>0</v>
      </c>
      <c r="G717" s="27">
        <v>0</v>
      </c>
      <c r="H717" s="26">
        <v>0</v>
      </c>
      <c r="I717" s="28">
        <v>0</v>
      </c>
      <c r="J717" s="28">
        <v>0</v>
      </c>
      <c r="K717" s="28">
        <v>0</v>
      </c>
      <c r="L717" s="29">
        <v>0</v>
      </c>
      <c r="M717" s="28">
        <v>0</v>
      </c>
      <c r="N717" s="29">
        <v>0</v>
      </c>
    </row>
    <row r="718" spans="2:14" x14ac:dyDescent="0.25">
      <c r="B718" s="24">
        <v>45257</v>
      </c>
      <c r="C718" s="24">
        <v>45258</v>
      </c>
      <c r="D718" s="25" t="s">
        <v>86</v>
      </c>
      <c r="E718" s="25" t="s">
        <v>87</v>
      </c>
      <c r="F718" s="26">
        <v>583.68864900000005</v>
      </c>
      <c r="G718" s="27">
        <v>111.028358</v>
      </c>
      <c r="H718" s="26">
        <v>131.1</v>
      </c>
      <c r="I718" s="28">
        <v>4.1702760000000003</v>
      </c>
      <c r="J718" s="28">
        <v>84.649064999999993</v>
      </c>
      <c r="K718" s="28">
        <v>84.671000000000006</v>
      </c>
      <c r="L718" s="29">
        <v>42.199998999999998</v>
      </c>
      <c r="M718" s="28">
        <v>84.62</v>
      </c>
      <c r="N718" s="29">
        <v>2.9065000000000001E-2</v>
      </c>
    </row>
    <row r="719" spans="2:14" x14ac:dyDescent="0.25">
      <c r="B719" s="24">
        <v>45257</v>
      </c>
      <c r="C719" s="24">
        <v>45258</v>
      </c>
      <c r="D719" s="25" t="s">
        <v>88</v>
      </c>
      <c r="E719" s="25" t="s">
        <v>89</v>
      </c>
      <c r="F719" s="26">
        <v>198.901535</v>
      </c>
      <c r="G719" s="27">
        <v>160.582097</v>
      </c>
      <c r="H719" s="26">
        <v>180</v>
      </c>
      <c r="I719" s="28">
        <v>4.1161159999999999</v>
      </c>
      <c r="J719" s="28">
        <v>89.048000000000002</v>
      </c>
      <c r="K719" s="28">
        <v>89.052999999999997</v>
      </c>
      <c r="L719" s="29">
        <v>100</v>
      </c>
      <c r="M719" s="28">
        <v>89.043000000000006</v>
      </c>
      <c r="N719" s="29">
        <v>5.0000000000000001E-3</v>
      </c>
    </row>
    <row r="720" spans="2:14" x14ac:dyDescent="0.25">
      <c r="B720" s="24">
        <v>45257</v>
      </c>
      <c r="C720" s="24">
        <v>45258</v>
      </c>
      <c r="D720" s="25" t="s">
        <v>90</v>
      </c>
      <c r="E720" s="25" t="s">
        <v>91</v>
      </c>
      <c r="F720" s="26">
        <v>157.482991</v>
      </c>
      <c r="G720" s="27">
        <v>38.854360999999997</v>
      </c>
      <c r="H720" s="26">
        <v>35</v>
      </c>
      <c r="I720" s="28">
        <v>4.1821970000000004</v>
      </c>
      <c r="J720" s="28">
        <v>108.16</v>
      </c>
      <c r="K720" s="28">
        <v>108.16</v>
      </c>
      <c r="L720" s="29">
        <v>100</v>
      </c>
      <c r="M720" s="28">
        <v>108.16</v>
      </c>
      <c r="N720" s="29">
        <v>0</v>
      </c>
    </row>
    <row r="721" spans="2:14" x14ac:dyDescent="0.25">
      <c r="B721" s="24">
        <v>45257</v>
      </c>
      <c r="C721" s="24">
        <v>45258</v>
      </c>
      <c r="D721" s="25" t="s">
        <v>120</v>
      </c>
      <c r="E721" s="25" t="s">
        <v>121</v>
      </c>
      <c r="F721" s="26">
        <v>286.90069999999997</v>
      </c>
      <c r="G721" s="27">
        <v>182.99689599999999</v>
      </c>
      <c r="H721" s="26">
        <v>220</v>
      </c>
      <c r="I721" s="28">
        <v>4.1844419999999998</v>
      </c>
      <c r="J721" s="28">
        <v>83.017364000000001</v>
      </c>
      <c r="K721" s="28">
        <v>83.036000000000001</v>
      </c>
      <c r="L721" s="29">
        <v>100</v>
      </c>
      <c r="M721" s="28">
        <v>83</v>
      </c>
      <c r="N721" s="29">
        <v>1.7364000000000001E-2</v>
      </c>
    </row>
    <row r="722" spans="2:14" x14ac:dyDescent="0.25">
      <c r="B722" s="24">
        <v>45257</v>
      </c>
      <c r="C722" s="24">
        <v>45258</v>
      </c>
      <c r="D722" s="25" t="s">
        <v>92</v>
      </c>
      <c r="E722" s="25" t="s">
        <v>93</v>
      </c>
      <c r="F722" s="26">
        <v>14.151636999999999</v>
      </c>
      <c r="G722" s="27">
        <v>0</v>
      </c>
      <c r="H722" s="26">
        <v>0</v>
      </c>
      <c r="I722" s="28">
        <v>0</v>
      </c>
      <c r="J722" s="28">
        <v>0</v>
      </c>
      <c r="K722" s="28">
        <v>0</v>
      </c>
      <c r="L722" s="29">
        <v>0</v>
      </c>
      <c r="M722" s="28">
        <v>0</v>
      </c>
      <c r="N722" s="29">
        <v>0</v>
      </c>
    </row>
    <row r="723" spans="2:14" x14ac:dyDescent="0.25">
      <c r="B723" s="24">
        <v>45257</v>
      </c>
      <c r="C723" s="24">
        <v>45258</v>
      </c>
      <c r="D723" s="25" t="s">
        <v>94</v>
      </c>
      <c r="E723" s="25" t="s">
        <v>95</v>
      </c>
      <c r="F723" s="26">
        <v>23.336372000000001</v>
      </c>
      <c r="G723" s="27">
        <v>11.670436</v>
      </c>
      <c r="H723" s="26">
        <v>15</v>
      </c>
      <c r="I723" s="28">
        <v>4.109083</v>
      </c>
      <c r="J723" s="28">
        <v>77.765000000000001</v>
      </c>
      <c r="K723" s="28">
        <v>77.765000000000001</v>
      </c>
      <c r="L723" s="29">
        <v>100</v>
      </c>
      <c r="M723" s="28">
        <v>77.765000000000001</v>
      </c>
      <c r="N723" s="29">
        <v>0</v>
      </c>
    </row>
    <row r="724" spans="2:14" x14ac:dyDescent="0.25">
      <c r="B724" s="24">
        <v>45264</v>
      </c>
      <c r="C724" s="24">
        <v>45265</v>
      </c>
      <c r="D724" s="25" t="s">
        <v>126</v>
      </c>
      <c r="E724" s="25" t="s">
        <v>127</v>
      </c>
      <c r="F724" s="26">
        <v>147.083234</v>
      </c>
      <c r="G724" s="27">
        <v>40.495113000000003</v>
      </c>
      <c r="H724" s="26">
        <v>49</v>
      </c>
      <c r="I724" s="28">
        <v>4.6834819999999997</v>
      </c>
      <c r="J724" s="28">
        <v>81.441999999999993</v>
      </c>
      <c r="K724" s="28">
        <v>81.441999999999993</v>
      </c>
      <c r="L724" s="29">
        <v>32.666665999999999</v>
      </c>
      <c r="M724" s="28">
        <v>81.441999999999993</v>
      </c>
      <c r="N724" s="29">
        <v>0</v>
      </c>
    </row>
    <row r="725" spans="2:14" x14ac:dyDescent="0.25">
      <c r="B725" s="24">
        <v>45264</v>
      </c>
      <c r="C725" s="24">
        <v>45265</v>
      </c>
      <c r="D725" s="25" t="s">
        <v>128</v>
      </c>
      <c r="E725" s="25" t="s">
        <v>129</v>
      </c>
      <c r="F725" s="26">
        <v>279.009208</v>
      </c>
      <c r="G725" s="27">
        <v>21.338619999999999</v>
      </c>
      <c r="H725" s="26">
        <v>25</v>
      </c>
      <c r="I725" s="28">
        <v>4.6974640000000001</v>
      </c>
      <c r="J725" s="28">
        <v>84.061000000000007</v>
      </c>
      <c r="K725" s="28">
        <v>84.061000000000007</v>
      </c>
      <c r="L725" s="29">
        <v>100</v>
      </c>
      <c r="M725" s="28">
        <v>84.061000000000007</v>
      </c>
      <c r="N725" s="29">
        <v>0</v>
      </c>
    </row>
    <row r="726" spans="2:14" x14ac:dyDescent="0.25">
      <c r="B726" s="24">
        <v>45264</v>
      </c>
      <c r="C726" s="24">
        <v>45265</v>
      </c>
      <c r="D726" s="25" t="s">
        <v>130</v>
      </c>
      <c r="E726" s="25" t="s">
        <v>131</v>
      </c>
      <c r="F726" s="26">
        <v>0</v>
      </c>
      <c r="G726" s="27">
        <v>0</v>
      </c>
      <c r="H726" s="26">
        <v>0</v>
      </c>
      <c r="I726" s="28">
        <v>0</v>
      </c>
      <c r="J726" s="28">
        <v>0</v>
      </c>
      <c r="K726" s="28">
        <v>0</v>
      </c>
      <c r="L726" s="29">
        <v>0</v>
      </c>
      <c r="M726" s="28">
        <v>0</v>
      </c>
      <c r="N726" s="29">
        <v>0</v>
      </c>
    </row>
    <row r="727" spans="2:14" x14ac:dyDescent="0.25">
      <c r="B727" s="24">
        <v>45264</v>
      </c>
      <c r="C727" s="24">
        <v>45265</v>
      </c>
      <c r="D727" s="25" t="s">
        <v>132</v>
      </c>
      <c r="E727" s="25" t="s">
        <v>133</v>
      </c>
      <c r="F727" s="26">
        <v>0</v>
      </c>
      <c r="G727" s="27">
        <v>0</v>
      </c>
      <c r="H727" s="26">
        <v>0</v>
      </c>
      <c r="I727" s="28">
        <v>0</v>
      </c>
      <c r="J727" s="28">
        <v>0</v>
      </c>
      <c r="K727" s="28">
        <v>0</v>
      </c>
      <c r="L727" s="29">
        <v>0</v>
      </c>
      <c r="M727" s="28">
        <v>0</v>
      </c>
      <c r="N727" s="29">
        <v>0</v>
      </c>
    </row>
    <row r="728" spans="2:14" x14ac:dyDescent="0.25">
      <c r="B728" s="24">
        <v>45264</v>
      </c>
      <c r="C728" s="24">
        <v>45265</v>
      </c>
      <c r="D728" s="25" t="s">
        <v>134</v>
      </c>
      <c r="E728" s="25" t="s">
        <v>135</v>
      </c>
      <c r="F728" s="26">
        <v>66.338217</v>
      </c>
      <c r="G728" s="27">
        <v>33.212609</v>
      </c>
      <c r="H728" s="26">
        <v>60</v>
      </c>
      <c r="I728" s="28">
        <v>4.6823370000000004</v>
      </c>
      <c r="J728" s="28">
        <v>54.800001000000002</v>
      </c>
      <c r="K728" s="28">
        <v>54.81</v>
      </c>
      <c r="L728" s="29">
        <v>100</v>
      </c>
      <c r="M728" s="28">
        <v>54.79</v>
      </c>
      <c r="N728" s="29">
        <v>1.0000999999999999E-2</v>
      </c>
    </row>
    <row r="729" spans="2:14" x14ac:dyDescent="0.25">
      <c r="B729" s="24">
        <v>45264</v>
      </c>
      <c r="C729" s="24">
        <v>45265</v>
      </c>
      <c r="D729" s="25" t="s">
        <v>136</v>
      </c>
      <c r="E729" s="25" t="s">
        <v>137</v>
      </c>
      <c r="F729" s="26">
        <v>0</v>
      </c>
      <c r="G729" s="27">
        <v>0</v>
      </c>
      <c r="H729" s="26">
        <v>0</v>
      </c>
      <c r="I729" s="28">
        <v>0</v>
      </c>
      <c r="J729" s="28">
        <v>0</v>
      </c>
      <c r="K729" s="28">
        <v>0</v>
      </c>
      <c r="L729" s="29">
        <v>0</v>
      </c>
      <c r="M729" s="28">
        <v>0</v>
      </c>
      <c r="N729" s="29">
        <v>0</v>
      </c>
    </row>
    <row r="730" spans="2:14" x14ac:dyDescent="0.25">
      <c r="B730" s="24">
        <v>45264</v>
      </c>
      <c r="C730" s="24">
        <v>45265</v>
      </c>
      <c r="D730" s="25" t="s">
        <v>138</v>
      </c>
      <c r="E730" s="25" t="s">
        <v>139</v>
      </c>
      <c r="F730" s="26">
        <v>0</v>
      </c>
      <c r="G730" s="27">
        <v>0</v>
      </c>
      <c r="H730" s="26">
        <v>0</v>
      </c>
      <c r="I730" s="28">
        <v>0</v>
      </c>
      <c r="J730" s="28">
        <v>0</v>
      </c>
      <c r="K730" s="28">
        <v>0</v>
      </c>
      <c r="L730" s="29">
        <v>0</v>
      </c>
      <c r="M730" s="28">
        <v>0</v>
      </c>
      <c r="N730" s="29">
        <v>0</v>
      </c>
    </row>
    <row r="731" spans="2:14" x14ac:dyDescent="0.25">
      <c r="B731" s="24">
        <v>45264</v>
      </c>
      <c r="C731" s="24">
        <v>45265</v>
      </c>
      <c r="D731" s="25" t="s">
        <v>140</v>
      </c>
      <c r="E731" s="25" t="s">
        <v>141</v>
      </c>
      <c r="F731" s="26">
        <v>156.92627100000001</v>
      </c>
      <c r="G731" s="27">
        <v>78.604535999999996</v>
      </c>
      <c r="H731" s="26">
        <v>202</v>
      </c>
      <c r="I731" s="28">
        <v>4.6225519999999998</v>
      </c>
      <c r="J731" s="28">
        <v>38.838005000000003</v>
      </c>
      <c r="K731" s="28">
        <v>38.853000000000002</v>
      </c>
      <c r="L731" s="29">
        <v>100</v>
      </c>
      <c r="M731" s="28">
        <v>38.823</v>
      </c>
      <c r="N731" s="29">
        <v>1.5004999999999999E-2</v>
      </c>
    </row>
    <row r="732" spans="2:14" x14ac:dyDescent="0.25">
      <c r="B732" s="24">
        <v>45264</v>
      </c>
      <c r="C732" s="24">
        <v>45265</v>
      </c>
      <c r="D732" s="25" t="s">
        <v>142</v>
      </c>
      <c r="E732" s="25" t="s">
        <v>143</v>
      </c>
      <c r="F732" s="26">
        <v>61.790801000000002</v>
      </c>
      <c r="G732" s="27">
        <v>0</v>
      </c>
      <c r="H732" s="26">
        <v>0</v>
      </c>
      <c r="I732" s="28">
        <v>0</v>
      </c>
      <c r="J732" s="28">
        <v>0</v>
      </c>
      <c r="K732" s="28">
        <v>0</v>
      </c>
      <c r="L732" s="29">
        <v>0</v>
      </c>
      <c r="M732" s="28">
        <v>0</v>
      </c>
      <c r="N732" s="29">
        <v>0</v>
      </c>
    </row>
    <row r="733" spans="2:14" x14ac:dyDescent="0.25">
      <c r="B733" s="24">
        <v>45264</v>
      </c>
      <c r="C733" s="24">
        <v>45265</v>
      </c>
      <c r="D733" s="25" t="s">
        <v>144</v>
      </c>
      <c r="E733" s="25" t="s">
        <v>145</v>
      </c>
      <c r="F733" s="26">
        <v>69.232394999999997</v>
      </c>
      <c r="G733" s="27">
        <v>0</v>
      </c>
      <c r="H733" s="26">
        <v>0</v>
      </c>
      <c r="I733" s="28">
        <v>0</v>
      </c>
      <c r="J733" s="28">
        <v>0</v>
      </c>
      <c r="K733" s="28">
        <v>0</v>
      </c>
      <c r="L733" s="29">
        <v>0</v>
      </c>
      <c r="M733" s="28">
        <v>0</v>
      </c>
      <c r="N733" s="29">
        <v>0</v>
      </c>
    </row>
    <row r="734" spans="2:14" x14ac:dyDescent="0.25">
      <c r="B734" s="24">
        <v>45264</v>
      </c>
      <c r="C734" s="24">
        <v>45265</v>
      </c>
      <c r="D734" s="25" t="s">
        <v>146</v>
      </c>
      <c r="E734" s="25" t="s">
        <v>147</v>
      </c>
      <c r="F734" s="26">
        <v>0</v>
      </c>
      <c r="G734" s="27">
        <v>0</v>
      </c>
      <c r="H734" s="26">
        <v>0</v>
      </c>
      <c r="I734" s="28">
        <v>0</v>
      </c>
      <c r="J734" s="28">
        <v>0</v>
      </c>
      <c r="K734" s="28">
        <v>0</v>
      </c>
      <c r="L734" s="29">
        <v>0</v>
      </c>
      <c r="M734" s="28">
        <v>0</v>
      </c>
      <c r="N734" s="29">
        <v>0</v>
      </c>
    </row>
    <row r="735" spans="2:14" x14ac:dyDescent="0.25">
      <c r="B735" s="24">
        <v>45264</v>
      </c>
      <c r="C735" s="24">
        <v>45265</v>
      </c>
      <c r="D735" s="25" t="s">
        <v>148</v>
      </c>
      <c r="E735" s="25" t="s">
        <v>149</v>
      </c>
      <c r="F735" s="26">
        <v>0</v>
      </c>
      <c r="G735" s="27">
        <v>0</v>
      </c>
      <c r="H735" s="26">
        <v>0</v>
      </c>
      <c r="I735" s="28">
        <v>0</v>
      </c>
      <c r="J735" s="28">
        <v>0</v>
      </c>
      <c r="K735" s="28">
        <v>0</v>
      </c>
      <c r="L735" s="29">
        <v>0</v>
      </c>
      <c r="M735" s="28">
        <v>0</v>
      </c>
      <c r="N735" s="29">
        <v>0</v>
      </c>
    </row>
    <row r="736" spans="2:14" x14ac:dyDescent="0.25">
      <c r="B736" s="24">
        <v>45264</v>
      </c>
      <c r="C736" s="24">
        <v>45265</v>
      </c>
      <c r="D736" s="25" t="s">
        <v>150</v>
      </c>
      <c r="E736" s="25" t="s">
        <v>151</v>
      </c>
      <c r="F736" s="26">
        <v>0</v>
      </c>
      <c r="G736" s="27">
        <v>0</v>
      </c>
      <c r="H736" s="26">
        <v>0</v>
      </c>
      <c r="I736" s="28">
        <v>0</v>
      </c>
      <c r="J736" s="28">
        <v>0</v>
      </c>
      <c r="K736" s="28">
        <v>0</v>
      </c>
      <c r="L736" s="29">
        <v>0</v>
      </c>
      <c r="M736" s="28">
        <v>0</v>
      </c>
      <c r="N736" s="29">
        <v>0</v>
      </c>
    </row>
    <row r="737" spans="2:14" x14ac:dyDescent="0.25">
      <c r="B737" s="24">
        <v>45264</v>
      </c>
      <c r="C737" s="24">
        <v>45265</v>
      </c>
      <c r="D737" s="25" t="s">
        <v>152</v>
      </c>
      <c r="E737" s="25" t="s">
        <v>153</v>
      </c>
      <c r="F737" s="26">
        <v>26.549755999999999</v>
      </c>
      <c r="G737" s="27">
        <v>0</v>
      </c>
      <c r="H737" s="26">
        <v>0</v>
      </c>
      <c r="I737" s="28">
        <v>0</v>
      </c>
      <c r="J737" s="28">
        <v>0</v>
      </c>
      <c r="K737" s="28">
        <v>0</v>
      </c>
      <c r="L737" s="29">
        <v>0</v>
      </c>
      <c r="M737" s="28">
        <v>0</v>
      </c>
      <c r="N737" s="29">
        <v>0</v>
      </c>
    </row>
    <row r="738" spans="2:14" x14ac:dyDescent="0.25">
      <c r="B738" s="24">
        <v>45264</v>
      </c>
      <c r="C738" s="24">
        <v>45265</v>
      </c>
      <c r="D738" s="25" t="s">
        <v>154</v>
      </c>
      <c r="E738" s="25" t="s">
        <v>155</v>
      </c>
      <c r="F738" s="26">
        <v>0</v>
      </c>
      <c r="G738" s="27">
        <v>0</v>
      </c>
      <c r="H738" s="26">
        <v>0</v>
      </c>
      <c r="I738" s="28">
        <v>0</v>
      </c>
      <c r="J738" s="28">
        <v>0</v>
      </c>
      <c r="K738" s="28">
        <v>0</v>
      </c>
      <c r="L738" s="29">
        <v>0</v>
      </c>
      <c r="M738" s="28">
        <v>0</v>
      </c>
      <c r="N738" s="29">
        <v>0</v>
      </c>
    </row>
    <row r="739" spans="2:14" x14ac:dyDescent="0.25">
      <c r="B739" s="24">
        <v>45264</v>
      </c>
      <c r="C739" s="24">
        <v>45265</v>
      </c>
      <c r="D739" s="25" t="s">
        <v>156</v>
      </c>
      <c r="E739" s="25" t="s">
        <v>157</v>
      </c>
      <c r="F739" s="26">
        <v>4.2915159999999997</v>
      </c>
      <c r="G739" s="27">
        <v>0</v>
      </c>
      <c r="H739" s="26">
        <v>0</v>
      </c>
      <c r="I739" s="28">
        <v>0</v>
      </c>
      <c r="J739" s="28">
        <v>0</v>
      </c>
      <c r="K739" s="28">
        <v>0</v>
      </c>
      <c r="L739" s="29">
        <v>0</v>
      </c>
      <c r="M739" s="28">
        <v>0</v>
      </c>
      <c r="N739" s="29">
        <v>0</v>
      </c>
    </row>
    <row r="740" spans="2:14" x14ac:dyDescent="0.25">
      <c r="B740" s="24">
        <v>45264</v>
      </c>
      <c r="C740" s="24">
        <v>45265</v>
      </c>
      <c r="D740" s="25" t="s">
        <v>158</v>
      </c>
      <c r="E740" s="25" t="s">
        <v>159</v>
      </c>
      <c r="F740" s="26">
        <v>0</v>
      </c>
      <c r="G740" s="27">
        <v>0</v>
      </c>
      <c r="H740" s="26">
        <v>0</v>
      </c>
      <c r="I740" s="28">
        <v>0</v>
      </c>
      <c r="J740" s="28">
        <v>0</v>
      </c>
      <c r="K740" s="28">
        <v>0</v>
      </c>
      <c r="L740" s="29">
        <v>0</v>
      </c>
      <c r="M740" s="28">
        <v>0</v>
      </c>
      <c r="N740" s="29">
        <v>0</v>
      </c>
    </row>
    <row r="741" spans="2:14" x14ac:dyDescent="0.25">
      <c r="B741" s="24">
        <v>45264</v>
      </c>
      <c r="C741" s="24">
        <v>45265</v>
      </c>
      <c r="D741" s="25" t="s">
        <v>160</v>
      </c>
      <c r="E741" s="25" t="s">
        <v>161</v>
      </c>
      <c r="F741" s="26">
        <v>0</v>
      </c>
      <c r="G741" s="27">
        <v>0</v>
      </c>
      <c r="H741" s="26">
        <v>0</v>
      </c>
      <c r="I741" s="28">
        <v>0</v>
      </c>
      <c r="J741" s="28">
        <v>0</v>
      </c>
      <c r="K741" s="28">
        <v>0</v>
      </c>
      <c r="L741" s="29">
        <v>0</v>
      </c>
      <c r="M741" s="28">
        <v>0</v>
      </c>
      <c r="N741" s="29">
        <v>0</v>
      </c>
    </row>
    <row r="742" spans="2:14" x14ac:dyDescent="0.25">
      <c r="B742" s="24">
        <v>45264</v>
      </c>
      <c r="C742" s="24">
        <v>45265</v>
      </c>
      <c r="D742" s="25" t="s">
        <v>162</v>
      </c>
      <c r="E742" s="25" t="s">
        <v>163</v>
      </c>
      <c r="F742" s="26">
        <v>496.27651100000003</v>
      </c>
      <c r="G742" s="27">
        <v>496.27651200000003</v>
      </c>
      <c r="H742" s="26">
        <v>1090</v>
      </c>
      <c r="I742" s="28">
        <v>4.3500680000000003</v>
      </c>
      <c r="J742" s="28">
        <v>45.334605000000003</v>
      </c>
      <c r="K742" s="28">
        <v>45.356999999999999</v>
      </c>
      <c r="L742" s="29">
        <v>100</v>
      </c>
      <c r="M742" s="28">
        <v>45.311999999999998</v>
      </c>
      <c r="N742" s="29">
        <v>2.2605E-2</v>
      </c>
    </row>
    <row r="743" spans="2:14" x14ac:dyDescent="0.25">
      <c r="B743" s="24">
        <v>45271</v>
      </c>
      <c r="C743" s="24">
        <v>45272</v>
      </c>
      <c r="D743" s="24" t="s">
        <v>98</v>
      </c>
      <c r="E743" s="24" t="s">
        <v>99</v>
      </c>
      <c r="F743" s="27">
        <v>189.14448100000001</v>
      </c>
      <c r="G743" s="27">
        <v>0</v>
      </c>
      <c r="H743" s="26">
        <v>0</v>
      </c>
      <c r="I743" s="28">
        <v>0</v>
      </c>
      <c r="J743" s="28">
        <v>0</v>
      </c>
      <c r="K743" s="28">
        <v>0</v>
      </c>
      <c r="L743" s="29">
        <v>0</v>
      </c>
      <c r="M743" s="28">
        <v>0</v>
      </c>
      <c r="N743" s="29">
        <v>0</v>
      </c>
    </row>
    <row r="744" spans="2:14" x14ac:dyDescent="0.25">
      <c r="B744" s="24">
        <v>45271</v>
      </c>
      <c r="C744" s="24">
        <v>45272</v>
      </c>
      <c r="D744" s="24" t="s">
        <v>100</v>
      </c>
      <c r="E744" s="24" t="s">
        <v>101</v>
      </c>
      <c r="F744" s="27">
        <v>20.381612000000001</v>
      </c>
      <c r="G744" s="27">
        <v>0</v>
      </c>
      <c r="H744" s="26">
        <v>0</v>
      </c>
      <c r="I744" s="28">
        <v>0</v>
      </c>
      <c r="J744" s="28">
        <v>0</v>
      </c>
      <c r="K744" s="28">
        <v>0</v>
      </c>
      <c r="L744" s="29">
        <v>0</v>
      </c>
      <c r="M744" s="28">
        <v>0</v>
      </c>
      <c r="N744" s="29">
        <v>0</v>
      </c>
    </row>
    <row r="745" spans="2:14" x14ac:dyDescent="0.25">
      <c r="B745" s="24">
        <v>45271</v>
      </c>
      <c r="C745" s="24">
        <v>45272</v>
      </c>
      <c r="D745" s="24" t="s">
        <v>102</v>
      </c>
      <c r="E745" s="24" t="s">
        <v>103</v>
      </c>
      <c r="F745" s="27">
        <v>296.60861699999998</v>
      </c>
      <c r="G745" s="27">
        <v>0</v>
      </c>
      <c r="H745" s="26">
        <v>0</v>
      </c>
      <c r="I745" s="28">
        <v>0</v>
      </c>
      <c r="J745" s="28">
        <v>0</v>
      </c>
      <c r="K745" s="28">
        <v>0</v>
      </c>
      <c r="L745" s="29">
        <v>0</v>
      </c>
      <c r="M745" s="28">
        <v>0</v>
      </c>
      <c r="N745" s="29">
        <v>0</v>
      </c>
    </row>
    <row r="746" spans="2:14" x14ac:dyDescent="0.25">
      <c r="B746" s="24">
        <v>45271</v>
      </c>
      <c r="C746" s="24">
        <v>45272</v>
      </c>
      <c r="D746" s="24" t="s">
        <v>104</v>
      </c>
      <c r="E746" s="24" t="s">
        <v>105</v>
      </c>
      <c r="F746" s="27">
        <v>68.030356999999995</v>
      </c>
      <c r="G746" s="27">
        <v>0</v>
      </c>
      <c r="H746" s="26">
        <v>0</v>
      </c>
      <c r="I746" s="28">
        <v>0</v>
      </c>
      <c r="J746" s="28">
        <v>0</v>
      </c>
      <c r="K746" s="28">
        <v>0</v>
      </c>
      <c r="L746" s="29">
        <v>0</v>
      </c>
      <c r="M746" s="28">
        <v>0</v>
      </c>
      <c r="N746" s="29">
        <v>0</v>
      </c>
    </row>
    <row r="747" spans="2:14" x14ac:dyDescent="0.25">
      <c r="B747" s="24">
        <v>45271</v>
      </c>
      <c r="C747" s="24">
        <v>45272</v>
      </c>
      <c r="D747" s="24" t="s">
        <v>106</v>
      </c>
      <c r="E747" s="24" t="s">
        <v>107</v>
      </c>
      <c r="F747" s="27">
        <v>0</v>
      </c>
      <c r="G747" s="27">
        <v>0</v>
      </c>
      <c r="H747" s="26">
        <v>0</v>
      </c>
      <c r="I747" s="28">
        <v>0</v>
      </c>
      <c r="J747" s="28">
        <v>0</v>
      </c>
      <c r="K747" s="28">
        <v>0</v>
      </c>
      <c r="L747" s="29">
        <v>0</v>
      </c>
      <c r="M747" s="28">
        <v>0</v>
      </c>
      <c r="N747" s="29">
        <v>0</v>
      </c>
    </row>
    <row r="748" spans="2:14" x14ac:dyDescent="0.25">
      <c r="B748" s="24">
        <v>45271</v>
      </c>
      <c r="C748" s="24">
        <v>45272</v>
      </c>
      <c r="D748" s="24" t="s">
        <v>108</v>
      </c>
      <c r="E748" s="24" t="s">
        <v>109</v>
      </c>
      <c r="F748" s="27">
        <v>36.930768999999998</v>
      </c>
      <c r="G748" s="27">
        <v>36.930768999999998</v>
      </c>
      <c r="H748" s="26">
        <v>50</v>
      </c>
      <c r="I748" s="28">
        <v>4.3409800000000001</v>
      </c>
      <c r="J748" s="28">
        <v>73.400000000000006</v>
      </c>
      <c r="K748" s="28">
        <v>73.400000000000006</v>
      </c>
      <c r="L748" s="29">
        <v>100</v>
      </c>
      <c r="M748" s="28">
        <v>73.400000000000006</v>
      </c>
      <c r="N748" s="29">
        <v>0</v>
      </c>
    </row>
    <row r="749" spans="2:14" x14ac:dyDescent="0.25">
      <c r="B749" s="24">
        <v>45271</v>
      </c>
      <c r="C749" s="24">
        <v>45272</v>
      </c>
      <c r="D749" s="24" t="s">
        <v>110</v>
      </c>
      <c r="E749" s="24" t="s">
        <v>111</v>
      </c>
      <c r="F749" s="27">
        <v>51.932445000000001</v>
      </c>
      <c r="G749" s="27">
        <v>0</v>
      </c>
      <c r="H749" s="26">
        <v>0</v>
      </c>
      <c r="I749" s="28">
        <v>0</v>
      </c>
      <c r="J749" s="28">
        <v>0</v>
      </c>
      <c r="K749" s="28">
        <v>0</v>
      </c>
      <c r="L749" s="29">
        <v>0</v>
      </c>
      <c r="M749" s="28">
        <v>0</v>
      </c>
      <c r="N749" s="29">
        <v>0</v>
      </c>
    </row>
    <row r="750" spans="2:14" x14ac:dyDescent="0.25">
      <c r="B750" s="24">
        <v>45271</v>
      </c>
      <c r="C750" s="24">
        <v>45272</v>
      </c>
      <c r="D750" s="24" t="s">
        <v>112</v>
      </c>
      <c r="E750" s="24" t="s">
        <v>113</v>
      </c>
      <c r="F750" s="27">
        <v>0</v>
      </c>
      <c r="G750" s="27">
        <v>0</v>
      </c>
      <c r="H750" s="26">
        <v>0</v>
      </c>
      <c r="I750" s="28">
        <v>0</v>
      </c>
      <c r="J750" s="28">
        <v>0</v>
      </c>
      <c r="K750" s="28">
        <v>0</v>
      </c>
      <c r="L750" s="29">
        <v>0</v>
      </c>
      <c r="M750" s="28">
        <v>0</v>
      </c>
      <c r="N750" s="29">
        <v>0</v>
      </c>
    </row>
    <row r="751" spans="2:14" x14ac:dyDescent="0.25">
      <c r="B751" s="24">
        <v>45271</v>
      </c>
      <c r="C751" s="24">
        <v>45272</v>
      </c>
      <c r="D751" s="24" t="s">
        <v>114</v>
      </c>
      <c r="E751" s="24" t="s">
        <v>115</v>
      </c>
      <c r="F751" s="27">
        <v>0</v>
      </c>
      <c r="G751" s="27">
        <v>0</v>
      </c>
      <c r="H751" s="26">
        <v>0</v>
      </c>
      <c r="I751" s="28">
        <v>0</v>
      </c>
      <c r="J751" s="28">
        <v>0</v>
      </c>
      <c r="K751" s="28">
        <v>0</v>
      </c>
      <c r="L751" s="29">
        <v>0</v>
      </c>
      <c r="M751" s="28">
        <v>0</v>
      </c>
      <c r="N751" s="29">
        <v>0</v>
      </c>
    </row>
    <row r="752" spans="2:14" x14ac:dyDescent="0.25">
      <c r="B752" s="24">
        <v>45271</v>
      </c>
      <c r="C752" s="24">
        <v>45272</v>
      </c>
      <c r="D752" s="24" t="s">
        <v>116</v>
      </c>
      <c r="E752" s="24" t="s">
        <v>117</v>
      </c>
      <c r="F752" s="27">
        <v>79.042178000000007</v>
      </c>
      <c r="G752" s="27">
        <v>40.034754999999997</v>
      </c>
      <c r="H752" s="26">
        <v>41</v>
      </c>
      <c r="I752" s="28">
        <v>4.4538970000000004</v>
      </c>
      <c r="J752" s="28">
        <v>97.587682999999998</v>
      </c>
      <c r="K752" s="28">
        <v>97.596000000000004</v>
      </c>
      <c r="L752" s="29">
        <v>100</v>
      </c>
      <c r="M752" s="28">
        <v>97.584999999999994</v>
      </c>
      <c r="N752" s="29">
        <v>2.6830000000000001E-3</v>
      </c>
    </row>
    <row r="753" spans="2:14" x14ac:dyDescent="0.25">
      <c r="B753" s="24">
        <v>45271</v>
      </c>
      <c r="C753" s="24">
        <v>45272</v>
      </c>
      <c r="D753" s="24" t="s">
        <v>118</v>
      </c>
      <c r="E753" s="24" t="s">
        <v>119</v>
      </c>
      <c r="F753" s="27">
        <v>153.65769399999999</v>
      </c>
      <c r="G753" s="27">
        <v>91.448373000000004</v>
      </c>
      <c r="H753" s="26">
        <v>149.9</v>
      </c>
      <c r="I753" s="28">
        <v>4.4522320000000004</v>
      </c>
      <c r="J753" s="28">
        <v>60.832073000000001</v>
      </c>
      <c r="K753" s="28">
        <v>60.84</v>
      </c>
      <c r="L753" s="29">
        <v>81.279069000000007</v>
      </c>
      <c r="M753" s="28">
        <v>60.823</v>
      </c>
      <c r="N753" s="29">
        <v>9.0729999999999995E-3</v>
      </c>
    </row>
    <row r="754" spans="2:14" x14ac:dyDescent="0.25">
      <c r="B754" s="24">
        <v>45271</v>
      </c>
      <c r="C754" s="24">
        <v>45272</v>
      </c>
      <c r="D754" s="24" t="s">
        <v>124</v>
      </c>
      <c r="E754" s="24" t="s">
        <v>125</v>
      </c>
      <c r="F754" s="27">
        <v>501.58187099999998</v>
      </c>
      <c r="G754" s="27">
        <v>501.58187199999998</v>
      </c>
      <c r="H754" s="26">
        <v>501</v>
      </c>
      <c r="I754" s="28">
        <v>4.4956360000000002</v>
      </c>
      <c r="J754" s="28">
        <v>100.05466699999999</v>
      </c>
      <c r="K754" s="28">
        <v>100.06699999999999</v>
      </c>
      <c r="L754" s="29">
        <v>100</v>
      </c>
      <c r="M754" s="28">
        <v>100.042</v>
      </c>
      <c r="N754" s="29">
        <v>1.2666999999999999E-2</v>
      </c>
    </row>
    <row r="755" spans="2:14" x14ac:dyDescent="0.25">
      <c r="B755" s="24">
        <v>45299</v>
      </c>
      <c r="C755" s="24">
        <v>45300</v>
      </c>
      <c r="D755" s="24" t="s">
        <v>82</v>
      </c>
      <c r="E755" s="24" t="s">
        <v>83</v>
      </c>
      <c r="F755" s="27">
        <v>679.97209999999995</v>
      </c>
      <c r="G755" s="27">
        <v>317.10679099999999</v>
      </c>
      <c r="H755" s="27">
        <v>343.2</v>
      </c>
      <c r="I755" s="27">
        <v>3.7428270000000001</v>
      </c>
      <c r="J755" s="27">
        <v>91.816241000000005</v>
      </c>
      <c r="K755" s="28">
        <v>91.816999999999993</v>
      </c>
      <c r="L755" s="27">
        <v>61.126759999999997</v>
      </c>
      <c r="M755" s="28">
        <v>91.814999999999998</v>
      </c>
      <c r="N755" s="29">
        <v>1.2409999999999999E-3</v>
      </c>
    </row>
    <row r="756" spans="2:14" x14ac:dyDescent="0.25">
      <c r="B756" s="24">
        <v>45299</v>
      </c>
      <c r="C756" s="24">
        <v>45300</v>
      </c>
      <c r="D756" s="24" t="s">
        <v>84</v>
      </c>
      <c r="E756" s="24" t="s">
        <v>85</v>
      </c>
      <c r="F756" s="27">
        <v>15.325529</v>
      </c>
      <c r="G756" s="27">
        <v>0</v>
      </c>
      <c r="H756" s="27">
        <v>0</v>
      </c>
      <c r="I756" s="27">
        <v>0</v>
      </c>
      <c r="J756" s="27">
        <v>0</v>
      </c>
      <c r="K756" s="28">
        <v>0</v>
      </c>
      <c r="L756" s="27">
        <v>0</v>
      </c>
      <c r="M756" s="28">
        <v>0</v>
      </c>
      <c r="N756" s="29">
        <v>0</v>
      </c>
    </row>
    <row r="757" spans="2:14" x14ac:dyDescent="0.25">
      <c r="B757" s="24">
        <v>45299</v>
      </c>
      <c r="C757" s="24">
        <v>45300</v>
      </c>
      <c r="D757" s="24" t="s">
        <v>86</v>
      </c>
      <c r="E757" s="24" t="s">
        <v>87</v>
      </c>
      <c r="F757" s="27">
        <v>712.05572299999994</v>
      </c>
      <c r="G757" s="27">
        <v>0</v>
      </c>
      <c r="H757" s="27">
        <v>0</v>
      </c>
      <c r="I757" s="27">
        <v>0</v>
      </c>
      <c r="J757" s="27">
        <v>0</v>
      </c>
      <c r="K757" s="28">
        <v>0</v>
      </c>
      <c r="L757" s="27">
        <v>0</v>
      </c>
      <c r="M757" s="28">
        <v>0</v>
      </c>
      <c r="N757" s="29">
        <v>0</v>
      </c>
    </row>
    <row r="758" spans="2:14" x14ac:dyDescent="0.25">
      <c r="B758" s="24">
        <v>45299</v>
      </c>
      <c r="C758" s="24">
        <v>45300</v>
      </c>
      <c r="D758" s="24" t="s">
        <v>88</v>
      </c>
      <c r="E758" s="24" t="s">
        <v>89</v>
      </c>
      <c r="F758" s="27">
        <v>111.61271600000001</v>
      </c>
      <c r="G758" s="27">
        <v>0</v>
      </c>
      <c r="H758" s="27">
        <v>0</v>
      </c>
      <c r="I758" s="27">
        <v>0</v>
      </c>
      <c r="J758" s="27">
        <v>0</v>
      </c>
      <c r="K758" s="28">
        <v>0</v>
      </c>
      <c r="L758" s="27">
        <v>0</v>
      </c>
      <c r="M758" s="28">
        <v>0</v>
      </c>
      <c r="N758" s="29">
        <v>0</v>
      </c>
    </row>
    <row r="759" spans="2:14" x14ac:dyDescent="0.25">
      <c r="B759" s="24">
        <v>45299</v>
      </c>
      <c r="C759" s="24">
        <v>45300</v>
      </c>
      <c r="D759" s="24" t="s">
        <v>90</v>
      </c>
      <c r="E759" s="24" t="s">
        <v>91</v>
      </c>
      <c r="F759" s="27">
        <v>271.37915900000002</v>
      </c>
      <c r="G759" s="27">
        <v>0</v>
      </c>
      <c r="H759" s="27">
        <v>0</v>
      </c>
      <c r="I759" s="27">
        <v>0</v>
      </c>
      <c r="J759" s="27">
        <v>0</v>
      </c>
      <c r="K759" s="28">
        <v>0</v>
      </c>
      <c r="L759" s="27">
        <v>0</v>
      </c>
      <c r="M759" s="28">
        <v>0</v>
      </c>
      <c r="N759" s="29">
        <v>0</v>
      </c>
    </row>
    <row r="760" spans="2:14" x14ac:dyDescent="0.25">
      <c r="B760" s="24">
        <v>45299</v>
      </c>
      <c r="C760" s="24">
        <v>45300</v>
      </c>
      <c r="D760" s="24" t="s">
        <v>120</v>
      </c>
      <c r="E760" s="24" t="s">
        <v>121</v>
      </c>
      <c r="F760" s="27">
        <v>21.396526999999999</v>
      </c>
      <c r="G760" s="27">
        <v>0</v>
      </c>
      <c r="H760" s="27">
        <v>0</v>
      </c>
      <c r="I760" s="27">
        <v>0</v>
      </c>
      <c r="J760" s="27">
        <v>0</v>
      </c>
      <c r="K760" s="28">
        <v>0</v>
      </c>
      <c r="L760" s="27">
        <v>0</v>
      </c>
      <c r="M760" s="28">
        <v>0</v>
      </c>
      <c r="N760" s="29">
        <v>0</v>
      </c>
    </row>
    <row r="761" spans="2:14" x14ac:dyDescent="0.25">
      <c r="B761" s="24">
        <v>45299</v>
      </c>
      <c r="C761" s="24">
        <v>45300</v>
      </c>
      <c r="D761" s="24" t="s">
        <v>92</v>
      </c>
      <c r="E761" s="24" t="s">
        <v>93</v>
      </c>
      <c r="F761" s="27">
        <v>455.06499000000002</v>
      </c>
      <c r="G761" s="27">
        <v>429.33433100000002</v>
      </c>
      <c r="H761" s="27">
        <v>500</v>
      </c>
      <c r="I761" s="27">
        <v>3.643348</v>
      </c>
      <c r="J761" s="27">
        <v>85.677999999999997</v>
      </c>
      <c r="K761" s="28">
        <v>85.683000000000007</v>
      </c>
      <c r="L761" s="27">
        <v>100</v>
      </c>
      <c r="M761" s="28">
        <v>85.673000000000002</v>
      </c>
      <c r="N761" s="29">
        <v>5.0000000000000001E-3</v>
      </c>
    </row>
    <row r="762" spans="2:14" x14ac:dyDescent="0.25">
      <c r="B762" s="24">
        <v>45299</v>
      </c>
      <c r="C762" s="24">
        <v>45300</v>
      </c>
      <c r="D762" s="24" t="s">
        <v>94</v>
      </c>
      <c r="E762" s="24" t="s">
        <v>95</v>
      </c>
      <c r="F762" s="27">
        <v>9.6553129999999996</v>
      </c>
      <c r="G762" s="27">
        <v>0</v>
      </c>
      <c r="H762" s="27">
        <v>0</v>
      </c>
      <c r="I762" s="27">
        <v>0</v>
      </c>
      <c r="J762" s="27">
        <v>0</v>
      </c>
      <c r="K762" s="28">
        <v>0</v>
      </c>
      <c r="L762" s="27">
        <v>0</v>
      </c>
      <c r="M762" s="28">
        <v>0</v>
      </c>
      <c r="N762" s="29">
        <v>0</v>
      </c>
    </row>
    <row r="763" spans="2:14" x14ac:dyDescent="0.25">
      <c r="B763" s="24">
        <v>45299</v>
      </c>
      <c r="C763" s="24">
        <v>45300</v>
      </c>
      <c r="D763" s="24" t="s">
        <v>96</v>
      </c>
      <c r="E763" s="24" t="s">
        <v>97</v>
      </c>
      <c r="F763" s="27">
        <v>363.52614699999998</v>
      </c>
      <c r="G763" s="27">
        <v>53.487138999999999</v>
      </c>
      <c r="H763" s="27">
        <v>50</v>
      </c>
      <c r="I763" s="27">
        <v>3.6683789999999998</v>
      </c>
      <c r="J763" s="27">
        <v>106.54600000000001</v>
      </c>
      <c r="K763" s="28">
        <v>106.54600000000001</v>
      </c>
      <c r="L763" s="27">
        <v>100</v>
      </c>
      <c r="M763" s="28">
        <v>106.54600000000001</v>
      </c>
      <c r="N763" s="29">
        <v>0</v>
      </c>
    </row>
    <row r="764" spans="2:14" x14ac:dyDescent="0.25">
      <c r="B764" s="24">
        <v>45306</v>
      </c>
      <c r="C764" s="24">
        <v>45307</v>
      </c>
      <c r="D764" s="24" t="s">
        <v>126</v>
      </c>
      <c r="E764" s="24" t="s">
        <v>127</v>
      </c>
      <c r="F764" s="27">
        <v>42.126004999999999</v>
      </c>
      <c r="G764" s="27">
        <v>0</v>
      </c>
      <c r="H764" s="26">
        <v>0</v>
      </c>
      <c r="I764" s="28">
        <v>0</v>
      </c>
      <c r="J764" s="28">
        <v>0</v>
      </c>
      <c r="K764" s="28">
        <v>0</v>
      </c>
      <c r="L764" s="29">
        <v>0</v>
      </c>
      <c r="M764" s="28">
        <v>0</v>
      </c>
      <c r="N764" s="29">
        <v>0</v>
      </c>
    </row>
    <row r="765" spans="2:14" x14ac:dyDescent="0.25">
      <c r="B765" s="24">
        <v>45306</v>
      </c>
      <c r="C765" s="24">
        <v>45307</v>
      </c>
      <c r="D765" s="24" t="s">
        <v>128</v>
      </c>
      <c r="E765" s="24" t="s">
        <v>129</v>
      </c>
      <c r="F765" s="27">
        <v>8.7225929999999998</v>
      </c>
      <c r="G765" s="27">
        <v>8.7225929999999998</v>
      </c>
      <c r="H765" s="26">
        <v>10</v>
      </c>
      <c r="I765" s="28">
        <v>4.4367029999999996</v>
      </c>
      <c r="J765" s="28">
        <v>87.283000000000001</v>
      </c>
      <c r="K765" s="28">
        <v>87.283000000000001</v>
      </c>
      <c r="L765" s="29">
        <v>100</v>
      </c>
      <c r="M765" s="28">
        <v>87.283000000000001</v>
      </c>
      <c r="N765" s="29">
        <v>0</v>
      </c>
    </row>
    <row r="766" spans="2:14" x14ac:dyDescent="0.25">
      <c r="B766" s="24">
        <v>45306</v>
      </c>
      <c r="C766" s="24">
        <v>45307</v>
      </c>
      <c r="D766" s="24" t="s">
        <v>130</v>
      </c>
      <c r="E766" s="24" t="s">
        <v>131</v>
      </c>
      <c r="F766" s="27">
        <v>5.0744829999999999</v>
      </c>
      <c r="G766" s="27">
        <v>0</v>
      </c>
      <c r="H766" s="26">
        <v>0</v>
      </c>
      <c r="I766" s="28">
        <v>0</v>
      </c>
      <c r="J766" s="28">
        <v>0</v>
      </c>
      <c r="K766" s="28">
        <v>0</v>
      </c>
      <c r="L766" s="29">
        <v>0</v>
      </c>
      <c r="M766" s="28">
        <v>0</v>
      </c>
      <c r="N766" s="29">
        <v>0</v>
      </c>
    </row>
    <row r="767" spans="2:14" x14ac:dyDescent="0.25">
      <c r="B767" s="24">
        <v>45306</v>
      </c>
      <c r="C767" s="24">
        <v>45307</v>
      </c>
      <c r="D767" s="24" t="s">
        <v>132</v>
      </c>
      <c r="E767" s="24" t="s">
        <v>133</v>
      </c>
      <c r="F767" s="27">
        <v>19.509195999999999</v>
      </c>
      <c r="G767" s="27">
        <v>9.7624479999999991</v>
      </c>
      <c r="H767" s="26">
        <v>10</v>
      </c>
      <c r="I767" s="28">
        <v>4.4487649999999999</v>
      </c>
      <c r="J767" s="28">
        <v>97.16</v>
      </c>
      <c r="K767" s="28">
        <v>97.16</v>
      </c>
      <c r="L767" s="29">
        <v>100</v>
      </c>
      <c r="M767" s="28">
        <v>97.16</v>
      </c>
      <c r="N767" s="29">
        <v>0</v>
      </c>
    </row>
    <row r="768" spans="2:14" x14ac:dyDescent="0.25">
      <c r="B768" s="24">
        <v>45306</v>
      </c>
      <c r="C768" s="24">
        <v>45307</v>
      </c>
      <c r="D768" s="24" t="s">
        <v>134</v>
      </c>
      <c r="E768" s="24" t="s">
        <v>135</v>
      </c>
      <c r="F768" s="27">
        <v>31.498798000000001</v>
      </c>
      <c r="G768" s="27">
        <v>28.522811000000001</v>
      </c>
      <c r="H768" s="26">
        <v>49.8</v>
      </c>
      <c r="I768" s="28">
        <v>4.4458849999999996</v>
      </c>
      <c r="J768" s="28">
        <v>57.299193000000002</v>
      </c>
      <c r="K768" s="28">
        <v>57.335000000000001</v>
      </c>
      <c r="L768" s="29">
        <v>73.999999000000003</v>
      </c>
      <c r="M768" s="28">
        <v>57.255000000000003</v>
      </c>
      <c r="N768" s="29">
        <v>4.4193000000000003E-2</v>
      </c>
    </row>
    <row r="769" spans="2:14" x14ac:dyDescent="0.25">
      <c r="B769" s="24">
        <v>45306</v>
      </c>
      <c r="C769" s="24">
        <v>45307</v>
      </c>
      <c r="D769" s="24" t="s">
        <v>136</v>
      </c>
      <c r="E769" s="24" t="s">
        <v>137</v>
      </c>
      <c r="F769" s="27">
        <v>94.958946999999995</v>
      </c>
      <c r="G769" s="27">
        <v>0</v>
      </c>
      <c r="H769" s="26">
        <v>0</v>
      </c>
      <c r="I769" s="28">
        <v>0</v>
      </c>
      <c r="J769" s="28">
        <v>0</v>
      </c>
      <c r="K769" s="28">
        <v>0</v>
      </c>
      <c r="L769" s="29">
        <v>0</v>
      </c>
      <c r="M769" s="28">
        <v>0</v>
      </c>
      <c r="N769" s="29">
        <v>0</v>
      </c>
    </row>
    <row r="770" spans="2:14" x14ac:dyDescent="0.25">
      <c r="B770" s="24">
        <v>45306</v>
      </c>
      <c r="C770" s="24">
        <v>45307</v>
      </c>
      <c r="D770" s="24" t="s">
        <v>138</v>
      </c>
      <c r="E770" s="24" t="s">
        <v>139</v>
      </c>
      <c r="F770" s="27">
        <v>33.885067999999997</v>
      </c>
      <c r="G770" s="27">
        <v>0</v>
      </c>
      <c r="H770" s="26">
        <v>0</v>
      </c>
      <c r="I770" s="28">
        <v>0</v>
      </c>
      <c r="J770" s="28">
        <v>0</v>
      </c>
      <c r="K770" s="28">
        <v>0</v>
      </c>
      <c r="L770" s="29">
        <v>0</v>
      </c>
      <c r="M770" s="28">
        <v>0</v>
      </c>
      <c r="N770" s="29">
        <v>0</v>
      </c>
    </row>
    <row r="771" spans="2:14" x14ac:dyDescent="0.25">
      <c r="B771" s="24">
        <v>45306</v>
      </c>
      <c r="C771" s="24">
        <v>45307</v>
      </c>
      <c r="D771" s="24" t="s">
        <v>140</v>
      </c>
      <c r="E771" s="24" t="s">
        <v>141</v>
      </c>
      <c r="F771" s="27">
        <v>104.498637</v>
      </c>
      <c r="G771" s="27">
        <v>0</v>
      </c>
      <c r="H771" s="26">
        <v>0</v>
      </c>
      <c r="I771" s="28">
        <v>0</v>
      </c>
      <c r="J771" s="28">
        <v>0</v>
      </c>
      <c r="K771" s="28">
        <v>0</v>
      </c>
      <c r="L771" s="29">
        <v>0</v>
      </c>
      <c r="M771" s="28">
        <v>0</v>
      </c>
      <c r="N771" s="29">
        <v>0</v>
      </c>
    </row>
    <row r="772" spans="2:14" x14ac:dyDescent="0.25">
      <c r="B772" s="24">
        <v>45306</v>
      </c>
      <c r="C772" s="24">
        <v>45307</v>
      </c>
      <c r="D772" s="24" t="s">
        <v>142</v>
      </c>
      <c r="E772" s="24" t="s">
        <v>143</v>
      </c>
      <c r="F772" s="27">
        <v>25.162023999999999</v>
      </c>
      <c r="G772" s="27">
        <v>25.162023999999999</v>
      </c>
      <c r="H772" s="26">
        <v>50</v>
      </c>
      <c r="I772" s="28">
        <v>4.4243129999999997</v>
      </c>
      <c r="J772" s="28">
        <v>49.75</v>
      </c>
      <c r="K772" s="28">
        <v>49.75</v>
      </c>
      <c r="L772" s="29">
        <v>100</v>
      </c>
      <c r="M772" s="28">
        <v>49.75</v>
      </c>
      <c r="N772" s="29">
        <v>0</v>
      </c>
    </row>
    <row r="773" spans="2:14" x14ac:dyDescent="0.25">
      <c r="B773" s="24">
        <v>45306</v>
      </c>
      <c r="C773" s="24">
        <v>45307</v>
      </c>
      <c r="D773" s="24" t="s">
        <v>144</v>
      </c>
      <c r="E773" s="24" t="s">
        <v>145</v>
      </c>
      <c r="F773" s="27">
        <v>58.435645999999998</v>
      </c>
      <c r="G773" s="27">
        <v>0</v>
      </c>
      <c r="H773" s="26">
        <v>0</v>
      </c>
      <c r="I773" s="28">
        <v>0</v>
      </c>
      <c r="J773" s="28">
        <v>0</v>
      </c>
      <c r="K773" s="28">
        <v>0</v>
      </c>
      <c r="L773" s="29">
        <v>0</v>
      </c>
      <c r="M773" s="28">
        <v>0</v>
      </c>
      <c r="N773" s="29">
        <v>0</v>
      </c>
    </row>
    <row r="774" spans="2:14" x14ac:dyDescent="0.25">
      <c r="B774" s="24">
        <v>45306</v>
      </c>
      <c r="C774" s="24">
        <v>45307</v>
      </c>
      <c r="D774" s="24" t="s">
        <v>146</v>
      </c>
      <c r="E774" s="24" t="s">
        <v>147</v>
      </c>
      <c r="F774" s="27">
        <v>0</v>
      </c>
      <c r="G774" s="27">
        <v>0</v>
      </c>
      <c r="H774" s="26">
        <v>0</v>
      </c>
      <c r="I774" s="28">
        <v>0</v>
      </c>
      <c r="J774" s="28">
        <v>0</v>
      </c>
      <c r="K774" s="28">
        <v>0</v>
      </c>
      <c r="L774" s="29">
        <v>0</v>
      </c>
      <c r="M774" s="28">
        <v>0</v>
      </c>
      <c r="N774" s="29">
        <v>0</v>
      </c>
    </row>
    <row r="775" spans="2:14" x14ac:dyDescent="0.25">
      <c r="B775" s="24">
        <v>45306</v>
      </c>
      <c r="C775" s="24">
        <v>45307</v>
      </c>
      <c r="D775" s="24" t="s">
        <v>148</v>
      </c>
      <c r="E775" s="24" t="s">
        <v>149</v>
      </c>
      <c r="F775" s="27">
        <v>0</v>
      </c>
      <c r="G775" s="27">
        <v>0</v>
      </c>
      <c r="H775" s="26">
        <v>0</v>
      </c>
      <c r="I775" s="28">
        <v>0</v>
      </c>
      <c r="J775" s="28">
        <v>0</v>
      </c>
      <c r="K775" s="28">
        <v>0</v>
      </c>
      <c r="L775" s="29">
        <v>0</v>
      </c>
      <c r="M775" s="28">
        <v>0</v>
      </c>
      <c r="N775" s="29">
        <v>0</v>
      </c>
    </row>
    <row r="776" spans="2:14" x14ac:dyDescent="0.25">
      <c r="B776" s="24">
        <v>45306</v>
      </c>
      <c r="C776" s="24">
        <v>45307</v>
      </c>
      <c r="D776" s="24" t="s">
        <v>150</v>
      </c>
      <c r="E776" s="24" t="s">
        <v>151</v>
      </c>
      <c r="F776" s="27">
        <v>19.428896000000002</v>
      </c>
      <c r="G776" s="27">
        <v>19.428896000000002</v>
      </c>
      <c r="H776" s="26">
        <v>20</v>
      </c>
      <c r="I776" s="28">
        <v>4.4455249999999999</v>
      </c>
      <c r="J776" s="28">
        <v>96.68</v>
      </c>
      <c r="K776" s="28">
        <v>96.68</v>
      </c>
      <c r="L776" s="29">
        <v>100</v>
      </c>
      <c r="M776" s="28">
        <v>96.68</v>
      </c>
      <c r="N776" s="29">
        <v>0</v>
      </c>
    </row>
    <row r="777" spans="2:14" x14ac:dyDescent="0.25">
      <c r="B777" s="24">
        <v>45306</v>
      </c>
      <c r="C777" s="24">
        <v>45307</v>
      </c>
      <c r="D777" s="24" t="s">
        <v>152</v>
      </c>
      <c r="E777" s="24" t="s">
        <v>153</v>
      </c>
      <c r="F777" s="27">
        <v>530.57925999999998</v>
      </c>
      <c r="G777" s="27">
        <v>530.57925999999998</v>
      </c>
      <c r="H777" s="26">
        <v>980</v>
      </c>
      <c r="I777" s="28">
        <v>4.3662099999999997</v>
      </c>
      <c r="J777" s="28">
        <v>54.169280000000001</v>
      </c>
      <c r="K777" s="28">
        <v>54.194000000000003</v>
      </c>
      <c r="L777" s="29">
        <v>100</v>
      </c>
      <c r="M777" s="28">
        <v>54.06</v>
      </c>
      <c r="N777" s="29">
        <v>0.10928</v>
      </c>
    </row>
    <row r="778" spans="2:14" x14ac:dyDescent="0.25">
      <c r="B778" s="24">
        <v>45306</v>
      </c>
      <c r="C778" s="24">
        <v>45307</v>
      </c>
      <c r="D778" s="24" t="s">
        <v>154</v>
      </c>
      <c r="E778" s="24" t="s">
        <v>155</v>
      </c>
      <c r="F778" s="27">
        <v>106.4509</v>
      </c>
      <c r="G778" s="27">
        <v>27.811385000000001</v>
      </c>
      <c r="H778" s="26">
        <v>30</v>
      </c>
      <c r="I778" s="28">
        <v>4.4021129999999999</v>
      </c>
      <c r="J778" s="28">
        <v>92.769840000000002</v>
      </c>
      <c r="K778" s="28">
        <v>92.781000000000006</v>
      </c>
      <c r="L778" s="29">
        <v>100</v>
      </c>
      <c r="M778" s="28">
        <v>92.713999999999999</v>
      </c>
      <c r="N778" s="29">
        <v>5.5840000000000001E-2</v>
      </c>
    </row>
    <row r="779" spans="2:14" x14ac:dyDescent="0.25">
      <c r="B779" s="24">
        <v>45306</v>
      </c>
      <c r="C779" s="24">
        <v>45307</v>
      </c>
      <c r="D779" s="24" t="s">
        <v>156</v>
      </c>
      <c r="E779" s="24" t="s">
        <v>157</v>
      </c>
      <c r="F779" s="27">
        <v>0</v>
      </c>
      <c r="G779" s="27">
        <v>0</v>
      </c>
      <c r="H779" s="26">
        <v>0</v>
      </c>
      <c r="I779" s="28">
        <v>0</v>
      </c>
      <c r="J779" s="28">
        <v>0</v>
      </c>
      <c r="K779" s="28">
        <v>0</v>
      </c>
      <c r="L779" s="29">
        <v>0</v>
      </c>
      <c r="M779" s="28">
        <v>0</v>
      </c>
      <c r="N779" s="29">
        <v>0</v>
      </c>
    </row>
    <row r="780" spans="2:14" x14ac:dyDescent="0.25">
      <c r="B780" s="24">
        <v>45306</v>
      </c>
      <c r="C780" s="24">
        <v>45307</v>
      </c>
      <c r="D780" s="24" t="s">
        <v>158</v>
      </c>
      <c r="E780" s="24" t="s">
        <v>159</v>
      </c>
      <c r="F780" s="27">
        <v>48.459178999999999</v>
      </c>
      <c r="G780" s="27">
        <v>0</v>
      </c>
      <c r="H780" s="26">
        <v>0</v>
      </c>
      <c r="I780" s="28">
        <v>0</v>
      </c>
      <c r="J780" s="28">
        <v>0</v>
      </c>
      <c r="K780" s="28">
        <v>0</v>
      </c>
      <c r="L780" s="29">
        <v>0</v>
      </c>
      <c r="M780" s="28">
        <v>0</v>
      </c>
      <c r="N780" s="29">
        <v>0</v>
      </c>
    </row>
    <row r="781" spans="2:14" x14ac:dyDescent="0.25">
      <c r="B781" s="24">
        <v>45306</v>
      </c>
      <c r="C781" s="24">
        <v>45307</v>
      </c>
      <c r="D781" s="24" t="s">
        <v>160</v>
      </c>
      <c r="E781" s="24" t="s">
        <v>161</v>
      </c>
      <c r="F781" s="27">
        <v>0</v>
      </c>
      <c r="G781" s="27">
        <v>0</v>
      </c>
      <c r="H781" s="26">
        <v>0</v>
      </c>
      <c r="I781" s="28">
        <v>0</v>
      </c>
      <c r="J781" s="28">
        <v>0</v>
      </c>
      <c r="K781" s="28">
        <v>0</v>
      </c>
      <c r="L781" s="29">
        <v>0</v>
      </c>
      <c r="M781" s="28">
        <v>0</v>
      </c>
      <c r="N781" s="29">
        <v>0</v>
      </c>
    </row>
    <row r="782" spans="2:14" x14ac:dyDescent="0.25">
      <c r="B782" s="24">
        <v>45306</v>
      </c>
      <c r="C782" s="24">
        <v>45307</v>
      </c>
      <c r="D782" s="24" t="s">
        <v>162</v>
      </c>
      <c r="E782" s="24" t="s">
        <v>163</v>
      </c>
      <c r="F782" s="27">
        <v>33.058580999999997</v>
      </c>
      <c r="G782" s="27">
        <v>0</v>
      </c>
      <c r="H782" s="26">
        <v>0</v>
      </c>
      <c r="I782" s="28">
        <v>0</v>
      </c>
      <c r="J782" s="28">
        <v>0</v>
      </c>
      <c r="K782" s="28">
        <v>0</v>
      </c>
      <c r="L782" s="29">
        <v>0</v>
      </c>
      <c r="M782" s="28">
        <v>0</v>
      </c>
      <c r="N782" s="29">
        <v>0</v>
      </c>
    </row>
    <row r="783" spans="2:14" x14ac:dyDescent="0.25">
      <c r="B783" s="24">
        <v>45320</v>
      </c>
      <c r="C783" s="24">
        <v>45321</v>
      </c>
      <c r="D783" s="24" t="s">
        <v>82</v>
      </c>
      <c r="E783" s="24" t="s">
        <v>83</v>
      </c>
      <c r="F783" s="27">
        <v>655.97742800000003</v>
      </c>
      <c r="G783" s="27">
        <v>510.48280899999997</v>
      </c>
      <c r="H783" s="26">
        <v>556.4</v>
      </c>
      <c r="I783" s="28">
        <v>3.8146080000000002</v>
      </c>
      <c r="J783" s="28">
        <v>91.719976000000003</v>
      </c>
      <c r="K783" s="28">
        <v>91.72</v>
      </c>
      <c r="L783" s="29">
        <v>4.2666659999999998</v>
      </c>
      <c r="M783" s="28">
        <v>91.718000000000004</v>
      </c>
      <c r="N783" s="29">
        <v>1.9759999999999999E-3</v>
      </c>
    </row>
    <row r="784" spans="2:14" x14ac:dyDescent="0.25">
      <c r="B784" s="24">
        <v>45320</v>
      </c>
      <c r="C784" s="24">
        <v>45321</v>
      </c>
      <c r="D784" s="24" t="s">
        <v>84</v>
      </c>
      <c r="E784" s="24" t="s">
        <v>85</v>
      </c>
      <c r="F784" s="27">
        <v>0</v>
      </c>
      <c r="G784" s="27">
        <v>0</v>
      </c>
      <c r="H784" s="26">
        <v>0</v>
      </c>
      <c r="I784" s="28">
        <v>0</v>
      </c>
      <c r="J784" s="28">
        <v>0</v>
      </c>
      <c r="K784" s="28">
        <v>0</v>
      </c>
      <c r="L784" s="29">
        <v>0</v>
      </c>
      <c r="M784" s="28">
        <v>0</v>
      </c>
      <c r="N784" s="29">
        <v>0</v>
      </c>
    </row>
    <row r="785" spans="2:14" x14ac:dyDescent="0.25">
      <c r="B785" s="24">
        <v>45320</v>
      </c>
      <c r="C785" s="24">
        <v>45321</v>
      </c>
      <c r="D785" s="24" t="s">
        <v>86</v>
      </c>
      <c r="E785" s="24" t="s">
        <v>87</v>
      </c>
      <c r="F785" s="27">
        <v>0</v>
      </c>
      <c r="G785" s="27">
        <v>0</v>
      </c>
      <c r="H785" s="26">
        <v>0</v>
      </c>
      <c r="I785" s="28">
        <v>0</v>
      </c>
      <c r="J785" s="28">
        <v>0</v>
      </c>
      <c r="K785" s="28">
        <v>0</v>
      </c>
      <c r="L785" s="29">
        <v>0</v>
      </c>
      <c r="M785" s="28">
        <v>0</v>
      </c>
      <c r="N785" s="29">
        <v>0</v>
      </c>
    </row>
    <row r="786" spans="2:14" x14ac:dyDescent="0.25">
      <c r="B786" s="24">
        <v>45320</v>
      </c>
      <c r="C786" s="24">
        <v>45321</v>
      </c>
      <c r="D786" s="24" t="s">
        <v>88</v>
      </c>
      <c r="E786" s="24" t="s">
        <v>89</v>
      </c>
      <c r="F786" s="27">
        <v>417.62732999999997</v>
      </c>
      <c r="G786" s="27">
        <v>182.863978</v>
      </c>
      <c r="H786" s="26">
        <v>200</v>
      </c>
      <c r="I786" s="28">
        <v>3.72139</v>
      </c>
      <c r="J786" s="28">
        <v>90.988</v>
      </c>
      <c r="K786" s="28">
        <v>90.992999999999995</v>
      </c>
      <c r="L786" s="29">
        <v>100</v>
      </c>
      <c r="M786" s="28">
        <v>90.983000000000004</v>
      </c>
      <c r="N786" s="29">
        <v>5.0000000000000001E-3</v>
      </c>
    </row>
    <row r="787" spans="2:14" x14ac:dyDescent="0.25">
      <c r="B787" s="24">
        <v>45320</v>
      </c>
      <c r="C787" s="24">
        <v>45321</v>
      </c>
      <c r="D787" s="24" t="s">
        <v>90</v>
      </c>
      <c r="E787" s="24" t="s">
        <v>91</v>
      </c>
      <c r="F787" s="27">
        <v>199.12594200000001</v>
      </c>
      <c r="G787" s="27">
        <v>0</v>
      </c>
      <c r="H787" s="26">
        <v>0</v>
      </c>
      <c r="I787" s="28">
        <v>0</v>
      </c>
      <c r="J787" s="28">
        <v>0</v>
      </c>
      <c r="K787" s="28">
        <v>0</v>
      </c>
      <c r="L787" s="29">
        <v>0</v>
      </c>
      <c r="M787" s="28">
        <v>0</v>
      </c>
      <c r="N787" s="29">
        <v>0</v>
      </c>
    </row>
    <row r="788" spans="2:14" x14ac:dyDescent="0.25">
      <c r="B788" s="24">
        <v>45320</v>
      </c>
      <c r="C788" s="24">
        <v>45321</v>
      </c>
      <c r="D788" s="24" t="s">
        <v>120</v>
      </c>
      <c r="E788" s="24" t="s">
        <v>121</v>
      </c>
      <c r="F788" s="27">
        <v>361.60422499999999</v>
      </c>
      <c r="G788" s="27">
        <v>0</v>
      </c>
      <c r="H788" s="26">
        <v>0</v>
      </c>
      <c r="I788" s="28">
        <v>0</v>
      </c>
      <c r="J788" s="28">
        <v>0</v>
      </c>
      <c r="K788" s="28">
        <v>0</v>
      </c>
      <c r="L788" s="29">
        <v>0</v>
      </c>
      <c r="M788" s="28">
        <v>0</v>
      </c>
      <c r="N788" s="29">
        <v>0</v>
      </c>
    </row>
    <row r="789" spans="2:14" x14ac:dyDescent="0.25">
      <c r="B789" s="24">
        <v>45320</v>
      </c>
      <c r="C789" s="24">
        <v>45321</v>
      </c>
      <c r="D789" s="24" t="s">
        <v>92</v>
      </c>
      <c r="E789" s="24" t="s">
        <v>93</v>
      </c>
      <c r="F789" s="27">
        <v>0</v>
      </c>
      <c r="G789" s="27">
        <v>0</v>
      </c>
      <c r="H789" s="26">
        <v>0</v>
      </c>
      <c r="I789" s="28">
        <v>0</v>
      </c>
      <c r="J789" s="28">
        <v>0</v>
      </c>
      <c r="K789" s="28">
        <v>0</v>
      </c>
      <c r="L789" s="29">
        <v>0</v>
      </c>
      <c r="M789" s="28">
        <v>0</v>
      </c>
      <c r="N789" s="29">
        <v>0</v>
      </c>
    </row>
    <row r="790" spans="2:14" x14ac:dyDescent="0.25">
      <c r="B790" s="24">
        <v>45320</v>
      </c>
      <c r="C790" s="24">
        <v>45321</v>
      </c>
      <c r="D790" s="24" t="s">
        <v>94</v>
      </c>
      <c r="E790" s="24" t="s">
        <v>95</v>
      </c>
      <c r="F790" s="27">
        <v>40.033729000000001</v>
      </c>
      <c r="G790" s="27">
        <v>0</v>
      </c>
      <c r="H790" s="26">
        <v>0</v>
      </c>
      <c r="I790" s="28">
        <v>0</v>
      </c>
      <c r="J790" s="28">
        <v>0</v>
      </c>
      <c r="K790" s="28">
        <v>0</v>
      </c>
      <c r="L790" s="29">
        <v>0</v>
      </c>
      <c r="M790" s="28">
        <v>0</v>
      </c>
      <c r="N790" s="29">
        <v>0</v>
      </c>
    </row>
    <row r="791" spans="2:14" x14ac:dyDescent="0.25">
      <c r="B791" s="24">
        <v>45320</v>
      </c>
      <c r="C791" s="24">
        <v>45321</v>
      </c>
      <c r="D791" s="24" t="s">
        <v>96</v>
      </c>
      <c r="E791" s="24" t="s">
        <v>97</v>
      </c>
      <c r="F791" s="27">
        <v>303.53808600000002</v>
      </c>
      <c r="G791" s="27">
        <v>106.57832000000001</v>
      </c>
      <c r="H791" s="26">
        <v>100</v>
      </c>
      <c r="I791" s="28">
        <v>3.7680069999999999</v>
      </c>
      <c r="J791" s="28">
        <v>105.8775</v>
      </c>
      <c r="K791" s="28">
        <v>105.88500000000001</v>
      </c>
      <c r="L791" s="29">
        <v>100</v>
      </c>
      <c r="M791" s="28">
        <v>105.87</v>
      </c>
      <c r="N791" s="29">
        <v>7.4999999999999997E-3</v>
      </c>
    </row>
    <row r="792" spans="2:14" x14ac:dyDescent="0.25">
      <c r="B792" s="24">
        <v>45327</v>
      </c>
      <c r="C792" s="24">
        <v>45328</v>
      </c>
      <c r="D792" s="24" t="s">
        <v>98</v>
      </c>
      <c r="E792" s="24" t="s">
        <v>99</v>
      </c>
      <c r="F792" s="27">
        <v>0</v>
      </c>
      <c r="G792" s="27">
        <v>0</v>
      </c>
      <c r="H792" s="26">
        <v>0</v>
      </c>
      <c r="I792" s="28">
        <v>0</v>
      </c>
      <c r="J792" s="28">
        <v>0</v>
      </c>
      <c r="K792" s="28">
        <v>0</v>
      </c>
      <c r="L792" s="28">
        <v>0</v>
      </c>
      <c r="M792" s="28">
        <v>0</v>
      </c>
      <c r="N792" s="29">
        <v>0</v>
      </c>
    </row>
    <row r="793" spans="2:14" x14ac:dyDescent="0.25">
      <c r="B793" s="24">
        <v>45327</v>
      </c>
      <c r="C793" s="24">
        <v>45328</v>
      </c>
      <c r="D793" s="24" t="s">
        <v>100</v>
      </c>
      <c r="E793" s="24" t="s">
        <v>101</v>
      </c>
      <c r="F793" s="27">
        <v>257.80083300000001</v>
      </c>
      <c r="G793" s="27">
        <v>199.022243</v>
      </c>
      <c r="H793" s="26">
        <v>193</v>
      </c>
      <c r="I793" s="28">
        <v>3.9074420000000001</v>
      </c>
      <c r="J793" s="28">
        <v>102.41200000000001</v>
      </c>
      <c r="K793" s="28">
        <v>102.41200000000001</v>
      </c>
      <c r="L793" s="28">
        <v>77.199999000000005</v>
      </c>
      <c r="M793" s="28">
        <v>102.41200000000001</v>
      </c>
      <c r="N793" s="29">
        <v>0</v>
      </c>
    </row>
    <row r="794" spans="2:14" x14ac:dyDescent="0.25">
      <c r="B794" s="24">
        <v>45327</v>
      </c>
      <c r="C794" s="24">
        <v>45328</v>
      </c>
      <c r="D794" s="24" t="s">
        <v>122</v>
      </c>
      <c r="E794" s="24" t="s">
        <v>123</v>
      </c>
      <c r="F794" s="27">
        <v>0</v>
      </c>
      <c r="G794" s="27">
        <v>0</v>
      </c>
      <c r="H794" s="26">
        <v>0</v>
      </c>
      <c r="I794" s="28">
        <v>0</v>
      </c>
      <c r="J794" s="28">
        <v>0</v>
      </c>
      <c r="K794" s="28">
        <v>0</v>
      </c>
      <c r="L794" s="28">
        <v>0</v>
      </c>
      <c r="M794" s="28">
        <v>0</v>
      </c>
      <c r="N794" s="29">
        <v>0</v>
      </c>
    </row>
    <row r="795" spans="2:14" x14ac:dyDescent="0.25">
      <c r="B795" s="24">
        <v>45327</v>
      </c>
      <c r="C795" s="24">
        <v>45328</v>
      </c>
      <c r="D795" s="24" t="s">
        <v>102</v>
      </c>
      <c r="E795" s="24" t="s">
        <v>103</v>
      </c>
      <c r="F795" s="27">
        <v>419.83626199999998</v>
      </c>
      <c r="G795" s="27">
        <v>419.83626199999998</v>
      </c>
      <c r="H795" s="26">
        <v>399</v>
      </c>
      <c r="I795" s="28">
        <v>4.1069399999999998</v>
      </c>
      <c r="J795" s="28">
        <v>103.343002</v>
      </c>
      <c r="K795" s="28">
        <v>103.363</v>
      </c>
      <c r="L795" s="28">
        <v>100</v>
      </c>
      <c r="M795" s="28">
        <v>103.32299999999999</v>
      </c>
      <c r="N795" s="29">
        <v>2.0001999999999999E-2</v>
      </c>
    </row>
    <row r="796" spans="2:14" x14ac:dyDescent="0.25">
      <c r="B796" s="24">
        <v>45327</v>
      </c>
      <c r="C796" s="24">
        <v>45328</v>
      </c>
      <c r="D796" s="24" t="s">
        <v>104</v>
      </c>
      <c r="E796" s="24" t="s">
        <v>105</v>
      </c>
      <c r="F796" s="27">
        <v>152.69692900000001</v>
      </c>
      <c r="G796" s="27">
        <v>0</v>
      </c>
      <c r="H796" s="26">
        <v>0</v>
      </c>
      <c r="I796" s="28">
        <v>0</v>
      </c>
      <c r="J796" s="28">
        <v>0</v>
      </c>
      <c r="K796" s="28">
        <v>0</v>
      </c>
      <c r="L796" s="28">
        <v>0</v>
      </c>
      <c r="M796" s="28">
        <v>0</v>
      </c>
      <c r="N796" s="29">
        <v>0</v>
      </c>
    </row>
    <row r="797" spans="2:14" x14ac:dyDescent="0.25">
      <c r="B797" s="24">
        <v>45327</v>
      </c>
      <c r="C797" s="24">
        <v>45328</v>
      </c>
      <c r="D797" s="24" t="s">
        <v>106</v>
      </c>
      <c r="E797" s="24" t="s">
        <v>107</v>
      </c>
      <c r="F797" s="27">
        <v>535.24780699999997</v>
      </c>
      <c r="G797" s="27">
        <v>0</v>
      </c>
      <c r="H797" s="26">
        <v>0</v>
      </c>
      <c r="I797" s="28">
        <v>0</v>
      </c>
      <c r="J797" s="28">
        <v>0</v>
      </c>
      <c r="K797" s="28">
        <v>0</v>
      </c>
      <c r="L797" s="28">
        <v>0</v>
      </c>
      <c r="M797" s="28">
        <v>0</v>
      </c>
      <c r="N797" s="29">
        <v>0</v>
      </c>
    </row>
    <row r="798" spans="2:14" x14ac:dyDescent="0.25">
      <c r="B798" s="24">
        <v>45327</v>
      </c>
      <c r="C798" s="24">
        <v>45328</v>
      </c>
      <c r="D798" s="24" t="s">
        <v>108</v>
      </c>
      <c r="E798" s="24" t="s">
        <v>109</v>
      </c>
      <c r="F798" s="27">
        <v>37.300884000000003</v>
      </c>
      <c r="G798" s="27">
        <v>0</v>
      </c>
      <c r="H798" s="26">
        <v>0</v>
      </c>
      <c r="I798" s="28">
        <v>0</v>
      </c>
      <c r="J798" s="28">
        <v>0</v>
      </c>
      <c r="K798" s="28">
        <v>0</v>
      </c>
      <c r="L798" s="28">
        <v>0</v>
      </c>
      <c r="M798" s="28">
        <v>0</v>
      </c>
      <c r="N798" s="29">
        <v>0</v>
      </c>
    </row>
    <row r="799" spans="2:14" x14ac:dyDescent="0.25">
      <c r="B799" s="24">
        <v>45327</v>
      </c>
      <c r="C799" s="24">
        <v>45328</v>
      </c>
      <c r="D799" s="24" t="s">
        <v>110</v>
      </c>
      <c r="E799" s="24" t="s">
        <v>111</v>
      </c>
      <c r="F799" s="27">
        <v>131.04583299999999</v>
      </c>
      <c r="G799" s="27">
        <v>131.04583299999999</v>
      </c>
      <c r="H799" s="26">
        <v>125</v>
      </c>
      <c r="I799" s="28">
        <v>4.3758939999999997</v>
      </c>
      <c r="J799" s="28">
        <v>104.045</v>
      </c>
      <c r="K799" s="28">
        <v>104.045</v>
      </c>
      <c r="L799" s="28">
        <v>100</v>
      </c>
      <c r="M799" s="28">
        <v>104.045</v>
      </c>
      <c r="N799" s="29">
        <v>0</v>
      </c>
    </row>
    <row r="800" spans="2:14" x14ac:dyDescent="0.25">
      <c r="B800" s="24">
        <v>45327</v>
      </c>
      <c r="C800" s="24">
        <v>45328</v>
      </c>
      <c r="D800" s="24" t="s">
        <v>112</v>
      </c>
      <c r="E800" s="24" t="s">
        <v>113</v>
      </c>
      <c r="F800" s="27">
        <v>0</v>
      </c>
      <c r="G800" s="27">
        <v>0</v>
      </c>
      <c r="H800" s="26">
        <v>0</v>
      </c>
      <c r="I800" s="28">
        <v>0</v>
      </c>
      <c r="J800" s="28">
        <v>0</v>
      </c>
      <c r="K800" s="28">
        <v>0</v>
      </c>
      <c r="L800" s="28">
        <v>0</v>
      </c>
      <c r="M800" s="28">
        <v>0</v>
      </c>
      <c r="N800" s="29">
        <v>0</v>
      </c>
    </row>
    <row r="801" spans="2:14" x14ac:dyDescent="0.25">
      <c r="B801" s="24">
        <v>45327</v>
      </c>
      <c r="C801" s="24">
        <v>45328</v>
      </c>
      <c r="D801" s="24" t="s">
        <v>114</v>
      </c>
      <c r="E801" s="24" t="s">
        <v>115</v>
      </c>
      <c r="F801" s="27">
        <v>34.921152999999997</v>
      </c>
      <c r="G801" s="27">
        <v>0</v>
      </c>
      <c r="H801" s="26">
        <v>0</v>
      </c>
      <c r="I801" s="28">
        <v>0</v>
      </c>
      <c r="J801" s="28">
        <v>0</v>
      </c>
      <c r="K801" s="28">
        <v>0</v>
      </c>
      <c r="L801" s="28">
        <v>0</v>
      </c>
      <c r="M801" s="28">
        <v>0</v>
      </c>
      <c r="N801" s="29">
        <v>0</v>
      </c>
    </row>
    <row r="802" spans="2:14" x14ac:dyDescent="0.25">
      <c r="B802" s="24">
        <v>45327</v>
      </c>
      <c r="C802" s="24">
        <v>45328</v>
      </c>
      <c r="D802" s="24" t="s">
        <v>116</v>
      </c>
      <c r="E802" s="24" t="s">
        <v>117</v>
      </c>
      <c r="F802" s="27">
        <v>50.687353000000002</v>
      </c>
      <c r="G802" s="27">
        <v>0</v>
      </c>
      <c r="H802" s="26">
        <v>0</v>
      </c>
      <c r="I802" s="28">
        <v>0</v>
      </c>
      <c r="J802" s="28">
        <v>0</v>
      </c>
      <c r="K802" s="28">
        <v>0</v>
      </c>
      <c r="L802" s="28">
        <v>0</v>
      </c>
      <c r="M802" s="28">
        <v>0</v>
      </c>
      <c r="N802" s="29">
        <v>0</v>
      </c>
    </row>
    <row r="803" spans="2:14" x14ac:dyDescent="0.25">
      <c r="B803" s="24">
        <v>45327</v>
      </c>
      <c r="C803" s="24">
        <v>45328</v>
      </c>
      <c r="D803" s="24" t="s">
        <v>118</v>
      </c>
      <c r="E803" s="24" t="s">
        <v>119</v>
      </c>
      <c r="F803" s="27">
        <v>24.432174</v>
      </c>
      <c r="G803" s="27">
        <v>0</v>
      </c>
      <c r="H803" s="26">
        <v>0</v>
      </c>
      <c r="I803" s="28">
        <v>0</v>
      </c>
      <c r="J803" s="28">
        <v>0</v>
      </c>
      <c r="K803" s="28">
        <v>0</v>
      </c>
      <c r="L803" s="28">
        <v>0</v>
      </c>
      <c r="M803" s="28">
        <v>0</v>
      </c>
      <c r="N803" s="29">
        <v>0</v>
      </c>
    </row>
    <row r="804" spans="2:14" x14ac:dyDescent="0.25">
      <c r="B804" s="24">
        <v>45327</v>
      </c>
      <c r="C804" s="24">
        <v>45328</v>
      </c>
      <c r="D804" s="24" t="s">
        <v>124</v>
      </c>
      <c r="E804" s="24" t="s">
        <v>125</v>
      </c>
      <c r="F804" s="27">
        <v>50.202800000000003</v>
      </c>
      <c r="G804" s="27">
        <v>0</v>
      </c>
      <c r="H804" s="26">
        <v>0</v>
      </c>
      <c r="I804" s="28">
        <v>0</v>
      </c>
      <c r="J804" s="28">
        <v>0</v>
      </c>
      <c r="K804" s="28">
        <v>0</v>
      </c>
      <c r="L804" s="28">
        <v>0</v>
      </c>
      <c r="M804" s="28">
        <v>0</v>
      </c>
      <c r="N804" s="29">
        <v>0</v>
      </c>
    </row>
    <row r="805" spans="2:14" x14ac:dyDescent="0.25">
      <c r="B805" s="24">
        <v>45327</v>
      </c>
      <c r="C805" s="24">
        <v>45328</v>
      </c>
      <c r="D805" s="24" t="s">
        <v>126</v>
      </c>
      <c r="E805" s="24" t="s">
        <v>127</v>
      </c>
      <c r="F805" s="27">
        <v>20.633482000000001</v>
      </c>
      <c r="G805" s="27">
        <v>0</v>
      </c>
      <c r="H805" s="26">
        <v>0</v>
      </c>
      <c r="I805" s="28">
        <v>0</v>
      </c>
      <c r="J805" s="28">
        <v>0</v>
      </c>
      <c r="K805" s="28">
        <v>0</v>
      </c>
      <c r="L805" s="28">
        <v>0</v>
      </c>
      <c r="M805" s="28">
        <v>0</v>
      </c>
      <c r="N805" s="29">
        <v>0</v>
      </c>
    </row>
    <row r="806" spans="2:14" x14ac:dyDescent="0.25">
      <c r="B806" s="24">
        <v>45334</v>
      </c>
      <c r="C806" s="24">
        <v>45335</v>
      </c>
      <c r="D806" s="24" t="s">
        <v>82</v>
      </c>
      <c r="E806" s="24" t="s">
        <v>83</v>
      </c>
      <c r="F806" s="27">
        <v>938.74615900000003</v>
      </c>
      <c r="G806" s="27">
        <v>501.48752200000001</v>
      </c>
      <c r="H806" s="26">
        <v>550</v>
      </c>
      <c r="I806" s="28">
        <v>4.0463579999999997</v>
      </c>
      <c r="J806" s="28">
        <v>91.103999999999999</v>
      </c>
      <c r="K806" s="28">
        <v>91.103999999999999</v>
      </c>
      <c r="L806" s="28">
        <v>100</v>
      </c>
      <c r="M806" s="28">
        <v>91.103999999999999</v>
      </c>
      <c r="N806" s="29">
        <v>0</v>
      </c>
    </row>
    <row r="807" spans="2:14" x14ac:dyDescent="0.25">
      <c r="B807" s="24">
        <v>45334</v>
      </c>
      <c r="C807" s="24">
        <v>45335</v>
      </c>
      <c r="D807" s="24" t="s">
        <v>84</v>
      </c>
      <c r="E807" s="24" t="s">
        <v>85</v>
      </c>
      <c r="F807" s="27">
        <v>121.67889</v>
      </c>
      <c r="G807" s="27">
        <v>45.649177999999999</v>
      </c>
      <c r="H807" s="26">
        <v>45</v>
      </c>
      <c r="I807" s="28">
        <v>4.0620390000000004</v>
      </c>
      <c r="J807" s="28">
        <v>100.65300000000001</v>
      </c>
      <c r="K807" s="28">
        <v>100.663</v>
      </c>
      <c r="L807" s="28">
        <v>100</v>
      </c>
      <c r="M807" s="28">
        <v>100.643</v>
      </c>
      <c r="N807" s="29">
        <v>0.01</v>
      </c>
    </row>
    <row r="808" spans="2:14" x14ac:dyDescent="0.25">
      <c r="B808" s="24">
        <v>45334</v>
      </c>
      <c r="C808" s="24">
        <v>45335</v>
      </c>
      <c r="D808" s="24" t="s">
        <v>86</v>
      </c>
      <c r="E808" s="24" t="s">
        <v>87</v>
      </c>
      <c r="F808" s="27">
        <v>811.34503700000005</v>
      </c>
      <c r="G808" s="27">
        <v>124.57432300000001</v>
      </c>
      <c r="H808" s="26">
        <v>145</v>
      </c>
      <c r="I808" s="28">
        <v>4.0045060000000001</v>
      </c>
      <c r="J808" s="28">
        <v>85.908861999999999</v>
      </c>
      <c r="K808" s="28">
        <v>85.911000000000001</v>
      </c>
      <c r="L808" s="28">
        <v>100</v>
      </c>
      <c r="M808" s="28">
        <v>85.905000000000001</v>
      </c>
      <c r="N808" s="29">
        <v>3.862E-3</v>
      </c>
    </row>
    <row r="809" spans="2:14" x14ac:dyDescent="0.25">
      <c r="B809" s="24">
        <v>45334</v>
      </c>
      <c r="C809" s="24">
        <v>45335</v>
      </c>
      <c r="D809" s="24" t="s">
        <v>88</v>
      </c>
      <c r="E809" s="24" t="s">
        <v>89</v>
      </c>
      <c r="F809" s="27">
        <v>177.752329</v>
      </c>
      <c r="G809" s="27">
        <v>41.355851000000001</v>
      </c>
      <c r="H809" s="26">
        <v>45.6</v>
      </c>
      <c r="I809" s="28">
        <v>3.9372579999999999</v>
      </c>
      <c r="J809" s="28">
        <v>90.186508000000003</v>
      </c>
      <c r="K809" s="28">
        <v>90.186999999999998</v>
      </c>
      <c r="L809" s="28">
        <v>3.5897429999999999</v>
      </c>
      <c r="M809" s="28">
        <v>90.183000000000007</v>
      </c>
      <c r="N809" s="29">
        <v>3.5079999999999998E-3</v>
      </c>
    </row>
    <row r="810" spans="2:14" x14ac:dyDescent="0.25">
      <c r="B810" s="24">
        <v>45334</v>
      </c>
      <c r="C810" s="24">
        <v>45335</v>
      </c>
      <c r="D810" s="24" t="s">
        <v>90</v>
      </c>
      <c r="E810" s="24" t="s">
        <v>91</v>
      </c>
      <c r="F810" s="27">
        <v>102.250771</v>
      </c>
      <c r="G810" s="27">
        <v>60.474265000000003</v>
      </c>
      <c r="H810" s="26">
        <v>55</v>
      </c>
      <c r="I810" s="28">
        <v>3.9636969999999998</v>
      </c>
      <c r="J810" s="28">
        <v>108.838455</v>
      </c>
      <c r="K810" s="28">
        <v>108.85599999999999</v>
      </c>
      <c r="L810" s="28">
        <v>100</v>
      </c>
      <c r="M810" s="28">
        <v>108.833</v>
      </c>
      <c r="N810" s="29">
        <v>5.4549999999999998E-3</v>
      </c>
    </row>
    <row r="811" spans="2:14" x14ac:dyDescent="0.25">
      <c r="B811" s="24">
        <v>45334</v>
      </c>
      <c r="C811" s="24">
        <v>45335</v>
      </c>
      <c r="D811" s="24" t="s">
        <v>120</v>
      </c>
      <c r="E811" s="24" t="s">
        <v>121</v>
      </c>
      <c r="F811" s="27">
        <v>42.218927999999998</v>
      </c>
      <c r="G811" s="27">
        <v>0</v>
      </c>
      <c r="H811" s="26">
        <v>0</v>
      </c>
      <c r="I811" s="28">
        <v>0</v>
      </c>
      <c r="J811" s="28">
        <v>0</v>
      </c>
      <c r="K811" s="28">
        <v>0</v>
      </c>
      <c r="L811" s="28">
        <v>0</v>
      </c>
      <c r="M811" s="28">
        <v>0</v>
      </c>
      <c r="N811" s="29">
        <v>0</v>
      </c>
    </row>
    <row r="812" spans="2:14" x14ac:dyDescent="0.25">
      <c r="B812" s="24">
        <v>45334</v>
      </c>
      <c r="C812" s="24">
        <v>45335</v>
      </c>
      <c r="D812" s="24" t="s">
        <v>92</v>
      </c>
      <c r="E812" s="24" t="s">
        <v>93</v>
      </c>
      <c r="F812" s="27">
        <v>0</v>
      </c>
      <c r="G812" s="27">
        <v>0</v>
      </c>
      <c r="H812" s="26">
        <v>0</v>
      </c>
      <c r="I812" s="28">
        <v>0</v>
      </c>
      <c r="J812" s="28">
        <v>0</v>
      </c>
      <c r="K812" s="28">
        <v>0</v>
      </c>
      <c r="L812" s="28">
        <v>0</v>
      </c>
      <c r="M812" s="28">
        <v>0</v>
      </c>
      <c r="N812" s="29">
        <v>0</v>
      </c>
    </row>
    <row r="813" spans="2:14" x14ac:dyDescent="0.25">
      <c r="B813" s="24">
        <v>45334</v>
      </c>
      <c r="C813" s="24">
        <v>45335</v>
      </c>
      <c r="D813" s="24" t="s">
        <v>94</v>
      </c>
      <c r="E813" s="24" t="s">
        <v>95</v>
      </c>
      <c r="F813" s="27">
        <v>0</v>
      </c>
      <c r="G813" s="27">
        <v>0</v>
      </c>
      <c r="H813" s="26">
        <v>0</v>
      </c>
      <c r="I813" s="28">
        <v>0</v>
      </c>
      <c r="J813" s="28">
        <v>0</v>
      </c>
      <c r="K813" s="28">
        <v>0</v>
      </c>
      <c r="L813" s="28">
        <v>0</v>
      </c>
      <c r="M813" s="28">
        <v>0</v>
      </c>
      <c r="N813" s="29">
        <v>0</v>
      </c>
    </row>
    <row r="814" spans="2:14" x14ac:dyDescent="0.25">
      <c r="B814" s="24">
        <v>45334</v>
      </c>
      <c r="C814" s="24">
        <v>45335</v>
      </c>
      <c r="D814" s="24" t="s">
        <v>96</v>
      </c>
      <c r="E814" s="24" t="s">
        <v>97</v>
      </c>
      <c r="F814" s="27">
        <v>110.90988900000001</v>
      </c>
      <c r="G814" s="27">
        <v>26.410878</v>
      </c>
      <c r="H814" s="26">
        <v>25</v>
      </c>
      <c r="I814" s="28">
        <v>3.945446</v>
      </c>
      <c r="J814" s="28">
        <v>104.761</v>
      </c>
      <c r="K814" s="28">
        <v>104.761</v>
      </c>
      <c r="L814" s="28">
        <v>100</v>
      </c>
      <c r="M814" s="28">
        <v>104.761</v>
      </c>
      <c r="N814" s="29">
        <v>0</v>
      </c>
    </row>
    <row r="815" spans="2:14" x14ac:dyDescent="0.25">
      <c r="B815" s="24">
        <v>45341</v>
      </c>
      <c r="C815" s="24">
        <v>45342</v>
      </c>
      <c r="D815" s="24" t="s">
        <v>98</v>
      </c>
      <c r="E815" s="24" t="s">
        <v>99</v>
      </c>
      <c r="F815" s="27">
        <v>192.63490999999999</v>
      </c>
      <c r="G815" s="27">
        <v>75.143619000000001</v>
      </c>
      <c r="H815" s="26">
        <v>99</v>
      </c>
      <c r="I815" s="28">
        <v>4.03104</v>
      </c>
      <c r="J815" s="28">
        <v>75.888909999999996</v>
      </c>
      <c r="K815" s="28">
        <v>75.897999999999996</v>
      </c>
      <c r="L815" s="28">
        <v>100</v>
      </c>
      <c r="M815" s="28">
        <v>75.88</v>
      </c>
      <c r="N815" s="29">
        <v>8.9099999999999995E-3</v>
      </c>
    </row>
    <row r="816" spans="2:14" x14ac:dyDescent="0.25">
      <c r="B816" s="24">
        <v>45341</v>
      </c>
      <c r="C816" s="24">
        <v>45342</v>
      </c>
      <c r="D816" s="24" t="s">
        <v>100</v>
      </c>
      <c r="E816" s="24" t="s">
        <v>101</v>
      </c>
      <c r="F816" s="27">
        <v>153.37785199999999</v>
      </c>
      <c r="G816" s="27">
        <v>0</v>
      </c>
      <c r="H816" s="26">
        <v>0</v>
      </c>
      <c r="I816" s="28">
        <v>0</v>
      </c>
      <c r="J816" s="28">
        <v>0</v>
      </c>
      <c r="K816" s="28">
        <v>0</v>
      </c>
      <c r="L816" s="28">
        <v>0</v>
      </c>
      <c r="M816" s="28">
        <v>0</v>
      </c>
      <c r="N816" s="29">
        <v>0</v>
      </c>
    </row>
    <row r="817" spans="2:14" x14ac:dyDescent="0.25">
      <c r="B817" s="24">
        <v>45341</v>
      </c>
      <c r="C817" s="24">
        <v>45342</v>
      </c>
      <c r="D817" s="24" t="s">
        <v>122</v>
      </c>
      <c r="E817" s="24" t="s">
        <v>123</v>
      </c>
      <c r="F817" s="27">
        <v>37.354038000000003</v>
      </c>
      <c r="G817" s="27">
        <v>19.498808</v>
      </c>
      <c r="H817" s="26">
        <v>26.1</v>
      </c>
      <c r="I817" s="28">
        <v>4.1444580000000002</v>
      </c>
      <c r="J817" s="28">
        <v>74.66</v>
      </c>
      <c r="K817" s="28">
        <v>74.66</v>
      </c>
      <c r="L817" s="28">
        <v>52.2</v>
      </c>
      <c r="M817" s="28">
        <v>74.66</v>
      </c>
      <c r="N817" s="29">
        <v>0</v>
      </c>
    </row>
    <row r="818" spans="2:14" x14ac:dyDescent="0.25">
      <c r="B818" s="24">
        <v>45341</v>
      </c>
      <c r="C818" s="24">
        <v>45342</v>
      </c>
      <c r="D818" s="24" t="s">
        <v>102</v>
      </c>
      <c r="E818" s="24" t="s">
        <v>103</v>
      </c>
      <c r="F818" s="27">
        <v>527.75919799999997</v>
      </c>
      <c r="G818" s="27">
        <v>459.86246999999997</v>
      </c>
      <c r="H818" s="26">
        <v>440</v>
      </c>
      <c r="I818" s="28">
        <v>4.2082470000000001</v>
      </c>
      <c r="J818" s="28">
        <v>102.462002</v>
      </c>
      <c r="K818" s="28">
        <v>102.483</v>
      </c>
      <c r="L818" s="28">
        <v>100</v>
      </c>
      <c r="M818" s="28">
        <v>102.441</v>
      </c>
      <c r="N818" s="29">
        <v>2.1002E-2</v>
      </c>
    </row>
    <row r="819" spans="2:14" x14ac:dyDescent="0.25">
      <c r="B819" s="24">
        <v>45341</v>
      </c>
      <c r="C819" s="24">
        <v>45342</v>
      </c>
      <c r="D819" s="24" t="s">
        <v>104</v>
      </c>
      <c r="E819" s="24" t="s">
        <v>105</v>
      </c>
      <c r="F819" s="27">
        <v>114.459879</v>
      </c>
      <c r="G819" s="27">
        <v>13.480867999999999</v>
      </c>
      <c r="H819" s="26">
        <v>20</v>
      </c>
      <c r="I819" s="28">
        <v>4.25617</v>
      </c>
      <c r="J819" s="28">
        <v>67.37</v>
      </c>
      <c r="K819" s="28">
        <v>67.37</v>
      </c>
      <c r="L819" s="28">
        <v>100</v>
      </c>
      <c r="M819" s="28">
        <v>67.37</v>
      </c>
      <c r="N819" s="29">
        <v>0</v>
      </c>
    </row>
    <row r="820" spans="2:14" x14ac:dyDescent="0.25">
      <c r="B820" s="24">
        <v>45341</v>
      </c>
      <c r="C820" s="24">
        <v>45342</v>
      </c>
      <c r="D820" s="24" t="s">
        <v>106</v>
      </c>
      <c r="E820" s="24" t="s">
        <v>107</v>
      </c>
      <c r="F820" s="27">
        <v>455.93734000000001</v>
      </c>
      <c r="G820" s="27">
        <v>0</v>
      </c>
      <c r="H820" s="26">
        <v>0</v>
      </c>
      <c r="I820" s="28">
        <v>0</v>
      </c>
      <c r="J820" s="28">
        <v>0</v>
      </c>
      <c r="K820" s="28">
        <v>0</v>
      </c>
      <c r="L820" s="28">
        <v>0</v>
      </c>
      <c r="M820" s="28">
        <v>0</v>
      </c>
      <c r="N820" s="29">
        <v>0</v>
      </c>
    </row>
    <row r="821" spans="2:14" x14ac:dyDescent="0.25">
      <c r="B821" s="24">
        <v>45341</v>
      </c>
      <c r="C821" s="24">
        <v>45342</v>
      </c>
      <c r="D821" s="24" t="s">
        <v>108</v>
      </c>
      <c r="E821" s="24" t="s">
        <v>109</v>
      </c>
      <c r="F821" s="27">
        <v>73.938826000000006</v>
      </c>
      <c r="G821" s="27">
        <v>0</v>
      </c>
      <c r="H821" s="26">
        <v>0</v>
      </c>
      <c r="I821" s="28">
        <v>0</v>
      </c>
      <c r="J821" s="28">
        <v>0</v>
      </c>
      <c r="K821" s="28">
        <v>0</v>
      </c>
      <c r="L821" s="28">
        <v>0</v>
      </c>
      <c r="M821" s="28">
        <v>0</v>
      </c>
      <c r="N821" s="29">
        <v>0</v>
      </c>
    </row>
    <row r="822" spans="2:14" x14ac:dyDescent="0.25">
      <c r="B822" s="24">
        <v>45341</v>
      </c>
      <c r="C822" s="24">
        <v>45342</v>
      </c>
      <c r="D822" s="24" t="s">
        <v>110</v>
      </c>
      <c r="E822" s="24" t="s">
        <v>111</v>
      </c>
      <c r="F822" s="27">
        <v>0</v>
      </c>
      <c r="G822" s="27">
        <v>0</v>
      </c>
      <c r="H822" s="26">
        <v>0</v>
      </c>
      <c r="I822" s="28">
        <v>0</v>
      </c>
      <c r="J822" s="28">
        <v>0</v>
      </c>
      <c r="K822" s="28">
        <v>0</v>
      </c>
      <c r="L822" s="28">
        <v>0</v>
      </c>
      <c r="M822" s="28">
        <v>0</v>
      </c>
      <c r="N822" s="29">
        <v>0</v>
      </c>
    </row>
    <row r="823" spans="2:14" x14ac:dyDescent="0.25">
      <c r="B823" s="24">
        <v>45341</v>
      </c>
      <c r="C823" s="24">
        <v>45342</v>
      </c>
      <c r="D823" s="24" t="s">
        <v>112</v>
      </c>
      <c r="E823" s="24" t="s">
        <v>113</v>
      </c>
      <c r="F823" s="27">
        <v>95.322719000000006</v>
      </c>
      <c r="G823" s="27">
        <v>0</v>
      </c>
      <c r="H823" s="26">
        <v>0</v>
      </c>
      <c r="I823" s="28">
        <v>0</v>
      </c>
      <c r="J823" s="28">
        <v>0</v>
      </c>
      <c r="K823" s="28">
        <v>0</v>
      </c>
      <c r="L823" s="28">
        <v>0</v>
      </c>
      <c r="M823" s="28">
        <v>0</v>
      </c>
      <c r="N823" s="29">
        <v>0</v>
      </c>
    </row>
    <row r="824" spans="2:14" x14ac:dyDescent="0.25">
      <c r="B824" s="24">
        <v>45341</v>
      </c>
      <c r="C824" s="24">
        <v>45342</v>
      </c>
      <c r="D824" s="24" t="s">
        <v>114</v>
      </c>
      <c r="E824" s="24" t="s">
        <v>115</v>
      </c>
      <c r="F824" s="27">
        <v>0</v>
      </c>
      <c r="G824" s="27">
        <v>0</v>
      </c>
      <c r="H824" s="26">
        <v>0</v>
      </c>
      <c r="I824" s="28">
        <v>0</v>
      </c>
      <c r="J824" s="28">
        <v>0</v>
      </c>
      <c r="K824" s="28">
        <v>0</v>
      </c>
      <c r="L824" s="28">
        <v>0</v>
      </c>
      <c r="M824" s="28">
        <v>0</v>
      </c>
      <c r="N824" s="29">
        <v>0</v>
      </c>
    </row>
    <row r="825" spans="2:14" x14ac:dyDescent="0.25">
      <c r="B825" s="24">
        <v>45341</v>
      </c>
      <c r="C825" s="24">
        <v>45342</v>
      </c>
      <c r="D825" s="24" t="s">
        <v>116</v>
      </c>
      <c r="E825" s="24" t="s">
        <v>117</v>
      </c>
      <c r="F825" s="27">
        <v>63.307335999999999</v>
      </c>
      <c r="G825" s="27">
        <v>0</v>
      </c>
      <c r="H825" s="26">
        <v>0</v>
      </c>
      <c r="I825" s="28">
        <v>0</v>
      </c>
      <c r="J825" s="28">
        <v>0</v>
      </c>
      <c r="K825" s="28">
        <v>0</v>
      </c>
      <c r="L825" s="28">
        <v>0</v>
      </c>
      <c r="M825" s="28">
        <v>0</v>
      </c>
      <c r="N825" s="29">
        <v>0</v>
      </c>
    </row>
    <row r="826" spans="2:14" x14ac:dyDescent="0.25">
      <c r="B826" s="24">
        <v>45341</v>
      </c>
      <c r="C826" s="24">
        <v>45342</v>
      </c>
      <c r="D826" s="24" t="s">
        <v>118</v>
      </c>
      <c r="E826" s="24" t="s">
        <v>119</v>
      </c>
      <c r="F826" s="27">
        <v>181.969504</v>
      </c>
      <c r="G826" s="27">
        <v>181.969504</v>
      </c>
      <c r="H826" s="26">
        <v>300</v>
      </c>
      <c r="I826" s="28">
        <v>4.5479279999999997</v>
      </c>
      <c r="J826" s="28">
        <v>60.243251000000001</v>
      </c>
      <c r="K826" s="28">
        <v>60.256999999999998</v>
      </c>
      <c r="L826" s="28">
        <v>100</v>
      </c>
      <c r="M826" s="28">
        <v>60.228999999999999</v>
      </c>
      <c r="N826" s="29">
        <v>1.4251E-2</v>
      </c>
    </row>
    <row r="827" spans="2:14" x14ac:dyDescent="0.25">
      <c r="B827" s="24">
        <v>45341</v>
      </c>
      <c r="C827" s="24">
        <v>45342</v>
      </c>
      <c r="D827" s="24" t="s">
        <v>124</v>
      </c>
      <c r="E827" s="24" t="s">
        <v>125</v>
      </c>
      <c r="F827" s="27">
        <v>0</v>
      </c>
      <c r="G827" s="27">
        <v>0</v>
      </c>
      <c r="H827" s="26">
        <v>0</v>
      </c>
      <c r="I827" s="28">
        <v>0</v>
      </c>
      <c r="J827" s="28">
        <v>0</v>
      </c>
      <c r="K827" s="28">
        <v>0</v>
      </c>
      <c r="L827" s="28">
        <v>0</v>
      </c>
      <c r="M827" s="28">
        <v>0</v>
      </c>
      <c r="N827" s="29">
        <v>0</v>
      </c>
    </row>
    <row r="828" spans="2:14" x14ac:dyDescent="0.25">
      <c r="B828" s="24">
        <v>45341</v>
      </c>
      <c r="C828" s="24">
        <v>45342</v>
      </c>
      <c r="D828" s="24" t="s">
        <v>126</v>
      </c>
      <c r="E828" s="24" t="s">
        <v>127</v>
      </c>
      <c r="F828" s="27">
        <v>16.453984999999999</v>
      </c>
      <c r="G828" s="27">
        <v>0</v>
      </c>
      <c r="H828" s="26">
        <v>0</v>
      </c>
      <c r="I828" s="28">
        <v>0</v>
      </c>
      <c r="J828" s="28">
        <v>0</v>
      </c>
      <c r="K828" s="28">
        <v>0</v>
      </c>
      <c r="L828" s="28">
        <v>0</v>
      </c>
      <c r="M828" s="28">
        <v>0</v>
      </c>
      <c r="N828" s="29">
        <v>0</v>
      </c>
    </row>
    <row r="829" spans="2:14" x14ac:dyDescent="0.25">
      <c r="B829" s="24">
        <v>45348</v>
      </c>
      <c r="C829" s="24">
        <v>45349</v>
      </c>
      <c r="D829" s="24" t="s">
        <v>128</v>
      </c>
      <c r="E829" s="24" t="s">
        <v>129</v>
      </c>
      <c r="F829" s="27">
        <v>51.502291999999997</v>
      </c>
      <c r="G829" s="27">
        <v>0</v>
      </c>
      <c r="H829" s="26">
        <v>0</v>
      </c>
      <c r="I829" s="28">
        <v>0</v>
      </c>
      <c r="J829" s="28">
        <v>0</v>
      </c>
      <c r="K829" s="28">
        <v>0</v>
      </c>
      <c r="L829" s="28">
        <v>0</v>
      </c>
      <c r="M829" s="28">
        <v>0</v>
      </c>
      <c r="N829" s="29">
        <v>0</v>
      </c>
    </row>
    <row r="830" spans="2:14" x14ac:dyDescent="0.25">
      <c r="B830" s="24">
        <v>45348</v>
      </c>
      <c r="C830" s="24">
        <v>45349</v>
      </c>
      <c r="D830" s="24" t="s">
        <v>130</v>
      </c>
      <c r="E830" s="24" t="s">
        <v>131</v>
      </c>
      <c r="F830" s="27">
        <v>0</v>
      </c>
      <c r="G830" s="27">
        <v>0</v>
      </c>
      <c r="H830" s="26">
        <v>0</v>
      </c>
      <c r="I830" s="28">
        <v>0</v>
      </c>
      <c r="J830" s="28">
        <v>0</v>
      </c>
      <c r="K830" s="28">
        <v>0</v>
      </c>
      <c r="L830" s="28">
        <v>0</v>
      </c>
      <c r="M830" s="28">
        <v>0</v>
      </c>
      <c r="N830" s="29">
        <v>0</v>
      </c>
    </row>
    <row r="831" spans="2:14" x14ac:dyDescent="0.25">
      <c r="B831" s="24">
        <v>45348</v>
      </c>
      <c r="C831" s="24">
        <v>45349</v>
      </c>
      <c r="D831" s="24" t="s">
        <v>132</v>
      </c>
      <c r="E831" s="24" t="s">
        <v>133</v>
      </c>
      <c r="F831" s="27">
        <v>0</v>
      </c>
      <c r="G831" s="27">
        <v>0</v>
      </c>
      <c r="H831" s="26">
        <v>0</v>
      </c>
      <c r="I831" s="28">
        <v>0</v>
      </c>
      <c r="J831" s="28">
        <v>0</v>
      </c>
      <c r="K831" s="28">
        <v>0</v>
      </c>
      <c r="L831" s="28">
        <v>0</v>
      </c>
      <c r="M831" s="28">
        <v>0</v>
      </c>
      <c r="N831" s="29">
        <v>0</v>
      </c>
    </row>
    <row r="832" spans="2:14" x14ac:dyDescent="0.25">
      <c r="B832" s="24">
        <v>45348</v>
      </c>
      <c r="C832" s="24">
        <v>45349</v>
      </c>
      <c r="D832" s="24" t="s">
        <v>134</v>
      </c>
      <c r="E832" s="24" t="s">
        <v>135</v>
      </c>
      <c r="F832" s="27">
        <v>2.8120669999999999</v>
      </c>
      <c r="G832" s="27">
        <v>0</v>
      </c>
      <c r="H832" s="26">
        <v>0</v>
      </c>
      <c r="I832" s="28">
        <v>0</v>
      </c>
      <c r="J832" s="28">
        <v>0</v>
      </c>
      <c r="K832" s="28">
        <v>0</v>
      </c>
      <c r="L832" s="28">
        <v>0</v>
      </c>
      <c r="M832" s="28">
        <v>0</v>
      </c>
      <c r="N832" s="29">
        <v>0</v>
      </c>
    </row>
    <row r="833" spans="2:14" x14ac:dyDescent="0.25">
      <c r="B833" s="24">
        <v>45348</v>
      </c>
      <c r="C833" s="24">
        <v>45349</v>
      </c>
      <c r="D833" s="24" t="s">
        <v>136</v>
      </c>
      <c r="E833" s="24" t="s">
        <v>137</v>
      </c>
      <c r="F833" s="27">
        <v>2.9260030000000001</v>
      </c>
      <c r="G833" s="27">
        <v>0</v>
      </c>
      <c r="H833" s="26">
        <v>0</v>
      </c>
      <c r="I833" s="28">
        <v>0</v>
      </c>
      <c r="J833" s="28">
        <v>0</v>
      </c>
      <c r="K833" s="28">
        <v>0</v>
      </c>
      <c r="L833" s="28">
        <v>0</v>
      </c>
      <c r="M833" s="28">
        <v>0</v>
      </c>
      <c r="N833" s="29">
        <v>0</v>
      </c>
    </row>
    <row r="834" spans="2:14" x14ac:dyDescent="0.25">
      <c r="B834" s="24">
        <v>45348</v>
      </c>
      <c r="C834" s="24">
        <v>45349</v>
      </c>
      <c r="D834" s="24" t="s">
        <v>138</v>
      </c>
      <c r="E834" s="24" t="s">
        <v>139</v>
      </c>
      <c r="F834" s="27">
        <v>0</v>
      </c>
      <c r="G834" s="27">
        <v>0</v>
      </c>
      <c r="H834" s="26">
        <v>0</v>
      </c>
      <c r="I834" s="28">
        <v>0</v>
      </c>
      <c r="J834" s="28">
        <v>0</v>
      </c>
      <c r="K834" s="28">
        <v>0</v>
      </c>
      <c r="L834" s="28">
        <v>0</v>
      </c>
      <c r="M834" s="28">
        <v>0</v>
      </c>
      <c r="N834" s="29">
        <v>0</v>
      </c>
    </row>
    <row r="835" spans="2:14" x14ac:dyDescent="0.25">
      <c r="B835" s="24">
        <v>45348</v>
      </c>
      <c r="C835" s="24">
        <v>45349</v>
      </c>
      <c r="D835" s="24" t="s">
        <v>140</v>
      </c>
      <c r="E835" s="24" t="s">
        <v>141</v>
      </c>
      <c r="F835" s="27">
        <v>106.079369</v>
      </c>
      <c r="G835" s="27">
        <v>35.377389999999998</v>
      </c>
      <c r="H835" s="26">
        <v>88</v>
      </c>
      <c r="I835" s="28">
        <v>4.5231560000000002</v>
      </c>
      <c r="J835" s="28">
        <v>39.982999999999997</v>
      </c>
      <c r="K835" s="28">
        <v>39.982999999999997</v>
      </c>
      <c r="L835" s="28">
        <v>100</v>
      </c>
      <c r="M835" s="28">
        <v>39.982999999999997</v>
      </c>
      <c r="N835" s="29">
        <v>0</v>
      </c>
    </row>
    <row r="836" spans="2:14" x14ac:dyDescent="0.25">
      <c r="B836" s="24">
        <v>45348</v>
      </c>
      <c r="C836" s="24">
        <v>45349</v>
      </c>
      <c r="D836" s="24" t="s">
        <v>142</v>
      </c>
      <c r="E836" s="24" t="s">
        <v>143</v>
      </c>
      <c r="F836" s="27">
        <v>0</v>
      </c>
      <c r="G836" s="27">
        <v>0</v>
      </c>
      <c r="H836" s="26">
        <v>0</v>
      </c>
      <c r="I836" s="28">
        <v>0</v>
      </c>
      <c r="J836" s="28">
        <v>0</v>
      </c>
      <c r="K836" s="28">
        <v>0</v>
      </c>
      <c r="L836" s="28">
        <v>0</v>
      </c>
      <c r="M836" s="28">
        <v>0</v>
      </c>
      <c r="N836" s="29">
        <v>0</v>
      </c>
    </row>
    <row r="837" spans="2:14" x14ac:dyDescent="0.25">
      <c r="B837" s="24">
        <v>45348</v>
      </c>
      <c r="C837" s="24">
        <v>45349</v>
      </c>
      <c r="D837" s="24" t="s">
        <v>144</v>
      </c>
      <c r="E837" s="24" t="s">
        <v>145</v>
      </c>
      <c r="F837" s="27">
        <v>0</v>
      </c>
      <c r="G837" s="27">
        <v>0</v>
      </c>
      <c r="H837" s="26">
        <v>0</v>
      </c>
      <c r="I837" s="28">
        <v>0</v>
      </c>
      <c r="J837" s="28">
        <v>0</v>
      </c>
      <c r="K837" s="28">
        <v>0</v>
      </c>
      <c r="L837" s="28">
        <v>0</v>
      </c>
      <c r="M837" s="28">
        <v>0</v>
      </c>
      <c r="N837" s="29">
        <v>0</v>
      </c>
    </row>
    <row r="838" spans="2:14" x14ac:dyDescent="0.25">
      <c r="B838" s="24">
        <v>45348</v>
      </c>
      <c r="C838" s="24">
        <v>45349</v>
      </c>
      <c r="D838" s="24" t="s">
        <v>146</v>
      </c>
      <c r="E838" s="24" t="s">
        <v>147</v>
      </c>
      <c r="F838" s="27">
        <v>0</v>
      </c>
      <c r="G838" s="27">
        <v>0</v>
      </c>
      <c r="H838" s="26">
        <v>0</v>
      </c>
      <c r="I838" s="28">
        <v>0</v>
      </c>
      <c r="J838" s="28">
        <v>0</v>
      </c>
      <c r="K838" s="28">
        <v>0</v>
      </c>
      <c r="L838" s="28">
        <v>0</v>
      </c>
      <c r="M838" s="28">
        <v>0</v>
      </c>
      <c r="N838" s="29">
        <v>0</v>
      </c>
    </row>
    <row r="839" spans="2:14" x14ac:dyDescent="0.25">
      <c r="B839" s="24">
        <v>45348</v>
      </c>
      <c r="C839" s="24">
        <v>45349</v>
      </c>
      <c r="D839" s="24" t="s">
        <v>148</v>
      </c>
      <c r="E839" s="24" t="s">
        <v>149</v>
      </c>
      <c r="F839" s="27">
        <v>0</v>
      </c>
      <c r="G839" s="27">
        <v>0</v>
      </c>
      <c r="H839" s="26">
        <v>0</v>
      </c>
      <c r="I839" s="28">
        <v>0</v>
      </c>
      <c r="J839" s="28">
        <v>0</v>
      </c>
      <c r="K839" s="28">
        <v>0</v>
      </c>
      <c r="L839" s="28">
        <v>0</v>
      </c>
      <c r="M839" s="28">
        <v>0</v>
      </c>
      <c r="N839" s="29">
        <v>0</v>
      </c>
    </row>
    <row r="840" spans="2:14" x14ac:dyDescent="0.25">
      <c r="B840" s="24">
        <v>45348</v>
      </c>
      <c r="C840" s="24">
        <v>45349</v>
      </c>
      <c r="D840" s="24" t="s">
        <v>150</v>
      </c>
      <c r="E840" s="24" t="s">
        <v>151</v>
      </c>
      <c r="F840" s="27">
        <v>0</v>
      </c>
      <c r="G840" s="27">
        <v>0</v>
      </c>
      <c r="H840" s="26">
        <v>0</v>
      </c>
      <c r="I840" s="28">
        <v>0</v>
      </c>
      <c r="J840" s="28">
        <v>0</v>
      </c>
      <c r="K840" s="28">
        <v>0</v>
      </c>
      <c r="L840" s="28">
        <v>0</v>
      </c>
      <c r="M840" s="28">
        <v>0</v>
      </c>
      <c r="N840" s="29">
        <v>0</v>
      </c>
    </row>
    <row r="841" spans="2:14" x14ac:dyDescent="0.25">
      <c r="B841" s="24">
        <v>45348</v>
      </c>
      <c r="C841" s="24">
        <v>45349</v>
      </c>
      <c r="D841" s="24" t="s">
        <v>152</v>
      </c>
      <c r="E841" s="24" t="s">
        <v>153</v>
      </c>
      <c r="F841" s="27">
        <v>210.036235</v>
      </c>
      <c r="G841" s="27">
        <v>67.701929000000007</v>
      </c>
      <c r="H841" s="26">
        <v>127.7</v>
      </c>
      <c r="I841" s="28">
        <v>4.4881140000000004</v>
      </c>
      <c r="J841" s="28">
        <v>52.843316000000002</v>
      </c>
      <c r="K841" s="28">
        <v>52.87</v>
      </c>
      <c r="L841" s="28">
        <v>90.799999</v>
      </c>
      <c r="M841" s="28">
        <v>52.83</v>
      </c>
      <c r="N841" s="29">
        <v>1.3316E-2</v>
      </c>
    </row>
    <row r="842" spans="2:14" x14ac:dyDescent="0.25">
      <c r="B842" s="24">
        <v>45348</v>
      </c>
      <c r="C842" s="24">
        <v>45349</v>
      </c>
      <c r="D842" s="24" t="s">
        <v>154</v>
      </c>
      <c r="E842" s="24" t="s">
        <v>155</v>
      </c>
      <c r="F842" s="27">
        <v>0</v>
      </c>
      <c r="G842" s="27">
        <v>0</v>
      </c>
      <c r="H842" s="26">
        <v>0</v>
      </c>
      <c r="I842" s="28">
        <v>0</v>
      </c>
      <c r="J842" s="28">
        <v>0</v>
      </c>
      <c r="K842" s="28">
        <v>0</v>
      </c>
      <c r="L842" s="28">
        <v>0</v>
      </c>
      <c r="M842" s="28">
        <v>0</v>
      </c>
      <c r="N842" s="29">
        <v>0</v>
      </c>
    </row>
    <row r="843" spans="2:14" x14ac:dyDescent="0.25">
      <c r="B843" s="24">
        <v>45348</v>
      </c>
      <c r="C843" s="24">
        <v>45349</v>
      </c>
      <c r="D843" s="24" t="s">
        <v>156</v>
      </c>
      <c r="E843" s="24" t="s">
        <v>157</v>
      </c>
      <c r="F843" s="27">
        <v>541.21651299999996</v>
      </c>
      <c r="G843" s="27">
        <v>535.28154099999995</v>
      </c>
      <c r="H843" s="26">
        <v>1800</v>
      </c>
      <c r="I843" s="28">
        <v>4.2856170000000002</v>
      </c>
      <c r="J843" s="28">
        <v>29.563006999999999</v>
      </c>
      <c r="K843" s="28">
        <v>29.585000000000001</v>
      </c>
      <c r="L843" s="28">
        <v>100</v>
      </c>
      <c r="M843" s="28">
        <v>29.541</v>
      </c>
      <c r="N843" s="29">
        <v>2.2006999999999999E-2</v>
      </c>
    </row>
    <row r="844" spans="2:14" x14ac:dyDescent="0.25">
      <c r="B844" s="24">
        <v>45348</v>
      </c>
      <c r="C844" s="24">
        <v>45349</v>
      </c>
      <c r="D844" s="24" t="s">
        <v>158</v>
      </c>
      <c r="E844" s="24" t="s">
        <v>159</v>
      </c>
      <c r="F844" s="27">
        <v>0</v>
      </c>
      <c r="G844" s="27">
        <v>0</v>
      </c>
      <c r="H844" s="26">
        <v>0</v>
      </c>
      <c r="I844" s="28">
        <v>0</v>
      </c>
      <c r="J844" s="28">
        <v>0</v>
      </c>
      <c r="K844" s="28">
        <v>0</v>
      </c>
      <c r="L844" s="28">
        <v>0</v>
      </c>
      <c r="M844" s="28">
        <v>0</v>
      </c>
      <c r="N844" s="29">
        <v>0</v>
      </c>
    </row>
    <row r="845" spans="2:14" x14ac:dyDescent="0.25">
      <c r="B845" s="24">
        <v>45348</v>
      </c>
      <c r="C845" s="24">
        <v>45349</v>
      </c>
      <c r="D845" s="24" t="s">
        <v>160</v>
      </c>
      <c r="E845" s="24" t="s">
        <v>161</v>
      </c>
      <c r="F845" s="27">
        <v>81.471153000000001</v>
      </c>
      <c r="G845" s="27">
        <v>0</v>
      </c>
      <c r="H845" s="26">
        <v>0</v>
      </c>
      <c r="I845" s="28">
        <v>0</v>
      </c>
      <c r="J845" s="28">
        <v>0</v>
      </c>
      <c r="K845" s="28">
        <v>0</v>
      </c>
      <c r="L845" s="28">
        <v>0</v>
      </c>
      <c r="M845" s="28">
        <v>0</v>
      </c>
      <c r="N845" s="29">
        <v>0</v>
      </c>
    </row>
    <row r="846" spans="2:14" x14ac:dyDescent="0.25">
      <c r="B846" s="24">
        <v>45348</v>
      </c>
      <c r="C846" s="24">
        <v>45349</v>
      </c>
      <c r="D846" s="24" t="s">
        <v>162</v>
      </c>
      <c r="E846" s="24" t="s">
        <v>163</v>
      </c>
      <c r="F846" s="27">
        <v>44.882415999999999</v>
      </c>
      <c r="G846" s="27">
        <v>11.624577</v>
      </c>
      <c r="H846" s="26">
        <v>25</v>
      </c>
      <c r="I846" s="28">
        <v>4.3045169999999997</v>
      </c>
      <c r="J846" s="28">
        <v>45.93</v>
      </c>
      <c r="K846" s="28">
        <v>45.93</v>
      </c>
      <c r="L846" s="28">
        <v>100</v>
      </c>
      <c r="M846" s="28">
        <v>45.93</v>
      </c>
      <c r="N846" s="29">
        <v>0</v>
      </c>
    </row>
    <row r="847" spans="2:14" x14ac:dyDescent="0.25">
      <c r="B847" s="24">
        <v>45355</v>
      </c>
      <c r="C847" s="24">
        <v>45356</v>
      </c>
      <c r="D847" s="24" t="s">
        <v>98</v>
      </c>
      <c r="E847" s="24" t="s">
        <v>99</v>
      </c>
      <c r="F847" s="27">
        <v>34.273508</v>
      </c>
      <c r="G847" s="27">
        <v>34.273508</v>
      </c>
      <c r="H847" s="26">
        <v>45</v>
      </c>
      <c r="I847" s="28">
        <v>4.0046790000000003</v>
      </c>
      <c r="J847" s="28">
        <v>76.14</v>
      </c>
      <c r="K847" s="28">
        <v>76.14</v>
      </c>
      <c r="L847" s="28">
        <v>100</v>
      </c>
      <c r="M847" s="28">
        <v>76.14</v>
      </c>
      <c r="N847" s="29">
        <v>0</v>
      </c>
    </row>
    <row r="848" spans="2:14" x14ac:dyDescent="0.25">
      <c r="B848" s="24">
        <v>45355</v>
      </c>
      <c r="C848" s="24">
        <v>45356</v>
      </c>
      <c r="D848" s="24" t="s">
        <v>100</v>
      </c>
      <c r="E848" s="24" t="s">
        <v>101</v>
      </c>
      <c r="F848" s="27">
        <v>0</v>
      </c>
      <c r="G848" s="27">
        <v>0</v>
      </c>
      <c r="H848" s="26">
        <v>0</v>
      </c>
      <c r="I848" s="28">
        <v>0</v>
      </c>
      <c r="J848" s="28">
        <v>0</v>
      </c>
      <c r="K848" s="28">
        <v>0</v>
      </c>
      <c r="L848" s="28">
        <v>0</v>
      </c>
      <c r="M848" s="28">
        <v>0</v>
      </c>
      <c r="N848" s="29">
        <v>0</v>
      </c>
    </row>
    <row r="849" spans="2:14" x14ac:dyDescent="0.25">
      <c r="B849" s="24">
        <v>45355</v>
      </c>
      <c r="C849" s="24">
        <v>45356</v>
      </c>
      <c r="D849" s="24" t="s">
        <v>122</v>
      </c>
      <c r="E849" s="24" t="s">
        <v>123</v>
      </c>
      <c r="F849" s="27">
        <v>56.307547999999997</v>
      </c>
      <c r="G849" s="27">
        <v>18.776682999999998</v>
      </c>
      <c r="H849" s="26">
        <v>25</v>
      </c>
      <c r="I849" s="28">
        <v>4.101845</v>
      </c>
      <c r="J849" s="28">
        <v>75.025000000000006</v>
      </c>
      <c r="K849" s="28">
        <v>75.025000000000006</v>
      </c>
      <c r="L849" s="28">
        <v>100</v>
      </c>
      <c r="M849" s="28">
        <v>75.025000000000006</v>
      </c>
      <c r="N849" s="29">
        <v>0</v>
      </c>
    </row>
    <row r="850" spans="2:14" x14ac:dyDescent="0.25">
      <c r="B850" s="24">
        <v>45355</v>
      </c>
      <c r="C850" s="24">
        <v>45356</v>
      </c>
      <c r="D850" s="24" t="s">
        <v>102</v>
      </c>
      <c r="E850" s="24" t="s">
        <v>103</v>
      </c>
      <c r="F850" s="27">
        <v>0</v>
      </c>
      <c r="G850" s="27">
        <v>0</v>
      </c>
      <c r="H850" s="26">
        <v>0</v>
      </c>
      <c r="I850" s="28">
        <v>0</v>
      </c>
      <c r="J850" s="28">
        <v>0</v>
      </c>
      <c r="K850" s="28">
        <v>0</v>
      </c>
      <c r="L850" s="28">
        <v>0</v>
      </c>
      <c r="M850" s="28">
        <v>0</v>
      </c>
      <c r="N850" s="29">
        <v>0</v>
      </c>
    </row>
    <row r="851" spans="2:14" x14ac:dyDescent="0.25">
      <c r="B851" s="24">
        <v>45355</v>
      </c>
      <c r="C851" s="24">
        <v>45356</v>
      </c>
      <c r="D851" s="24" t="s">
        <v>104</v>
      </c>
      <c r="E851" s="24" t="s">
        <v>105</v>
      </c>
      <c r="F851" s="27">
        <v>423.36220500000002</v>
      </c>
      <c r="G851" s="27">
        <v>146.74257900000001</v>
      </c>
      <c r="H851" s="26">
        <v>216</v>
      </c>
      <c r="I851" s="28">
        <v>4.1977320000000002</v>
      </c>
      <c r="J851" s="28">
        <v>67.878003000000007</v>
      </c>
      <c r="K851" s="28">
        <v>67.893000000000001</v>
      </c>
      <c r="L851" s="28">
        <v>100</v>
      </c>
      <c r="M851" s="28">
        <v>67.863</v>
      </c>
      <c r="N851" s="29">
        <v>1.5003000000000001E-2</v>
      </c>
    </row>
    <row r="852" spans="2:14" x14ac:dyDescent="0.25">
      <c r="B852" s="24">
        <v>45355</v>
      </c>
      <c r="C852" s="24">
        <v>45356</v>
      </c>
      <c r="D852" s="24" t="s">
        <v>106</v>
      </c>
      <c r="E852" s="24" t="s">
        <v>107</v>
      </c>
      <c r="F852" s="27">
        <v>405.23992500000003</v>
      </c>
      <c r="G852" s="27">
        <v>25.044162</v>
      </c>
      <c r="H852" s="26">
        <v>25</v>
      </c>
      <c r="I852" s="28">
        <v>4.2286099999999998</v>
      </c>
      <c r="J852" s="28">
        <v>100.2</v>
      </c>
      <c r="K852" s="28">
        <v>100.2</v>
      </c>
      <c r="L852" s="28">
        <v>100</v>
      </c>
      <c r="M852" s="28">
        <v>100.2</v>
      </c>
      <c r="N852" s="29">
        <v>0</v>
      </c>
    </row>
    <row r="853" spans="2:14" x14ac:dyDescent="0.25">
      <c r="B853" s="24">
        <v>45355</v>
      </c>
      <c r="C853" s="24">
        <v>45356</v>
      </c>
      <c r="D853" s="24" t="s">
        <v>108</v>
      </c>
      <c r="E853" s="24" t="s">
        <v>109</v>
      </c>
      <c r="F853" s="27">
        <v>0</v>
      </c>
      <c r="G853" s="27">
        <v>0</v>
      </c>
      <c r="H853" s="26">
        <v>0</v>
      </c>
      <c r="I853" s="28">
        <v>0</v>
      </c>
      <c r="J853" s="28">
        <v>0</v>
      </c>
      <c r="K853" s="28">
        <v>0</v>
      </c>
      <c r="L853" s="28">
        <v>0</v>
      </c>
      <c r="M853" s="28">
        <v>0</v>
      </c>
      <c r="N853" s="29">
        <v>0</v>
      </c>
    </row>
    <row r="854" spans="2:14" x14ac:dyDescent="0.25">
      <c r="B854" s="24">
        <v>45355</v>
      </c>
      <c r="C854" s="24">
        <v>45356</v>
      </c>
      <c r="D854" s="24" t="s">
        <v>110</v>
      </c>
      <c r="E854" s="24" t="s">
        <v>111</v>
      </c>
      <c r="F854" s="27">
        <v>389.44445200000001</v>
      </c>
      <c r="G854" s="27">
        <v>389.44445200000001</v>
      </c>
      <c r="H854" s="26">
        <v>370</v>
      </c>
      <c r="I854" s="28">
        <v>4.3694920000000002</v>
      </c>
      <c r="J854" s="28">
        <v>104.10020299999999</v>
      </c>
      <c r="K854" s="28">
        <v>104.111</v>
      </c>
      <c r="L854" s="28">
        <v>100</v>
      </c>
      <c r="M854" s="28">
        <v>104.08</v>
      </c>
      <c r="N854" s="29">
        <v>2.0202999999999999E-2</v>
      </c>
    </row>
    <row r="855" spans="2:14" x14ac:dyDescent="0.25">
      <c r="B855" s="24">
        <v>45355</v>
      </c>
      <c r="C855" s="24">
        <v>45356</v>
      </c>
      <c r="D855" s="24" t="s">
        <v>112</v>
      </c>
      <c r="E855" s="24" t="s">
        <v>113</v>
      </c>
      <c r="F855" s="27">
        <v>6.4605079999999999</v>
      </c>
      <c r="G855" s="27">
        <v>6.4605079999999999</v>
      </c>
      <c r="H855" s="26">
        <v>10</v>
      </c>
      <c r="I855" s="28">
        <v>4.39663</v>
      </c>
      <c r="J855" s="28">
        <v>64.5</v>
      </c>
      <c r="K855" s="28">
        <v>64.5</v>
      </c>
      <c r="L855" s="28">
        <v>100</v>
      </c>
      <c r="M855" s="28">
        <v>64.5</v>
      </c>
      <c r="N855" s="29">
        <v>0</v>
      </c>
    </row>
    <row r="856" spans="2:14" x14ac:dyDescent="0.25">
      <c r="B856" s="24">
        <v>45355</v>
      </c>
      <c r="C856" s="24">
        <v>45356</v>
      </c>
      <c r="D856" s="24" t="s">
        <v>114</v>
      </c>
      <c r="E856" s="24" t="s">
        <v>115</v>
      </c>
      <c r="F856" s="27">
        <v>73.589985999999996</v>
      </c>
      <c r="G856" s="27">
        <v>49.083323999999998</v>
      </c>
      <c r="H856" s="26">
        <v>50</v>
      </c>
      <c r="I856" s="28">
        <v>4.4124400000000001</v>
      </c>
      <c r="J856" s="28">
        <v>98.190016</v>
      </c>
      <c r="K856" s="28">
        <v>98.23</v>
      </c>
      <c r="L856" s="28">
        <v>100</v>
      </c>
      <c r="M856" s="28">
        <v>98.15</v>
      </c>
      <c r="N856" s="29">
        <v>4.0016000000000003E-2</v>
      </c>
    </row>
    <row r="857" spans="2:14" x14ac:dyDescent="0.25">
      <c r="B857" s="24">
        <v>45355</v>
      </c>
      <c r="C857" s="24">
        <v>45356</v>
      </c>
      <c r="D857" s="24" t="s">
        <v>116</v>
      </c>
      <c r="E857" s="24" t="s">
        <v>117</v>
      </c>
      <c r="F857" s="27">
        <v>0</v>
      </c>
      <c r="G857" s="27">
        <v>0</v>
      </c>
      <c r="H857" s="26">
        <v>0</v>
      </c>
      <c r="I857" s="28">
        <v>0</v>
      </c>
      <c r="J857" s="28">
        <v>0</v>
      </c>
      <c r="K857" s="28">
        <v>0</v>
      </c>
      <c r="L857" s="28">
        <v>0</v>
      </c>
      <c r="M857" s="28">
        <v>0</v>
      </c>
      <c r="N857" s="29">
        <v>0</v>
      </c>
    </row>
    <row r="858" spans="2:14" x14ac:dyDescent="0.25">
      <c r="B858" s="24">
        <v>45355</v>
      </c>
      <c r="C858" s="24">
        <v>45356</v>
      </c>
      <c r="D858" s="24" t="s">
        <v>118</v>
      </c>
      <c r="E858" s="24" t="s">
        <v>119</v>
      </c>
      <c r="F858" s="27">
        <v>6.1684060000000001</v>
      </c>
      <c r="G858" s="27">
        <v>6.1684070000000002</v>
      </c>
      <c r="H858" s="26">
        <v>10</v>
      </c>
      <c r="I858" s="28">
        <v>4.4458549999999999</v>
      </c>
      <c r="J858" s="28">
        <v>61.222999999999999</v>
      </c>
      <c r="K858" s="28">
        <v>61.222999999999999</v>
      </c>
      <c r="L858" s="28">
        <v>100</v>
      </c>
      <c r="M858" s="28">
        <v>61.222999999999999</v>
      </c>
      <c r="N858" s="29">
        <v>0</v>
      </c>
    </row>
    <row r="859" spans="2:14" x14ac:dyDescent="0.25">
      <c r="B859" s="24">
        <v>45355</v>
      </c>
      <c r="C859" s="24">
        <v>45356</v>
      </c>
      <c r="D859" s="24" t="s">
        <v>124</v>
      </c>
      <c r="E859" s="24" t="s">
        <v>125</v>
      </c>
      <c r="F859" s="27">
        <v>40.498004000000002</v>
      </c>
      <c r="G859" s="27">
        <v>40.498004999999999</v>
      </c>
      <c r="H859" s="26">
        <v>40</v>
      </c>
      <c r="I859" s="28">
        <v>4.4875309999999997</v>
      </c>
      <c r="J859" s="28">
        <v>100.15075</v>
      </c>
      <c r="K859" s="28">
        <v>100.15300000000001</v>
      </c>
      <c r="L859" s="28">
        <v>100</v>
      </c>
      <c r="M859" s="28">
        <v>100.15</v>
      </c>
      <c r="N859" s="29">
        <v>7.5000000000000002E-4</v>
      </c>
    </row>
    <row r="860" spans="2:14" x14ac:dyDescent="0.25">
      <c r="B860" s="24">
        <v>45355</v>
      </c>
      <c r="C860" s="24">
        <v>45356</v>
      </c>
      <c r="D860" s="24" t="s">
        <v>126</v>
      </c>
      <c r="E860" s="24" t="s">
        <v>127</v>
      </c>
      <c r="F860" s="27">
        <v>33.491571</v>
      </c>
      <c r="G860" s="27">
        <v>33.491571</v>
      </c>
      <c r="H860" s="26">
        <v>40</v>
      </c>
      <c r="I860" s="28">
        <v>4.5293270000000003</v>
      </c>
      <c r="J860" s="28">
        <v>83.344999999999999</v>
      </c>
      <c r="K860" s="28">
        <v>83.35</v>
      </c>
      <c r="L860" s="28">
        <v>100</v>
      </c>
      <c r="M860" s="28">
        <v>83.34</v>
      </c>
      <c r="N860" s="29">
        <v>5.0000000000000001E-3</v>
      </c>
    </row>
    <row r="861" spans="2:14" x14ac:dyDescent="0.25">
      <c r="B861" s="24">
        <v>45362</v>
      </c>
      <c r="C861" s="24">
        <v>45363</v>
      </c>
      <c r="D861" s="25" t="s">
        <v>82</v>
      </c>
      <c r="E861" s="25" t="s">
        <v>83</v>
      </c>
      <c r="F861" s="26">
        <v>553.73612400000002</v>
      </c>
      <c r="G861" s="27">
        <v>446.79483199999999</v>
      </c>
      <c r="H861" s="26">
        <v>488</v>
      </c>
      <c r="I861" s="28">
        <v>4.0140859999999998</v>
      </c>
      <c r="J861" s="28">
        <v>91.384613999999999</v>
      </c>
      <c r="K861" s="28">
        <v>91.387</v>
      </c>
      <c r="L861" s="29">
        <v>100</v>
      </c>
      <c r="M861" s="28">
        <v>91.381</v>
      </c>
      <c r="N861" s="29">
        <v>3.614E-3</v>
      </c>
    </row>
    <row r="862" spans="2:14" x14ac:dyDescent="0.25">
      <c r="B862" s="24">
        <v>45362</v>
      </c>
      <c r="C862" s="24">
        <v>45363</v>
      </c>
      <c r="D862" s="25" t="s">
        <v>84</v>
      </c>
      <c r="E862" s="25" t="s">
        <v>85</v>
      </c>
      <c r="F862" s="26">
        <v>354.571639</v>
      </c>
      <c r="G862" s="27">
        <v>0</v>
      </c>
      <c r="H862" s="26">
        <v>0</v>
      </c>
      <c r="I862" s="28">
        <v>0</v>
      </c>
      <c r="J862" s="28">
        <v>0</v>
      </c>
      <c r="K862" s="28">
        <v>0</v>
      </c>
      <c r="L862" s="29">
        <v>0</v>
      </c>
      <c r="M862" s="28">
        <v>0</v>
      </c>
      <c r="N862" s="29">
        <v>0</v>
      </c>
    </row>
    <row r="863" spans="2:14" x14ac:dyDescent="0.25">
      <c r="B863" s="24">
        <v>45362</v>
      </c>
      <c r="C863" s="24">
        <v>45363</v>
      </c>
      <c r="D863" s="25" t="s">
        <v>86</v>
      </c>
      <c r="E863" s="25" t="s">
        <v>87</v>
      </c>
      <c r="F863" s="26">
        <v>409.50737800000002</v>
      </c>
      <c r="G863" s="27">
        <v>0</v>
      </c>
      <c r="H863" s="26">
        <v>0</v>
      </c>
      <c r="I863" s="28">
        <v>0</v>
      </c>
      <c r="J863" s="28">
        <v>0</v>
      </c>
      <c r="K863" s="28">
        <v>0</v>
      </c>
      <c r="L863" s="29">
        <v>0</v>
      </c>
      <c r="M863" s="28">
        <v>0</v>
      </c>
      <c r="N863" s="29">
        <v>0</v>
      </c>
    </row>
    <row r="864" spans="2:14" x14ac:dyDescent="0.25">
      <c r="B864" s="24">
        <v>45362</v>
      </c>
      <c r="C864" s="24">
        <v>45363</v>
      </c>
      <c r="D864" s="25" t="s">
        <v>88</v>
      </c>
      <c r="E864" s="25" t="s">
        <v>89</v>
      </c>
      <c r="F864" s="26">
        <v>355.59281099999998</v>
      </c>
      <c r="G864" s="27">
        <v>132.258523</v>
      </c>
      <c r="H864" s="26">
        <v>145</v>
      </c>
      <c r="I864" s="28">
        <v>3.8741840000000001</v>
      </c>
      <c r="J864" s="28">
        <v>90.582310000000007</v>
      </c>
      <c r="K864" s="28">
        <v>90.582999999999998</v>
      </c>
      <c r="L864" s="29">
        <v>100</v>
      </c>
      <c r="M864" s="28">
        <v>90.578000000000003</v>
      </c>
      <c r="N864" s="29">
        <v>4.3099999999999996E-3</v>
      </c>
    </row>
    <row r="865" spans="2:14" x14ac:dyDescent="0.25">
      <c r="B865" s="24">
        <v>45362</v>
      </c>
      <c r="C865" s="24">
        <v>45363</v>
      </c>
      <c r="D865" s="25" t="s">
        <v>90</v>
      </c>
      <c r="E865" s="25" t="s">
        <v>91</v>
      </c>
      <c r="F865" s="26">
        <v>259.89060999999998</v>
      </c>
      <c r="G865" s="27">
        <v>138.257463</v>
      </c>
      <c r="H865" s="26">
        <v>125</v>
      </c>
      <c r="I865" s="28">
        <v>3.8922509999999999</v>
      </c>
      <c r="J865" s="28">
        <v>109.0322</v>
      </c>
      <c r="K865" s="28">
        <v>109.051</v>
      </c>
      <c r="L865" s="29">
        <v>100</v>
      </c>
      <c r="M865" s="28">
        <v>109.02500000000001</v>
      </c>
      <c r="N865" s="29">
        <v>7.1999999999999998E-3</v>
      </c>
    </row>
    <row r="866" spans="2:14" x14ac:dyDescent="0.25">
      <c r="B866" s="24">
        <v>45362</v>
      </c>
      <c r="C866" s="24">
        <v>45363</v>
      </c>
      <c r="D866" s="25" t="s">
        <v>120</v>
      </c>
      <c r="E866" s="25" t="s">
        <v>121</v>
      </c>
      <c r="F866" s="26">
        <v>21.249328999999999</v>
      </c>
      <c r="G866" s="27">
        <v>0</v>
      </c>
      <c r="H866" s="26">
        <v>0</v>
      </c>
      <c r="I866" s="28">
        <v>0</v>
      </c>
      <c r="J866" s="28">
        <v>0</v>
      </c>
      <c r="K866" s="28">
        <v>0</v>
      </c>
      <c r="L866" s="29">
        <v>0</v>
      </c>
      <c r="M866" s="28">
        <v>0</v>
      </c>
      <c r="N866" s="29">
        <v>0</v>
      </c>
    </row>
    <row r="867" spans="2:14" x14ac:dyDescent="0.25">
      <c r="B867" s="24">
        <v>45362</v>
      </c>
      <c r="C867" s="24">
        <v>45363</v>
      </c>
      <c r="D867" s="25" t="s">
        <v>92</v>
      </c>
      <c r="E867" s="25" t="s">
        <v>93</v>
      </c>
      <c r="F867" s="26">
        <v>34.167042000000002</v>
      </c>
      <c r="G867" s="27">
        <v>21.365120000000001</v>
      </c>
      <c r="H867" s="26">
        <v>25</v>
      </c>
      <c r="I867" s="28">
        <v>3.848023</v>
      </c>
      <c r="J867" s="28">
        <v>85.120999999999995</v>
      </c>
      <c r="K867" s="28">
        <v>85.120999999999995</v>
      </c>
      <c r="L867" s="29">
        <v>100</v>
      </c>
      <c r="M867" s="28">
        <v>85.120999999999995</v>
      </c>
      <c r="N867" s="29">
        <v>0</v>
      </c>
    </row>
    <row r="868" spans="2:14" x14ac:dyDescent="0.25">
      <c r="B868" s="24">
        <v>45362</v>
      </c>
      <c r="C868" s="24">
        <v>45363</v>
      </c>
      <c r="D868" s="25" t="s">
        <v>94</v>
      </c>
      <c r="E868" s="25" t="s">
        <v>95</v>
      </c>
      <c r="F868" s="26">
        <v>128.00128599999999</v>
      </c>
      <c r="G868" s="27">
        <v>20.015373</v>
      </c>
      <c r="H868" s="26">
        <v>25</v>
      </c>
      <c r="I868" s="28">
        <v>3.8437000000000001</v>
      </c>
      <c r="J868" s="28">
        <v>79.915999999999997</v>
      </c>
      <c r="K868" s="28">
        <v>79.915999999999997</v>
      </c>
      <c r="L868" s="29">
        <v>100</v>
      </c>
      <c r="M868" s="28">
        <v>79.915999999999997</v>
      </c>
      <c r="N868" s="29">
        <v>0</v>
      </c>
    </row>
    <row r="869" spans="2:14" x14ac:dyDescent="0.25">
      <c r="B869" s="24">
        <v>45362</v>
      </c>
      <c r="C869" s="24">
        <v>45363</v>
      </c>
      <c r="D869" s="25" t="s">
        <v>96</v>
      </c>
      <c r="E869" s="25" t="s">
        <v>97</v>
      </c>
      <c r="F869" s="26">
        <v>106.480901</v>
      </c>
      <c r="G869" s="27">
        <v>41.212752999999999</v>
      </c>
      <c r="H869" s="26">
        <v>38.700000000000003</v>
      </c>
      <c r="I869" s="28">
        <v>3.8572679999999999</v>
      </c>
      <c r="J869" s="28">
        <v>105.247</v>
      </c>
      <c r="K869" s="28">
        <v>105.247</v>
      </c>
      <c r="L869" s="29">
        <v>77.399998999999994</v>
      </c>
      <c r="M869" s="28">
        <v>105.247</v>
      </c>
      <c r="N869" s="29">
        <v>0</v>
      </c>
    </row>
    <row r="870" spans="2:14" x14ac:dyDescent="0.25">
      <c r="B870" s="24">
        <v>45369</v>
      </c>
      <c r="C870" s="24">
        <v>45370</v>
      </c>
      <c r="D870" s="24" t="s">
        <v>98</v>
      </c>
      <c r="E870" s="24" t="s">
        <v>99</v>
      </c>
      <c r="F870" s="27">
        <v>233.73859899999999</v>
      </c>
      <c r="G870" s="27">
        <v>84.343164000000002</v>
      </c>
      <c r="H870" s="26">
        <v>110</v>
      </c>
      <c r="I870" s="28">
        <v>3.932242</v>
      </c>
      <c r="J870" s="28">
        <v>76.642635999999996</v>
      </c>
      <c r="K870" s="28">
        <v>76.650000000000006</v>
      </c>
      <c r="L870" s="28">
        <v>100</v>
      </c>
      <c r="M870" s="28">
        <v>76.635000000000005</v>
      </c>
      <c r="N870" s="29">
        <v>7.6360000000000004E-3</v>
      </c>
    </row>
    <row r="871" spans="2:14" x14ac:dyDescent="0.25">
      <c r="B871" s="24">
        <v>45369</v>
      </c>
      <c r="C871" s="24">
        <v>45370</v>
      </c>
      <c r="D871" s="24" t="s">
        <v>100</v>
      </c>
      <c r="E871" s="24" t="s">
        <v>101</v>
      </c>
      <c r="F871" s="27">
        <v>222.18388200000001</v>
      </c>
      <c r="G871" s="27">
        <v>20.678608000000001</v>
      </c>
      <c r="H871" s="26">
        <v>20</v>
      </c>
      <c r="I871" s="28">
        <v>3.9338109999999999</v>
      </c>
      <c r="J871" s="28">
        <v>102.197001</v>
      </c>
      <c r="K871" s="28">
        <v>102.211</v>
      </c>
      <c r="L871" s="28">
        <v>100</v>
      </c>
      <c r="M871" s="28">
        <v>102.18300000000001</v>
      </c>
      <c r="N871" s="29">
        <v>1.4001E-2</v>
      </c>
    </row>
    <row r="872" spans="2:14" x14ac:dyDescent="0.25">
      <c r="B872" s="24">
        <v>45369</v>
      </c>
      <c r="C872" s="24">
        <v>45370</v>
      </c>
      <c r="D872" s="24" t="s">
        <v>122</v>
      </c>
      <c r="E872" s="24" t="s">
        <v>123</v>
      </c>
      <c r="F872" s="27">
        <v>0</v>
      </c>
      <c r="G872" s="27">
        <v>0</v>
      </c>
      <c r="H872" s="26">
        <v>0</v>
      </c>
      <c r="I872" s="28">
        <v>0</v>
      </c>
      <c r="J872" s="28">
        <v>0</v>
      </c>
      <c r="K872" s="28">
        <v>0</v>
      </c>
      <c r="L872" s="28">
        <v>0</v>
      </c>
      <c r="M872" s="28">
        <v>0</v>
      </c>
      <c r="N872" s="29">
        <v>0</v>
      </c>
    </row>
    <row r="873" spans="2:14" x14ac:dyDescent="0.25">
      <c r="B873" s="24">
        <v>45369</v>
      </c>
      <c r="C873" s="24">
        <v>45370</v>
      </c>
      <c r="D873" s="24" t="s">
        <v>102</v>
      </c>
      <c r="E873" s="24" t="s">
        <v>103</v>
      </c>
      <c r="F873" s="27">
        <v>25.861934000000002</v>
      </c>
      <c r="G873" s="27">
        <v>0</v>
      </c>
      <c r="H873" s="26">
        <v>0</v>
      </c>
      <c r="I873" s="28">
        <v>0</v>
      </c>
      <c r="J873" s="28">
        <v>0</v>
      </c>
      <c r="K873" s="28">
        <v>0</v>
      </c>
      <c r="L873" s="28">
        <v>0</v>
      </c>
      <c r="M873" s="28">
        <v>0</v>
      </c>
      <c r="N873" s="29">
        <v>0</v>
      </c>
    </row>
    <row r="874" spans="2:14" x14ac:dyDescent="0.25">
      <c r="B874" s="24">
        <v>45369</v>
      </c>
      <c r="C874" s="24">
        <v>45370</v>
      </c>
      <c r="D874" s="24" t="s">
        <v>104</v>
      </c>
      <c r="E874" s="24" t="s">
        <v>105</v>
      </c>
      <c r="F874" s="27">
        <v>205.37325200000001</v>
      </c>
      <c r="G874" s="27">
        <v>126.142549</v>
      </c>
      <c r="H874" s="26">
        <v>184.2</v>
      </c>
      <c r="I874" s="28">
        <v>4.1377179999999996</v>
      </c>
      <c r="J874" s="28">
        <v>68.398881000000003</v>
      </c>
      <c r="K874" s="28">
        <v>68.42</v>
      </c>
      <c r="L874" s="28">
        <v>59.2</v>
      </c>
      <c r="M874" s="28">
        <v>68.382999999999996</v>
      </c>
      <c r="N874" s="29">
        <v>1.5880999999999999E-2</v>
      </c>
    </row>
    <row r="875" spans="2:14" x14ac:dyDescent="0.25">
      <c r="B875" s="24">
        <v>45369</v>
      </c>
      <c r="C875" s="24">
        <v>45370</v>
      </c>
      <c r="D875" s="24" t="s">
        <v>106</v>
      </c>
      <c r="E875" s="24" t="s">
        <v>107</v>
      </c>
      <c r="F875" s="27">
        <v>731.47722099999999</v>
      </c>
      <c r="G875" s="27">
        <v>429.83445999999998</v>
      </c>
      <c r="H875" s="26">
        <v>426</v>
      </c>
      <c r="I875" s="28">
        <v>4.1683909999999997</v>
      </c>
      <c r="J875" s="28">
        <v>100.761528</v>
      </c>
      <c r="K875" s="28">
        <v>100.786</v>
      </c>
      <c r="L875" s="28">
        <v>100</v>
      </c>
      <c r="M875" s="28">
        <v>100.66800000000001</v>
      </c>
      <c r="N875" s="29">
        <v>9.3528E-2</v>
      </c>
    </row>
    <row r="876" spans="2:14" x14ac:dyDescent="0.25">
      <c r="B876" s="24">
        <v>45369</v>
      </c>
      <c r="C876" s="24">
        <v>45370</v>
      </c>
      <c r="D876" s="24" t="s">
        <v>108</v>
      </c>
      <c r="E876" s="24" t="s">
        <v>109</v>
      </c>
      <c r="F876" s="27">
        <v>55.891047999999998</v>
      </c>
      <c r="G876" s="27">
        <v>55.891049000000002</v>
      </c>
      <c r="H876" s="26">
        <v>75</v>
      </c>
      <c r="I876" s="28">
        <v>4.2615109999999996</v>
      </c>
      <c r="J876" s="28">
        <v>74.464333999999994</v>
      </c>
      <c r="K876" s="28">
        <v>74.472999999999999</v>
      </c>
      <c r="L876" s="28">
        <v>100</v>
      </c>
      <c r="M876" s="28">
        <v>74.454999999999998</v>
      </c>
      <c r="N876" s="29">
        <v>9.3340000000000003E-3</v>
      </c>
    </row>
    <row r="877" spans="2:14" x14ac:dyDescent="0.25">
      <c r="B877" s="24">
        <v>45369</v>
      </c>
      <c r="C877" s="24">
        <v>45370</v>
      </c>
      <c r="D877" s="24" t="s">
        <v>110</v>
      </c>
      <c r="E877" s="24" t="s">
        <v>111</v>
      </c>
      <c r="F877" s="27">
        <v>0</v>
      </c>
      <c r="G877" s="27">
        <v>0</v>
      </c>
      <c r="H877" s="26">
        <v>0</v>
      </c>
      <c r="I877" s="28">
        <v>0</v>
      </c>
      <c r="J877" s="28">
        <v>0</v>
      </c>
      <c r="K877" s="28">
        <v>0</v>
      </c>
      <c r="L877" s="28">
        <v>0</v>
      </c>
      <c r="M877" s="28">
        <v>0</v>
      </c>
      <c r="N877" s="29">
        <v>0</v>
      </c>
    </row>
    <row r="878" spans="2:14" x14ac:dyDescent="0.25">
      <c r="B878" s="24">
        <v>45369</v>
      </c>
      <c r="C878" s="24">
        <v>45370</v>
      </c>
      <c r="D878" s="24" t="s">
        <v>112</v>
      </c>
      <c r="E878" s="24" t="s">
        <v>113</v>
      </c>
      <c r="F878" s="27">
        <v>0</v>
      </c>
      <c r="G878" s="27">
        <v>0</v>
      </c>
      <c r="H878" s="26">
        <v>0</v>
      </c>
      <c r="I878" s="28">
        <v>0</v>
      </c>
      <c r="J878" s="28">
        <v>0</v>
      </c>
      <c r="K878" s="28">
        <v>0</v>
      </c>
      <c r="L878" s="28">
        <v>0</v>
      </c>
      <c r="M878" s="28">
        <v>0</v>
      </c>
      <c r="N878" s="29">
        <v>0</v>
      </c>
    </row>
    <row r="879" spans="2:14" x14ac:dyDescent="0.25">
      <c r="B879" s="24">
        <v>45369</v>
      </c>
      <c r="C879" s="24">
        <v>45370</v>
      </c>
      <c r="D879" s="24" t="s">
        <v>114</v>
      </c>
      <c r="E879" s="24" t="s">
        <v>115</v>
      </c>
      <c r="F879" s="27">
        <v>0</v>
      </c>
      <c r="G879" s="27">
        <v>0</v>
      </c>
      <c r="H879" s="26">
        <v>0</v>
      </c>
      <c r="I879" s="28">
        <v>0</v>
      </c>
      <c r="J879" s="28">
        <v>0</v>
      </c>
      <c r="K879" s="28">
        <v>0</v>
      </c>
      <c r="L879" s="28">
        <v>0</v>
      </c>
      <c r="M879" s="28">
        <v>0</v>
      </c>
      <c r="N879" s="29">
        <v>0</v>
      </c>
    </row>
    <row r="880" spans="2:14" x14ac:dyDescent="0.25">
      <c r="B880" s="24">
        <v>45369</v>
      </c>
      <c r="C880" s="24">
        <v>45370</v>
      </c>
      <c r="D880" s="24" t="s">
        <v>116</v>
      </c>
      <c r="E880" s="24" t="s">
        <v>117</v>
      </c>
      <c r="F880" s="27">
        <v>0</v>
      </c>
      <c r="G880" s="27">
        <v>0</v>
      </c>
      <c r="H880" s="26">
        <v>0</v>
      </c>
      <c r="I880" s="28">
        <v>0</v>
      </c>
      <c r="J880" s="28">
        <v>0</v>
      </c>
      <c r="K880" s="28">
        <v>0</v>
      </c>
      <c r="L880" s="28">
        <v>0</v>
      </c>
      <c r="M880" s="28">
        <v>0</v>
      </c>
      <c r="N880" s="29">
        <v>0</v>
      </c>
    </row>
    <row r="881" spans="2:14" x14ac:dyDescent="0.25">
      <c r="B881" s="24">
        <v>45369</v>
      </c>
      <c r="C881" s="24">
        <v>45370</v>
      </c>
      <c r="D881" s="24" t="s">
        <v>118</v>
      </c>
      <c r="E881" s="24" t="s">
        <v>119</v>
      </c>
      <c r="F881" s="27">
        <v>61.963878999999999</v>
      </c>
      <c r="G881" s="27">
        <v>0</v>
      </c>
      <c r="H881" s="26">
        <v>0</v>
      </c>
      <c r="I881" s="28">
        <v>0</v>
      </c>
      <c r="J881" s="28">
        <v>0</v>
      </c>
      <c r="K881" s="28">
        <v>0</v>
      </c>
      <c r="L881" s="28">
        <v>0</v>
      </c>
      <c r="M881" s="28">
        <v>0</v>
      </c>
      <c r="N881" s="29">
        <v>0</v>
      </c>
    </row>
    <row r="882" spans="2:14" x14ac:dyDescent="0.25">
      <c r="B882" s="24">
        <v>45369</v>
      </c>
      <c r="C882" s="24">
        <v>45370</v>
      </c>
      <c r="D882" s="24" t="s">
        <v>124</v>
      </c>
      <c r="E882" s="24" t="s">
        <v>125</v>
      </c>
      <c r="F882" s="27">
        <v>20.399277999999999</v>
      </c>
      <c r="G882" s="27">
        <v>20.399279</v>
      </c>
      <c r="H882" s="26">
        <v>20</v>
      </c>
      <c r="I882" s="28">
        <v>4.4416779999999996</v>
      </c>
      <c r="J882" s="28">
        <v>100.730003</v>
      </c>
      <c r="K882" s="28">
        <v>100.75</v>
      </c>
      <c r="L882" s="28">
        <v>100</v>
      </c>
      <c r="M882" s="28">
        <v>100.71</v>
      </c>
      <c r="N882" s="29">
        <v>2.0003E-2</v>
      </c>
    </row>
    <row r="883" spans="2:14" x14ac:dyDescent="0.25">
      <c r="B883" s="24">
        <v>45369</v>
      </c>
      <c r="C883" s="24">
        <v>45370</v>
      </c>
      <c r="D883" s="24" t="s">
        <v>126</v>
      </c>
      <c r="E883" s="24" t="s">
        <v>127</v>
      </c>
      <c r="F883" s="27">
        <v>12.661339</v>
      </c>
      <c r="G883" s="27">
        <v>12.661339</v>
      </c>
      <c r="H883" s="26">
        <v>15</v>
      </c>
      <c r="I883" s="28">
        <v>4.4832700000000001</v>
      </c>
      <c r="J883" s="28">
        <v>83.9</v>
      </c>
      <c r="K883" s="28">
        <v>83.9</v>
      </c>
      <c r="L883" s="28">
        <v>100</v>
      </c>
      <c r="M883" s="28">
        <v>83.9</v>
      </c>
      <c r="N883" s="29">
        <v>0</v>
      </c>
    </row>
    <row r="884" spans="2:14" x14ac:dyDescent="0.25">
      <c r="B884" s="24">
        <v>45376</v>
      </c>
      <c r="C884" s="24">
        <v>45377</v>
      </c>
      <c r="D884" s="25" t="s">
        <v>128</v>
      </c>
      <c r="E884" s="25" t="s">
        <v>129</v>
      </c>
      <c r="F884" s="26">
        <v>0</v>
      </c>
      <c r="G884" s="27">
        <v>0</v>
      </c>
      <c r="H884" s="26">
        <v>0</v>
      </c>
      <c r="I884" s="28">
        <v>0</v>
      </c>
      <c r="J884" s="28">
        <v>0</v>
      </c>
      <c r="K884" s="28">
        <v>0</v>
      </c>
      <c r="L884" s="29">
        <v>0</v>
      </c>
      <c r="M884" s="28">
        <v>0</v>
      </c>
      <c r="N884" s="29">
        <v>0</v>
      </c>
    </row>
    <row r="885" spans="2:14" x14ac:dyDescent="0.25">
      <c r="B885" s="24">
        <v>45376</v>
      </c>
      <c r="C885" s="24">
        <v>45377</v>
      </c>
      <c r="D885" s="25" t="s">
        <v>130</v>
      </c>
      <c r="E885" s="25" t="s">
        <v>131</v>
      </c>
      <c r="F885" s="26">
        <v>70.417096000000001</v>
      </c>
      <c r="G885" s="27">
        <v>0</v>
      </c>
      <c r="H885" s="26">
        <v>0</v>
      </c>
      <c r="I885" s="28">
        <v>0</v>
      </c>
      <c r="J885" s="28">
        <v>0</v>
      </c>
      <c r="K885" s="28">
        <v>0</v>
      </c>
      <c r="L885" s="29">
        <v>0</v>
      </c>
      <c r="M885" s="28">
        <v>0</v>
      </c>
      <c r="N885" s="29">
        <v>0</v>
      </c>
    </row>
    <row r="886" spans="2:14" x14ac:dyDescent="0.25">
      <c r="B886" s="24">
        <v>45376</v>
      </c>
      <c r="C886" s="24">
        <v>45377</v>
      </c>
      <c r="D886" s="25" t="s">
        <v>132</v>
      </c>
      <c r="E886" s="25" t="s">
        <v>133</v>
      </c>
      <c r="F886" s="26">
        <v>44.130144999999999</v>
      </c>
      <c r="G886" s="27">
        <v>0</v>
      </c>
      <c r="H886" s="26">
        <v>0</v>
      </c>
      <c r="I886" s="28">
        <v>0</v>
      </c>
      <c r="J886" s="28">
        <v>0</v>
      </c>
      <c r="K886" s="28">
        <v>0</v>
      </c>
      <c r="L886" s="29">
        <v>0</v>
      </c>
      <c r="M886" s="28">
        <v>0</v>
      </c>
      <c r="N886" s="29">
        <v>0</v>
      </c>
    </row>
    <row r="887" spans="2:14" x14ac:dyDescent="0.25">
      <c r="B887" s="24">
        <v>45376</v>
      </c>
      <c r="C887" s="24">
        <v>45377</v>
      </c>
      <c r="D887" s="25" t="s">
        <v>134</v>
      </c>
      <c r="E887" s="25" t="s">
        <v>135</v>
      </c>
      <c r="F887" s="26">
        <v>0</v>
      </c>
      <c r="G887" s="27">
        <v>0</v>
      </c>
      <c r="H887" s="26">
        <v>0</v>
      </c>
      <c r="I887" s="28">
        <v>0</v>
      </c>
      <c r="J887" s="28">
        <v>0</v>
      </c>
      <c r="K887" s="28">
        <v>0</v>
      </c>
      <c r="L887" s="29">
        <v>0</v>
      </c>
      <c r="M887" s="28">
        <v>0</v>
      </c>
      <c r="N887" s="29">
        <v>0</v>
      </c>
    </row>
    <row r="888" spans="2:14" x14ac:dyDescent="0.25">
      <c r="B888" s="24">
        <v>45376</v>
      </c>
      <c r="C888" s="24">
        <v>45377</v>
      </c>
      <c r="D888" s="25" t="s">
        <v>136</v>
      </c>
      <c r="E888" s="25" t="s">
        <v>137</v>
      </c>
      <c r="F888" s="26">
        <v>14.954423</v>
      </c>
      <c r="G888" s="27">
        <v>0</v>
      </c>
      <c r="H888" s="26">
        <v>0</v>
      </c>
      <c r="I888" s="28">
        <v>0</v>
      </c>
      <c r="J888" s="28">
        <v>0</v>
      </c>
      <c r="K888" s="28">
        <v>0</v>
      </c>
      <c r="L888" s="29">
        <v>0</v>
      </c>
      <c r="M888" s="28">
        <v>0</v>
      </c>
      <c r="N888" s="29">
        <v>0</v>
      </c>
    </row>
    <row r="889" spans="2:14" x14ac:dyDescent="0.25">
      <c r="B889" s="24">
        <v>45376</v>
      </c>
      <c r="C889" s="24">
        <v>45377</v>
      </c>
      <c r="D889" s="25" t="s">
        <v>138</v>
      </c>
      <c r="E889" s="25" t="s">
        <v>139</v>
      </c>
      <c r="F889" s="26">
        <v>39.068928</v>
      </c>
      <c r="G889" s="27">
        <v>0</v>
      </c>
      <c r="H889" s="26">
        <v>0</v>
      </c>
      <c r="I889" s="28">
        <v>0</v>
      </c>
      <c r="J889" s="28">
        <v>0</v>
      </c>
      <c r="K889" s="28">
        <v>0</v>
      </c>
      <c r="L889" s="29">
        <v>0</v>
      </c>
      <c r="M889" s="28">
        <v>0</v>
      </c>
      <c r="N889" s="29">
        <v>0</v>
      </c>
    </row>
    <row r="890" spans="2:14" x14ac:dyDescent="0.25">
      <c r="B890" s="24">
        <v>45376</v>
      </c>
      <c r="C890" s="24">
        <v>45377</v>
      </c>
      <c r="D890" s="25" t="s">
        <v>140</v>
      </c>
      <c r="E890" s="25" t="s">
        <v>141</v>
      </c>
      <c r="F890" s="26">
        <v>210.67790600000001</v>
      </c>
      <c r="G890" s="27">
        <v>140.50293770490799</v>
      </c>
      <c r="H890" s="26">
        <v>340</v>
      </c>
      <c r="I890" s="28">
        <v>4.414568</v>
      </c>
      <c r="J890" s="28">
        <v>41.058005000000001</v>
      </c>
      <c r="K890" s="28">
        <v>41.073</v>
      </c>
      <c r="L890" s="29">
        <v>100</v>
      </c>
      <c r="M890" s="28">
        <v>41.042999999999999</v>
      </c>
      <c r="N890" s="29">
        <v>1.5004999999999999E-2</v>
      </c>
    </row>
    <row r="891" spans="2:14" x14ac:dyDescent="0.25">
      <c r="B891" s="24">
        <v>45376</v>
      </c>
      <c r="C891" s="24">
        <v>45377</v>
      </c>
      <c r="D891" s="25" t="s">
        <v>142</v>
      </c>
      <c r="E891" s="25" t="s">
        <v>143</v>
      </c>
      <c r="F891" s="26">
        <v>29.773323999999999</v>
      </c>
      <c r="G891" s="27">
        <v>0</v>
      </c>
      <c r="H891" s="26">
        <v>0</v>
      </c>
      <c r="I891" s="28">
        <v>0</v>
      </c>
      <c r="J891" s="28">
        <v>0</v>
      </c>
      <c r="K891" s="28">
        <v>0</v>
      </c>
      <c r="L891" s="29">
        <v>0</v>
      </c>
      <c r="M891" s="28">
        <v>0</v>
      </c>
      <c r="N891" s="29">
        <v>0</v>
      </c>
    </row>
    <row r="892" spans="2:14" x14ac:dyDescent="0.25">
      <c r="B892" s="24">
        <v>45376</v>
      </c>
      <c r="C892" s="24">
        <v>45377</v>
      </c>
      <c r="D892" s="25" t="s">
        <v>144</v>
      </c>
      <c r="E892" s="25" t="s">
        <v>145</v>
      </c>
      <c r="F892" s="26">
        <v>17.791868000000001</v>
      </c>
      <c r="G892" s="27">
        <v>0</v>
      </c>
      <c r="H892" s="26">
        <v>0</v>
      </c>
      <c r="I892" s="28">
        <v>0</v>
      </c>
      <c r="J892" s="28">
        <v>0</v>
      </c>
      <c r="K892" s="28">
        <v>0</v>
      </c>
      <c r="L892" s="29">
        <v>0</v>
      </c>
      <c r="M892" s="28">
        <v>0</v>
      </c>
      <c r="N892" s="29">
        <v>0</v>
      </c>
    </row>
    <row r="893" spans="2:14" x14ac:dyDescent="0.25">
      <c r="B893" s="24">
        <v>45376</v>
      </c>
      <c r="C893" s="24">
        <v>45377</v>
      </c>
      <c r="D893" s="25" t="s">
        <v>146</v>
      </c>
      <c r="E893" s="25" t="s">
        <v>147</v>
      </c>
      <c r="F893" s="26">
        <v>0</v>
      </c>
      <c r="G893" s="27">
        <v>0</v>
      </c>
      <c r="H893" s="26">
        <v>0</v>
      </c>
      <c r="I893" s="28">
        <v>0</v>
      </c>
      <c r="J893" s="28">
        <v>0</v>
      </c>
      <c r="K893" s="28">
        <v>0</v>
      </c>
      <c r="L893" s="29">
        <v>0</v>
      </c>
      <c r="M893" s="28">
        <v>0</v>
      </c>
      <c r="N893" s="29">
        <v>0</v>
      </c>
    </row>
    <row r="894" spans="2:14" x14ac:dyDescent="0.25">
      <c r="B894" s="24">
        <v>45376</v>
      </c>
      <c r="C894" s="24">
        <v>45377</v>
      </c>
      <c r="D894" s="25" t="s">
        <v>148</v>
      </c>
      <c r="E894" s="25" t="s">
        <v>149</v>
      </c>
      <c r="F894" s="26">
        <v>188.89717999999999</v>
      </c>
      <c r="G894" s="27">
        <v>0</v>
      </c>
      <c r="H894" s="26">
        <v>0</v>
      </c>
      <c r="I894" s="28">
        <v>0</v>
      </c>
      <c r="J894" s="28">
        <v>0</v>
      </c>
      <c r="K894" s="28">
        <v>0</v>
      </c>
      <c r="L894" s="29">
        <v>0</v>
      </c>
      <c r="M894" s="28">
        <v>0</v>
      </c>
      <c r="N894" s="29">
        <v>0</v>
      </c>
    </row>
    <row r="895" spans="2:14" x14ac:dyDescent="0.25">
      <c r="B895" s="24">
        <v>45376</v>
      </c>
      <c r="C895" s="24">
        <v>45377</v>
      </c>
      <c r="D895" s="25" t="s">
        <v>150</v>
      </c>
      <c r="E895" s="25" t="s">
        <v>151</v>
      </c>
      <c r="F895" s="26">
        <v>0</v>
      </c>
      <c r="G895" s="27">
        <v>0</v>
      </c>
      <c r="H895" s="26">
        <v>0</v>
      </c>
      <c r="I895" s="28">
        <v>0</v>
      </c>
      <c r="J895" s="28">
        <v>0</v>
      </c>
      <c r="K895" s="28">
        <v>0</v>
      </c>
      <c r="L895" s="29">
        <v>0</v>
      </c>
      <c r="M895" s="28">
        <v>0</v>
      </c>
      <c r="N895" s="29">
        <v>0</v>
      </c>
    </row>
    <row r="896" spans="2:14" x14ac:dyDescent="0.25">
      <c r="B896" s="24">
        <v>45376</v>
      </c>
      <c r="C896" s="24">
        <v>45377</v>
      </c>
      <c r="D896" s="25" t="s">
        <v>152</v>
      </c>
      <c r="E896" s="25" t="s">
        <v>153</v>
      </c>
      <c r="F896" s="26">
        <v>0</v>
      </c>
      <c r="G896" s="27">
        <v>0</v>
      </c>
      <c r="H896" s="26">
        <v>0</v>
      </c>
      <c r="I896" s="28">
        <v>0</v>
      </c>
      <c r="J896" s="28">
        <v>0</v>
      </c>
      <c r="K896" s="28">
        <v>0</v>
      </c>
      <c r="L896" s="29">
        <v>0</v>
      </c>
      <c r="M896" s="28">
        <v>0</v>
      </c>
      <c r="N896" s="29">
        <v>0</v>
      </c>
    </row>
    <row r="897" spans="2:14" x14ac:dyDescent="0.25">
      <c r="B897" s="24">
        <v>45376</v>
      </c>
      <c r="C897" s="24">
        <v>45377</v>
      </c>
      <c r="D897" s="25" t="s">
        <v>154</v>
      </c>
      <c r="E897" s="25" t="s">
        <v>155</v>
      </c>
      <c r="F897" s="26">
        <v>11.176354999999999</v>
      </c>
      <c r="G897" s="27">
        <v>0</v>
      </c>
      <c r="H897" s="26">
        <v>0</v>
      </c>
      <c r="I897" s="28">
        <v>0</v>
      </c>
      <c r="J897" s="28">
        <v>0</v>
      </c>
      <c r="K897" s="28">
        <v>0</v>
      </c>
      <c r="L897" s="29">
        <v>0</v>
      </c>
      <c r="M897" s="28">
        <v>0</v>
      </c>
      <c r="N897" s="29">
        <v>0</v>
      </c>
    </row>
    <row r="898" spans="2:14" x14ac:dyDescent="0.25">
      <c r="B898" s="24">
        <v>45376</v>
      </c>
      <c r="C898" s="24">
        <v>45377</v>
      </c>
      <c r="D898" s="25" t="s">
        <v>156</v>
      </c>
      <c r="E898" s="25" t="s">
        <v>157</v>
      </c>
      <c r="F898" s="26">
        <v>356.70142099999998</v>
      </c>
      <c r="G898" s="27">
        <v>356.70142114755998</v>
      </c>
      <c r="H898" s="26">
        <v>1160</v>
      </c>
      <c r="I898" s="28">
        <v>4.1831170000000002</v>
      </c>
      <c r="J898" s="28">
        <v>30.537009000000001</v>
      </c>
      <c r="K898" s="28">
        <v>30.545999999999999</v>
      </c>
      <c r="L898" s="29">
        <v>100</v>
      </c>
      <c r="M898" s="28">
        <v>30.527999999999999</v>
      </c>
      <c r="N898" s="29">
        <v>9.0089999999999996E-3</v>
      </c>
    </row>
    <row r="899" spans="2:14" x14ac:dyDescent="0.25">
      <c r="B899" s="24">
        <v>45376</v>
      </c>
      <c r="C899" s="24">
        <v>45377</v>
      </c>
      <c r="D899" s="25" t="s">
        <v>158</v>
      </c>
      <c r="E899" s="25" t="s">
        <v>159</v>
      </c>
      <c r="F899" s="26">
        <v>3.2529780000000001</v>
      </c>
      <c r="G899" s="27">
        <v>0</v>
      </c>
      <c r="H899" s="26">
        <v>0</v>
      </c>
      <c r="I899" s="28">
        <v>0</v>
      </c>
      <c r="J899" s="28">
        <v>0</v>
      </c>
      <c r="K899" s="28">
        <v>0</v>
      </c>
      <c r="L899" s="29">
        <v>0</v>
      </c>
      <c r="M899" s="28">
        <v>0</v>
      </c>
      <c r="N899" s="29">
        <v>0</v>
      </c>
    </row>
    <row r="900" spans="2:14" x14ac:dyDescent="0.25">
      <c r="B900" s="24">
        <v>45376</v>
      </c>
      <c r="C900" s="24">
        <v>45377</v>
      </c>
      <c r="D900" s="25" t="s">
        <v>160</v>
      </c>
      <c r="E900" s="25" t="s">
        <v>161</v>
      </c>
      <c r="F900" s="26">
        <v>37.598872999999998</v>
      </c>
      <c r="G900" s="27">
        <v>0</v>
      </c>
      <c r="H900" s="26">
        <v>0</v>
      </c>
      <c r="I900" s="28">
        <v>0</v>
      </c>
      <c r="J900" s="28">
        <v>0</v>
      </c>
      <c r="K900" s="28">
        <v>0</v>
      </c>
      <c r="L900" s="29">
        <v>0</v>
      </c>
      <c r="M900" s="28">
        <v>0</v>
      </c>
      <c r="N900" s="29">
        <v>0</v>
      </c>
    </row>
    <row r="901" spans="2:14" x14ac:dyDescent="0.25">
      <c r="B901" s="24">
        <v>45376</v>
      </c>
      <c r="C901" s="24">
        <v>45377</v>
      </c>
      <c r="D901" s="25" t="s">
        <v>162</v>
      </c>
      <c r="E901" s="25" t="s">
        <v>163</v>
      </c>
      <c r="F901" s="26">
        <v>191.266491</v>
      </c>
      <c r="G901" s="27">
        <v>152.77894032787</v>
      </c>
      <c r="H901" s="26">
        <v>319.5</v>
      </c>
      <c r="I901" s="28">
        <v>4.2042780000000004</v>
      </c>
      <c r="J901" s="28">
        <v>47.125512000000001</v>
      </c>
      <c r="K901" s="28">
        <v>47.13</v>
      </c>
      <c r="L901" s="29">
        <v>59.75</v>
      </c>
      <c r="M901" s="28">
        <v>47.118000000000002</v>
      </c>
      <c r="N901" s="29">
        <v>7.5119999999999996E-3</v>
      </c>
    </row>
    <row r="902" spans="2:14" x14ac:dyDescent="0.25">
      <c r="B902" s="24">
        <v>45390</v>
      </c>
      <c r="C902" s="24">
        <v>45391</v>
      </c>
      <c r="D902" s="25" t="s">
        <v>82</v>
      </c>
      <c r="E902" s="25" t="s">
        <v>83</v>
      </c>
      <c r="F902" s="26">
        <v>341.42337800000001</v>
      </c>
      <c r="G902" s="27">
        <v>165.21724285714799</v>
      </c>
      <c r="H902" s="26">
        <v>180</v>
      </c>
      <c r="I902" s="28">
        <v>4.0311089999999998</v>
      </c>
      <c r="J902" s="28">
        <v>91.519499999999994</v>
      </c>
      <c r="K902" s="28">
        <v>91.525000000000006</v>
      </c>
      <c r="L902" s="29">
        <v>100</v>
      </c>
      <c r="M902" s="28">
        <v>91.516000000000005</v>
      </c>
      <c r="N902" s="29">
        <v>3.5000000000000001E-3</v>
      </c>
    </row>
    <row r="903" spans="2:14" x14ac:dyDescent="0.25">
      <c r="B903" s="24">
        <v>45390</v>
      </c>
      <c r="C903" s="24">
        <v>45391</v>
      </c>
      <c r="D903" s="25" t="s">
        <v>84</v>
      </c>
      <c r="E903" s="25" t="s">
        <v>85</v>
      </c>
      <c r="F903" s="26">
        <v>316.71966099999997</v>
      </c>
      <c r="G903" s="27">
        <v>0</v>
      </c>
      <c r="H903" s="26">
        <v>0</v>
      </c>
      <c r="I903" s="28">
        <v>0</v>
      </c>
      <c r="J903" s="28">
        <v>0</v>
      </c>
      <c r="K903" s="28">
        <v>0</v>
      </c>
      <c r="L903" s="29">
        <v>0</v>
      </c>
      <c r="M903" s="28">
        <v>0</v>
      </c>
      <c r="N903" s="29">
        <v>0</v>
      </c>
    </row>
    <row r="904" spans="2:14" x14ac:dyDescent="0.25">
      <c r="B904" s="24">
        <v>45390</v>
      </c>
      <c r="C904" s="24">
        <v>45391</v>
      </c>
      <c r="D904" s="25" t="s">
        <v>86</v>
      </c>
      <c r="E904" s="25" t="s">
        <v>87</v>
      </c>
      <c r="F904" s="26">
        <v>967.79685700000005</v>
      </c>
      <c r="G904" s="27">
        <v>594.33763502750799</v>
      </c>
      <c r="H904" s="26">
        <v>687</v>
      </c>
      <c r="I904" s="28">
        <v>3.9818410000000002</v>
      </c>
      <c r="J904" s="28">
        <v>86.488332999999997</v>
      </c>
      <c r="K904" s="28">
        <v>86.492000000000004</v>
      </c>
      <c r="L904" s="29">
        <v>100</v>
      </c>
      <c r="M904" s="28">
        <v>86.484999999999999</v>
      </c>
      <c r="N904" s="29">
        <v>3.333E-3</v>
      </c>
    </row>
    <row r="905" spans="2:14" x14ac:dyDescent="0.25">
      <c r="B905" s="24">
        <v>45390</v>
      </c>
      <c r="C905" s="24">
        <v>45391</v>
      </c>
      <c r="D905" s="25" t="s">
        <v>88</v>
      </c>
      <c r="E905" s="25" t="s">
        <v>89</v>
      </c>
      <c r="F905" s="26">
        <v>63.949846999999998</v>
      </c>
      <c r="G905" s="27">
        <v>0</v>
      </c>
      <c r="H905" s="26">
        <v>0</v>
      </c>
      <c r="I905" s="28">
        <v>0</v>
      </c>
      <c r="J905" s="28">
        <v>0</v>
      </c>
      <c r="K905" s="28">
        <v>0</v>
      </c>
      <c r="L905" s="29">
        <v>0</v>
      </c>
      <c r="M905" s="28">
        <v>0</v>
      </c>
      <c r="N905" s="29">
        <v>0</v>
      </c>
    </row>
    <row r="906" spans="2:14" x14ac:dyDescent="0.25">
      <c r="B906" s="24">
        <v>45390</v>
      </c>
      <c r="C906" s="24">
        <v>45391</v>
      </c>
      <c r="D906" s="25" t="s">
        <v>90</v>
      </c>
      <c r="E906" s="25" t="s">
        <v>91</v>
      </c>
      <c r="F906" s="26">
        <v>13.289134000000001</v>
      </c>
      <c r="G906" s="27">
        <v>0</v>
      </c>
      <c r="H906" s="26">
        <v>0</v>
      </c>
      <c r="I906" s="28">
        <v>0</v>
      </c>
      <c r="J906" s="28">
        <v>0</v>
      </c>
      <c r="K906" s="28">
        <v>0</v>
      </c>
      <c r="L906" s="29">
        <v>0</v>
      </c>
      <c r="M906" s="28">
        <v>0</v>
      </c>
      <c r="N906" s="29">
        <v>0</v>
      </c>
    </row>
    <row r="907" spans="2:14" x14ac:dyDescent="0.25">
      <c r="B907" s="24">
        <v>45390</v>
      </c>
      <c r="C907" s="24">
        <v>45391</v>
      </c>
      <c r="D907" s="25" t="s">
        <v>120</v>
      </c>
      <c r="E907" s="25" t="s">
        <v>121</v>
      </c>
      <c r="F907" s="26">
        <v>127.53216999999999</v>
      </c>
      <c r="G907" s="27">
        <v>0</v>
      </c>
      <c r="H907" s="26">
        <v>0</v>
      </c>
      <c r="I907" s="28">
        <v>0</v>
      </c>
      <c r="J907" s="28">
        <v>0</v>
      </c>
      <c r="K907" s="28">
        <v>0</v>
      </c>
      <c r="L907" s="29">
        <v>0</v>
      </c>
      <c r="M907" s="28">
        <v>0</v>
      </c>
      <c r="N907" s="29">
        <v>0</v>
      </c>
    </row>
    <row r="908" spans="2:14" x14ac:dyDescent="0.25">
      <c r="B908" s="24">
        <v>45390</v>
      </c>
      <c r="C908" s="24">
        <v>45391</v>
      </c>
      <c r="D908" s="25" t="s">
        <v>92</v>
      </c>
      <c r="E908" s="25" t="s">
        <v>93</v>
      </c>
      <c r="F908" s="26">
        <v>64.130565000000004</v>
      </c>
      <c r="G908" s="27">
        <v>40.445010021858998</v>
      </c>
      <c r="H908" s="26">
        <v>47.3</v>
      </c>
      <c r="I908" s="28">
        <v>3.8928889999999998</v>
      </c>
      <c r="J908" s="28">
        <v>85.100999999999999</v>
      </c>
      <c r="K908" s="28">
        <v>85.100999999999999</v>
      </c>
      <c r="L908" s="29">
        <v>63.066665999999998</v>
      </c>
      <c r="M908" s="28">
        <v>85.100999999999999</v>
      </c>
      <c r="N908" s="29">
        <v>0</v>
      </c>
    </row>
    <row r="909" spans="2:14" x14ac:dyDescent="0.25">
      <c r="B909" s="24">
        <v>45390</v>
      </c>
      <c r="C909" s="24">
        <v>45391</v>
      </c>
      <c r="D909" s="25" t="s">
        <v>94</v>
      </c>
      <c r="E909" s="25" t="s">
        <v>95</v>
      </c>
      <c r="F909" s="26">
        <v>0</v>
      </c>
      <c r="G909" s="27">
        <v>0</v>
      </c>
      <c r="H909" s="26">
        <v>0</v>
      </c>
      <c r="I909" s="28">
        <v>0</v>
      </c>
      <c r="J909" s="28">
        <v>0</v>
      </c>
      <c r="K909" s="28">
        <v>0</v>
      </c>
      <c r="L909" s="29">
        <v>0</v>
      </c>
      <c r="M909" s="28">
        <v>0</v>
      </c>
      <c r="N909" s="29">
        <v>0</v>
      </c>
    </row>
    <row r="910" spans="2:14" x14ac:dyDescent="0.25">
      <c r="B910" s="24">
        <v>45390</v>
      </c>
      <c r="C910" s="24">
        <v>45391</v>
      </c>
      <c r="D910" s="25" t="s">
        <v>96</v>
      </c>
      <c r="E910" s="25" t="s">
        <v>97</v>
      </c>
      <c r="F910" s="26">
        <v>10.647928</v>
      </c>
      <c r="G910" s="27">
        <v>0</v>
      </c>
      <c r="H910" s="26">
        <v>0</v>
      </c>
      <c r="I910" s="28">
        <v>0</v>
      </c>
      <c r="J910" s="28">
        <v>0</v>
      </c>
      <c r="K910" s="28">
        <v>0</v>
      </c>
      <c r="L910" s="29">
        <v>0</v>
      </c>
      <c r="M910" s="28">
        <v>0</v>
      </c>
      <c r="N910" s="29">
        <v>0</v>
      </c>
    </row>
    <row r="911" spans="2:14" x14ac:dyDescent="0.25">
      <c r="B911" s="24">
        <v>45397</v>
      </c>
      <c r="C911" s="24">
        <v>45398</v>
      </c>
      <c r="D911" s="25" t="s">
        <v>128</v>
      </c>
      <c r="E911" s="25" t="s">
        <v>129</v>
      </c>
      <c r="F911" s="26">
        <v>0</v>
      </c>
      <c r="G911" s="27">
        <v>0</v>
      </c>
      <c r="H911" s="26">
        <v>0</v>
      </c>
      <c r="I911" s="28">
        <v>0</v>
      </c>
      <c r="J911" s="28">
        <v>0</v>
      </c>
      <c r="K911" s="28">
        <v>0</v>
      </c>
      <c r="L911" s="29">
        <v>0</v>
      </c>
      <c r="M911" s="28">
        <v>0</v>
      </c>
      <c r="N911" s="29">
        <v>0</v>
      </c>
    </row>
    <row r="912" spans="2:14" x14ac:dyDescent="0.25">
      <c r="B912" s="24">
        <v>45397</v>
      </c>
      <c r="C912" s="24">
        <v>45398</v>
      </c>
      <c r="D912" s="25" t="s">
        <v>130</v>
      </c>
      <c r="E912" s="25" t="s">
        <v>131</v>
      </c>
      <c r="F912" s="26">
        <v>0</v>
      </c>
      <c r="G912" s="27">
        <v>0</v>
      </c>
      <c r="H912" s="26">
        <v>0</v>
      </c>
      <c r="I912" s="28">
        <v>0</v>
      </c>
      <c r="J912" s="28">
        <v>0</v>
      </c>
      <c r="K912" s="28">
        <v>0</v>
      </c>
      <c r="L912" s="29">
        <v>0</v>
      </c>
      <c r="M912" s="28">
        <v>0</v>
      </c>
      <c r="N912" s="29">
        <v>0</v>
      </c>
    </row>
    <row r="913" spans="2:14" x14ac:dyDescent="0.25">
      <c r="B913" s="24">
        <v>45397</v>
      </c>
      <c r="C913" s="24">
        <v>45398</v>
      </c>
      <c r="D913" s="25" t="s">
        <v>132</v>
      </c>
      <c r="E913" s="25" t="s">
        <v>133</v>
      </c>
      <c r="F913" s="26">
        <v>14.323676000000001</v>
      </c>
      <c r="G913" s="27">
        <v>0</v>
      </c>
      <c r="H913" s="26">
        <v>0</v>
      </c>
      <c r="I913" s="28">
        <v>0</v>
      </c>
      <c r="J913" s="28">
        <v>0</v>
      </c>
      <c r="K913" s="28">
        <v>0</v>
      </c>
      <c r="L913" s="29">
        <v>0</v>
      </c>
      <c r="M913" s="28">
        <v>0</v>
      </c>
      <c r="N913" s="29">
        <v>0</v>
      </c>
    </row>
    <row r="914" spans="2:14" x14ac:dyDescent="0.25">
      <c r="B914" s="24">
        <v>45397</v>
      </c>
      <c r="C914" s="24">
        <v>45398</v>
      </c>
      <c r="D914" s="25" t="s">
        <v>134</v>
      </c>
      <c r="E914" s="25" t="s">
        <v>135</v>
      </c>
      <c r="F914" s="26">
        <v>0</v>
      </c>
      <c r="G914" s="27">
        <v>0</v>
      </c>
      <c r="H914" s="26">
        <v>0</v>
      </c>
      <c r="I914" s="28">
        <v>0</v>
      </c>
      <c r="J914" s="28">
        <v>0</v>
      </c>
      <c r="K914" s="28">
        <v>0</v>
      </c>
      <c r="L914" s="29">
        <v>0</v>
      </c>
      <c r="M914" s="28">
        <v>0</v>
      </c>
      <c r="N914" s="29">
        <v>0</v>
      </c>
    </row>
    <row r="915" spans="2:14" x14ac:dyDescent="0.25">
      <c r="B915" s="24">
        <v>45397</v>
      </c>
      <c r="C915" s="24">
        <v>45398</v>
      </c>
      <c r="D915" s="25" t="s">
        <v>136</v>
      </c>
      <c r="E915" s="25" t="s">
        <v>137</v>
      </c>
      <c r="F915" s="26">
        <v>0</v>
      </c>
      <c r="G915" s="27">
        <v>0</v>
      </c>
      <c r="H915" s="26">
        <v>0</v>
      </c>
      <c r="I915" s="28">
        <v>0</v>
      </c>
      <c r="J915" s="28">
        <v>0</v>
      </c>
      <c r="K915" s="28">
        <v>0</v>
      </c>
      <c r="L915" s="29">
        <v>0</v>
      </c>
      <c r="M915" s="28">
        <v>0</v>
      </c>
      <c r="N915" s="29">
        <v>0</v>
      </c>
    </row>
    <row r="916" spans="2:14" x14ac:dyDescent="0.25">
      <c r="B916" s="24">
        <v>45397</v>
      </c>
      <c r="C916" s="24">
        <v>45398</v>
      </c>
      <c r="D916" s="25" t="s">
        <v>138</v>
      </c>
      <c r="E916" s="25" t="s">
        <v>139</v>
      </c>
      <c r="F916" s="26">
        <v>0</v>
      </c>
      <c r="G916" s="27">
        <v>0</v>
      </c>
      <c r="H916" s="26">
        <v>0</v>
      </c>
      <c r="I916" s="28">
        <v>0</v>
      </c>
      <c r="J916" s="28">
        <v>0</v>
      </c>
      <c r="K916" s="28">
        <v>0</v>
      </c>
      <c r="L916" s="29">
        <v>0</v>
      </c>
      <c r="M916" s="28">
        <v>0</v>
      </c>
      <c r="N916" s="29">
        <v>0</v>
      </c>
    </row>
    <row r="917" spans="2:14" x14ac:dyDescent="0.25">
      <c r="B917" s="24">
        <v>45397</v>
      </c>
      <c r="C917" s="24">
        <v>45398</v>
      </c>
      <c r="D917" s="25" t="s">
        <v>140</v>
      </c>
      <c r="E917" s="25" t="s">
        <v>141</v>
      </c>
      <c r="F917" s="26">
        <v>222.13531</v>
      </c>
      <c r="G917" s="27">
        <v>212.34287213114399</v>
      </c>
      <c r="H917" s="26">
        <v>540</v>
      </c>
      <c r="I917" s="28">
        <v>4.6145079999999998</v>
      </c>
      <c r="J917" s="28">
        <v>39.332999999999998</v>
      </c>
      <c r="K917" s="28">
        <v>39.332999999999998</v>
      </c>
      <c r="L917" s="29">
        <v>100</v>
      </c>
      <c r="M917" s="28">
        <v>39.332999999999998</v>
      </c>
      <c r="N917" s="29">
        <v>0</v>
      </c>
    </row>
    <row r="918" spans="2:14" x14ac:dyDescent="0.25">
      <c r="B918" s="24">
        <v>45397</v>
      </c>
      <c r="C918" s="24">
        <v>45398</v>
      </c>
      <c r="D918" s="25" t="s">
        <v>142</v>
      </c>
      <c r="E918" s="25" t="s">
        <v>143</v>
      </c>
      <c r="F918" s="26">
        <v>0</v>
      </c>
      <c r="G918" s="27">
        <v>0</v>
      </c>
      <c r="H918" s="26">
        <v>0</v>
      </c>
      <c r="I918" s="28">
        <v>0</v>
      </c>
      <c r="J918" s="28">
        <v>0</v>
      </c>
      <c r="K918" s="28">
        <v>0</v>
      </c>
      <c r="L918" s="29">
        <v>0</v>
      </c>
      <c r="M918" s="28">
        <v>0</v>
      </c>
      <c r="N918" s="29">
        <v>0</v>
      </c>
    </row>
    <row r="919" spans="2:14" x14ac:dyDescent="0.25">
      <c r="B919" s="24">
        <v>45397</v>
      </c>
      <c r="C919" s="24">
        <v>45398</v>
      </c>
      <c r="D919" s="25" t="s">
        <v>144</v>
      </c>
      <c r="E919" s="25" t="s">
        <v>145</v>
      </c>
      <c r="F919" s="26">
        <v>0</v>
      </c>
      <c r="G919" s="27">
        <v>0</v>
      </c>
      <c r="H919" s="26">
        <v>0</v>
      </c>
      <c r="I919" s="28">
        <v>0</v>
      </c>
      <c r="J919" s="28">
        <v>0</v>
      </c>
      <c r="K919" s="28">
        <v>0</v>
      </c>
      <c r="L919" s="29">
        <v>0</v>
      </c>
      <c r="M919" s="28">
        <v>0</v>
      </c>
      <c r="N919" s="29">
        <v>0</v>
      </c>
    </row>
    <row r="920" spans="2:14" x14ac:dyDescent="0.25">
      <c r="B920" s="24">
        <v>45397</v>
      </c>
      <c r="C920" s="24">
        <v>45398</v>
      </c>
      <c r="D920" s="25" t="s">
        <v>146</v>
      </c>
      <c r="E920" s="25" t="s">
        <v>147</v>
      </c>
      <c r="F920" s="26">
        <v>0</v>
      </c>
      <c r="G920" s="27">
        <v>0</v>
      </c>
      <c r="H920" s="26">
        <v>0</v>
      </c>
      <c r="I920" s="28">
        <v>0</v>
      </c>
      <c r="J920" s="28">
        <v>0</v>
      </c>
      <c r="K920" s="28">
        <v>0</v>
      </c>
      <c r="L920" s="29">
        <v>0</v>
      </c>
      <c r="M920" s="28">
        <v>0</v>
      </c>
      <c r="N920" s="29">
        <v>0</v>
      </c>
    </row>
    <row r="921" spans="2:14" x14ac:dyDescent="0.25">
      <c r="B921" s="24">
        <v>45397</v>
      </c>
      <c r="C921" s="24">
        <v>45398</v>
      </c>
      <c r="D921" s="25" t="s">
        <v>148</v>
      </c>
      <c r="E921" s="25" t="s">
        <v>149</v>
      </c>
      <c r="F921" s="26">
        <v>0</v>
      </c>
      <c r="G921" s="27">
        <v>0</v>
      </c>
      <c r="H921" s="26">
        <v>0</v>
      </c>
      <c r="I921" s="28">
        <v>0</v>
      </c>
      <c r="J921" s="28">
        <v>0</v>
      </c>
      <c r="K921" s="28">
        <v>0</v>
      </c>
      <c r="L921" s="29">
        <v>0</v>
      </c>
      <c r="M921" s="28">
        <v>0</v>
      </c>
      <c r="N921" s="29">
        <v>0</v>
      </c>
    </row>
    <row r="922" spans="2:14" x14ac:dyDescent="0.25">
      <c r="B922" s="24">
        <v>45397</v>
      </c>
      <c r="C922" s="24">
        <v>45398</v>
      </c>
      <c r="D922" s="25" t="s">
        <v>150</v>
      </c>
      <c r="E922" s="25" t="s">
        <v>151</v>
      </c>
      <c r="F922" s="26">
        <v>0</v>
      </c>
      <c r="G922" s="27">
        <v>0</v>
      </c>
      <c r="H922" s="26">
        <v>0</v>
      </c>
      <c r="I922" s="28">
        <v>0</v>
      </c>
      <c r="J922" s="28">
        <v>0</v>
      </c>
      <c r="K922" s="28">
        <v>0</v>
      </c>
      <c r="L922" s="29">
        <v>0</v>
      </c>
      <c r="M922" s="28">
        <v>0</v>
      </c>
      <c r="N922" s="29">
        <v>0</v>
      </c>
    </row>
    <row r="923" spans="2:14" x14ac:dyDescent="0.25">
      <c r="B923" s="24">
        <v>45397</v>
      </c>
      <c r="C923" s="24">
        <v>45398</v>
      </c>
      <c r="D923" s="25" t="s">
        <v>152</v>
      </c>
      <c r="E923" s="25" t="s">
        <v>153</v>
      </c>
      <c r="F923" s="26">
        <v>0</v>
      </c>
      <c r="G923" s="27">
        <v>0</v>
      </c>
      <c r="H923" s="26">
        <v>0</v>
      </c>
      <c r="I923" s="28">
        <v>0</v>
      </c>
      <c r="J923" s="28">
        <v>0</v>
      </c>
      <c r="K923" s="28">
        <v>0</v>
      </c>
      <c r="L923" s="29">
        <v>0</v>
      </c>
      <c r="M923" s="28">
        <v>0</v>
      </c>
      <c r="N923" s="29">
        <v>0</v>
      </c>
    </row>
    <row r="924" spans="2:14" x14ac:dyDescent="0.25">
      <c r="B924" s="24">
        <v>45397</v>
      </c>
      <c r="C924" s="24">
        <v>45398</v>
      </c>
      <c r="D924" s="25" t="s">
        <v>154</v>
      </c>
      <c r="E924" s="25" t="s">
        <v>155</v>
      </c>
      <c r="F924" s="26">
        <v>0</v>
      </c>
      <c r="G924" s="27">
        <v>0</v>
      </c>
      <c r="H924" s="26">
        <v>0</v>
      </c>
      <c r="I924" s="28">
        <v>0</v>
      </c>
      <c r="J924" s="28">
        <v>0</v>
      </c>
      <c r="K924" s="28">
        <v>0</v>
      </c>
      <c r="L924" s="29">
        <v>0</v>
      </c>
      <c r="M924" s="28">
        <v>0</v>
      </c>
      <c r="N924" s="29">
        <v>0</v>
      </c>
    </row>
    <row r="925" spans="2:14" x14ac:dyDescent="0.25">
      <c r="B925" s="24">
        <v>45397</v>
      </c>
      <c r="C925" s="24">
        <v>45398</v>
      </c>
      <c r="D925" s="25" t="s">
        <v>156</v>
      </c>
      <c r="E925" s="25" t="s">
        <v>157</v>
      </c>
      <c r="F925" s="26">
        <v>177.88253</v>
      </c>
      <c r="G925" s="27">
        <v>49.031265573774</v>
      </c>
      <c r="H925" s="26">
        <v>170</v>
      </c>
      <c r="I925" s="28">
        <v>4.380045</v>
      </c>
      <c r="J925" s="28">
        <v>28.850118999999999</v>
      </c>
      <c r="K925" s="28">
        <v>28.855</v>
      </c>
      <c r="L925" s="29">
        <v>100</v>
      </c>
      <c r="M925" s="28">
        <v>28.84</v>
      </c>
      <c r="N925" s="29">
        <v>1.0119E-2</v>
      </c>
    </row>
    <row r="926" spans="2:14" x14ac:dyDescent="0.25">
      <c r="B926" s="24">
        <v>45397</v>
      </c>
      <c r="C926" s="24">
        <v>45398</v>
      </c>
      <c r="D926" s="25" t="s">
        <v>158</v>
      </c>
      <c r="E926" s="25" t="s">
        <v>159</v>
      </c>
      <c r="F926" s="26">
        <v>0</v>
      </c>
      <c r="G926" s="27">
        <v>0</v>
      </c>
      <c r="H926" s="26">
        <v>0</v>
      </c>
      <c r="I926" s="28">
        <v>0</v>
      </c>
      <c r="J926" s="28">
        <v>0</v>
      </c>
      <c r="K926" s="28">
        <v>0</v>
      </c>
      <c r="L926" s="29">
        <v>0</v>
      </c>
      <c r="M926" s="28">
        <v>0</v>
      </c>
      <c r="N926" s="29">
        <v>0</v>
      </c>
    </row>
    <row r="927" spans="2:14" x14ac:dyDescent="0.25">
      <c r="B927" s="24">
        <v>45397</v>
      </c>
      <c r="C927" s="24">
        <v>45398</v>
      </c>
      <c r="D927" s="25" t="s">
        <v>160</v>
      </c>
      <c r="E927" s="25" t="s">
        <v>161</v>
      </c>
      <c r="F927" s="26">
        <v>8.0965299999999996</v>
      </c>
      <c r="G927" s="27">
        <v>0</v>
      </c>
      <c r="H927" s="26">
        <v>0</v>
      </c>
      <c r="I927" s="28">
        <v>0</v>
      </c>
      <c r="J927" s="28">
        <v>0</v>
      </c>
      <c r="K927" s="28">
        <v>0</v>
      </c>
      <c r="L927" s="29">
        <v>0</v>
      </c>
      <c r="M927" s="28">
        <v>0</v>
      </c>
      <c r="N927" s="29">
        <v>0</v>
      </c>
    </row>
    <row r="928" spans="2:14" x14ac:dyDescent="0.25">
      <c r="B928" s="24">
        <v>45397</v>
      </c>
      <c r="C928" s="24">
        <v>45398</v>
      </c>
      <c r="D928" s="25" t="s">
        <v>162</v>
      </c>
      <c r="E928" s="25" t="s">
        <v>163</v>
      </c>
      <c r="F928" s="26">
        <v>487.12872299999998</v>
      </c>
      <c r="G928" s="27">
        <v>338.62054127870601</v>
      </c>
      <c r="H928" s="26">
        <v>756.2</v>
      </c>
      <c r="I928" s="28">
        <v>4.4090769999999999</v>
      </c>
      <c r="J928" s="28">
        <v>44.805871000000003</v>
      </c>
      <c r="K928" s="28">
        <v>44.816000000000003</v>
      </c>
      <c r="L928" s="29">
        <v>78.014705000000006</v>
      </c>
      <c r="M928" s="28">
        <v>44.793999999999997</v>
      </c>
      <c r="N928" s="29">
        <v>1.1871E-2</v>
      </c>
    </row>
    <row r="929" spans="2:14" x14ac:dyDescent="0.25">
      <c r="B929" s="24">
        <v>45404</v>
      </c>
      <c r="C929" s="24">
        <v>45405</v>
      </c>
      <c r="D929" s="25" t="s">
        <v>82</v>
      </c>
      <c r="E929" s="25" t="s">
        <v>83</v>
      </c>
      <c r="F929" s="26">
        <v>288.15169200000003</v>
      </c>
      <c r="G929" s="27">
        <v>0</v>
      </c>
      <c r="H929" s="26">
        <v>0</v>
      </c>
      <c r="I929" s="28">
        <v>0</v>
      </c>
      <c r="J929" s="28">
        <v>0</v>
      </c>
      <c r="K929" s="28">
        <v>0</v>
      </c>
      <c r="L929" s="29">
        <v>0</v>
      </c>
      <c r="M929" s="28">
        <v>0</v>
      </c>
      <c r="N929" s="29">
        <v>0</v>
      </c>
    </row>
    <row r="930" spans="2:14" x14ac:dyDescent="0.25">
      <c r="B930" s="24">
        <v>45404</v>
      </c>
      <c r="C930" s="24">
        <v>45405</v>
      </c>
      <c r="D930" s="25" t="s">
        <v>84</v>
      </c>
      <c r="E930" s="25" t="s">
        <v>85</v>
      </c>
      <c r="F930" s="26">
        <v>0</v>
      </c>
      <c r="G930" s="27">
        <v>0</v>
      </c>
      <c r="H930" s="26">
        <v>0</v>
      </c>
      <c r="I930" s="28">
        <v>0</v>
      </c>
      <c r="J930" s="28">
        <v>0</v>
      </c>
      <c r="K930" s="28">
        <v>0</v>
      </c>
      <c r="L930" s="29">
        <v>0</v>
      </c>
      <c r="M930" s="28">
        <v>0</v>
      </c>
      <c r="N930" s="29">
        <v>0</v>
      </c>
    </row>
    <row r="931" spans="2:14" x14ac:dyDescent="0.25">
      <c r="B931" s="24">
        <v>45404</v>
      </c>
      <c r="C931" s="24">
        <v>45405</v>
      </c>
      <c r="D931" s="25" t="s">
        <v>86</v>
      </c>
      <c r="E931" s="25" t="s">
        <v>87</v>
      </c>
      <c r="F931" s="26">
        <v>1168.8779420000001</v>
      </c>
      <c r="G931" s="27">
        <v>633.25486418679498</v>
      </c>
      <c r="H931" s="26">
        <v>734.8</v>
      </c>
      <c r="I931" s="28">
        <v>4.1270600000000002</v>
      </c>
      <c r="J931" s="28">
        <v>86.152072000000004</v>
      </c>
      <c r="K931" s="28">
        <v>86.156000000000006</v>
      </c>
      <c r="L931" s="29">
        <v>66.288208999999995</v>
      </c>
      <c r="M931" s="28">
        <v>86.147000000000006</v>
      </c>
      <c r="N931" s="29">
        <v>5.0720000000000001E-3</v>
      </c>
    </row>
    <row r="932" spans="2:14" x14ac:dyDescent="0.25">
      <c r="B932" s="24">
        <v>45404</v>
      </c>
      <c r="C932" s="24">
        <v>45405</v>
      </c>
      <c r="D932" s="25" t="s">
        <v>88</v>
      </c>
      <c r="E932" s="25" t="s">
        <v>89</v>
      </c>
      <c r="F932" s="26">
        <v>13.506164999999999</v>
      </c>
      <c r="G932" s="27">
        <v>0</v>
      </c>
      <c r="H932" s="26">
        <v>0</v>
      </c>
      <c r="I932" s="28">
        <v>0</v>
      </c>
      <c r="J932" s="28">
        <v>0</v>
      </c>
      <c r="K932" s="28">
        <v>0</v>
      </c>
      <c r="L932" s="29">
        <v>0</v>
      </c>
      <c r="M932" s="28">
        <v>0</v>
      </c>
      <c r="N932" s="29">
        <v>0</v>
      </c>
    </row>
    <row r="933" spans="2:14" x14ac:dyDescent="0.25">
      <c r="B933" s="24">
        <v>45404</v>
      </c>
      <c r="C933" s="24">
        <v>45405</v>
      </c>
      <c r="D933" s="25" t="s">
        <v>90</v>
      </c>
      <c r="E933" s="25" t="s">
        <v>91</v>
      </c>
      <c r="F933" s="26">
        <v>55.093646999999997</v>
      </c>
      <c r="G933" s="27">
        <v>0</v>
      </c>
      <c r="H933" s="26">
        <v>0</v>
      </c>
      <c r="I933" s="28">
        <v>0</v>
      </c>
      <c r="J933" s="28">
        <v>0</v>
      </c>
      <c r="K933" s="28">
        <v>0</v>
      </c>
      <c r="L933" s="29">
        <v>0</v>
      </c>
      <c r="M933" s="28">
        <v>0</v>
      </c>
      <c r="N933" s="29">
        <v>0</v>
      </c>
    </row>
    <row r="934" spans="2:14" x14ac:dyDescent="0.25">
      <c r="B934" s="24">
        <v>45404</v>
      </c>
      <c r="C934" s="24">
        <v>45405</v>
      </c>
      <c r="D934" s="25" t="s">
        <v>120</v>
      </c>
      <c r="E934" s="25" t="s">
        <v>121</v>
      </c>
      <c r="F934" s="26">
        <v>232.79353</v>
      </c>
      <c r="G934" s="27">
        <v>0</v>
      </c>
      <c r="H934" s="26">
        <v>0</v>
      </c>
      <c r="I934" s="28">
        <v>0</v>
      </c>
      <c r="J934" s="28">
        <v>0</v>
      </c>
      <c r="K934" s="28">
        <v>0</v>
      </c>
      <c r="L934" s="29">
        <v>0</v>
      </c>
      <c r="M934" s="28">
        <v>0</v>
      </c>
      <c r="N934" s="29">
        <v>0</v>
      </c>
    </row>
    <row r="935" spans="2:14" x14ac:dyDescent="0.25">
      <c r="B935" s="24">
        <v>45404</v>
      </c>
      <c r="C935" s="24">
        <v>45405</v>
      </c>
      <c r="D935" s="25" t="s">
        <v>92</v>
      </c>
      <c r="E935" s="25" t="s">
        <v>93</v>
      </c>
      <c r="F935" s="26">
        <v>0</v>
      </c>
      <c r="G935" s="27">
        <v>0</v>
      </c>
      <c r="H935" s="26">
        <v>0</v>
      </c>
      <c r="I935" s="28">
        <v>0</v>
      </c>
      <c r="J935" s="28">
        <v>0</v>
      </c>
      <c r="K935" s="28">
        <v>0</v>
      </c>
      <c r="L935" s="29">
        <v>0</v>
      </c>
      <c r="M935" s="28">
        <v>0</v>
      </c>
      <c r="N935" s="29">
        <v>0</v>
      </c>
    </row>
    <row r="936" spans="2:14" x14ac:dyDescent="0.25">
      <c r="B936" s="24">
        <v>45404</v>
      </c>
      <c r="C936" s="24">
        <v>45405</v>
      </c>
      <c r="D936" s="25" t="s">
        <v>94</v>
      </c>
      <c r="E936" s="25" t="s">
        <v>95</v>
      </c>
      <c r="F936" s="26">
        <v>23.764206999999999</v>
      </c>
      <c r="G936" s="27">
        <v>7.9234024590159997</v>
      </c>
      <c r="H936" s="26">
        <v>10</v>
      </c>
      <c r="I936" s="28">
        <v>4.0412299999999997</v>
      </c>
      <c r="J936" s="28">
        <v>79.233000000000004</v>
      </c>
      <c r="K936" s="28">
        <v>79.233000000000004</v>
      </c>
      <c r="L936" s="29">
        <v>100</v>
      </c>
      <c r="M936" s="28">
        <v>79.233000000000004</v>
      </c>
      <c r="N936" s="29">
        <v>0</v>
      </c>
    </row>
    <row r="937" spans="2:14" x14ac:dyDescent="0.25">
      <c r="B937" s="24">
        <v>45404</v>
      </c>
      <c r="C937" s="24">
        <v>45405</v>
      </c>
      <c r="D937" s="25" t="s">
        <v>96</v>
      </c>
      <c r="E937" s="25" t="s">
        <v>97</v>
      </c>
      <c r="F937" s="26">
        <v>158.74697499999999</v>
      </c>
      <c r="G937" s="27">
        <v>158.74697540983999</v>
      </c>
      <c r="H937" s="26">
        <v>150</v>
      </c>
      <c r="I937" s="28">
        <v>4.0476470000000004</v>
      </c>
      <c r="J937" s="28">
        <v>104.040334</v>
      </c>
      <c r="K937" s="28">
        <v>104.05200000000001</v>
      </c>
      <c r="L937" s="29">
        <v>100</v>
      </c>
      <c r="M937" s="28">
        <v>104.02800000000001</v>
      </c>
      <c r="N937" s="29">
        <v>1.2333999999999999E-2</v>
      </c>
    </row>
    <row r="938" spans="2:14" x14ac:dyDescent="0.25">
      <c r="B938" s="24">
        <v>45411</v>
      </c>
      <c r="C938" s="24">
        <v>45412</v>
      </c>
      <c r="D938" s="25" t="s">
        <v>98</v>
      </c>
      <c r="E938" s="25" t="s">
        <v>99</v>
      </c>
      <c r="F938" s="26">
        <v>18.920452999999998</v>
      </c>
      <c r="G938" s="27">
        <v>0</v>
      </c>
      <c r="H938" s="26">
        <v>0</v>
      </c>
      <c r="I938" s="28">
        <v>0</v>
      </c>
      <c r="J938" s="28">
        <v>0</v>
      </c>
      <c r="K938" s="28">
        <v>0</v>
      </c>
      <c r="L938" s="29">
        <v>0</v>
      </c>
      <c r="M938" s="28">
        <v>0</v>
      </c>
      <c r="N938" s="29">
        <v>0</v>
      </c>
    </row>
    <row r="939" spans="2:14" x14ac:dyDescent="0.25">
      <c r="B939" s="24">
        <v>45411</v>
      </c>
      <c r="C939" s="24">
        <v>45412</v>
      </c>
      <c r="D939" s="25" t="s">
        <v>100</v>
      </c>
      <c r="E939" s="25" t="s">
        <v>101</v>
      </c>
      <c r="F939" s="26">
        <v>0</v>
      </c>
      <c r="G939" s="27">
        <v>0</v>
      </c>
      <c r="H939" s="26">
        <v>0</v>
      </c>
      <c r="I939" s="28">
        <v>0</v>
      </c>
      <c r="J939" s="28">
        <v>0</v>
      </c>
      <c r="K939" s="28">
        <v>0</v>
      </c>
      <c r="L939" s="29">
        <v>0</v>
      </c>
      <c r="M939" s="28">
        <v>0</v>
      </c>
      <c r="N939" s="29">
        <v>0</v>
      </c>
    </row>
    <row r="940" spans="2:14" x14ac:dyDescent="0.25">
      <c r="B940" s="24">
        <v>45411</v>
      </c>
      <c r="C940" s="24">
        <v>45412</v>
      </c>
      <c r="D940" s="25" t="s">
        <v>122</v>
      </c>
      <c r="E940" s="25" t="s">
        <v>123</v>
      </c>
      <c r="F940" s="26">
        <v>222.87403800000001</v>
      </c>
      <c r="G940" s="27">
        <v>37.258172999999999</v>
      </c>
      <c r="H940" s="26">
        <v>50</v>
      </c>
      <c r="I940" s="28">
        <v>4.2656390000000002</v>
      </c>
      <c r="J940" s="28">
        <v>74.3</v>
      </c>
      <c r="K940" s="28">
        <v>74.3</v>
      </c>
      <c r="L940" s="29">
        <v>100</v>
      </c>
      <c r="M940" s="28">
        <v>74.3</v>
      </c>
      <c r="N940" s="29">
        <v>0</v>
      </c>
    </row>
    <row r="941" spans="2:14" x14ac:dyDescent="0.25">
      <c r="B941" s="24">
        <v>45411</v>
      </c>
      <c r="C941" s="24">
        <v>45412</v>
      </c>
      <c r="D941" s="25" t="s">
        <v>102</v>
      </c>
      <c r="E941" s="25" t="s">
        <v>103</v>
      </c>
      <c r="F941" s="26">
        <v>20.405664999999999</v>
      </c>
      <c r="G941" s="27">
        <v>10.204333</v>
      </c>
      <c r="H941" s="26">
        <v>10</v>
      </c>
      <c r="I941" s="28">
        <v>4.3322079999999996</v>
      </c>
      <c r="J941" s="28">
        <v>101.383</v>
      </c>
      <c r="K941" s="28">
        <v>101.383</v>
      </c>
      <c r="L941" s="29">
        <v>100</v>
      </c>
      <c r="M941" s="28">
        <v>101.383</v>
      </c>
      <c r="N941" s="29">
        <v>0</v>
      </c>
    </row>
    <row r="942" spans="2:14" x14ac:dyDescent="0.25">
      <c r="B942" s="24">
        <v>45411</v>
      </c>
      <c r="C942" s="24">
        <v>45412</v>
      </c>
      <c r="D942" s="25" t="s">
        <v>104</v>
      </c>
      <c r="E942" s="25" t="s">
        <v>105</v>
      </c>
      <c r="F942" s="26">
        <v>329.43135599999999</v>
      </c>
      <c r="G942" s="27">
        <v>100.803799</v>
      </c>
      <c r="H942" s="26">
        <v>150</v>
      </c>
      <c r="I942" s="28">
        <v>4.3616159999999997</v>
      </c>
      <c r="J942" s="28">
        <v>67.048000000000002</v>
      </c>
      <c r="K942" s="28">
        <v>67.048000000000002</v>
      </c>
      <c r="L942" s="29">
        <v>100</v>
      </c>
      <c r="M942" s="28">
        <v>67.048000000000002</v>
      </c>
      <c r="N942" s="29">
        <v>0</v>
      </c>
    </row>
    <row r="943" spans="2:14" x14ac:dyDescent="0.25">
      <c r="B943" s="24">
        <v>45411</v>
      </c>
      <c r="C943" s="24">
        <v>45412</v>
      </c>
      <c r="D943" s="25" t="s">
        <v>106</v>
      </c>
      <c r="E943" s="25" t="s">
        <v>107</v>
      </c>
      <c r="F943" s="26">
        <v>776.49985100000004</v>
      </c>
      <c r="G943" s="27">
        <v>595.15884800000003</v>
      </c>
      <c r="H943" s="26">
        <v>600</v>
      </c>
      <c r="I943" s="28">
        <v>4.405697</v>
      </c>
      <c r="J943" s="28">
        <v>98.569501000000002</v>
      </c>
      <c r="K943" s="28">
        <v>98.582999999999998</v>
      </c>
      <c r="L943" s="29">
        <v>100</v>
      </c>
      <c r="M943" s="28">
        <v>98.555999999999997</v>
      </c>
      <c r="N943" s="29">
        <v>1.3501000000000001E-2</v>
      </c>
    </row>
    <row r="944" spans="2:14" x14ac:dyDescent="0.25">
      <c r="B944" s="24">
        <v>45411</v>
      </c>
      <c r="C944" s="24">
        <v>45412</v>
      </c>
      <c r="D944" s="25" t="s">
        <v>108</v>
      </c>
      <c r="E944" s="25" t="s">
        <v>109</v>
      </c>
      <c r="F944" s="26">
        <v>98.476220999999995</v>
      </c>
      <c r="G944" s="27">
        <v>6.5717809999999997</v>
      </c>
      <c r="H944" s="26">
        <v>9</v>
      </c>
      <c r="I944" s="28">
        <v>4.4826490000000003</v>
      </c>
      <c r="J944" s="28">
        <v>72.763000000000005</v>
      </c>
      <c r="K944" s="28">
        <v>72.763000000000005</v>
      </c>
      <c r="L944" s="29">
        <v>89.999999000000003</v>
      </c>
      <c r="M944" s="28">
        <v>72.763000000000005</v>
      </c>
      <c r="N944" s="29">
        <v>0</v>
      </c>
    </row>
    <row r="945" spans="2:14" x14ac:dyDescent="0.25">
      <c r="B945" s="24">
        <v>45411</v>
      </c>
      <c r="C945" s="24">
        <v>45412</v>
      </c>
      <c r="D945" s="25" t="s">
        <v>110</v>
      </c>
      <c r="E945" s="25" t="s">
        <v>111</v>
      </c>
      <c r="F945" s="26">
        <v>20.804366000000002</v>
      </c>
      <c r="G945" s="27">
        <v>0</v>
      </c>
      <c r="H945" s="26">
        <v>0</v>
      </c>
      <c r="I945" s="28">
        <v>0</v>
      </c>
      <c r="J945" s="28">
        <v>0</v>
      </c>
      <c r="K945" s="28">
        <v>0</v>
      </c>
      <c r="L945" s="29">
        <v>0</v>
      </c>
      <c r="M945" s="28">
        <v>0</v>
      </c>
      <c r="N945" s="29">
        <v>0</v>
      </c>
    </row>
    <row r="946" spans="2:14" x14ac:dyDescent="0.25">
      <c r="B946" s="24">
        <v>45411</v>
      </c>
      <c r="C946" s="24">
        <v>45412</v>
      </c>
      <c r="D946" s="25" t="s">
        <v>112</v>
      </c>
      <c r="E946" s="25" t="s">
        <v>113</v>
      </c>
      <c r="F946" s="26">
        <v>0</v>
      </c>
      <c r="G946" s="27">
        <v>0</v>
      </c>
      <c r="H946" s="26">
        <v>0</v>
      </c>
      <c r="I946" s="28">
        <v>0</v>
      </c>
      <c r="J946" s="28">
        <v>0</v>
      </c>
      <c r="K946" s="28">
        <v>0</v>
      </c>
      <c r="L946" s="29">
        <v>0</v>
      </c>
      <c r="M946" s="28">
        <v>0</v>
      </c>
      <c r="N946" s="29">
        <v>0</v>
      </c>
    </row>
    <row r="947" spans="2:14" x14ac:dyDescent="0.25">
      <c r="B947" s="24">
        <v>45411</v>
      </c>
      <c r="C947" s="24">
        <v>45412</v>
      </c>
      <c r="D947" s="25" t="s">
        <v>114</v>
      </c>
      <c r="E947" s="25" t="s">
        <v>115</v>
      </c>
      <c r="F947" s="26">
        <v>0</v>
      </c>
      <c r="G947" s="26">
        <v>0</v>
      </c>
      <c r="H947" s="26">
        <v>0</v>
      </c>
      <c r="I947" s="28">
        <v>0</v>
      </c>
      <c r="J947" s="28">
        <v>0</v>
      </c>
      <c r="K947" s="28">
        <v>0</v>
      </c>
      <c r="L947" s="29">
        <v>0</v>
      </c>
      <c r="M947" s="28">
        <v>0</v>
      </c>
      <c r="N947" s="29">
        <v>0</v>
      </c>
    </row>
    <row r="948" spans="2:14" x14ac:dyDescent="0.25">
      <c r="B948" s="24">
        <v>45411</v>
      </c>
      <c r="C948" s="24">
        <v>45412</v>
      </c>
      <c r="D948" s="25" t="s">
        <v>116</v>
      </c>
      <c r="E948" s="25" t="s">
        <v>117</v>
      </c>
      <c r="F948" s="26">
        <v>29.133921999999998</v>
      </c>
      <c r="G948" s="26">
        <v>0</v>
      </c>
      <c r="H948" s="26">
        <v>0</v>
      </c>
      <c r="I948" s="28">
        <v>0</v>
      </c>
      <c r="J948" s="28">
        <v>0</v>
      </c>
      <c r="K948" s="28">
        <v>0</v>
      </c>
      <c r="L948" s="29">
        <v>0</v>
      </c>
      <c r="M948" s="28">
        <v>0</v>
      </c>
      <c r="N948" s="29">
        <v>0</v>
      </c>
    </row>
    <row r="949" spans="2:14" x14ac:dyDescent="0.25">
      <c r="B949" s="24">
        <v>45411</v>
      </c>
      <c r="C949" s="24">
        <v>45412</v>
      </c>
      <c r="D949" s="25" t="s">
        <v>118</v>
      </c>
      <c r="E949" s="25" t="s">
        <v>119</v>
      </c>
      <c r="F949" s="26">
        <v>0</v>
      </c>
      <c r="G949" s="26">
        <v>0</v>
      </c>
      <c r="H949" s="26">
        <v>0</v>
      </c>
      <c r="I949" s="28">
        <v>0</v>
      </c>
      <c r="J949" s="28">
        <v>0</v>
      </c>
      <c r="K949" s="28">
        <v>0</v>
      </c>
      <c r="L949" s="29">
        <v>0</v>
      </c>
      <c r="M949" s="28">
        <v>0</v>
      </c>
      <c r="N949" s="29">
        <v>0</v>
      </c>
    </row>
    <row r="950" spans="2:14" x14ac:dyDescent="0.25">
      <c r="B950" s="24">
        <v>45411</v>
      </c>
      <c r="C950" s="24">
        <v>45412</v>
      </c>
      <c r="D950" s="25" t="s">
        <v>124</v>
      </c>
      <c r="E950" s="25" t="s">
        <v>125</v>
      </c>
      <c r="F950" s="26">
        <v>0</v>
      </c>
      <c r="G950" s="26">
        <v>0</v>
      </c>
      <c r="H950" s="26">
        <v>0</v>
      </c>
      <c r="I950" s="28">
        <v>0</v>
      </c>
      <c r="J950" s="28">
        <v>0</v>
      </c>
      <c r="K950" s="28">
        <v>0</v>
      </c>
      <c r="L950" s="29">
        <v>0</v>
      </c>
      <c r="M950" s="28">
        <v>0</v>
      </c>
      <c r="N950" s="29">
        <v>0</v>
      </c>
    </row>
    <row r="951" spans="2:14" x14ac:dyDescent="0.25">
      <c r="B951" s="24">
        <v>45411</v>
      </c>
      <c r="C951" s="24">
        <v>45412</v>
      </c>
      <c r="D951" s="25" t="s">
        <v>126</v>
      </c>
      <c r="E951" s="25" t="s">
        <v>127</v>
      </c>
      <c r="F951" s="26">
        <v>214.47506200000001</v>
      </c>
      <c r="G951" s="26">
        <v>0</v>
      </c>
      <c r="H951" s="26">
        <v>0</v>
      </c>
      <c r="I951" s="28">
        <v>0</v>
      </c>
      <c r="J951" s="28">
        <v>0</v>
      </c>
      <c r="K951" s="28">
        <v>0</v>
      </c>
      <c r="L951" s="29">
        <v>0</v>
      </c>
      <c r="M951" s="28">
        <v>0</v>
      </c>
      <c r="N951" s="29">
        <v>0</v>
      </c>
    </row>
    <row r="952" spans="2:14" x14ac:dyDescent="0.25">
      <c r="B952" s="24">
        <v>45425</v>
      </c>
      <c r="C952" s="24">
        <v>45426</v>
      </c>
      <c r="D952" s="24" t="s">
        <v>82</v>
      </c>
      <c r="E952" s="24" t="s">
        <v>83</v>
      </c>
      <c r="F952" s="27">
        <v>156.168184</v>
      </c>
      <c r="G952" s="27">
        <v>0</v>
      </c>
      <c r="H952" s="26">
        <v>0</v>
      </c>
      <c r="I952" s="28">
        <v>0</v>
      </c>
      <c r="J952" s="28">
        <v>0</v>
      </c>
      <c r="K952" s="28">
        <v>0</v>
      </c>
      <c r="L952" s="28">
        <v>0</v>
      </c>
      <c r="M952" s="28">
        <v>0</v>
      </c>
      <c r="N952" s="29">
        <v>0</v>
      </c>
    </row>
    <row r="953" spans="2:14" x14ac:dyDescent="0.25">
      <c r="B953" s="24">
        <v>45425</v>
      </c>
      <c r="C953" s="24">
        <v>45426</v>
      </c>
      <c r="D953" s="24" t="s">
        <v>84</v>
      </c>
      <c r="E953" s="24" t="s">
        <v>85</v>
      </c>
      <c r="F953" s="27">
        <v>0</v>
      </c>
      <c r="G953" s="27">
        <v>0</v>
      </c>
      <c r="H953" s="26">
        <v>0</v>
      </c>
      <c r="I953" s="28">
        <v>0</v>
      </c>
      <c r="J953" s="28">
        <v>0</v>
      </c>
      <c r="K953" s="28">
        <v>0</v>
      </c>
      <c r="L953" s="28">
        <v>0</v>
      </c>
      <c r="M953" s="28">
        <v>0</v>
      </c>
      <c r="N953" s="29">
        <v>0</v>
      </c>
    </row>
    <row r="954" spans="2:14" x14ac:dyDescent="0.25">
      <c r="B954" s="24">
        <v>45425</v>
      </c>
      <c r="C954" s="24">
        <v>45426</v>
      </c>
      <c r="D954" s="24" t="s">
        <v>86</v>
      </c>
      <c r="E954" s="24" t="s">
        <v>87</v>
      </c>
      <c r="F954" s="27">
        <v>988.988474</v>
      </c>
      <c r="G954" s="27">
        <v>555.01903700000003</v>
      </c>
      <c r="H954" s="26">
        <v>641.29999999999995</v>
      </c>
      <c r="I954" s="28">
        <v>4.0754460000000003</v>
      </c>
      <c r="J954" s="28">
        <v>86.510212999999993</v>
      </c>
      <c r="K954" s="28">
        <v>86.513000000000005</v>
      </c>
      <c r="L954" s="28">
        <v>80.043667999999997</v>
      </c>
      <c r="M954" s="28">
        <v>86.507000000000005</v>
      </c>
      <c r="N954" s="29">
        <v>3.2130000000000001E-3</v>
      </c>
    </row>
    <row r="955" spans="2:14" x14ac:dyDescent="0.25">
      <c r="B955" s="24">
        <v>45425</v>
      </c>
      <c r="C955" s="24">
        <v>45426</v>
      </c>
      <c r="D955" s="24" t="s">
        <v>88</v>
      </c>
      <c r="E955" s="24" t="s">
        <v>89</v>
      </c>
      <c r="F955" s="27">
        <v>271.59803199999999</v>
      </c>
      <c r="G955" s="27">
        <v>0</v>
      </c>
      <c r="H955" s="26">
        <v>0</v>
      </c>
      <c r="I955" s="28">
        <v>0</v>
      </c>
      <c r="J955" s="28">
        <v>0</v>
      </c>
      <c r="K955" s="28">
        <v>0</v>
      </c>
      <c r="L955" s="28">
        <v>0</v>
      </c>
      <c r="M955" s="28">
        <v>0</v>
      </c>
      <c r="N955" s="29">
        <v>0</v>
      </c>
    </row>
    <row r="956" spans="2:14" x14ac:dyDescent="0.25">
      <c r="B956" s="24">
        <v>45425</v>
      </c>
      <c r="C956" s="24">
        <v>45426</v>
      </c>
      <c r="D956" s="24" t="s">
        <v>90</v>
      </c>
      <c r="E956" s="24" t="s">
        <v>91</v>
      </c>
      <c r="F956" s="27">
        <v>164.37983600000001</v>
      </c>
      <c r="G956" s="27">
        <v>0</v>
      </c>
      <c r="H956" s="26">
        <v>0</v>
      </c>
      <c r="I956" s="28">
        <v>0</v>
      </c>
      <c r="J956" s="28">
        <v>0</v>
      </c>
      <c r="K956" s="28">
        <v>0</v>
      </c>
      <c r="L956" s="28">
        <v>0</v>
      </c>
      <c r="M956" s="28">
        <v>0</v>
      </c>
      <c r="N956" s="29">
        <v>0</v>
      </c>
    </row>
    <row r="957" spans="2:14" x14ac:dyDescent="0.25">
      <c r="B957" s="24">
        <v>45425</v>
      </c>
      <c r="C957" s="24">
        <v>45426</v>
      </c>
      <c r="D957" s="24" t="s">
        <v>120</v>
      </c>
      <c r="E957" s="24" t="s">
        <v>121</v>
      </c>
      <c r="F957" s="27">
        <v>127.45928499999999</v>
      </c>
      <c r="G957" s="27">
        <v>0</v>
      </c>
      <c r="H957" s="26">
        <v>0</v>
      </c>
      <c r="I957" s="28">
        <v>0</v>
      </c>
      <c r="J957" s="28">
        <v>0</v>
      </c>
      <c r="K957" s="28">
        <v>0</v>
      </c>
      <c r="L957" s="28">
        <v>0</v>
      </c>
      <c r="M957" s="28">
        <v>0</v>
      </c>
      <c r="N957" s="29">
        <v>0</v>
      </c>
    </row>
    <row r="958" spans="2:14" x14ac:dyDescent="0.25">
      <c r="B958" s="24">
        <v>45425</v>
      </c>
      <c r="C958" s="24">
        <v>45426</v>
      </c>
      <c r="D958" s="24" t="s">
        <v>92</v>
      </c>
      <c r="E958" s="24" t="s">
        <v>93</v>
      </c>
      <c r="F958" s="27">
        <v>144.44901200000001</v>
      </c>
      <c r="G958" s="27">
        <v>0</v>
      </c>
      <c r="H958" s="26">
        <v>0</v>
      </c>
      <c r="I958" s="28">
        <v>0</v>
      </c>
      <c r="J958" s="28">
        <v>0</v>
      </c>
      <c r="K958" s="28">
        <v>0</v>
      </c>
      <c r="L958" s="28">
        <v>0</v>
      </c>
      <c r="M958" s="28">
        <v>0</v>
      </c>
      <c r="N958" s="29">
        <v>0</v>
      </c>
    </row>
    <row r="959" spans="2:14" x14ac:dyDescent="0.25">
      <c r="B959" s="24">
        <v>45425</v>
      </c>
      <c r="C959" s="24">
        <v>45426</v>
      </c>
      <c r="D959" s="24" t="s">
        <v>94</v>
      </c>
      <c r="E959" s="24" t="s">
        <v>95</v>
      </c>
      <c r="F959" s="27">
        <v>19.930434999999999</v>
      </c>
      <c r="G959" s="27">
        <v>0</v>
      </c>
      <c r="H959" s="26">
        <v>0</v>
      </c>
      <c r="I959" s="28">
        <v>0</v>
      </c>
      <c r="J959" s="28">
        <v>0</v>
      </c>
      <c r="K959" s="28">
        <v>0</v>
      </c>
      <c r="L959" s="28">
        <v>0</v>
      </c>
      <c r="M959" s="28">
        <v>0</v>
      </c>
      <c r="N959" s="29">
        <v>0</v>
      </c>
    </row>
    <row r="960" spans="2:14" x14ac:dyDescent="0.25">
      <c r="B960" s="24">
        <v>45425</v>
      </c>
      <c r="C960" s="24">
        <v>45426</v>
      </c>
      <c r="D960" s="24" t="s">
        <v>96</v>
      </c>
      <c r="E960" s="24" t="s">
        <v>97</v>
      </c>
      <c r="F960" s="27">
        <v>266.20771100000002</v>
      </c>
      <c r="G960" s="27">
        <v>244.92240699999999</v>
      </c>
      <c r="H960" s="26">
        <v>230</v>
      </c>
      <c r="I960" s="28">
        <v>3.9771920000000001</v>
      </c>
      <c r="J960" s="28">
        <v>104.42447900000001</v>
      </c>
      <c r="K960" s="28">
        <v>104.441</v>
      </c>
      <c r="L960" s="28">
        <v>100</v>
      </c>
      <c r="M960" s="28">
        <v>104.40300000000001</v>
      </c>
      <c r="N960" s="29">
        <v>2.1479000000000002E-2</v>
      </c>
    </row>
    <row r="961" spans="2:14" x14ac:dyDescent="0.25">
      <c r="B961" s="24">
        <v>45432</v>
      </c>
      <c r="C961" s="24">
        <v>45433</v>
      </c>
      <c r="D961" s="24" t="s">
        <v>98</v>
      </c>
      <c r="E961" s="24" t="s">
        <v>99</v>
      </c>
      <c r="F961" s="27">
        <v>0</v>
      </c>
      <c r="G961" s="27">
        <v>0</v>
      </c>
      <c r="H961" s="26">
        <v>0</v>
      </c>
      <c r="I961" s="28">
        <v>0</v>
      </c>
      <c r="J961" s="28">
        <v>0</v>
      </c>
      <c r="K961" s="28">
        <v>0</v>
      </c>
      <c r="L961" s="28">
        <v>0</v>
      </c>
      <c r="M961" s="28">
        <v>0</v>
      </c>
      <c r="N961" s="29">
        <v>0</v>
      </c>
    </row>
    <row r="962" spans="2:14" x14ac:dyDescent="0.25">
      <c r="B962" s="24">
        <v>45432</v>
      </c>
      <c r="C962" s="24">
        <v>45433</v>
      </c>
      <c r="D962" s="24" t="s">
        <v>100</v>
      </c>
      <c r="E962" s="24" t="s">
        <v>101</v>
      </c>
      <c r="F962" s="27">
        <v>134.376274</v>
      </c>
      <c r="G962" s="27">
        <v>0</v>
      </c>
      <c r="H962" s="26">
        <v>0</v>
      </c>
      <c r="I962" s="28">
        <v>0</v>
      </c>
      <c r="J962" s="28">
        <v>0</v>
      </c>
      <c r="K962" s="28">
        <v>0</v>
      </c>
      <c r="L962" s="28">
        <v>0</v>
      </c>
      <c r="M962" s="28">
        <v>0</v>
      </c>
      <c r="N962" s="29">
        <v>0</v>
      </c>
    </row>
    <row r="963" spans="2:14" x14ac:dyDescent="0.25">
      <c r="B963" s="24">
        <v>45432</v>
      </c>
      <c r="C963" s="24">
        <v>45433</v>
      </c>
      <c r="D963" s="24" t="s">
        <v>102</v>
      </c>
      <c r="E963" s="24" t="s">
        <v>103</v>
      </c>
      <c r="F963" s="27">
        <v>0</v>
      </c>
      <c r="G963" s="27">
        <v>0</v>
      </c>
      <c r="H963" s="26">
        <v>0</v>
      </c>
      <c r="I963" s="28">
        <v>0</v>
      </c>
      <c r="J963" s="28">
        <v>0</v>
      </c>
      <c r="K963" s="28">
        <v>0</v>
      </c>
      <c r="L963" s="28">
        <v>0</v>
      </c>
      <c r="M963" s="28">
        <v>0</v>
      </c>
      <c r="N963" s="29">
        <v>0</v>
      </c>
    </row>
    <row r="964" spans="2:14" x14ac:dyDescent="0.25">
      <c r="B964" s="24">
        <v>45432</v>
      </c>
      <c r="C964" s="24">
        <v>45433</v>
      </c>
      <c r="D964" s="24" t="s">
        <v>104</v>
      </c>
      <c r="E964" s="24" t="s">
        <v>105</v>
      </c>
      <c r="F964" s="27">
        <v>191.18685300000001</v>
      </c>
      <c r="G964" s="27">
        <v>0</v>
      </c>
      <c r="H964" s="26">
        <v>0</v>
      </c>
      <c r="I964" s="28">
        <v>0</v>
      </c>
      <c r="J964" s="28">
        <v>0</v>
      </c>
      <c r="K964" s="28">
        <v>0</v>
      </c>
      <c r="L964" s="28">
        <v>0</v>
      </c>
      <c r="M964" s="28">
        <v>0</v>
      </c>
      <c r="N964" s="29">
        <v>0</v>
      </c>
    </row>
    <row r="965" spans="2:14" x14ac:dyDescent="0.25">
      <c r="B965" s="24">
        <v>45432</v>
      </c>
      <c r="C965" s="24">
        <v>45433</v>
      </c>
      <c r="D965" s="24" t="s">
        <v>106</v>
      </c>
      <c r="E965" s="24" t="s">
        <v>107</v>
      </c>
      <c r="F965" s="27">
        <v>905.98451599999999</v>
      </c>
      <c r="G965" s="27">
        <v>0</v>
      </c>
      <c r="H965" s="26">
        <v>0</v>
      </c>
      <c r="I965" s="28">
        <v>0</v>
      </c>
      <c r="J965" s="28">
        <v>0</v>
      </c>
      <c r="K965" s="28">
        <v>0</v>
      </c>
      <c r="L965" s="28">
        <v>0</v>
      </c>
      <c r="M965" s="28">
        <v>0</v>
      </c>
      <c r="N965" s="29">
        <v>0</v>
      </c>
    </row>
    <row r="966" spans="2:14" x14ac:dyDescent="0.25">
      <c r="B966" s="24">
        <v>45432</v>
      </c>
      <c r="C966" s="24">
        <v>45433</v>
      </c>
      <c r="D966" s="24" t="s">
        <v>108</v>
      </c>
      <c r="E966" s="24" t="s">
        <v>109</v>
      </c>
      <c r="F966" s="27">
        <v>37.110827999999998</v>
      </c>
      <c r="G966" s="27">
        <v>0</v>
      </c>
      <c r="H966" s="26">
        <v>0</v>
      </c>
      <c r="I966" s="28">
        <v>0</v>
      </c>
      <c r="J966" s="28">
        <v>0</v>
      </c>
      <c r="K966" s="28">
        <v>0</v>
      </c>
      <c r="L966" s="28">
        <v>0</v>
      </c>
      <c r="M966" s="28">
        <v>0</v>
      </c>
      <c r="N966" s="29">
        <v>0</v>
      </c>
    </row>
    <row r="967" spans="2:14" x14ac:dyDescent="0.25">
      <c r="B967" s="24">
        <v>45432</v>
      </c>
      <c r="C967" s="24">
        <v>45433</v>
      </c>
      <c r="D967" s="24" t="s">
        <v>110</v>
      </c>
      <c r="E967" s="24" t="s">
        <v>111</v>
      </c>
      <c r="F967" s="27">
        <v>655.83730300000002</v>
      </c>
      <c r="G967" s="27">
        <v>642.19228089071396</v>
      </c>
      <c r="H967" s="26">
        <v>607.1</v>
      </c>
      <c r="I967" s="28">
        <v>4.4094509999999998</v>
      </c>
      <c r="J967" s="28">
        <v>103.625941</v>
      </c>
      <c r="K967" s="28">
        <v>103.631</v>
      </c>
      <c r="L967" s="28">
        <v>95.96875</v>
      </c>
      <c r="M967" s="28">
        <v>103.621</v>
      </c>
      <c r="N967" s="29">
        <v>4.9410000000000001E-3</v>
      </c>
    </row>
    <row r="968" spans="2:14" x14ac:dyDescent="0.25">
      <c r="B968" s="24">
        <v>45432</v>
      </c>
      <c r="C968" s="24">
        <v>45433</v>
      </c>
      <c r="D968" s="24" t="s">
        <v>112</v>
      </c>
      <c r="E968" s="24" t="s">
        <v>113</v>
      </c>
      <c r="F968" s="27">
        <v>243.01898600000001</v>
      </c>
      <c r="G968" s="27">
        <v>107.785791016478</v>
      </c>
      <c r="H968" s="26">
        <v>166.2</v>
      </c>
      <c r="I968" s="28">
        <v>4.4383379999999999</v>
      </c>
      <c r="J968" s="28">
        <v>64.510000000000005</v>
      </c>
      <c r="K968" s="28">
        <v>64.510000000000005</v>
      </c>
      <c r="L968" s="28">
        <v>94.971428000000003</v>
      </c>
      <c r="M968" s="28">
        <v>64.510000000000005</v>
      </c>
      <c r="N968" s="29">
        <v>0</v>
      </c>
    </row>
    <row r="969" spans="2:14" x14ac:dyDescent="0.25">
      <c r="B969" s="24">
        <v>45432</v>
      </c>
      <c r="C969" s="24">
        <v>45433</v>
      </c>
      <c r="D969" s="24" t="s">
        <v>114</v>
      </c>
      <c r="E969" s="24" t="s">
        <v>115</v>
      </c>
      <c r="F969" s="27">
        <v>0</v>
      </c>
      <c r="G969" s="27">
        <v>0</v>
      </c>
      <c r="H969" s="26">
        <v>0</v>
      </c>
      <c r="I969" s="28">
        <v>0</v>
      </c>
      <c r="J969" s="28">
        <v>0</v>
      </c>
      <c r="K969" s="28">
        <v>0</v>
      </c>
      <c r="L969" s="28">
        <v>0</v>
      </c>
      <c r="M969" s="28">
        <v>0</v>
      </c>
      <c r="N969" s="29">
        <v>0</v>
      </c>
    </row>
    <row r="970" spans="2:14" x14ac:dyDescent="0.25">
      <c r="B970" s="24">
        <v>45432</v>
      </c>
      <c r="C970" s="24">
        <v>45433</v>
      </c>
      <c r="D970" s="24" t="s">
        <v>116</v>
      </c>
      <c r="E970" s="24" t="s">
        <v>117</v>
      </c>
      <c r="F970" s="27">
        <v>59.207957</v>
      </c>
      <c r="G970" s="27">
        <v>0</v>
      </c>
      <c r="H970" s="26">
        <v>0</v>
      </c>
      <c r="I970" s="28">
        <v>0</v>
      </c>
      <c r="J970" s="28">
        <v>0</v>
      </c>
      <c r="K970" s="28">
        <v>0</v>
      </c>
      <c r="L970" s="28">
        <v>0</v>
      </c>
      <c r="M970" s="28">
        <v>0</v>
      </c>
      <c r="N970" s="29">
        <v>0</v>
      </c>
    </row>
    <row r="971" spans="2:14" x14ac:dyDescent="0.25">
      <c r="B971" s="24">
        <v>45432</v>
      </c>
      <c r="C971" s="24">
        <v>45433</v>
      </c>
      <c r="D971" s="24" t="s">
        <v>118</v>
      </c>
      <c r="E971" s="24" t="s">
        <v>119</v>
      </c>
      <c r="F971" s="27">
        <v>71.266852</v>
      </c>
      <c r="G971" s="27">
        <v>0</v>
      </c>
      <c r="H971" s="26">
        <v>0</v>
      </c>
      <c r="I971" s="28">
        <v>0</v>
      </c>
      <c r="J971" s="28">
        <v>0</v>
      </c>
      <c r="K971" s="28">
        <v>0</v>
      </c>
      <c r="L971" s="28">
        <v>0</v>
      </c>
      <c r="M971" s="28">
        <v>0</v>
      </c>
      <c r="N971" s="29">
        <v>0</v>
      </c>
    </row>
    <row r="972" spans="2:14" x14ac:dyDescent="0.25">
      <c r="B972" s="24">
        <v>45432</v>
      </c>
      <c r="C972" s="24">
        <v>45433</v>
      </c>
      <c r="D972" s="24" t="s">
        <v>124</v>
      </c>
      <c r="E972" s="24" t="s">
        <v>125</v>
      </c>
      <c r="F972" s="27">
        <v>0</v>
      </c>
      <c r="G972" s="27">
        <v>0</v>
      </c>
      <c r="H972" s="26">
        <v>0</v>
      </c>
      <c r="I972" s="28">
        <v>0</v>
      </c>
      <c r="J972" s="28">
        <v>0</v>
      </c>
      <c r="K972" s="28">
        <v>0</v>
      </c>
      <c r="L972" s="28">
        <v>0</v>
      </c>
      <c r="M972" s="28">
        <v>0</v>
      </c>
      <c r="N972" s="29">
        <v>0</v>
      </c>
    </row>
    <row r="973" spans="2:14" x14ac:dyDescent="0.25">
      <c r="B973" s="24">
        <v>45432</v>
      </c>
      <c r="C973" s="24">
        <v>45433</v>
      </c>
      <c r="D973" s="24" t="s">
        <v>126</v>
      </c>
      <c r="E973" s="24" t="s">
        <v>127</v>
      </c>
      <c r="F973" s="27">
        <v>0</v>
      </c>
      <c r="G973" s="27">
        <v>0</v>
      </c>
      <c r="H973" s="26">
        <v>0</v>
      </c>
      <c r="I973" s="28">
        <v>0</v>
      </c>
      <c r="J973" s="28">
        <v>0</v>
      </c>
      <c r="K973" s="28">
        <v>0</v>
      </c>
      <c r="L973" s="28">
        <v>0</v>
      </c>
      <c r="M973" s="28">
        <v>0</v>
      </c>
      <c r="N973" s="29">
        <v>0</v>
      </c>
    </row>
    <row r="974" spans="2:14" x14ac:dyDescent="0.25">
      <c r="B974" s="24">
        <v>45442</v>
      </c>
      <c r="C974" s="24">
        <v>45443</v>
      </c>
      <c r="D974" s="24" t="s">
        <v>128</v>
      </c>
      <c r="E974" s="24" t="s">
        <v>129</v>
      </c>
      <c r="F974" s="27">
        <v>0</v>
      </c>
      <c r="G974" s="27">
        <v>0</v>
      </c>
      <c r="H974" s="27">
        <v>0</v>
      </c>
      <c r="I974" s="28">
        <v>0</v>
      </c>
      <c r="J974" s="28">
        <v>0</v>
      </c>
      <c r="K974" s="28">
        <v>0</v>
      </c>
      <c r="L974" s="28">
        <v>0</v>
      </c>
      <c r="M974" s="28">
        <v>0</v>
      </c>
      <c r="N974" s="29">
        <v>0</v>
      </c>
    </row>
    <row r="975" spans="2:14" x14ac:dyDescent="0.25">
      <c r="B975" s="24">
        <v>45442</v>
      </c>
      <c r="C975" s="24">
        <v>45443</v>
      </c>
      <c r="D975" s="24" t="s">
        <v>130</v>
      </c>
      <c r="E975" s="24" t="s">
        <v>131</v>
      </c>
      <c r="F975" s="27">
        <v>4.8033859999999997</v>
      </c>
      <c r="G975" s="27">
        <v>4.8033869999999999</v>
      </c>
      <c r="H975" s="27">
        <v>10</v>
      </c>
      <c r="I975" s="28">
        <v>4.7703389999999999</v>
      </c>
      <c r="J975" s="28">
        <v>47.743000000000002</v>
      </c>
      <c r="K975" s="28">
        <v>47.743000000000002</v>
      </c>
      <c r="L975" s="28">
        <v>100</v>
      </c>
      <c r="M975" s="28">
        <v>47.743000000000002</v>
      </c>
      <c r="N975" s="29">
        <v>0</v>
      </c>
    </row>
    <row r="976" spans="2:14" x14ac:dyDescent="0.25">
      <c r="B976" s="24">
        <v>45442</v>
      </c>
      <c r="C976" s="24">
        <v>45443</v>
      </c>
      <c r="D976" s="24" t="s">
        <v>132</v>
      </c>
      <c r="E976" s="24" t="s">
        <v>133</v>
      </c>
      <c r="F976" s="27">
        <v>0</v>
      </c>
      <c r="G976" s="27">
        <v>0</v>
      </c>
      <c r="H976" s="27">
        <v>0</v>
      </c>
      <c r="I976" s="28">
        <v>0</v>
      </c>
      <c r="J976" s="28">
        <v>0</v>
      </c>
      <c r="K976" s="28">
        <v>0</v>
      </c>
      <c r="L976" s="28">
        <v>0</v>
      </c>
      <c r="M976" s="28">
        <v>0</v>
      </c>
      <c r="N976" s="29">
        <v>0</v>
      </c>
    </row>
    <row r="977" spans="2:14" x14ac:dyDescent="0.25">
      <c r="B977" s="24">
        <v>45442</v>
      </c>
      <c r="C977" s="24">
        <v>45443</v>
      </c>
      <c r="D977" s="24" t="s">
        <v>134</v>
      </c>
      <c r="E977" s="24" t="s">
        <v>135</v>
      </c>
      <c r="F977" s="27">
        <v>0</v>
      </c>
      <c r="G977" s="27">
        <v>0</v>
      </c>
      <c r="H977" s="27">
        <v>0</v>
      </c>
      <c r="I977" s="28">
        <v>0</v>
      </c>
      <c r="J977" s="28">
        <v>0</v>
      </c>
      <c r="K977" s="28">
        <v>0</v>
      </c>
      <c r="L977" s="28">
        <v>0</v>
      </c>
      <c r="M977" s="28">
        <v>0</v>
      </c>
      <c r="N977" s="29">
        <v>0</v>
      </c>
    </row>
    <row r="978" spans="2:14" x14ac:dyDescent="0.25">
      <c r="B978" s="24">
        <v>45442</v>
      </c>
      <c r="C978" s="24">
        <v>45443</v>
      </c>
      <c r="D978" s="24" t="s">
        <v>136</v>
      </c>
      <c r="E978" s="24" t="s">
        <v>137</v>
      </c>
      <c r="F978" s="27">
        <v>31.265650000000001</v>
      </c>
      <c r="G978" s="27">
        <v>8.5347000000000008</v>
      </c>
      <c r="H978" s="27">
        <v>15</v>
      </c>
      <c r="I978" s="28">
        <v>4.7926390000000003</v>
      </c>
      <c r="J978" s="28">
        <v>56.273000000000003</v>
      </c>
      <c r="K978" s="28">
        <v>56.273000000000003</v>
      </c>
      <c r="L978" s="28">
        <v>100</v>
      </c>
      <c r="M978" s="28">
        <v>56.273000000000003</v>
      </c>
      <c r="N978" s="29">
        <v>0</v>
      </c>
    </row>
    <row r="979" spans="2:14" x14ac:dyDescent="0.25">
      <c r="B979" s="24">
        <v>45442</v>
      </c>
      <c r="C979" s="24">
        <v>45443</v>
      </c>
      <c r="D979" s="24" t="s">
        <v>138</v>
      </c>
      <c r="E979" s="24" t="s">
        <v>139</v>
      </c>
      <c r="F979" s="27">
        <v>15.532681</v>
      </c>
      <c r="G979" s="27">
        <v>0</v>
      </c>
      <c r="H979" s="27">
        <v>0</v>
      </c>
      <c r="I979" s="28">
        <v>0</v>
      </c>
      <c r="J979" s="28">
        <v>0</v>
      </c>
      <c r="K979" s="28">
        <v>0</v>
      </c>
      <c r="L979" s="28">
        <v>0</v>
      </c>
      <c r="M979" s="28">
        <v>0</v>
      </c>
      <c r="N979" s="29">
        <v>0</v>
      </c>
    </row>
    <row r="980" spans="2:14" x14ac:dyDescent="0.25">
      <c r="B980" s="24">
        <v>45442</v>
      </c>
      <c r="C980" s="24">
        <v>45443</v>
      </c>
      <c r="D980" s="24" t="s">
        <v>140</v>
      </c>
      <c r="E980" s="24" t="s">
        <v>141</v>
      </c>
      <c r="F980" s="27">
        <v>217.148526</v>
      </c>
      <c r="G980" s="27">
        <v>117.466623</v>
      </c>
      <c r="H980" s="27">
        <v>305.5</v>
      </c>
      <c r="I980" s="28">
        <v>4.7415279999999997</v>
      </c>
      <c r="J980" s="28">
        <v>38.384044000000003</v>
      </c>
      <c r="K980" s="28">
        <v>38.402999999999999</v>
      </c>
      <c r="L980" s="28">
        <v>31.115879</v>
      </c>
      <c r="M980" s="28">
        <v>38.323</v>
      </c>
      <c r="N980" s="29">
        <v>6.1044000000000001E-2</v>
      </c>
    </row>
    <row r="981" spans="2:14" x14ac:dyDescent="0.25">
      <c r="B981" s="24">
        <v>45442</v>
      </c>
      <c r="C981" s="24">
        <v>45443</v>
      </c>
      <c r="D981" s="24" t="s">
        <v>142</v>
      </c>
      <c r="E981" s="24" t="s">
        <v>143</v>
      </c>
      <c r="F981" s="27">
        <v>135.63761299999999</v>
      </c>
      <c r="G981" s="27">
        <v>0</v>
      </c>
      <c r="H981" s="27">
        <v>0</v>
      </c>
      <c r="I981" s="28">
        <v>0</v>
      </c>
      <c r="J981" s="28">
        <v>0</v>
      </c>
      <c r="K981" s="28">
        <v>0</v>
      </c>
      <c r="L981" s="28">
        <v>0</v>
      </c>
      <c r="M981" s="28">
        <v>0</v>
      </c>
      <c r="N981" s="29">
        <v>0</v>
      </c>
    </row>
    <row r="982" spans="2:14" x14ac:dyDescent="0.25">
      <c r="B982" s="24">
        <v>45442</v>
      </c>
      <c r="C982" s="24">
        <v>45443</v>
      </c>
      <c r="D982" s="24" t="s">
        <v>144</v>
      </c>
      <c r="E982" s="24" t="s">
        <v>145</v>
      </c>
      <c r="F982" s="27">
        <v>0</v>
      </c>
      <c r="G982" s="27">
        <v>0</v>
      </c>
      <c r="H982" s="27">
        <v>0</v>
      </c>
      <c r="I982" s="28">
        <v>0</v>
      </c>
      <c r="J982" s="28">
        <v>0</v>
      </c>
      <c r="K982" s="28">
        <v>0</v>
      </c>
      <c r="L982" s="28">
        <v>0</v>
      </c>
      <c r="M982" s="28">
        <v>0</v>
      </c>
      <c r="N982" s="29">
        <v>0</v>
      </c>
    </row>
    <row r="983" spans="2:14" x14ac:dyDescent="0.25">
      <c r="B983" s="24">
        <v>45442</v>
      </c>
      <c r="C983" s="24">
        <v>45443</v>
      </c>
      <c r="D983" s="24" t="s">
        <v>146</v>
      </c>
      <c r="E983" s="24" t="s">
        <v>147</v>
      </c>
      <c r="F983" s="27">
        <v>0</v>
      </c>
      <c r="G983" s="27">
        <v>0</v>
      </c>
      <c r="H983" s="27">
        <v>0</v>
      </c>
      <c r="I983" s="28">
        <v>0</v>
      </c>
      <c r="J983" s="28">
        <v>0</v>
      </c>
      <c r="K983" s="28">
        <v>0</v>
      </c>
      <c r="L983" s="28">
        <v>0</v>
      </c>
      <c r="M983" s="28">
        <v>0</v>
      </c>
      <c r="N983" s="29">
        <v>0</v>
      </c>
    </row>
    <row r="984" spans="2:14" x14ac:dyDescent="0.25">
      <c r="B984" s="24">
        <v>45442</v>
      </c>
      <c r="C984" s="24">
        <v>45443</v>
      </c>
      <c r="D984" s="24" t="s">
        <v>148</v>
      </c>
      <c r="E984" s="24" t="s">
        <v>149</v>
      </c>
      <c r="F984" s="27">
        <v>121.706581</v>
      </c>
      <c r="G984" s="27">
        <v>0</v>
      </c>
      <c r="H984" s="27">
        <v>0</v>
      </c>
      <c r="I984" s="28">
        <v>0</v>
      </c>
      <c r="J984" s="28">
        <v>0</v>
      </c>
      <c r="K984" s="28">
        <v>0</v>
      </c>
      <c r="L984" s="28">
        <v>0</v>
      </c>
      <c r="M984" s="28">
        <v>0</v>
      </c>
      <c r="N984" s="29">
        <v>0</v>
      </c>
    </row>
    <row r="985" spans="2:14" x14ac:dyDescent="0.25">
      <c r="B985" s="24">
        <v>45442</v>
      </c>
      <c r="C985" s="24">
        <v>45443</v>
      </c>
      <c r="D985" s="24" t="s">
        <v>150</v>
      </c>
      <c r="E985" s="24" t="s">
        <v>151</v>
      </c>
      <c r="F985" s="27">
        <v>0</v>
      </c>
      <c r="G985" s="27">
        <v>0</v>
      </c>
      <c r="H985" s="27">
        <v>0</v>
      </c>
      <c r="I985" s="28">
        <v>0</v>
      </c>
      <c r="J985" s="28">
        <v>0</v>
      </c>
      <c r="K985" s="28">
        <v>0</v>
      </c>
      <c r="L985" s="28">
        <v>0</v>
      </c>
      <c r="M985" s="28">
        <v>0</v>
      </c>
      <c r="N985" s="29">
        <v>0</v>
      </c>
    </row>
    <row r="986" spans="2:14" x14ac:dyDescent="0.25">
      <c r="B986" s="24">
        <v>45442</v>
      </c>
      <c r="C986" s="24">
        <v>45443</v>
      </c>
      <c r="D986" s="24" t="s">
        <v>152</v>
      </c>
      <c r="E986" s="24" t="s">
        <v>153</v>
      </c>
      <c r="F986" s="27">
        <v>115.01325</v>
      </c>
      <c r="G986" s="27">
        <v>104.82925</v>
      </c>
      <c r="H986" s="27">
        <v>205</v>
      </c>
      <c r="I986" s="28">
        <v>4.7171180000000001</v>
      </c>
      <c r="J986" s="28">
        <v>50.511220999999999</v>
      </c>
      <c r="K986" s="28">
        <v>50.534999999999997</v>
      </c>
      <c r="L986" s="28">
        <v>100</v>
      </c>
      <c r="M986" s="28">
        <v>50.494999999999997</v>
      </c>
      <c r="N986" s="29">
        <v>1.6220999999999999E-2</v>
      </c>
    </row>
    <row r="987" spans="2:14" x14ac:dyDescent="0.25">
      <c r="B987" s="24">
        <v>45442</v>
      </c>
      <c r="C987" s="24">
        <v>45443</v>
      </c>
      <c r="D987" s="24" t="s">
        <v>154</v>
      </c>
      <c r="E987" s="24" t="s">
        <v>155</v>
      </c>
      <c r="F987" s="27">
        <v>0</v>
      </c>
      <c r="G987" s="27">
        <v>0</v>
      </c>
      <c r="H987" s="27">
        <v>0</v>
      </c>
      <c r="I987" s="28">
        <v>0</v>
      </c>
      <c r="J987" s="28">
        <v>0</v>
      </c>
      <c r="K987" s="28">
        <v>0</v>
      </c>
      <c r="L987" s="28">
        <v>0</v>
      </c>
      <c r="M987" s="28">
        <v>0</v>
      </c>
      <c r="N987" s="29">
        <v>0</v>
      </c>
    </row>
    <row r="988" spans="2:14" x14ac:dyDescent="0.25">
      <c r="B988" s="24">
        <v>45442</v>
      </c>
      <c r="C988" s="24">
        <v>45443</v>
      </c>
      <c r="D988" s="24" t="s">
        <v>156</v>
      </c>
      <c r="E988" s="24" t="s">
        <v>157</v>
      </c>
      <c r="F988" s="27">
        <v>57.757370999999999</v>
      </c>
      <c r="G988" s="27">
        <v>29.606593</v>
      </c>
      <c r="H988" s="27">
        <v>105</v>
      </c>
      <c r="I988" s="28">
        <v>4.4755900000000004</v>
      </c>
      <c r="J988" s="28">
        <v>28.143478999999999</v>
      </c>
      <c r="K988" s="28">
        <v>28.152999999999999</v>
      </c>
      <c r="L988" s="28">
        <v>100</v>
      </c>
      <c r="M988" s="28">
        <v>28.132999999999999</v>
      </c>
      <c r="N988" s="29">
        <v>1.0479E-2</v>
      </c>
    </row>
    <row r="989" spans="2:14" x14ac:dyDescent="0.25">
      <c r="B989" s="24">
        <v>45442</v>
      </c>
      <c r="C989" s="24">
        <v>45443</v>
      </c>
      <c r="D989" s="24" t="s">
        <v>158</v>
      </c>
      <c r="E989" s="24" t="s">
        <v>159</v>
      </c>
      <c r="F989" s="27">
        <v>6.1292850000000003</v>
      </c>
      <c r="G989" s="27">
        <v>0</v>
      </c>
      <c r="H989" s="27">
        <v>0</v>
      </c>
      <c r="I989" s="28">
        <v>0</v>
      </c>
      <c r="J989" s="28">
        <v>0</v>
      </c>
      <c r="K989" s="28">
        <v>0</v>
      </c>
      <c r="L989" s="28">
        <v>0</v>
      </c>
      <c r="M989" s="28">
        <v>0</v>
      </c>
      <c r="N989" s="29">
        <v>0</v>
      </c>
    </row>
    <row r="990" spans="2:14" x14ac:dyDescent="0.25">
      <c r="B990" s="24">
        <v>45442</v>
      </c>
      <c r="C990" s="24">
        <v>45443</v>
      </c>
      <c r="D990" s="24" t="s">
        <v>160</v>
      </c>
      <c r="E990" s="24" t="s">
        <v>161</v>
      </c>
      <c r="F990" s="27">
        <v>63.172800000000002</v>
      </c>
      <c r="G990" s="27">
        <v>0</v>
      </c>
      <c r="H990" s="27">
        <v>0</v>
      </c>
      <c r="I990" s="28">
        <v>0</v>
      </c>
      <c r="J990" s="28">
        <v>0</v>
      </c>
      <c r="K990" s="28">
        <v>0</v>
      </c>
      <c r="L990" s="28">
        <v>0</v>
      </c>
      <c r="M990" s="28">
        <v>0</v>
      </c>
      <c r="N990" s="29">
        <v>0</v>
      </c>
    </row>
    <row r="991" spans="2:14" x14ac:dyDescent="0.25">
      <c r="B991" s="24">
        <v>45442</v>
      </c>
      <c r="C991" s="24">
        <v>45443</v>
      </c>
      <c r="D991" s="24" t="s">
        <v>162</v>
      </c>
      <c r="E991" s="24" t="s">
        <v>163</v>
      </c>
      <c r="F991" s="27">
        <v>334.75160899999997</v>
      </c>
      <c r="G991" s="27">
        <v>334.75161000000003</v>
      </c>
      <c r="H991" s="27">
        <v>764</v>
      </c>
      <c r="I991" s="28">
        <v>4.5207550000000003</v>
      </c>
      <c r="J991" s="28">
        <v>43.642502999999998</v>
      </c>
      <c r="K991" s="28">
        <v>43.658000000000001</v>
      </c>
      <c r="L991" s="28">
        <v>100</v>
      </c>
      <c r="M991" s="28">
        <v>43.627000000000002</v>
      </c>
      <c r="N991" s="29">
        <v>1.5502999999999999E-2</v>
      </c>
    </row>
    <row r="992" spans="2:14" x14ac:dyDescent="0.25">
      <c r="B992" s="24">
        <v>45446</v>
      </c>
      <c r="C992" s="24">
        <v>45447</v>
      </c>
      <c r="D992" s="24" t="s">
        <v>98</v>
      </c>
      <c r="E992" s="24" t="s">
        <v>99</v>
      </c>
      <c r="F992" s="27">
        <v>259.29409500000003</v>
      </c>
      <c r="G992" s="27">
        <v>0</v>
      </c>
      <c r="H992" s="26">
        <v>0</v>
      </c>
      <c r="I992" s="28">
        <v>0</v>
      </c>
      <c r="J992" s="28">
        <v>0</v>
      </c>
      <c r="K992" s="28">
        <v>0</v>
      </c>
      <c r="L992" s="28">
        <v>0</v>
      </c>
      <c r="M992" s="28">
        <v>0</v>
      </c>
      <c r="N992" s="29">
        <v>0</v>
      </c>
    </row>
    <row r="993" spans="2:14" x14ac:dyDescent="0.25">
      <c r="B993" s="24">
        <v>45446</v>
      </c>
      <c r="C993" s="24">
        <v>45447</v>
      </c>
      <c r="D993" s="24" t="s">
        <v>100</v>
      </c>
      <c r="E993" s="24" t="s">
        <v>101</v>
      </c>
      <c r="F993" s="27">
        <v>0</v>
      </c>
      <c r="G993" s="27">
        <v>0</v>
      </c>
      <c r="H993" s="26">
        <v>0</v>
      </c>
      <c r="I993" s="28">
        <v>0</v>
      </c>
      <c r="J993" s="28">
        <v>0</v>
      </c>
      <c r="K993" s="28">
        <v>0</v>
      </c>
      <c r="L993" s="28">
        <v>0</v>
      </c>
      <c r="M993" s="28">
        <v>0</v>
      </c>
      <c r="N993" s="29">
        <v>0</v>
      </c>
    </row>
    <row r="994" spans="2:14" x14ac:dyDescent="0.25">
      <c r="B994" s="24">
        <v>45446</v>
      </c>
      <c r="C994" s="24">
        <v>45447</v>
      </c>
      <c r="D994" s="24" t="s">
        <v>122</v>
      </c>
      <c r="E994" s="24" t="s">
        <v>123</v>
      </c>
      <c r="F994" s="27">
        <v>22.488143999999998</v>
      </c>
      <c r="G994" s="27">
        <v>0</v>
      </c>
      <c r="H994" s="26">
        <v>0</v>
      </c>
      <c r="I994" s="28">
        <v>0</v>
      </c>
      <c r="J994" s="28">
        <v>0</v>
      </c>
      <c r="K994" s="28">
        <v>0</v>
      </c>
      <c r="L994" s="28">
        <v>0</v>
      </c>
      <c r="M994" s="28">
        <v>0</v>
      </c>
      <c r="N994" s="29">
        <v>0</v>
      </c>
    </row>
    <row r="995" spans="2:14" x14ac:dyDescent="0.25">
      <c r="B995" s="24">
        <v>45446</v>
      </c>
      <c r="C995" s="24">
        <v>45447</v>
      </c>
      <c r="D995" s="24" t="s">
        <v>102</v>
      </c>
      <c r="E995" s="24" t="s">
        <v>103</v>
      </c>
      <c r="F995" s="27">
        <v>0</v>
      </c>
      <c r="G995" s="27">
        <v>0</v>
      </c>
      <c r="H995" s="26">
        <v>0</v>
      </c>
      <c r="I995" s="28">
        <v>0</v>
      </c>
      <c r="J995" s="28">
        <v>0</v>
      </c>
      <c r="K995" s="28">
        <v>0</v>
      </c>
      <c r="L995" s="28">
        <v>0</v>
      </c>
      <c r="M995" s="28">
        <v>0</v>
      </c>
      <c r="N995" s="29">
        <v>0</v>
      </c>
    </row>
    <row r="996" spans="2:14" x14ac:dyDescent="0.25">
      <c r="B996" s="24">
        <v>45446</v>
      </c>
      <c r="C996" s="24">
        <v>45447</v>
      </c>
      <c r="D996" s="24" t="s">
        <v>104</v>
      </c>
      <c r="E996" s="24" t="s">
        <v>105</v>
      </c>
      <c r="F996" s="27">
        <v>940.59984399999996</v>
      </c>
      <c r="G996" s="27">
        <v>350.09076199999998</v>
      </c>
      <c r="H996" s="26">
        <v>517.20000000000005</v>
      </c>
      <c r="I996" s="28">
        <v>4.3321420000000002</v>
      </c>
      <c r="J996" s="28">
        <v>67.474999999999994</v>
      </c>
      <c r="K996" s="28">
        <v>67.474999999999994</v>
      </c>
      <c r="L996" s="28">
        <v>86.199999000000005</v>
      </c>
      <c r="M996" s="28">
        <v>67.474999999999994</v>
      </c>
      <c r="N996" s="29">
        <v>0</v>
      </c>
    </row>
    <row r="997" spans="2:14" x14ac:dyDescent="0.25">
      <c r="B997" s="24">
        <v>45446</v>
      </c>
      <c r="C997" s="24">
        <v>45447</v>
      </c>
      <c r="D997" s="24" t="s">
        <v>106</v>
      </c>
      <c r="E997" s="24" t="s">
        <v>107</v>
      </c>
      <c r="F997" s="27">
        <v>599.78311900000006</v>
      </c>
      <c r="G997" s="27">
        <v>399.87341300000003</v>
      </c>
      <c r="H997" s="26">
        <v>400</v>
      </c>
      <c r="I997" s="28">
        <v>4.3655340000000002</v>
      </c>
      <c r="J997" s="28">
        <v>98.9405</v>
      </c>
      <c r="K997" s="28">
        <v>98.944999999999993</v>
      </c>
      <c r="L997" s="28">
        <v>100</v>
      </c>
      <c r="M997" s="28">
        <v>98.936000000000007</v>
      </c>
      <c r="N997" s="29">
        <v>4.4999999999999997E-3</v>
      </c>
    </row>
    <row r="998" spans="2:14" x14ac:dyDescent="0.25">
      <c r="B998" s="24">
        <v>45446</v>
      </c>
      <c r="C998" s="24">
        <v>45447</v>
      </c>
      <c r="D998" s="24" t="s">
        <v>108</v>
      </c>
      <c r="E998" s="24" t="s">
        <v>109</v>
      </c>
      <c r="F998" s="27">
        <v>36.872115999999998</v>
      </c>
      <c r="G998" s="27">
        <v>0</v>
      </c>
      <c r="H998" s="26">
        <v>0</v>
      </c>
      <c r="I998" s="28">
        <v>0</v>
      </c>
      <c r="J998" s="28">
        <v>0</v>
      </c>
      <c r="K998" s="28">
        <v>0</v>
      </c>
      <c r="L998" s="28">
        <v>0</v>
      </c>
      <c r="M998" s="28">
        <v>0</v>
      </c>
      <c r="N998" s="29">
        <v>0</v>
      </c>
    </row>
    <row r="999" spans="2:14" x14ac:dyDescent="0.25">
      <c r="B999" s="24">
        <v>45446</v>
      </c>
      <c r="C999" s="24">
        <v>45447</v>
      </c>
      <c r="D999" s="24" t="s">
        <v>110</v>
      </c>
      <c r="E999" s="24" t="s">
        <v>111</v>
      </c>
      <c r="F999" s="27">
        <v>0</v>
      </c>
      <c r="G999" s="27">
        <v>0</v>
      </c>
      <c r="H999" s="26">
        <v>0</v>
      </c>
      <c r="I999" s="28">
        <v>0</v>
      </c>
      <c r="J999" s="28">
        <v>0</v>
      </c>
      <c r="K999" s="28">
        <v>0</v>
      </c>
      <c r="L999" s="28">
        <v>0</v>
      </c>
      <c r="M999" s="28">
        <v>0</v>
      </c>
      <c r="N999" s="29">
        <v>0</v>
      </c>
    </row>
    <row r="1000" spans="2:14" x14ac:dyDescent="0.25">
      <c r="B1000" s="24">
        <v>45446</v>
      </c>
      <c r="C1000" s="24">
        <v>45447</v>
      </c>
      <c r="D1000" s="24" t="s">
        <v>114</v>
      </c>
      <c r="E1000" s="24" t="s">
        <v>115</v>
      </c>
      <c r="F1000" s="27">
        <v>188.05570599999999</v>
      </c>
      <c r="G1000" s="27">
        <v>0</v>
      </c>
      <c r="H1000" s="26">
        <v>0</v>
      </c>
      <c r="I1000" s="28">
        <v>0</v>
      </c>
      <c r="J1000" s="28">
        <v>0</v>
      </c>
      <c r="K1000" s="28">
        <v>0</v>
      </c>
      <c r="L1000" s="28">
        <v>0</v>
      </c>
      <c r="M1000" s="28">
        <v>0</v>
      </c>
      <c r="N1000" s="29">
        <v>0</v>
      </c>
    </row>
    <row r="1001" spans="2:14" x14ac:dyDescent="0.25">
      <c r="B1001" s="24">
        <v>45446</v>
      </c>
      <c r="C1001" s="24">
        <v>45447</v>
      </c>
      <c r="D1001" s="24" t="s">
        <v>116</v>
      </c>
      <c r="E1001" s="24" t="s">
        <v>117</v>
      </c>
      <c r="F1001" s="27">
        <v>0</v>
      </c>
      <c r="G1001" s="27">
        <v>0</v>
      </c>
      <c r="H1001" s="26">
        <v>0</v>
      </c>
      <c r="I1001" s="28">
        <v>0</v>
      </c>
      <c r="J1001" s="28">
        <v>0</v>
      </c>
      <c r="K1001" s="28">
        <v>0</v>
      </c>
      <c r="L1001" s="28">
        <v>0</v>
      </c>
      <c r="M1001" s="28">
        <v>0</v>
      </c>
      <c r="N1001" s="29">
        <v>0</v>
      </c>
    </row>
    <row r="1002" spans="2:14" x14ac:dyDescent="0.25">
      <c r="B1002" s="24">
        <v>45446</v>
      </c>
      <c r="C1002" s="24">
        <v>45447</v>
      </c>
      <c r="D1002" s="24" t="s">
        <v>118</v>
      </c>
      <c r="E1002" s="24" t="s">
        <v>119</v>
      </c>
      <c r="F1002" s="27">
        <v>225.84904800000001</v>
      </c>
      <c r="G1002" s="27">
        <v>0</v>
      </c>
      <c r="H1002" s="26">
        <v>0</v>
      </c>
      <c r="I1002" s="28">
        <v>0</v>
      </c>
      <c r="J1002" s="28">
        <v>0</v>
      </c>
      <c r="K1002" s="28">
        <v>0</v>
      </c>
      <c r="L1002" s="28">
        <v>0</v>
      </c>
      <c r="M1002" s="28">
        <v>0</v>
      </c>
      <c r="N1002" s="29">
        <v>0</v>
      </c>
    </row>
    <row r="1003" spans="2:14" x14ac:dyDescent="0.25">
      <c r="B1003" s="24">
        <v>45446</v>
      </c>
      <c r="C1003" s="24">
        <v>45447</v>
      </c>
      <c r="D1003" s="24" t="s">
        <v>124</v>
      </c>
      <c r="E1003" s="24" t="s">
        <v>125</v>
      </c>
      <c r="F1003" s="27">
        <v>24.568377999999999</v>
      </c>
      <c r="G1003" s="27">
        <v>0</v>
      </c>
      <c r="H1003" s="26">
        <v>0</v>
      </c>
      <c r="I1003" s="28">
        <v>0</v>
      </c>
      <c r="J1003" s="28">
        <v>0</v>
      </c>
      <c r="K1003" s="28">
        <v>0</v>
      </c>
      <c r="L1003" s="28">
        <v>0</v>
      </c>
      <c r="M1003" s="28">
        <v>0</v>
      </c>
      <c r="N1003" s="29">
        <v>0</v>
      </c>
    </row>
    <row r="1004" spans="2:14" x14ac:dyDescent="0.25">
      <c r="B1004" s="24">
        <v>45446</v>
      </c>
      <c r="C1004" s="24">
        <v>45447</v>
      </c>
      <c r="D1004" s="24" t="s">
        <v>126</v>
      </c>
      <c r="E1004" s="24" t="s">
        <v>127</v>
      </c>
      <c r="F1004" s="27">
        <v>24.889928000000001</v>
      </c>
      <c r="G1004" s="27">
        <v>0</v>
      </c>
      <c r="H1004" s="26">
        <v>0</v>
      </c>
      <c r="I1004" s="28">
        <v>0</v>
      </c>
      <c r="J1004" s="28">
        <v>0</v>
      </c>
      <c r="K1004" s="28">
        <v>0</v>
      </c>
      <c r="L1004" s="28">
        <v>0</v>
      </c>
      <c r="M1004" s="28">
        <v>0</v>
      </c>
      <c r="N1004" s="29">
        <v>0</v>
      </c>
    </row>
    <row r="1005" spans="2:14" x14ac:dyDescent="0.25">
      <c r="B1005" s="24">
        <v>45453</v>
      </c>
      <c r="C1005" s="24">
        <v>45454</v>
      </c>
      <c r="D1005" s="24" t="s">
        <v>82</v>
      </c>
      <c r="E1005" s="24" t="s">
        <v>83</v>
      </c>
      <c r="F1005" s="27">
        <v>421.76943499999999</v>
      </c>
      <c r="G1005" s="27">
        <v>0</v>
      </c>
      <c r="H1005" s="26">
        <v>0</v>
      </c>
      <c r="I1005" s="28">
        <v>0</v>
      </c>
      <c r="J1005" s="28">
        <v>0</v>
      </c>
      <c r="K1005" s="28">
        <v>0</v>
      </c>
      <c r="L1005" s="28">
        <v>0</v>
      </c>
      <c r="M1005" s="28">
        <v>0</v>
      </c>
      <c r="N1005" s="29">
        <v>0</v>
      </c>
    </row>
    <row r="1006" spans="2:14" x14ac:dyDescent="0.25">
      <c r="B1006" s="24">
        <v>45453</v>
      </c>
      <c r="C1006" s="24">
        <v>45454</v>
      </c>
      <c r="D1006" s="24" t="s">
        <v>84</v>
      </c>
      <c r="E1006" s="24" t="s">
        <v>85</v>
      </c>
      <c r="F1006" s="27">
        <v>0</v>
      </c>
      <c r="G1006" s="27">
        <v>0</v>
      </c>
      <c r="H1006" s="26">
        <v>0</v>
      </c>
      <c r="I1006" s="28">
        <v>0</v>
      </c>
      <c r="J1006" s="28">
        <v>0</v>
      </c>
      <c r="K1006" s="28">
        <v>0</v>
      </c>
      <c r="L1006" s="28">
        <v>0</v>
      </c>
      <c r="M1006" s="28">
        <v>0</v>
      </c>
      <c r="N1006" s="29">
        <v>0</v>
      </c>
    </row>
    <row r="1007" spans="2:14" x14ac:dyDescent="0.25">
      <c r="B1007" s="24">
        <v>45453</v>
      </c>
      <c r="C1007" s="24">
        <v>45454</v>
      </c>
      <c r="D1007" s="24" t="s">
        <v>86</v>
      </c>
      <c r="E1007" s="24" t="s">
        <v>87</v>
      </c>
      <c r="F1007" s="27">
        <v>1305.435387</v>
      </c>
      <c r="G1007" s="27">
        <v>519.73443999999995</v>
      </c>
      <c r="H1007" s="26">
        <v>602.29999999999995</v>
      </c>
      <c r="I1007" s="28">
        <v>4.2455800000000004</v>
      </c>
      <c r="J1007" s="28">
        <v>86.246291999999997</v>
      </c>
      <c r="K1007" s="28">
        <v>86.248000000000005</v>
      </c>
      <c r="L1007" s="28">
        <v>91.066665999999998</v>
      </c>
      <c r="M1007" s="28">
        <v>86.242999999999995</v>
      </c>
      <c r="N1007" s="29">
        <v>3.2919999999999998E-3</v>
      </c>
    </row>
    <row r="1008" spans="2:14" x14ac:dyDescent="0.25">
      <c r="B1008" s="24">
        <v>45453</v>
      </c>
      <c r="C1008" s="24">
        <v>45454</v>
      </c>
      <c r="D1008" s="24" t="s">
        <v>88</v>
      </c>
      <c r="E1008" s="24" t="s">
        <v>89</v>
      </c>
      <c r="F1008" s="27">
        <v>67.618994999999998</v>
      </c>
      <c r="G1008" s="27">
        <v>0</v>
      </c>
      <c r="H1008" s="26">
        <v>0</v>
      </c>
      <c r="I1008" s="28">
        <v>0</v>
      </c>
      <c r="J1008" s="28">
        <v>0</v>
      </c>
      <c r="K1008" s="28">
        <v>0</v>
      </c>
      <c r="L1008" s="28">
        <v>0</v>
      </c>
      <c r="M1008" s="28">
        <v>0</v>
      </c>
      <c r="N1008" s="29">
        <v>0</v>
      </c>
    </row>
    <row r="1009" spans="2:14" x14ac:dyDescent="0.25">
      <c r="B1009" s="24">
        <v>45453</v>
      </c>
      <c r="C1009" s="24">
        <v>45454</v>
      </c>
      <c r="D1009" s="24" t="s">
        <v>90</v>
      </c>
      <c r="E1009" s="24" t="s">
        <v>91</v>
      </c>
      <c r="F1009" s="27">
        <v>26.837643</v>
      </c>
      <c r="G1009" s="27">
        <v>0</v>
      </c>
      <c r="H1009" s="26">
        <v>0</v>
      </c>
      <c r="I1009" s="28">
        <v>0</v>
      </c>
      <c r="J1009" s="28">
        <v>0</v>
      </c>
      <c r="K1009" s="28">
        <v>0</v>
      </c>
      <c r="L1009" s="28">
        <v>0</v>
      </c>
      <c r="M1009" s="28">
        <v>0</v>
      </c>
      <c r="N1009" s="29">
        <v>0</v>
      </c>
    </row>
    <row r="1010" spans="2:14" x14ac:dyDescent="0.25">
      <c r="B1010" s="24">
        <v>45453</v>
      </c>
      <c r="C1010" s="24">
        <v>45454</v>
      </c>
      <c r="D1010" s="24" t="s">
        <v>120</v>
      </c>
      <c r="E1010" s="24" t="s">
        <v>121</v>
      </c>
      <c r="F1010" s="27">
        <v>0</v>
      </c>
      <c r="G1010" s="27">
        <v>0</v>
      </c>
      <c r="H1010" s="26">
        <v>0</v>
      </c>
      <c r="I1010" s="28">
        <v>0</v>
      </c>
      <c r="J1010" s="28">
        <v>0</v>
      </c>
      <c r="K1010" s="28">
        <v>0</v>
      </c>
      <c r="L1010" s="28">
        <v>0</v>
      </c>
      <c r="M1010" s="28">
        <v>0</v>
      </c>
      <c r="N1010" s="29">
        <v>0</v>
      </c>
    </row>
    <row r="1011" spans="2:14" x14ac:dyDescent="0.25">
      <c r="B1011" s="24">
        <v>45453</v>
      </c>
      <c r="C1011" s="24">
        <v>45454</v>
      </c>
      <c r="D1011" s="24" t="s">
        <v>92</v>
      </c>
      <c r="E1011" s="24" t="s">
        <v>93</v>
      </c>
      <c r="F1011" s="27">
        <v>190.05870400000001</v>
      </c>
      <c r="G1011" s="27">
        <v>0</v>
      </c>
      <c r="H1011" s="26">
        <v>0</v>
      </c>
      <c r="I1011" s="28">
        <v>0</v>
      </c>
      <c r="J1011" s="28">
        <v>0</v>
      </c>
      <c r="K1011" s="28">
        <v>0</v>
      </c>
      <c r="L1011" s="28">
        <v>0</v>
      </c>
      <c r="M1011" s="28">
        <v>0</v>
      </c>
      <c r="N1011" s="29">
        <v>0</v>
      </c>
    </row>
    <row r="1012" spans="2:14" x14ac:dyDescent="0.25">
      <c r="B1012" s="24">
        <v>45453</v>
      </c>
      <c r="C1012" s="24">
        <v>45454</v>
      </c>
      <c r="D1012" s="24" t="s">
        <v>94</v>
      </c>
      <c r="E1012" s="24" t="s">
        <v>95</v>
      </c>
      <c r="F1012" s="27">
        <v>13.442909</v>
      </c>
      <c r="G1012" s="27">
        <v>0</v>
      </c>
      <c r="H1012" s="26">
        <v>0</v>
      </c>
      <c r="I1012" s="28">
        <v>0</v>
      </c>
      <c r="J1012" s="28">
        <v>0</v>
      </c>
      <c r="K1012" s="28">
        <v>0</v>
      </c>
      <c r="L1012" s="28">
        <v>0</v>
      </c>
      <c r="M1012" s="28">
        <v>0</v>
      </c>
      <c r="N1012" s="29">
        <v>0</v>
      </c>
    </row>
    <row r="1013" spans="2:14" x14ac:dyDescent="0.25">
      <c r="B1013" s="24">
        <v>45453</v>
      </c>
      <c r="C1013" s="24">
        <v>45454</v>
      </c>
      <c r="D1013" s="24" t="s">
        <v>96</v>
      </c>
      <c r="E1013" s="24" t="s">
        <v>97</v>
      </c>
      <c r="F1013" s="27">
        <v>629.63853700000004</v>
      </c>
      <c r="G1013" s="27">
        <v>280.202223</v>
      </c>
      <c r="H1013" s="26">
        <v>271</v>
      </c>
      <c r="I1013" s="28">
        <v>4.1566989999999997</v>
      </c>
      <c r="J1013" s="28">
        <v>103.34374099999999</v>
      </c>
      <c r="K1013" s="28">
        <v>103.346</v>
      </c>
      <c r="L1013" s="28">
        <v>100</v>
      </c>
      <c r="M1013" s="28">
        <v>103.343</v>
      </c>
      <c r="N1013" s="29">
        <v>7.4100000000000001E-4</v>
      </c>
    </row>
    <row r="1014" spans="2:14" x14ac:dyDescent="0.25">
      <c r="B1014" s="24">
        <v>45460</v>
      </c>
      <c r="C1014" s="24">
        <v>45461</v>
      </c>
      <c r="D1014" s="24" t="s">
        <v>128</v>
      </c>
      <c r="E1014" s="24" t="s">
        <v>129</v>
      </c>
      <c r="F1014" s="27">
        <v>0</v>
      </c>
      <c r="G1014" s="27">
        <v>0</v>
      </c>
      <c r="H1014" s="26">
        <v>0</v>
      </c>
      <c r="I1014" s="28">
        <v>0</v>
      </c>
      <c r="J1014" s="28">
        <v>0</v>
      </c>
      <c r="K1014" s="28">
        <v>0</v>
      </c>
      <c r="L1014" s="28">
        <v>0</v>
      </c>
      <c r="M1014" s="28">
        <v>0</v>
      </c>
      <c r="N1014" s="29">
        <v>0</v>
      </c>
    </row>
    <row r="1015" spans="2:14" x14ac:dyDescent="0.25">
      <c r="B1015" s="24">
        <v>45460</v>
      </c>
      <c r="C1015" s="24">
        <v>45461</v>
      </c>
      <c r="D1015" s="24" t="s">
        <v>130</v>
      </c>
      <c r="E1015" s="24" t="s">
        <v>131</v>
      </c>
      <c r="F1015" s="27">
        <v>37.578850000000003</v>
      </c>
      <c r="G1015" s="27">
        <v>20.231549000000001</v>
      </c>
      <c r="H1015" s="26">
        <v>40.299999999999997</v>
      </c>
      <c r="I1015" s="28">
        <v>4.5390350000000002</v>
      </c>
      <c r="J1015" s="28">
        <v>49.868267000000003</v>
      </c>
      <c r="K1015" s="28">
        <v>49.930999999999997</v>
      </c>
      <c r="L1015" s="28">
        <v>84.333332999999996</v>
      </c>
      <c r="M1015" s="28">
        <v>49.831000000000003</v>
      </c>
      <c r="N1015" s="29">
        <v>3.7267000000000002E-2</v>
      </c>
    </row>
    <row r="1016" spans="2:14" x14ac:dyDescent="0.25">
      <c r="B1016" s="24">
        <v>45460</v>
      </c>
      <c r="C1016" s="24">
        <v>45461</v>
      </c>
      <c r="D1016" s="24" t="s">
        <v>132</v>
      </c>
      <c r="E1016" s="24" t="s">
        <v>133</v>
      </c>
      <c r="F1016" s="27">
        <v>0</v>
      </c>
      <c r="G1016" s="27">
        <v>0</v>
      </c>
      <c r="H1016" s="26">
        <v>0</v>
      </c>
      <c r="I1016" s="28">
        <v>0</v>
      </c>
      <c r="J1016" s="28">
        <v>0</v>
      </c>
      <c r="K1016" s="28">
        <v>0</v>
      </c>
      <c r="L1016" s="28">
        <v>0</v>
      </c>
      <c r="M1016" s="28">
        <v>0</v>
      </c>
      <c r="N1016" s="29">
        <v>0</v>
      </c>
    </row>
    <row r="1017" spans="2:14" x14ac:dyDescent="0.25">
      <c r="B1017" s="24">
        <v>45460</v>
      </c>
      <c r="C1017" s="24">
        <v>45461</v>
      </c>
      <c r="D1017" s="24" t="s">
        <v>134</v>
      </c>
      <c r="E1017" s="24" t="s">
        <v>135</v>
      </c>
      <c r="F1017" s="27">
        <v>0</v>
      </c>
      <c r="G1017" s="27">
        <v>0</v>
      </c>
      <c r="H1017" s="26">
        <v>0</v>
      </c>
      <c r="I1017" s="28">
        <v>0</v>
      </c>
      <c r="J1017" s="28">
        <v>0</v>
      </c>
      <c r="K1017" s="28">
        <v>0</v>
      </c>
      <c r="L1017" s="28">
        <v>0</v>
      </c>
      <c r="M1017" s="28">
        <v>0</v>
      </c>
      <c r="N1017" s="29">
        <v>0</v>
      </c>
    </row>
    <row r="1018" spans="2:14" x14ac:dyDescent="0.25">
      <c r="B1018" s="24">
        <v>45460</v>
      </c>
      <c r="C1018" s="24">
        <v>45461</v>
      </c>
      <c r="D1018" s="24" t="s">
        <v>136</v>
      </c>
      <c r="E1018" s="24" t="s">
        <v>137</v>
      </c>
      <c r="F1018" s="27">
        <v>88.805807000000001</v>
      </c>
      <c r="G1018" s="27">
        <v>38.676000000000002</v>
      </c>
      <c r="H1018" s="26">
        <v>65</v>
      </c>
      <c r="I1018" s="28">
        <v>4.5521310000000001</v>
      </c>
      <c r="J1018" s="28">
        <v>58.790011999999997</v>
      </c>
      <c r="K1018" s="28">
        <v>58.81</v>
      </c>
      <c r="L1018" s="28">
        <v>100</v>
      </c>
      <c r="M1018" s="28">
        <v>58.74</v>
      </c>
      <c r="N1018" s="29">
        <v>5.0012000000000001E-2</v>
      </c>
    </row>
    <row r="1019" spans="2:14" x14ac:dyDescent="0.25">
      <c r="B1019" s="24">
        <v>45460</v>
      </c>
      <c r="C1019" s="24">
        <v>45461</v>
      </c>
      <c r="D1019" s="24" t="s">
        <v>138</v>
      </c>
      <c r="E1019" s="24" t="s">
        <v>139</v>
      </c>
      <c r="F1019" s="27">
        <v>0</v>
      </c>
      <c r="G1019" s="27">
        <v>0</v>
      </c>
      <c r="H1019" s="26">
        <v>0</v>
      </c>
      <c r="I1019" s="28">
        <v>0</v>
      </c>
      <c r="J1019" s="28">
        <v>0</v>
      </c>
      <c r="K1019" s="28">
        <v>0</v>
      </c>
      <c r="L1019" s="28">
        <v>0</v>
      </c>
      <c r="M1019" s="28">
        <v>0</v>
      </c>
      <c r="N1019" s="29">
        <v>0</v>
      </c>
    </row>
    <row r="1020" spans="2:14" x14ac:dyDescent="0.25">
      <c r="B1020" s="24">
        <v>45460</v>
      </c>
      <c r="C1020" s="24">
        <v>45461</v>
      </c>
      <c r="D1020" s="24" t="s">
        <v>140</v>
      </c>
      <c r="E1020" s="24" t="s">
        <v>141</v>
      </c>
      <c r="F1020" s="27">
        <v>177.45216500000001</v>
      </c>
      <c r="G1020" s="27">
        <v>177.45216500000001</v>
      </c>
      <c r="H1020" s="26">
        <v>436</v>
      </c>
      <c r="I1020" s="28">
        <v>4.4943039999999996</v>
      </c>
      <c r="J1020" s="28">
        <v>40.602708</v>
      </c>
      <c r="K1020" s="28">
        <v>40.622999999999998</v>
      </c>
      <c r="L1020" s="28">
        <v>100</v>
      </c>
      <c r="M1020" s="28">
        <v>40.582999999999998</v>
      </c>
      <c r="N1020" s="29">
        <v>1.9708E-2</v>
      </c>
    </row>
    <row r="1021" spans="2:14" x14ac:dyDescent="0.25">
      <c r="B1021" s="24">
        <v>45460</v>
      </c>
      <c r="C1021" s="24">
        <v>45461</v>
      </c>
      <c r="D1021" s="24" t="s">
        <v>142</v>
      </c>
      <c r="E1021" s="24" t="s">
        <v>143</v>
      </c>
      <c r="F1021" s="27">
        <v>0</v>
      </c>
      <c r="G1021" s="27">
        <v>0</v>
      </c>
      <c r="H1021" s="26">
        <v>0</v>
      </c>
      <c r="I1021" s="28">
        <v>0</v>
      </c>
      <c r="J1021" s="28">
        <v>0</v>
      </c>
      <c r="K1021" s="28">
        <v>0</v>
      </c>
      <c r="L1021" s="28">
        <v>0</v>
      </c>
      <c r="M1021" s="28">
        <v>0</v>
      </c>
      <c r="N1021" s="29">
        <v>0</v>
      </c>
    </row>
    <row r="1022" spans="2:14" x14ac:dyDescent="0.25">
      <c r="B1022" s="24">
        <v>45460</v>
      </c>
      <c r="C1022" s="24">
        <v>45461</v>
      </c>
      <c r="D1022" s="24" t="s">
        <v>144</v>
      </c>
      <c r="E1022" s="24" t="s">
        <v>145</v>
      </c>
      <c r="F1022" s="27">
        <v>39.711626000000003</v>
      </c>
      <c r="G1022" s="27">
        <v>0</v>
      </c>
      <c r="H1022" s="26">
        <v>0</v>
      </c>
      <c r="I1022" s="28">
        <v>0</v>
      </c>
      <c r="J1022" s="28">
        <v>0</v>
      </c>
      <c r="K1022" s="28">
        <v>0</v>
      </c>
      <c r="L1022" s="28">
        <v>0</v>
      </c>
      <c r="M1022" s="28">
        <v>0</v>
      </c>
      <c r="N1022" s="29">
        <v>0</v>
      </c>
    </row>
    <row r="1023" spans="2:14" x14ac:dyDescent="0.25">
      <c r="B1023" s="24">
        <v>45460</v>
      </c>
      <c r="C1023" s="24">
        <v>45461</v>
      </c>
      <c r="D1023" s="24" t="s">
        <v>146</v>
      </c>
      <c r="E1023" s="24" t="s">
        <v>147</v>
      </c>
      <c r="F1023" s="27">
        <v>0</v>
      </c>
      <c r="G1023" s="27">
        <v>0</v>
      </c>
      <c r="H1023" s="26">
        <v>0</v>
      </c>
      <c r="I1023" s="28">
        <v>0</v>
      </c>
      <c r="J1023" s="28">
        <v>0</v>
      </c>
      <c r="K1023" s="28">
        <v>0</v>
      </c>
      <c r="L1023" s="28">
        <v>0</v>
      </c>
      <c r="M1023" s="28">
        <v>0</v>
      </c>
      <c r="N1023" s="29">
        <v>0</v>
      </c>
    </row>
    <row r="1024" spans="2:14" x14ac:dyDescent="0.25">
      <c r="B1024" s="24">
        <v>45460</v>
      </c>
      <c r="C1024" s="24">
        <v>45461</v>
      </c>
      <c r="D1024" s="24" t="s">
        <v>148</v>
      </c>
      <c r="E1024" s="24" t="s">
        <v>149</v>
      </c>
      <c r="F1024" s="27">
        <v>0</v>
      </c>
      <c r="G1024" s="27">
        <v>0</v>
      </c>
      <c r="H1024" s="26">
        <v>0</v>
      </c>
      <c r="I1024" s="28">
        <v>0</v>
      </c>
      <c r="J1024" s="28">
        <v>0</v>
      </c>
      <c r="K1024" s="28">
        <v>0</v>
      </c>
      <c r="L1024" s="28">
        <v>0</v>
      </c>
      <c r="M1024" s="28">
        <v>0</v>
      </c>
      <c r="N1024" s="29">
        <v>0</v>
      </c>
    </row>
    <row r="1025" spans="2:14" x14ac:dyDescent="0.25">
      <c r="B1025" s="24">
        <v>45460</v>
      </c>
      <c r="C1025" s="24">
        <v>45461</v>
      </c>
      <c r="D1025" s="24" t="s">
        <v>150</v>
      </c>
      <c r="E1025" s="24" t="s">
        <v>151</v>
      </c>
      <c r="F1025" s="27">
        <v>0</v>
      </c>
      <c r="G1025" s="27">
        <v>0</v>
      </c>
      <c r="H1025" s="26">
        <v>0</v>
      </c>
      <c r="I1025" s="28">
        <v>0</v>
      </c>
      <c r="J1025" s="28">
        <v>0</v>
      </c>
      <c r="K1025" s="28">
        <v>0</v>
      </c>
      <c r="L1025" s="28">
        <v>0</v>
      </c>
      <c r="M1025" s="28">
        <v>0</v>
      </c>
      <c r="N1025" s="29">
        <v>0</v>
      </c>
    </row>
    <row r="1026" spans="2:14" x14ac:dyDescent="0.25">
      <c r="B1026" s="24">
        <v>45460</v>
      </c>
      <c r="C1026" s="24">
        <v>45461</v>
      </c>
      <c r="D1026" s="24" t="s">
        <v>152</v>
      </c>
      <c r="E1026" s="24" t="s">
        <v>153</v>
      </c>
      <c r="F1026" s="27">
        <v>8.0867299999999993</v>
      </c>
      <c r="G1026" s="27">
        <v>8.0867310000000003</v>
      </c>
      <c r="H1026" s="26">
        <v>15</v>
      </c>
      <c r="I1026" s="28">
        <v>4.4733549999999997</v>
      </c>
      <c r="J1026" s="28">
        <v>53.2</v>
      </c>
      <c r="K1026" s="28">
        <v>53.2</v>
      </c>
      <c r="L1026" s="28">
        <v>100</v>
      </c>
      <c r="M1026" s="28">
        <v>53.2</v>
      </c>
      <c r="N1026" s="29">
        <v>0</v>
      </c>
    </row>
    <row r="1027" spans="2:14" x14ac:dyDescent="0.25">
      <c r="B1027" s="24">
        <v>45460</v>
      </c>
      <c r="C1027" s="24">
        <v>45461</v>
      </c>
      <c r="D1027" s="24" t="s">
        <v>154</v>
      </c>
      <c r="E1027" s="24" t="s">
        <v>155</v>
      </c>
      <c r="F1027" s="27">
        <v>0</v>
      </c>
      <c r="G1027" s="27">
        <v>0</v>
      </c>
      <c r="H1027" s="26">
        <v>0</v>
      </c>
      <c r="I1027" s="28">
        <v>0</v>
      </c>
      <c r="J1027" s="28">
        <v>0</v>
      </c>
      <c r="K1027" s="28">
        <v>0</v>
      </c>
      <c r="L1027" s="28">
        <v>0</v>
      </c>
      <c r="M1027" s="28">
        <v>0</v>
      </c>
      <c r="N1027" s="29">
        <v>0</v>
      </c>
    </row>
    <row r="1028" spans="2:14" x14ac:dyDescent="0.25">
      <c r="B1028" s="24">
        <v>45460</v>
      </c>
      <c r="C1028" s="24">
        <v>45461</v>
      </c>
      <c r="D1028" s="24" t="s">
        <v>156</v>
      </c>
      <c r="E1028" s="24" t="s">
        <v>157</v>
      </c>
      <c r="F1028" s="27">
        <v>0</v>
      </c>
      <c r="G1028" s="27">
        <v>0</v>
      </c>
      <c r="H1028" s="26">
        <v>0</v>
      </c>
      <c r="I1028" s="28">
        <v>0</v>
      </c>
      <c r="J1028" s="28">
        <v>0</v>
      </c>
      <c r="K1028" s="28">
        <v>0</v>
      </c>
      <c r="L1028" s="28">
        <v>0</v>
      </c>
      <c r="M1028" s="28">
        <v>0</v>
      </c>
      <c r="N1028" s="29">
        <v>0</v>
      </c>
    </row>
    <row r="1029" spans="2:14" x14ac:dyDescent="0.25">
      <c r="B1029" s="24">
        <v>45460</v>
      </c>
      <c r="C1029" s="24">
        <v>45461</v>
      </c>
      <c r="D1029" s="24" t="s">
        <v>158</v>
      </c>
      <c r="E1029" s="24" t="s">
        <v>159</v>
      </c>
      <c r="F1029" s="27">
        <v>0</v>
      </c>
      <c r="G1029" s="27">
        <v>0</v>
      </c>
      <c r="H1029" s="26">
        <v>0</v>
      </c>
      <c r="I1029" s="28">
        <v>0</v>
      </c>
      <c r="J1029" s="28">
        <v>0</v>
      </c>
      <c r="K1029" s="28">
        <v>0</v>
      </c>
      <c r="L1029" s="28">
        <v>0</v>
      </c>
      <c r="M1029" s="28">
        <v>0</v>
      </c>
      <c r="N1029" s="29">
        <v>0</v>
      </c>
    </row>
    <row r="1030" spans="2:14" x14ac:dyDescent="0.25">
      <c r="B1030" s="24">
        <v>45460</v>
      </c>
      <c r="C1030" s="24">
        <v>45461</v>
      </c>
      <c r="D1030" s="24" t="s">
        <v>160</v>
      </c>
      <c r="E1030" s="24" t="s">
        <v>161</v>
      </c>
      <c r="F1030" s="27">
        <v>0</v>
      </c>
      <c r="G1030" s="27">
        <v>0</v>
      </c>
      <c r="H1030" s="26">
        <v>0</v>
      </c>
      <c r="I1030" s="28">
        <v>0</v>
      </c>
      <c r="J1030" s="28">
        <v>0</v>
      </c>
      <c r="K1030" s="28">
        <v>0</v>
      </c>
      <c r="L1030" s="28">
        <v>0</v>
      </c>
      <c r="M1030" s="28">
        <v>0</v>
      </c>
      <c r="N1030" s="29">
        <v>0</v>
      </c>
    </row>
    <row r="1031" spans="2:14" x14ac:dyDescent="0.25">
      <c r="B1031" s="24">
        <v>45460</v>
      </c>
      <c r="C1031" s="24">
        <v>45461</v>
      </c>
      <c r="D1031" s="24" t="s">
        <v>162</v>
      </c>
      <c r="E1031" s="24" t="s">
        <v>163</v>
      </c>
      <c r="F1031" s="27">
        <v>355.51268299999998</v>
      </c>
      <c r="G1031" s="27">
        <v>355.51268399999998</v>
      </c>
      <c r="H1031" s="26">
        <v>764</v>
      </c>
      <c r="I1031" s="28">
        <v>4.2833909999999999</v>
      </c>
      <c r="J1031" s="28">
        <v>46.280003000000001</v>
      </c>
      <c r="K1031" s="28">
        <v>46.296999999999997</v>
      </c>
      <c r="L1031" s="28">
        <v>100</v>
      </c>
      <c r="M1031" s="28">
        <v>46.262999999999998</v>
      </c>
      <c r="N1031" s="29">
        <v>1.7003000000000001E-2</v>
      </c>
    </row>
    <row r="1032" spans="2:14" x14ac:dyDescent="0.25">
      <c r="B1032" s="24">
        <v>45467</v>
      </c>
      <c r="C1032" s="24">
        <v>45468</v>
      </c>
      <c r="D1032" s="24" t="s">
        <v>98</v>
      </c>
      <c r="E1032" s="24" t="s">
        <v>99</v>
      </c>
      <c r="F1032" s="27">
        <v>0</v>
      </c>
      <c r="G1032" s="27">
        <v>0</v>
      </c>
      <c r="H1032" s="26">
        <v>0</v>
      </c>
      <c r="I1032" s="28">
        <v>0</v>
      </c>
      <c r="J1032" s="28">
        <v>0</v>
      </c>
      <c r="K1032" s="28">
        <v>0</v>
      </c>
      <c r="L1032" s="28">
        <v>0</v>
      </c>
      <c r="M1032" s="28">
        <v>0</v>
      </c>
      <c r="N1032" s="29">
        <v>0</v>
      </c>
    </row>
    <row r="1033" spans="2:14" x14ac:dyDescent="0.25">
      <c r="B1033" s="24">
        <v>45467</v>
      </c>
      <c r="C1033" s="24">
        <v>45468</v>
      </c>
      <c r="D1033" s="24" t="s">
        <v>100</v>
      </c>
      <c r="E1033" s="24" t="s">
        <v>101</v>
      </c>
      <c r="F1033" s="27">
        <v>0</v>
      </c>
      <c r="G1033" s="27">
        <v>0</v>
      </c>
      <c r="H1033" s="26">
        <v>0</v>
      </c>
      <c r="I1033" s="28">
        <v>0</v>
      </c>
      <c r="J1033" s="28">
        <v>0</v>
      </c>
      <c r="K1033" s="28">
        <v>0</v>
      </c>
      <c r="L1033" s="28">
        <v>0</v>
      </c>
      <c r="M1033" s="28">
        <v>0</v>
      </c>
      <c r="N1033" s="29">
        <v>0</v>
      </c>
    </row>
    <row r="1034" spans="2:14" x14ac:dyDescent="0.25">
      <c r="B1034" s="24">
        <v>45467</v>
      </c>
      <c r="C1034" s="24">
        <v>45468</v>
      </c>
      <c r="D1034" s="24" t="s">
        <v>122</v>
      </c>
      <c r="E1034" s="24" t="s">
        <v>123</v>
      </c>
      <c r="F1034" s="27">
        <v>0</v>
      </c>
      <c r="G1034" s="27">
        <v>0</v>
      </c>
      <c r="H1034" s="26">
        <v>0</v>
      </c>
      <c r="I1034" s="28">
        <v>0</v>
      </c>
      <c r="J1034" s="28">
        <v>0</v>
      </c>
      <c r="K1034" s="28">
        <v>0</v>
      </c>
      <c r="L1034" s="28">
        <v>0</v>
      </c>
      <c r="M1034" s="28">
        <v>0</v>
      </c>
      <c r="N1034" s="29">
        <v>0</v>
      </c>
    </row>
    <row r="1035" spans="2:14" x14ac:dyDescent="0.25">
      <c r="B1035" s="24">
        <v>45467</v>
      </c>
      <c r="C1035" s="24">
        <v>45468</v>
      </c>
      <c r="D1035" s="24" t="s">
        <v>102</v>
      </c>
      <c r="E1035" s="24" t="s">
        <v>103</v>
      </c>
      <c r="F1035" s="27">
        <v>47.015998000000003</v>
      </c>
      <c r="G1035" s="27">
        <v>0</v>
      </c>
      <c r="H1035" s="26">
        <v>0</v>
      </c>
      <c r="I1035" s="28">
        <v>0</v>
      </c>
      <c r="J1035" s="28">
        <v>0</v>
      </c>
      <c r="K1035" s="28">
        <v>0</v>
      </c>
      <c r="L1035" s="28">
        <v>0</v>
      </c>
      <c r="M1035" s="28">
        <v>0</v>
      </c>
      <c r="N1035" s="29">
        <v>0</v>
      </c>
    </row>
    <row r="1036" spans="2:14" x14ac:dyDescent="0.25">
      <c r="B1036" s="24">
        <v>45467</v>
      </c>
      <c r="C1036" s="24">
        <v>45468</v>
      </c>
      <c r="D1036" s="24" t="s">
        <v>104</v>
      </c>
      <c r="E1036" s="24" t="s">
        <v>105</v>
      </c>
      <c r="F1036" s="27">
        <v>380.66427700000003</v>
      </c>
      <c r="G1036" s="27">
        <v>380.66427700000003</v>
      </c>
      <c r="H1036" s="26">
        <v>550</v>
      </c>
      <c r="I1036" s="28">
        <v>4.1417349999999997</v>
      </c>
      <c r="J1036" s="28">
        <v>68.960999999999999</v>
      </c>
      <c r="K1036" s="28">
        <v>68.960999999999999</v>
      </c>
      <c r="L1036" s="28">
        <v>100</v>
      </c>
      <c r="M1036" s="28">
        <v>68.960999999999999</v>
      </c>
      <c r="N1036" s="29">
        <v>0</v>
      </c>
    </row>
    <row r="1037" spans="2:14" x14ac:dyDescent="0.25">
      <c r="B1037" s="24">
        <v>45467</v>
      </c>
      <c r="C1037" s="24">
        <v>45468</v>
      </c>
      <c r="D1037" s="24" t="s">
        <v>106</v>
      </c>
      <c r="E1037" s="24" t="s">
        <v>107</v>
      </c>
      <c r="F1037" s="27">
        <v>962.10174500000005</v>
      </c>
      <c r="G1037" s="27">
        <v>369.30059999999997</v>
      </c>
      <c r="H1037" s="26">
        <v>362.3</v>
      </c>
      <c r="I1037" s="28">
        <v>4.1773340000000001</v>
      </c>
      <c r="J1037" s="28">
        <v>100.661886</v>
      </c>
      <c r="K1037" s="28">
        <v>100.67100000000001</v>
      </c>
      <c r="L1037" s="28">
        <v>1.916666</v>
      </c>
      <c r="M1037" s="28">
        <v>100.64400000000001</v>
      </c>
      <c r="N1037" s="29">
        <v>1.7885999999999999E-2</v>
      </c>
    </row>
    <row r="1038" spans="2:14" x14ac:dyDescent="0.25">
      <c r="B1038" s="24">
        <v>45467</v>
      </c>
      <c r="C1038" s="24">
        <v>45468</v>
      </c>
      <c r="D1038" s="24" t="s">
        <v>108</v>
      </c>
      <c r="E1038" s="24" t="s">
        <v>109</v>
      </c>
      <c r="F1038" s="27">
        <v>0</v>
      </c>
      <c r="G1038" s="27">
        <v>0</v>
      </c>
      <c r="H1038" s="26">
        <v>0</v>
      </c>
      <c r="I1038" s="28">
        <v>0</v>
      </c>
      <c r="J1038" s="28">
        <v>0</v>
      </c>
      <c r="K1038" s="28">
        <v>0</v>
      </c>
      <c r="L1038" s="28">
        <v>0</v>
      </c>
      <c r="M1038" s="28">
        <v>0</v>
      </c>
      <c r="N1038" s="29">
        <v>0</v>
      </c>
    </row>
    <row r="1039" spans="2:14" x14ac:dyDescent="0.25">
      <c r="B1039" s="24">
        <v>45467</v>
      </c>
      <c r="C1039" s="24">
        <v>45468</v>
      </c>
      <c r="D1039" s="24" t="s">
        <v>110</v>
      </c>
      <c r="E1039" s="24" t="s">
        <v>111</v>
      </c>
      <c r="F1039" s="27">
        <v>0</v>
      </c>
      <c r="G1039" s="27">
        <v>0</v>
      </c>
      <c r="H1039" s="26">
        <v>0</v>
      </c>
      <c r="I1039" s="28">
        <v>0</v>
      </c>
      <c r="J1039" s="28">
        <v>0</v>
      </c>
      <c r="K1039" s="28">
        <v>0</v>
      </c>
      <c r="L1039" s="28">
        <v>0</v>
      </c>
      <c r="M1039" s="28">
        <v>0</v>
      </c>
      <c r="N1039" s="29">
        <v>0</v>
      </c>
    </row>
    <row r="1040" spans="2:14" x14ac:dyDescent="0.25">
      <c r="B1040" s="24">
        <v>45467</v>
      </c>
      <c r="C1040" s="24">
        <v>45468</v>
      </c>
      <c r="D1040" s="24" t="s">
        <v>114</v>
      </c>
      <c r="E1040" s="24" t="s">
        <v>115</v>
      </c>
      <c r="F1040" s="27">
        <v>49.762689999999999</v>
      </c>
      <c r="G1040" s="27">
        <v>0</v>
      </c>
      <c r="H1040" s="26">
        <v>0</v>
      </c>
      <c r="I1040" s="28">
        <v>0</v>
      </c>
      <c r="J1040" s="28">
        <v>0</v>
      </c>
      <c r="K1040" s="28">
        <v>0</v>
      </c>
      <c r="L1040" s="28">
        <v>0</v>
      </c>
      <c r="M1040" s="28">
        <v>0</v>
      </c>
      <c r="N1040" s="29">
        <v>0</v>
      </c>
    </row>
    <row r="1041" spans="2:14" x14ac:dyDescent="0.25">
      <c r="B1041" s="24">
        <v>45467</v>
      </c>
      <c r="C1041" s="24">
        <v>45468</v>
      </c>
      <c r="D1041" s="24" t="s">
        <v>116</v>
      </c>
      <c r="E1041" s="24" t="s">
        <v>117</v>
      </c>
      <c r="F1041" s="27">
        <v>0</v>
      </c>
      <c r="G1041" s="27">
        <v>0</v>
      </c>
      <c r="H1041" s="26">
        <v>0</v>
      </c>
      <c r="I1041" s="28">
        <v>0</v>
      </c>
      <c r="J1041" s="28">
        <v>0</v>
      </c>
      <c r="K1041" s="28">
        <v>0</v>
      </c>
      <c r="L1041" s="28">
        <v>0</v>
      </c>
      <c r="M1041" s="28">
        <v>0</v>
      </c>
      <c r="N1041" s="29">
        <v>0</v>
      </c>
    </row>
    <row r="1042" spans="2:14" x14ac:dyDescent="0.25">
      <c r="B1042" s="24">
        <v>45467</v>
      </c>
      <c r="C1042" s="24">
        <v>45468</v>
      </c>
      <c r="D1042" s="24" t="s">
        <v>118</v>
      </c>
      <c r="E1042" s="24" t="s">
        <v>119</v>
      </c>
      <c r="F1042" s="27">
        <v>55.592621000000001</v>
      </c>
      <c r="G1042" s="27">
        <v>0</v>
      </c>
      <c r="H1042" s="26">
        <v>0</v>
      </c>
      <c r="I1042" s="28">
        <v>0</v>
      </c>
      <c r="J1042" s="28">
        <v>0</v>
      </c>
      <c r="K1042" s="28">
        <v>0</v>
      </c>
      <c r="L1042" s="28">
        <v>0</v>
      </c>
      <c r="M1042" s="28">
        <v>0</v>
      </c>
      <c r="N1042" s="29">
        <v>0</v>
      </c>
    </row>
    <row r="1043" spans="2:14" x14ac:dyDescent="0.25">
      <c r="B1043" s="24">
        <v>45467</v>
      </c>
      <c r="C1043" s="24">
        <v>45468</v>
      </c>
      <c r="D1043" s="24" t="s">
        <v>124</v>
      </c>
      <c r="E1043" s="24" t="s">
        <v>125</v>
      </c>
      <c r="F1043" s="27">
        <v>0</v>
      </c>
      <c r="G1043" s="27">
        <v>0</v>
      </c>
      <c r="H1043" s="26">
        <v>0</v>
      </c>
      <c r="I1043" s="28">
        <v>0</v>
      </c>
      <c r="J1043" s="28">
        <v>0</v>
      </c>
      <c r="K1043" s="28">
        <v>0</v>
      </c>
      <c r="L1043" s="28">
        <v>0</v>
      </c>
      <c r="M1043" s="28">
        <v>0</v>
      </c>
      <c r="N1043" s="29">
        <v>0</v>
      </c>
    </row>
    <row r="1044" spans="2:14" x14ac:dyDescent="0.25">
      <c r="B1044" s="24">
        <v>45467</v>
      </c>
      <c r="C1044" s="24">
        <v>45468</v>
      </c>
      <c r="D1044" s="24" t="s">
        <v>126</v>
      </c>
      <c r="E1044" s="24" t="s">
        <v>127</v>
      </c>
      <c r="F1044" s="27">
        <v>25.438777999999999</v>
      </c>
      <c r="G1044" s="27">
        <v>0</v>
      </c>
      <c r="H1044" s="26">
        <v>0</v>
      </c>
      <c r="I1044" s="28">
        <v>0</v>
      </c>
      <c r="J1044" s="28">
        <v>0</v>
      </c>
      <c r="K1044" s="28">
        <v>0</v>
      </c>
      <c r="L1044" s="28">
        <v>0</v>
      </c>
      <c r="M1044" s="28">
        <v>0</v>
      </c>
      <c r="N1044" s="29">
        <v>0</v>
      </c>
    </row>
    <row r="1045" spans="2:14" x14ac:dyDescent="0.25">
      <c r="B1045" s="24">
        <v>45474</v>
      </c>
      <c r="C1045" s="24">
        <v>45475</v>
      </c>
      <c r="D1045" s="24" t="s">
        <v>128</v>
      </c>
      <c r="E1045" s="24" t="s">
        <v>129</v>
      </c>
      <c r="F1045" s="27">
        <v>8.5797690000000006</v>
      </c>
      <c r="G1045" s="27">
        <v>8.5797690000000006</v>
      </c>
      <c r="H1045" s="26">
        <v>10</v>
      </c>
      <c r="I1045" s="28">
        <v>4.7044389999999998</v>
      </c>
      <c r="J1045" s="28">
        <v>84.24</v>
      </c>
      <c r="K1045" s="28">
        <v>84.24</v>
      </c>
      <c r="L1045" s="28">
        <v>100</v>
      </c>
      <c r="M1045" s="28">
        <v>84.24</v>
      </c>
      <c r="N1045" s="29">
        <v>0</v>
      </c>
    </row>
    <row r="1046" spans="2:14" x14ac:dyDescent="0.25">
      <c r="B1046" s="24">
        <v>45474</v>
      </c>
      <c r="C1046" s="24">
        <v>45475</v>
      </c>
      <c r="D1046" s="24" t="s">
        <v>130</v>
      </c>
      <c r="E1046" s="24" t="s">
        <v>131</v>
      </c>
      <c r="F1046" s="27">
        <v>0</v>
      </c>
      <c r="G1046" s="27">
        <v>0</v>
      </c>
      <c r="H1046" s="26">
        <v>0</v>
      </c>
      <c r="I1046" s="28">
        <v>0</v>
      </c>
      <c r="J1046" s="28">
        <v>0</v>
      </c>
      <c r="K1046" s="28">
        <v>0</v>
      </c>
      <c r="L1046" s="28">
        <v>0</v>
      </c>
      <c r="M1046" s="28">
        <v>0</v>
      </c>
      <c r="N1046" s="29">
        <v>0</v>
      </c>
    </row>
    <row r="1047" spans="2:14" x14ac:dyDescent="0.25">
      <c r="B1047" s="24">
        <v>45474</v>
      </c>
      <c r="C1047" s="24">
        <v>45475</v>
      </c>
      <c r="D1047" s="24" t="s">
        <v>132</v>
      </c>
      <c r="E1047" s="24" t="s">
        <v>133</v>
      </c>
      <c r="F1047" s="27">
        <v>0</v>
      </c>
      <c r="G1047" s="27">
        <v>0</v>
      </c>
      <c r="H1047" s="26">
        <v>0</v>
      </c>
      <c r="I1047" s="28">
        <v>0</v>
      </c>
      <c r="J1047" s="28">
        <v>0</v>
      </c>
      <c r="K1047" s="28">
        <v>0</v>
      </c>
      <c r="L1047" s="28">
        <v>0</v>
      </c>
      <c r="M1047" s="28">
        <v>0</v>
      </c>
      <c r="N1047" s="29">
        <v>0</v>
      </c>
    </row>
    <row r="1048" spans="2:14" x14ac:dyDescent="0.25">
      <c r="B1048" s="24">
        <v>45474</v>
      </c>
      <c r="C1048" s="24">
        <v>45475</v>
      </c>
      <c r="D1048" s="24" t="s">
        <v>134</v>
      </c>
      <c r="E1048" s="24" t="s">
        <v>135</v>
      </c>
      <c r="F1048" s="27">
        <v>0</v>
      </c>
      <c r="G1048" s="27">
        <v>0</v>
      </c>
      <c r="H1048" s="26">
        <v>0</v>
      </c>
      <c r="I1048" s="28">
        <v>0</v>
      </c>
      <c r="J1048" s="28">
        <v>0</v>
      </c>
      <c r="K1048" s="28">
        <v>0</v>
      </c>
      <c r="L1048" s="28">
        <v>0</v>
      </c>
      <c r="M1048" s="28">
        <v>0</v>
      </c>
      <c r="N1048" s="29">
        <v>0</v>
      </c>
    </row>
    <row r="1049" spans="2:14" x14ac:dyDescent="0.25">
      <c r="B1049" s="24">
        <v>45474</v>
      </c>
      <c r="C1049" s="24">
        <v>45475</v>
      </c>
      <c r="D1049" s="24" t="s">
        <v>136</v>
      </c>
      <c r="E1049" s="24" t="s">
        <v>137</v>
      </c>
      <c r="F1049" s="27">
        <v>14.527210999999999</v>
      </c>
      <c r="G1049" s="27">
        <v>14.527212</v>
      </c>
      <c r="H1049" s="26">
        <v>25</v>
      </c>
      <c r="I1049" s="28">
        <v>4.6962890000000002</v>
      </c>
      <c r="J1049" s="28">
        <v>57.33</v>
      </c>
      <c r="K1049" s="28">
        <v>57.33</v>
      </c>
      <c r="L1049" s="28">
        <v>100</v>
      </c>
      <c r="M1049" s="28">
        <v>57.33</v>
      </c>
      <c r="N1049" s="29">
        <v>0</v>
      </c>
    </row>
    <row r="1050" spans="2:14" x14ac:dyDescent="0.25">
      <c r="B1050" s="24">
        <v>45474</v>
      </c>
      <c r="C1050" s="24">
        <v>45475</v>
      </c>
      <c r="D1050" s="24" t="s">
        <v>138</v>
      </c>
      <c r="E1050" s="24" t="s">
        <v>139</v>
      </c>
      <c r="F1050" s="27">
        <v>69.092725000000002</v>
      </c>
      <c r="G1050" s="27">
        <v>0</v>
      </c>
      <c r="H1050" s="26">
        <v>0</v>
      </c>
      <c r="I1050" s="28">
        <v>0</v>
      </c>
      <c r="J1050" s="28">
        <v>0</v>
      </c>
      <c r="K1050" s="28">
        <v>0</v>
      </c>
      <c r="L1050" s="28">
        <v>0</v>
      </c>
      <c r="M1050" s="28">
        <v>0</v>
      </c>
      <c r="N1050" s="29">
        <v>0</v>
      </c>
    </row>
    <row r="1051" spans="2:14" x14ac:dyDescent="0.25">
      <c r="B1051" s="24">
        <v>45474</v>
      </c>
      <c r="C1051" s="24">
        <v>45475</v>
      </c>
      <c r="D1051" s="24" t="s">
        <v>140</v>
      </c>
      <c r="E1051" s="24" t="s">
        <v>141</v>
      </c>
      <c r="F1051" s="27">
        <v>0</v>
      </c>
      <c r="G1051" s="27">
        <v>0</v>
      </c>
      <c r="H1051" s="26">
        <v>0</v>
      </c>
      <c r="I1051" s="28">
        <v>0</v>
      </c>
      <c r="J1051" s="28">
        <v>0</v>
      </c>
      <c r="K1051" s="28">
        <v>0</v>
      </c>
      <c r="L1051" s="28">
        <v>0</v>
      </c>
      <c r="M1051" s="28">
        <v>0</v>
      </c>
      <c r="N1051" s="29">
        <v>0</v>
      </c>
    </row>
    <row r="1052" spans="2:14" x14ac:dyDescent="0.25">
      <c r="B1052" s="24">
        <v>45474</v>
      </c>
      <c r="C1052" s="24">
        <v>45475</v>
      </c>
      <c r="D1052" s="24" t="s">
        <v>142</v>
      </c>
      <c r="E1052" s="24" t="s">
        <v>143</v>
      </c>
      <c r="F1052" s="27">
        <v>126.963892</v>
      </c>
      <c r="G1052" s="27">
        <v>21.649785000000001</v>
      </c>
      <c r="H1052" s="26">
        <v>45</v>
      </c>
      <c r="I1052" s="28">
        <v>4.6866709999999996</v>
      </c>
      <c r="J1052" s="28">
        <v>47.585222999999999</v>
      </c>
      <c r="K1052" s="28">
        <v>47.6</v>
      </c>
      <c r="L1052" s="28">
        <v>100</v>
      </c>
      <c r="M1052" s="28">
        <v>47.581000000000003</v>
      </c>
      <c r="N1052" s="29">
        <v>4.2230000000000002E-3</v>
      </c>
    </row>
    <row r="1053" spans="2:14" x14ac:dyDescent="0.25">
      <c r="B1053" s="24">
        <v>45474</v>
      </c>
      <c r="C1053" s="24">
        <v>45475</v>
      </c>
      <c r="D1053" s="24" t="s">
        <v>144</v>
      </c>
      <c r="E1053" s="24" t="s">
        <v>145</v>
      </c>
      <c r="F1053" s="27">
        <v>0</v>
      </c>
      <c r="G1053" s="27">
        <v>0</v>
      </c>
      <c r="H1053" s="26">
        <v>0</v>
      </c>
      <c r="I1053" s="28">
        <v>0</v>
      </c>
      <c r="J1053" s="28">
        <v>0</v>
      </c>
      <c r="K1053" s="28">
        <v>0</v>
      </c>
      <c r="L1053" s="28">
        <v>0</v>
      </c>
      <c r="M1053" s="28">
        <v>0</v>
      </c>
      <c r="N1053" s="29">
        <v>0</v>
      </c>
    </row>
    <row r="1054" spans="2:14" x14ac:dyDescent="0.25">
      <c r="B1054" s="24">
        <v>45474</v>
      </c>
      <c r="C1054" s="24">
        <v>45475</v>
      </c>
      <c r="D1054" s="24" t="s">
        <v>146</v>
      </c>
      <c r="E1054" s="24" t="s">
        <v>147</v>
      </c>
      <c r="F1054" s="27">
        <v>30.011896</v>
      </c>
      <c r="G1054" s="27">
        <v>0</v>
      </c>
      <c r="H1054" s="26">
        <v>0</v>
      </c>
      <c r="I1054" s="28">
        <v>0</v>
      </c>
      <c r="J1054" s="28">
        <v>0</v>
      </c>
      <c r="K1054" s="28">
        <v>0</v>
      </c>
      <c r="L1054" s="28">
        <v>0</v>
      </c>
      <c r="M1054" s="28">
        <v>0</v>
      </c>
      <c r="N1054" s="29">
        <v>0</v>
      </c>
    </row>
    <row r="1055" spans="2:14" x14ac:dyDescent="0.25">
      <c r="B1055" s="24">
        <v>45474</v>
      </c>
      <c r="C1055" s="24">
        <v>45475</v>
      </c>
      <c r="D1055" s="24" t="s">
        <v>148</v>
      </c>
      <c r="E1055" s="24" t="s">
        <v>149</v>
      </c>
      <c r="F1055" s="27">
        <v>250.131137</v>
      </c>
      <c r="G1055" s="27">
        <v>98.092785000000006</v>
      </c>
      <c r="H1055" s="26">
        <v>191.8</v>
      </c>
      <c r="I1055" s="28">
        <v>4.6758860000000002</v>
      </c>
      <c r="J1055" s="28">
        <v>50.828049</v>
      </c>
      <c r="K1055" s="28">
        <v>50.91</v>
      </c>
      <c r="L1055" s="28">
        <v>56.941175999999999</v>
      </c>
      <c r="M1055" s="28">
        <v>50.814999999999998</v>
      </c>
      <c r="N1055" s="29">
        <v>1.3049E-2</v>
      </c>
    </row>
    <row r="1056" spans="2:14" x14ac:dyDescent="0.25">
      <c r="B1056" s="24">
        <v>45474</v>
      </c>
      <c r="C1056" s="24">
        <v>45475</v>
      </c>
      <c r="D1056" s="24" t="s">
        <v>150</v>
      </c>
      <c r="E1056" s="24" t="s">
        <v>151</v>
      </c>
      <c r="F1056" s="27">
        <v>0</v>
      </c>
      <c r="G1056" s="27">
        <v>0</v>
      </c>
      <c r="H1056" s="26">
        <v>0</v>
      </c>
      <c r="I1056" s="28">
        <v>0</v>
      </c>
      <c r="J1056" s="28">
        <v>0</v>
      </c>
      <c r="K1056" s="28">
        <v>0</v>
      </c>
      <c r="L1056" s="28">
        <v>0</v>
      </c>
      <c r="M1056" s="28">
        <v>0</v>
      </c>
      <c r="N1056" s="29">
        <v>0</v>
      </c>
    </row>
    <row r="1057" spans="2:14" x14ac:dyDescent="0.25">
      <c r="B1057" s="24">
        <v>45474</v>
      </c>
      <c r="C1057" s="24">
        <v>45475</v>
      </c>
      <c r="D1057" s="24" t="s">
        <v>152</v>
      </c>
      <c r="E1057" s="24" t="s">
        <v>153</v>
      </c>
      <c r="F1057" s="27">
        <v>141.05478400000001</v>
      </c>
      <c r="G1057" s="27">
        <v>102.12065</v>
      </c>
      <c r="H1057" s="26">
        <v>195</v>
      </c>
      <c r="I1057" s="28">
        <v>4.621245</v>
      </c>
      <c r="J1057" s="28">
        <v>51.590727000000001</v>
      </c>
      <c r="K1057" s="28">
        <v>51.65</v>
      </c>
      <c r="L1057" s="28">
        <v>100</v>
      </c>
      <c r="M1057" s="28">
        <v>51.582000000000001</v>
      </c>
      <c r="N1057" s="29">
        <v>8.7270000000000004E-3</v>
      </c>
    </row>
    <row r="1058" spans="2:14" x14ac:dyDescent="0.25">
      <c r="B1058" s="24">
        <v>45474</v>
      </c>
      <c r="C1058" s="24">
        <v>45475</v>
      </c>
      <c r="D1058" s="24" t="s">
        <v>154</v>
      </c>
      <c r="E1058" s="24" t="s">
        <v>155</v>
      </c>
      <c r="F1058" s="27">
        <v>0</v>
      </c>
      <c r="G1058" s="27">
        <v>0</v>
      </c>
      <c r="H1058" s="26">
        <v>0</v>
      </c>
      <c r="I1058" s="28">
        <v>0</v>
      </c>
      <c r="J1058" s="28">
        <v>0</v>
      </c>
      <c r="K1058" s="28">
        <v>0</v>
      </c>
      <c r="L1058" s="28">
        <v>0</v>
      </c>
      <c r="M1058" s="28">
        <v>0</v>
      </c>
      <c r="N1058" s="29">
        <v>0</v>
      </c>
    </row>
    <row r="1059" spans="2:14" x14ac:dyDescent="0.25">
      <c r="B1059" s="24">
        <v>45474</v>
      </c>
      <c r="C1059" s="24">
        <v>45475</v>
      </c>
      <c r="D1059" s="24" t="s">
        <v>156</v>
      </c>
      <c r="E1059" s="24" t="s">
        <v>157</v>
      </c>
      <c r="F1059" s="27">
        <v>0</v>
      </c>
      <c r="G1059" s="27">
        <v>0</v>
      </c>
      <c r="H1059" s="26">
        <v>0</v>
      </c>
      <c r="I1059" s="28">
        <v>0</v>
      </c>
      <c r="J1059" s="28">
        <v>0</v>
      </c>
      <c r="K1059" s="28">
        <v>0</v>
      </c>
      <c r="L1059" s="28">
        <v>0</v>
      </c>
      <c r="M1059" s="28">
        <v>0</v>
      </c>
      <c r="N1059" s="29">
        <v>0</v>
      </c>
    </row>
    <row r="1060" spans="2:14" x14ac:dyDescent="0.25">
      <c r="B1060" s="24">
        <v>45474</v>
      </c>
      <c r="C1060" s="24">
        <v>45475</v>
      </c>
      <c r="D1060" s="24" t="s">
        <v>158</v>
      </c>
      <c r="E1060" s="24" t="s">
        <v>159</v>
      </c>
      <c r="F1060" s="27">
        <v>0</v>
      </c>
      <c r="G1060" s="27">
        <v>0</v>
      </c>
      <c r="H1060" s="26">
        <v>0</v>
      </c>
      <c r="I1060" s="28">
        <v>0</v>
      </c>
      <c r="J1060" s="28">
        <v>0</v>
      </c>
      <c r="K1060" s="28">
        <v>0</v>
      </c>
      <c r="L1060" s="28">
        <v>0</v>
      </c>
      <c r="M1060" s="28">
        <v>0</v>
      </c>
      <c r="N1060" s="29">
        <v>0</v>
      </c>
    </row>
    <row r="1061" spans="2:14" x14ac:dyDescent="0.25">
      <c r="B1061" s="24">
        <v>45474</v>
      </c>
      <c r="C1061" s="24">
        <v>45475</v>
      </c>
      <c r="D1061" s="24" t="s">
        <v>160</v>
      </c>
      <c r="E1061" s="24" t="s">
        <v>161</v>
      </c>
      <c r="F1061" s="27">
        <v>0</v>
      </c>
      <c r="G1061" s="27">
        <v>0</v>
      </c>
      <c r="H1061" s="26">
        <v>0</v>
      </c>
      <c r="I1061" s="28">
        <v>0</v>
      </c>
      <c r="J1061" s="28">
        <v>0</v>
      </c>
      <c r="K1061" s="28">
        <v>0</v>
      </c>
      <c r="L1061" s="28">
        <v>0</v>
      </c>
      <c r="M1061" s="28">
        <v>0</v>
      </c>
      <c r="N1061" s="29">
        <v>0</v>
      </c>
    </row>
    <row r="1062" spans="2:14" x14ac:dyDescent="0.25">
      <c r="B1062" s="24">
        <v>45474</v>
      </c>
      <c r="C1062" s="24">
        <v>45475</v>
      </c>
      <c r="D1062" s="24" t="s">
        <v>162</v>
      </c>
      <c r="E1062" s="24" t="s">
        <v>163</v>
      </c>
      <c r="F1062" s="27">
        <v>425.139906</v>
      </c>
      <c r="G1062" s="27">
        <v>404.98228999999998</v>
      </c>
      <c r="H1062" s="26">
        <v>900</v>
      </c>
      <c r="I1062" s="28">
        <v>4.4267479999999999</v>
      </c>
      <c r="J1062" s="28">
        <v>44.682805000000002</v>
      </c>
      <c r="K1062" s="28">
        <v>44.704000000000001</v>
      </c>
      <c r="L1062" s="28">
        <v>100</v>
      </c>
      <c r="M1062" s="28">
        <v>44.661000000000001</v>
      </c>
      <c r="N1062" s="29">
        <v>2.1805000000000001E-2</v>
      </c>
    </row>
    <row r="1063" spans="2:14" x14ac:dyDescent="0.25">
      <c r="B1063" s="24">
        <v>45488</v>
      </c>
      <c r="C1063" s="24">
        <v>45489</v>
      </c>
      <c r="D1063" s="24" t="s">
        <v>82</v>
      </c>
      <c r="E1063" s="24" t="s">
        <v>83</v>
      </c>
      <c r="F1063" s="27">
        <v>227.948489</v>
      </c>
      <c r="G1063" s="27">
        <v>0</v>
      </c>
      <c r="H1063" s="26">
        <v>0</v>
      </c>
      <c r="I1063" s="28">
        <v>0</v>
      </c>
      <c r="J1063" s="28">
        <v>0</v>
      </c>
      <c r="K1063" s="28">
        <v>0</v>
      </c>
      <c r="L1063" s="28">
        <v>0</v>
      </c>
      <c r="M1063" s="28">
        <v>0</v>
      </c>
      <c r="N1063" s="29">
        <v>0</v>
      </c>
    </row>
    <row r="1064" spans="2:14" x14ac:dyDescent="0.25">
      <c r="B1064" s="24">
        <v>45488</v>
      </c>
      <c r="C1064" s="24">
        <v>45489</v>
      </c>
      <c r="D1064" s="24" t="s">
        <v>84</v>
      </c>
      <c r="E1064" s="24" t="s">
        <v>85</v>
      </c>
      <c r="F1064" s="27">
        <v>238.79157000000001</v>
      </c>
      <c r="G1064" s="27">
        <v>238.79157000000001</v>
      </c>
      <c r="H1064" s="26">
        <v>236</v>
      </c>
      <c r="I1064" s="28">
        <v>4.01661</v>
      </c>
      <c r="J1064" s="28">
        <v>100.73</v>
      </c>
      <c r="K1064" s="28">
        <v>100.733</v>
      </c>
      <c r="L1064" s="28">
        <v>100</v>
      </c>
      <c r="M1064" s="28">
        <v>100.727</v>
      </c>
      <c r="N1064" s="29">
        <v>3.0000000000000001E-3</v>
      </c>
    </row>
    <row r="1065" spans="2:14" x14ac:dyDescent="0.25">
      <c r="B1065" s="24">
        <v>45488</v>
      </c>
      <c r="C1065" s="24">
        <v>45489</v>
      </c>
      <c r="D1065" s="24" t="s">
        <v>86</v>
      </c>
      <c r="E1065" s="24" t="s">
        <v>87</v>
      </c>
      <c r="F1065" s="27">
        <v>1027.9997989999999</v>
      </c>
      <c r="G1065" s="27">
        <v>483.233766</v>
      </c>
      <c r="H1065" s="26">
        <v>552</v>
      </c>
      <c r="I1065" s="28">
        <v>3.9464899999999998</v>
      </c>
      <c r="J1065" s="28">
        <v>87.484999999999999</v>
      </c>
      <c r="K1065" s="28">
        <v>87.494</v>
      </c>
      <c r="L1065" s="28">
        <v>100</v>
      </c>
      <c r="M1065" s="28">
        <v>87.475999999999999</v>
      </c>
      <c r="N1065" s="29">
        <v>8.9999999999999993E-3</v>
      </c>
    </row>
    <row r="1066" spans="2:14" x14ac:dyDescent="0.25">
      <c r="B1066" s="24">
        <v>45488</v>
      </c>
      <c r="C1066" s="24">
        <v>45489</v>
      </c>
      <c r="D1066" s="24" t="s">
        <v>88</v>
      </c>
      <c r="E1066" s="24" t="s">
        <v>89</v>
      </c>
      <c r="F1066" s="27">
        <v>15.543456000000001</v>
      </c>
      <c r="G1066" s="27">
        <v>0</v>
      </c>
      <c r="H1066" s="26">
        <v>0</v>
      </c>
      <c r="I1066" s="28">
        <v>0</v>
      </c>
      <c r="J1066" s="28">
        <v>0</v>
      </c>
      <c r="K1066" s="28">
        <v>0</v>
      </c>
      <c r="L1066" s="28">
        <v>0</v>
      </c>
      <c r="M1066" s="28">
        <v>0</v>
      </c>
      <c r="N1066" s="29">
        <v>0</v>
      </c>
    </row>
    <row r="1067" spans="2:14" x14ac:dyDescent="0.25">
      <c r="B1067" s="24">
        <v>45488</v>
      </c>
      <c r="C1067" s="24">
        <v>45489</v>
      </c>
      <c r="D1067" s="24" t="s">
        <v>90</v>
      </c>
      <c r="E1067" s="24" t="s">
        <v>91</v>
      </c>
      <c r="F1067" s="27">
        <v>27.224836</v>
      </c>
      <c r="G1067" s="27">
        <v>0</v>
      </c>
      <c r="H1067" s="26">
        <v>0</v>
      </c>
      <c r="I1067" s="28">
        <v>0</v>
      </c>
      <c r="J1067" s="28">
        <v>0</v>
      </c>
      <c r="K1067" s="28">
        <v>0</v>
      </c>
      <c r="L1067" s="28">
        <v>0</v>
      </c>
      <c r="M1067" s="28">
        <v>0</v>
      </c>
      <c r="N1067" s="29">
        <v>0</v>
      </c>
    </row>
    <row r="1068" spans="2:14" x14ac:dyDescent="0.25">
      <c r="B1068" s="24">
        <v>45488</v>
      </c>
      <c r="C1068" s="24">
        <v>45489</v>
      </c>
      <c r="D1068" s="24" t="s">
        <v>120</v>
      </c>
      <c r="E1068" s="24" t="s">
        <v>121</v>
      </c>
      <c r="F1068" s="27">
        <v>43.019697000000001</v>
      </c>
      <c r="G1068" s="27">
        <v>0</v>
      </c>
      <c r="H1068" s="26">
        <v>0</v>
      </c>
      <c r="I1068" s="28">
        <v>0</v>
      </c>
      <c r="J1068" s="28">
        <v>0</v>
      </c>
      <c r="K1068" s="28">
        <v>0</v>
      </c>
      <c r="L1068" s="28">
        <v>0</v>
      </c>
      <c r="M1068" s="28">
        <v>0</v>
      </c>
      <c r="N1068" s="29">
        <v>0</v>
      </c>
    </row>
    <row r="1069" spans="2:14" x14ac:dyDescent="0.25">
      <c r="B1069" s="24">
        <v>45488</v>
      </c>
      <c r="C1069" s="24">
        <v>45489</v>
      </c>
      <c r="D1069" s="24" t="s">
        <v>92</v>
      </c>
      <c r="E1069" s="24" t="s">
        <v>93</v>
      </c>
      <c r="F1069" s="27">
        <v>293.09162900000001</v>
      </c>
      <c r="G1069" s="27">
        <v>0</v>
      </c>
      <c r="H1069" s="26">
        <v>0</v>
      </c>
      <c r="I1069" s="28">
        <v>0</v>
      </c>
      <c r="J1069" s="28">
        <v>0</v>
      </c>
      <c r="K1069" s="28">
        <v>0</v>
      </c>
      <c r="L1069" s="28">
        <v>0</v>
      </c>
      <c r="M1069" s="28">
        <v>0</v>
      </c>
      <c r="N1069" s="29">
        <v>0</v>
      </c>
    </row>
    <row r="1070" spans="2:14" x14ac:dyDescent="0.25">
      <c r="B1070" s="24">
        <v>45488</v>
      </c>
      <c r="C1070" s="24">
        <v>45489</v>
      </c>
      <c r="D1070" s="24" t="s">
        <v>94</v>
      </c>
      <c r="E1070" s="24" t="s">
        <v>95</v>
      </c>
      <c r="F1070" s="27">
        <v>64.474671999999998</v>
      </c>
      <c r="G1070" s="27">
        <v>0</v>
      </c>
      <c r="H1070" s="26">
        <v>0</v>
      </c>
      <c r="I1070" s="28">
        <v>0</v>
      </c>
      <c r="J1070" s="28">
        <v>0</v>
      </c>
      <c r="K1070" s="28">
        <v>0</v>
      </c>
      <c r="L1070" s="28">
        <v>0</v>
      </c>
      <c r="M1070" s="28">
        <v>0</v>
      </c>
      <c r="N1070" s="29">
        <v>0</v>
      </c>
    </row>
    <row r="1071" spans="2:14" x14ac:dyDescent="0.25">
      <c r="B1071" s="24">
        <v>45488</v>
      </c>
      <c r="C1071" s="24">
        <v>45489</v>
      </c>
      <c r="D1071" s="24" t="s">
        <v>96</v>
      </c>
      <c r="E1071" s="24" t="s">
        <v>97</v>
      </c>
      <c r="F1071" s="27">
        <v>556.25358100000005</v>
      </c>
      <c r="G1071" s="27">
        <v>77.901947000000007</v>
      </c>
      <c r="H1071" s="26">
        <v>74.2</v>
      </c>
      <c r="I1071" s="28">
        <v>3.949017</v>
      </c>
      <c r="J1071" s="28">
        <v>104.483</v>
      </c>
      <c r="K1071" s="28">
        <v>104.483</v>
      </c>
      <c r="L1071" s="28">
        <v>32.977777000000003</v>
      </c>
      <c r="M1071" s="28">
        <v>104.483</v>
      </c>
      <c r="N1071" s="29">
        <v>0</v>
      </c>
    </row>
    <row r="1072" spans="2:14" x14ac:dyDescent="0.25">
      <c r="B1072" s="24">
        <v>45495</v>
      </c>
      <c r="C1072" s="24">
        <v>45496</v>
      </c>
      <c r="D1072" s="24" t="s">
        <v>98</v>
      </c>
      <c r="E1072" s="24" t="s">
        <v>99</v>
      </c>
      <c r="F1072" s="27">
        <v>162.54046099999999</v>
      </c>
      <c r="G1072" s="27">
        <v>0</v>
      </c>
      <c r="H1072" s="26">
        <v>0</v>
      </c>
      <c r="I1072" s="28">
        <v>0</v>
      </c>
      <c r="J1072" s="28">
        <v>0</v>
      </c>
      <c r="K1072" s="28">
        <v>0</v>
      </c>
      <c r="L1072" s="28">
        <v>0</v>
      </c>
      <c r="M1072" s="28">
        <v>0</v>
      </c>
      <c r="N1072" s="29">
        <v>0</v>
      </c>
    </row>
    <row r="1073" spans="2:14" x14ac:dyDescent="0.25">
      <c r="B1073" s="24">
        <v>45495</v>
      </c>
      <c r="C1073" s="24">
        <v>45496</v>
      </c>
      <c r="D1073" s="24" t="s">
        <v>100</v>
      </c>
      <c r="E1073" s="24" t="s">
        <v>101</v>
      </c>
      <c r="F1073" s="27">
        <v>398.037846</v>
      </c>
      <c r="G1073" s="27">
        <v>0</v>
      </c>
      <c r="H1073" s="26">
        <v>0</v>
      </c>
      <c r="I1073" s="28">
        <v>0</v>
      </c>
      <c r="J1073" s="28">
        <v>0</v>
      </c>
      <c r="K1073" s="28">
        <v>0</v>
      </c>
      <c r="L1073" s="28">
        <v>0</v>
      </c>
      <c r="M1073" s="28">
        <v>0</v>
      </c>
      <c r="N1073" s="29">
        <v>0</v>
      </c>
    </row>
    <row r="1074" spans="2:14" x14ac:dyDescent="0.25">
      <c r="B1074" s="24">
        <v>45495</v>
      </c>
      <c r="C1074" s="24">
        <v>45496</v>
      </c>
      <c r="D1074" s="24" t="s">
        <v>122</v>
      </c>
      <c r="E1074" s="24" t="s">
        <v>123</v>
      </c>
      <c r="F1074" s="27">
        <v>0</v>
      </c>
      <c r="G1074" s="27">
        <v>0</v>
      </c>
      <c r="H1074" s="26">
        <v>0</v>
      </c>
      <c r="I1074" s="28">
        <v>0</v>
      </c>
      <c r="J1074" s="28">
        <v>0</v>
      </c>
      <c r="K1074" s="28">
        <v>0</v>
      </c>
      <c r="L1074" s="28">
        <v>0</v>
      </c>
      <c r="M1074" s="28">
        <v>0</v>
      </c>
      <c r="N1074" s="29">
        <v>0</v>
      </c>
    </row>
    <row r="1075" spans="2:14" x14ac:dyDescent="0.25">
      <c r="B1075" s="24">
        <v>45495</v>
      </c>
      <c r="C1075" s="24">
        <v>45496</v>
      </c>
      <c r="D1075" s="24" t="s">
        <v>102</v>
      </c>
      <c r="E1075" s="24" t="s">
        <v>103</v>
      </c>
      <c r="F1075" s="27">
        <v>31.305150000000001</v>
      </c>
      <c r="G1075" s="27">
        <v>0</v>
      </c>
      <c r="H1075" s="26">
        <v>0</v>
      </c>
      <c r="I1075" s="28">
        <v>0</v>
      </c>
      <c r="J1075" s="28">
        <v>0</v>
      </c>
      <c r="K1075" s="28">
        <v>0</v>
      </c>
      <c r="L1075" s="28">
        <v>0</v>
      </c>
      <c r="M1075" s="28">
        <v>0</v>
      </c>
      <c r="N1075" s="29">
        <v>0</v>
      </c>
    </row>
    <row r="1076" spans="2:14" x14ac:dyDescent="0.25">
      <c r="B1076" s="24">
        <v>45495</v>
      </c>
      <c r="C1076" s="24">
        <v>45496</v>
      </c>
      <c r="D1076" s="24" t="s">
        <v>104</v>
      </c>
      <c r="E1076" s="24" t="s">
        <v>105</v>
      </c>
      <c r="F1076" s="27">
        <v>941.85550499999999</v>
      </c>
      <c r="G1076" s="27">
        <v>419.84820000000002</v>
      </c>
      <c r="H1076" s="26">
        <v>610.9</v>
      </c>
      <c r="I1076" s="28">
        <v>4.1966349999999997</v>
      </c>
      <c r="J1076" s="28">
        <v>68.739911000000006</v>
      </c>
      <c r="K1076" s="28">
        <v>68.745000000000005</v>
      </c>
      <c r="L1076" s="28">
        <v>38.862499999999997</v>
      </c>
      <c r="M1076" s="28">
        <v>68.734999999999999</v>
      </c>
      <c r="N1076" s="29">
        <v>4.9109999999999996E-3</v>
      </c>
    </row>
    <row r="1077" spans="2:14" x14ac:dyDescent="0.25">
      <c r="B1077" s="24">
        <v>45495</v>
      </c>
      <c r="C1077" s="24">
        <v>45496</v>
      </c>
      <c r="D1077" s="24" t="s">
        <v>106</v>
      </c>
      <c r="E1077" s="24" t="s">
        <v>107</v>
      </c>
      <c r="F1077" s="27">
        <v>660.88987499999996</v>
      </c>
      <c r="G1077" s="27">
        <v>305.09924999999998</v>
      </c>
      <c r="H1077" s="26">
        <v>300</v>
      </c>
      <c r="I1077" s="28">
        <v>4.2378970000000002</v>
      </c>
      <c r="J1077" s="28">
        <v>100.10599999999999</v>
      </c>
      <c r="K1077" s="28">
        <v>100.111</v>
      </c>
      <c r="L1077" s="28">
        <v>100</v>
      </c>
      <c r="M1077" s="28">
        <v>100.101</v>
      </c>
      <c r="N1077" s="29">
        <v>5.0000000000000001E-3</v>
      </c>
    </row>
    <row r="1078" spans="2:14" x14ac:dyDescent="0.25">
      <c r="B1078" s="24">
        <v>45495</v>
      </c>
      <c r="C1078" s="24">
        <v>45496</v>
      </c>
      <c r="D1078" s="24" t="s">
        <v>108</v>
      </c>
      <c r="E1078" s="24" t="s">
        <v>109</v>
      </c>
      <c r="F1078" s="27">
        <v>0</v>
      </c>
      <c r="G1078" s="27">
        <v>0</v>
      </c>
      <c r="H1078" s="26">
        <v>0</v>
      </c>
      <c r="I1078" s="28">
        <v>0</v>
      </c>
      <c r="J1078" s="28">
        <v>0</v>
      </c>
      <c r="K1078" s="28">
        <v>0</v>
      </c>
      <c r="L1078" s="28">
        <v>0</v>
      </c>
      <c r="M1078" s="28">
        <v>0</v>
      </c>
      <c r="N1078" s="29">
        <v>0</v>
      </c>
    </row>
    <row r="1079" spans="2:14" x14ac:dyDescent="0.25">
      <c r="B1079" s="24">
        <v>45495</v>
      </c>
      <c r="C1079" s="24">
        <v>45496</v>
      </c>
      <c r="D1079" s="24" t="s">
        <v>110</v>
      </c>
      <c r="E1079" s="24" t="s">
        <v>111</v>
      </c>
      <c r="F1079" s="27">
        <v>0</v>
      </c>
      <c r="G1079" s="27">
        <v>0</v>
      </c>
      <c r="H1079" s="26">
        <v>0</v>
      </c>
      <c r="I1079" s="28">
        <v>0</v>
      </c>
      <c r="J1079" s="28">
        <v>0</v>
      </c>
      <c r="K1079" s="28">
        <v>0</v>
      </c>
      <c r="L1079" s="28">
        <v>0</v>
      </c>
      <c r="M1079" s="28">
        <v>0</v>
      </c>
      <c r="N1079" s="29">
        <v>0</v>
      </c>
    </row>
    <row r="1080" spans="2:14" x14ac:dyDescent="0.25">
      <c r="B1080" s="24">
        <v>45495</v>
      </c>
      <c r="C1080" s="24">
        <v>45496</v>
      </c>
      <c r="D1080" s="24" t="s">
        <v>114</v>
      </c>
      <c r="E1080" s="24" t="s">
        <v>115</v>
      </c>
      <c r="F1080" s="27">
        <v>0</v>
      </c>
      <c r="G1080" s="27">
        <v>0</v>
      </c>
      <c r="H1080" s="26">
        <v>0</v>
      </c>
      <c r="I1080" s="28">
        <v>0</v>
      </c>
      <c r="J1080" s="28">
        <v>0</v>
      </c>
      <c r="K1080" s="28">
        <v>0</v>
      </c>
      <c r="L1080" s="28">
        <v>0</v>
      </c>
      <c r="M1080" s="28">
        <v>0</v>
      </c>
      <c r="N1080" s="29">
        <v>0</v>
      </c>
    </row>
    <row r="1081" spans="2:14" x14ac:dyDescent="0.25">
      <c r="B1081" s="24">
        <v>45495</v>
      </c>
      <c r="C1081" s="24">
        <v>45496</v>
      </c>
      <c r="D1081" s="24" t="s">
        <v>116</v>
      </c>
      <c r="E1081" s="24" t="s">
        <v>117</v>
      </c>
      <c r="F1081" s="27">
        <v>0</v>
      </c>
      <c r="G1081" s="27">
        <v>0</v>
      </c>
      <c r="H1081" s="26">
        <v>0</v>
      </c>
      <c r="I1081" s="28">
        <v>0</v>
      </c>
      <c r="J1081" s="28">
        <v>0</v>
      </c>
      <c r="K1081" s="28">
        <v>0</v>
      </c>
      <c r="L1081" s="28">
        <v>0</v>
      </c>
      <c r="M1081" s="28">
        <v>0</v>
      </c>
      <c r="N1081" s="29">
        <v>0</v>
      </c>
    </row>
    <row r="1082" spans="2:14" x14ac:dyDescent="0.25">
      <c r="B1082" s="24">
        <v>45495</v>
      </c>
      <c r="C1082" s="24">
        <v>45496</v>
      </c>
      <c r="D1082" s="24" t="s">
        <v>118</v>
      </c>
      <c r="E1082" s="24" t="s">
        <v>119</v>
      </c>
      <c r="F1082" s="27">
        <v>60.314207000000003</v>
      </c>
      <c r="G1082" s="27">
        <v>0</v>
      </c>
      <c r="H1082" s="26">
        <v>0</v>
      </c>
      <c r="I1082" s="28">
        <v>0</v>
      </c>
      <c r="J1082" s="28">
        <v>0</v>
      </c>
      <c r="K1082" s="28">
        <v>0</v>
      </c>
      <c r="L1082" s="28">
        <v>0</v>
      </c>
      <c r="M1082" s="28">
        <v>0</v>
      </c>
      <c r="N1082" s="29">
        <v>0</v>
      </c>
    </row>
    <row r="1083" spans="2:14" x14ac:dyDescent="0.25">
      <c r="B1083" s="24">
        <v>45495</v>
      </c>
      <c r="C1083" s="24">
        <v>45496</v>
      </c>
      <c r="D1083" s="24" t="s">
        <v>124</v>
      </c>
      <c r="E1083" s="24" t="s">
        <v>125</v>
      </c>
      <c r="F1083" s="27">
        <v>0</v>
      </c>
      <c r="G1083" s="27">
        <v>0</v>
      </c>
      <c r="H1083" s="26">
        <v>0</v>
      </c>
      <c r="I1083" s="28">
        <v>0</v>
      </c>
      <c r="J1083" s="28">
        <v>0</v>
      </c>
      <c r="K1083" s="28">
        <v>0</v>
      </c>
      <c r="L1083" s="28">
        <v>0</v>
      </c>
      <c r="M1083" s="28">
        <v>0</v>
      </c>
      <c r="N1083" s="29">
        <v>0</v>
      </c>
    </row>
    <row r="1084" spans="2:14" x14ac:dyDescent="0.25">
      <c r="B1084" s="24">
        <v>45495</v>
      </c>
      <c r="C1084" s="24">
        <v>45496</v>
      </c>
      <c r="D1084" s="24" t="s">
        <v>126</v>
      </c>
      <c r="E1084" s="24" t="s">
        <v>127</v>
      </c>
      <c r="F1084" s="27">
        <v>99.147597000000005</v>
      </c>
      <c r="G1084" s="27">
        <v>0</v>
      </c>
      <c r="H1084" s="26">
        <v>0</v>
      </c>
      <c r="I1084" s="28">
        <v>0</v>
      </c>
      <c r="J1084" s="28">
        <v>0</v>
      </c>
      <c r="K1084" s="28">
        <v>0</v>
      </c>
      <c r="L1084" s="28">
        <v>0</v>
      </c>
      <c r="M1084" s="28">
        <v>0</v>
      </c>
      <c r="N1084" s="29">
        <v>0</v>
      </c>
    </row>
    <row r="1085" spans="2:14" x14ac:dyDescent="0.25">
      <c r="B1085" s="24">
        <v>45502</v>
      </c>
      <c r="C1085" s="24">
        <v>45503</v>
      </c>
      <c r="D1085" s="24" t="s">
        <v>84</v>
      </c>
      <c r="E1085" s="24" t="s">
        <v>85</v>
      </c>
      <c r="F1085" s="27">
        <v>0</v>
      </c>
      <c r="G1085" s="27">
        <v>0</v>
      </c>
      <c r="H1085" s="26">
        <v>0</v>
      </c>
      <c r="I1085" s="28">
        <v>0</v>
      </c>
      <c r="J1085" s="28">
        <v>0</v>
      </c>
      <c r="K1085" s="28">
        <v>0</v>
      </c>
      <c r="L1085" s="28">
        <v>0</v>
      </c>
      <c r="M1085" s="28">
        <v>0</v>
      </c>
      <c r="N1085" s="29">
        <v>0</v>
      </c>
    </row>
    <row r="1086" spans="2:14" x14ac:dyDescent="0.25">
      <c r="B1086" s="24">
        <v>45502</v>
      </c>
      <c r="C1086" s="24">
        <v>45503</v>
      </c>
      <c r="D1086" s="24" t="s">
        <v>86</v>
      </c>
      <c r="E1086" s="24" t="s">
        <v>87</v>
      </c>
      <c r="F1086" s="27">
        <v>849.25342599999999</v>
      </c>
      <c r="G1086" s="27">
        <v>605.72057700000005</v>
      </c>
      <c r="H1086" s="26">
        <v>688</v>
      </c>
      <c r="I1086" s="28">
        <v>3.803966</v>
      </c>
      <c r="J1086" s="28">
        <v>88.041128</v>
      </c>
      <c r="K1086" s="28">
        <v>88.057000000000002</v>
      </c>
      <c r="L1086" s="28">
        <v>100</v>
      </c>
      <c r="M1086" s="28">
        <v>87.995999999999995</v>
      </c>
      <c r="N1086" s="29">
        <v>4.5128000000000001E-2</v>
      </c>
    </row>
    <row r="1087" spans="2:14" x14ac:dyDescent="0.25">
      <c r="B1087" s="24">
        <v>45502</v>
      </c>
      <c r="C1087" s="24">
        <v>45503</v>
      </c>
      <c r="D1087" s="24" t="s">
        <v>88</v>
      </c>
      <c r="E1087" s="24" t="s">
        <v>89</v>
      </c>
      <c r="F1087" s="27">
        <v>0</v>
      </c>
      <c r="G1087" s="27">
        <v>0</v>
      </c>
      <c r="H1087" s="26">
        <v>0</v>
      </c>
      <c r="I1087" s="28">
        <v>0</v>
      </c>
      <c r="J1087" s="28">
        <v>0</v>
      </c>
      <c r="K1087" s="28">
        <v>0</v>
      </c>
      <c r="L1087" s="28">
        <v>0</v>
      </c>
      <c r="M1087" s="28">
        <v>0</v>
      </c>
      <c r="N1087" s="29">
        <v>0</v>
      </c>
    </row>
    <row r="1088" spans="2:14" x14ac:dyDescent="0.25">
      <c r="B1088" s="24">
        <v>45502</v>
      </c>
      <c r="C1088" s="24">
        <v>45503</v>
      </c>
      <c r="D1088" s="24" t="s">
        <v>90</v>
      </c>
      <c r="E1088" s="24" t="s">
        <v>91</v>
      </c>
      <c r="F1088" s="27">
        <v>0</v>
      </c>
      <c r="G1088" s="27">
        <v>0</v>
      </c>
      <c r="H1088" s="26">
        <v>0</v>
      </c>
      <c r="I1088" s="28">
        <v>0</v>
      </c>
      <c r="J1088" s="28">
        <v>0</v>
      </c>
      <c r="K1088" s="28">
        <v>0</v>
      </c>
      <c r="L1088" s="28">
        <v>0</v>
      </c>
      <c r="M1088" s="28">
        <v>0</v>
      </c>
      <c r="N1088" s="29">
        <v>0</v>
      </c>
    </row>
    <row r="1089" spans="2:14" x14ac:dyDescent="0.25">
      <c r="B1089" s="24">
        <v>45502</v>
      </c>
      <c r="C1089" s="24">
        <v>45503</v>
      </c>
      <c r="D1089" s="24" t="s">
        <v>120</v>
      </c>
      <c r="E1089" s="24" t="s">
        <v>121</v>
      </c>
      <c r="F1089" s="27">
        <v>301.51609200000001</v>
      </c>
      <c r="G1089" s="27">
        <v>68.971901000000003</v>
      </c>
      <c r="H1089" s="26">
        <v>80</v>
      </c>
      <c r="I1089" s="28">
        <v>3.8646669999999999</v>
      </c>
      <c r="J1089" s="28">
        <v>86.216250000000002</v>
      </c>
      <c r="K1089" s="28">
        <v>86.224999999999994</v>
      </c>
      <c r="L1089" s="28">
        <v>100</v>
      </c>
      <c r="M1089" s="28">
        <v>86.210999999999999</v>
      </c>
      <c r="N1089" s="29">
        <v>5.2500000000000003E-3</v>
      </c>
    </row>
    <row r="1090" spans="2:14" x14ac:dyDescent="0.25">
      <c r="B1090" s="24">
        <v>45502</v>
      </c>
      <c r="C1090" s="24">
        <v>45503</v>
      </c>
      <c r="D1090" s="24" t="s">
        <v>92</v>
      </c>
      <c r="E1090" s="24" t="s">
        <v>93</v>
      </c>
      <c r="F1090" s="27">
        <v>36.337605000000003</v>
      </c>
      <c r="G1090" s="27">
        <v>27.693937999999999</v>
      </c>
      <c r="H1090" s="26">
        <v>32</v>
      </c>
      <c r="I1090" s="28">
        <v>3.785568</v>
      </c>
      <c r="J1090" s="28">
        <v>86.306882000000002</v>
      </c>
      <c r="K1090" s="28">
        <v>86.32</v>
      </c>
      <c r="L1090" s="28">
        <v>100</v>
      </c>
      <c r="M1090" s="28">
        <v>86.26</v>
      </c>
      <c r="N1090" s="29">
        <v>4.6882E-2</v>
      </c>
    </row>
    <row r="1091" spans="2:14" x14ac:dyDescent="0.25">
      <c r="B1091" s="24">
        <v>45502</v>
      </c>
      <c r="C1091" s="24">
        <v>45503</v>
      </c>
      <c r="D1091" s="24" t="s">
        <v>94</v>
      </c>
      <c r="E1091" s="24" t="s">
        <v>95</v>
      </c>
      <c r="F1091" s="27">
        <v>121.799651</v>
      </c>
      <c r="G1091" s="27">
        <v>97.610563999999997</v>
      </c>
      <c r="H1091" s="26">
        <v>120.2</v>
      </c>
      <c r="I1091" s="28">
        <v>3.8109419999999998</v>
      </c>
      <c r="J1091" s="28">
        <v>81.105378999999999</v>
      </c>
      <c r="K1091" s="28">
        <v>81.16</v>
      </c>
      <c r="L1091" s="28">
        <v>70.2</v>
      </c>
      <c r="M1091" s="28">
        <v>81.069999999999993</v>
      </c>
      <c r="N1091" s="29">
        <v>3.5379000000000001E-2</v>
      </c>
    </row>
    <row r="1092" spans="2:14" x14ac:dyDescent="0.25">
      <c r="B1092" s="24">
        <v>45502</v>
      </c>
      <c r="C1092" s="24">
        <v>45503</v>
      </c>
      <c r="D1092" s="24" t="s">
        <v>96</v>
      </c>
      <c r="E1092" s="24" t="s">
        <v>97</v>
      </c>
      <c r="F1092" s="27">
        <v>0</v>
      </c>
      <c r="G1092" s="27">
        <v>0</v>
      </c>
      <c r="H1092" s="26">
        <v>0</v>
      </c>
      <c r="I1092" s="28">
        <v>0</v>
      </c>
      <c r="J1092" s="28">
        <v>0</v>
      </c>
      <c r="K1092" s="28">
        <v>0</v>
      </c>
      <c r="L1092" s="28">
        <v>0</v>
      </c>
      <c r="M1092" s="28">
        <v>0</v>
      </c>
      <c r="N1092" s="29">
        <v>0</v>
      </c>
    </row>
    <row r="1093" spans="2:14" x14ac:dyDescent="0.25">
      <c r="B1093" s="24">
        <v>45509</v>
      </c>
      <c r="C1093" s="24">
        <v>45510</v>
      </c>
      <c r="D1093" s="24" t="s">
        <v>100</v>
      </c>
      <c r="E1093" s="24" t="s">
        <v>101</v>
      </c>
      <c r="F1093" s="27">
        <v>0</v>
      </c>
      <c r="G1093" s="27">
        <v>0</v>
      </c>
      <c r="H1093" s="26">
        <v>0</v>
      </c>
      <c r="I1093" s="28">
        <v>0</v>
      </c>
      <c r="J1093" s="28">
        <v>0</v>
      </c>
      <c r="K1093" s="28">
        <v>0</v>
      </c>
      <c r="L1093" s="28">
        <v>0</v>
      </c>
      <c r="M1093" s="28">
        <v>0</v>
      </c>
      <c r="N1093" s="29">
        <v>0</v>
      </c>
    </row>
    <row r="1094" spans="2:14" x14ac:dyDescent="0.25">
      <c r="B1094" s="24">
        <v>45509</v>
      </c>
      <c r="C1094" s="24">
        <v>45510</v>
      </c>
      <c r="D1094" s="24" t="s">
        <v>122</v>
      </c>
      <c r="E1094" s="24" t="s">
        <v>123</v>
      </c>
      <c r="F1094" s="27">
        <v>46.930059</v>
      </c>
      <c r="G1094" s="27">
        <v>27.388992999999999</v>
      </c>
      <c r="H1094" s="26">
        <v>35</v>
      </c>
      <c r="I1094" s="28">
        <v>3.7505039999999998</v>
      </c>
      <c r="J1094" s="28">
        <v>78.239999999999995</v>
      </c>
      <c r="K1094" s="28">
        <v>78.239999999999995</v>
      </c>
      <c r="L1094" s="28">
        <v>100</v>
      </c>
      <c r="M1094" s="28">
        <v>78.239999999999995</v>
      </c>
      <c r="N1094" s="29">
        <v>0</v>
      </c>
    </row>
    <row r="1095" spans="2:14" x14ac:dyDescent="0.25">
      <c r="B1095" s="24">
        <v>45509</v>
      </c>
      <c r="C1095" s="24">
        <v>45510</v>
      </c>
      <c r="D1095" s="24" t="s">
        <v>102</v>
      </c>
      <c r="E1095" s="24" t="s">
        <v>103</v>
      </c>
      <c r="F1095" s="27">
        <v>32.216608000000001</v>
      </c>
      <c r="G1095" s="27">
        <v>32.216608999999998</v>
      </c>
      <c r="H1095" s="26">
        <v>30</v>
      </c>
      <c r="I1095" s="28">
        <v>3.833415</v>
      </c>
      <c r="J1095" s="28">
        <v>105.53</v>
      </c>
      <c r="K1095" s="28">
        <v>105.53</v>
      </c>
      <c r="L1095" s="28">
        <v>100</v>
      </c>
      <c r="M1095" s="28">
        <v>105.53</v>
      </c>
      <c r="N1095" s="29">
        <v>0</v>
      </c>
    </row>
    <row r="1096" spans="2:14" x14ac:dyDescent="0.25">
      <c r="B1096" s="24">
        <v>45509</v>
      </c>
      <c r="C1096" s="24">
        <v>45510</v>
      </c>
      <c r="D1096" s="24" t="s">
        <v>104</v>
      </c>
      <c r="E1096" s="24" t="s">
        <v>105</v>
      </c>
      <c r="F1096" s="27">
        <v>96.014756000000006</v>
      </c>
      <c r="G1096" s="27">
        <v>6.1944169999999996</v>
      </c>
      <c r="H1096" s="26">
        <v>8.6999999999999993</v>
      </c>
      <c r="I1096" s="28">
        <v>3.8696860000000002</v>
      </c>
      <c r="J1096" s="28">
        <v>71.19</v>
      </c>
      <c r="K1096" s="28">
        <v>71.19</v>
      </c>
      <c r="L1096" s="28">
        <v>34.799999999999997</v>
      </c>
      <c r="M1096" s="28">
        <v>71.19</v>
      </c>
      <c r="N1096" s="29">
        <v>0</v>
      </c>
    </row>
    <row r="1097" spans="2:14" x14ac:dyDescent="0.25">
      <c r="B1097" s="24">
        <v>45509</v>
      </c>
      <c r="C1097" s="24">
        <v>45510</v>
      </c>
      <c r="D1097" s="24" t="s">
        <v>106</v>
      </c>
      <c r="E1097" s="24" t="s">
        <v>107</v>
      </c>
      <c r="F1097" s="27">
        <v>681.96132599999999</v>
      </c>
      <c r="G1097" s="27">
        <v>629.78360899999996</v>
      </c>
      <c r="H1097" s="26">
        <v>600</v>
      </c>
      <c r="I1097" s="28">
        <v>3.9028119999999999</v>
      </c>
      <c r="J1097" s="28">
        <v>103.208501</v>
      </c>
      <c r="K1097" s="28">
        <v>103.223</v>
      </c>
      <c r="L1097" s="28">
        <v>100</v>
      </c>
      <c r="M1097" s="28">
        <v>103.194</v>
      </c>
      <c r="N1097" s="29">
        <v>1.4501E-2</v>
      </c>
    </row>
    <row r="1098" spans="2:14" x14ac:dyDescent="0.25">
      <c r="B1098" s="24">
        <v>45509</v>
      </c>
      <c r="C1098" s="24">
        <v>45510</v>
      </c>
      <c r="D1098" s="24" t="s">
        <v>108</v>
      </c>
      <c r="E1098" s="24" t="s">
        <v>109</v>
      </c>
      <c r="F1098" s="27">
        <v>0</v>
      </c>
      <c r="G1098" s="27">
        <v>0</v>
      </c>
      <c r="H1098" s="26">
        <v>0</v>
      </c>
      <c r="I1098" s="28">
        <v>0</v>
      </c>
      <c r="J1098" s="28">
        <v>0</v>
      </c>
      <c r="K1098" s="28">
        <v>0</v>
      </c>
      <c r="L1098" s="28">
        <v>0</v>
      </c>
      <c r="M1098" s="28">
        <v>0</v>
      </c>
      <c r="N1098" s="29">
        <v>0</v>
      </c>
    </row>
    <row r="1099" spans="2:14" x14ac:dyDescent="0.25">
      <c r="B1099" s="24">
        <v>45509</v>
      </c>
      <c r="C1099" s="24">
        <v>45510</v>
      </c>
      <c r="D1099" s="24" t="s">
        <v>110</v>
      </c>
      <c r="E1099" s="24" t="s">
        <v>111</v>
      </c>
      <c r="F1099" s="27">
        <v>0</v>
      </c>
      <c r="G1099" s="27">
        <v>0</v>
      </c>
      <c r="H1099" s="26">
        <v>0</v>
      </c>
      <c r="I1099" s="28">
        <v>0</v>
      </c>
      <c r="J1099" s="28">
        <v>0</v>
      </c>
      <c r="K1099" s="28">
        <v>0</v>
      </c>
      <c r="L1099" s="28">
        <v>0</v>
      </c>
      <c r="M1099" s="28">
        <v>0</v>
      </c>
      <c r="N1099" s="29">
        <v>0</v>
      </c>
    </row>
    <row r="1100" spans="2:14" x14ac:dyDescent="0.25">
      <c r="B1100" s="24">
        <v>45509</v>
      </c>
      <c r="C1100" s="24">
        <v>45510</v>
      </c>
      <c r="D1100" s="24" t="s">
        <v>114</v>
      </c>
      <c r="E1100" s="24" t="s">
        <v>115</v>
      </c>
      <c r="F1100" s="27">
        <v>0</v>
      </c>
      <c r="G1100" s="27">
        <v>0</v>
      </c>
      <c r="H1100" s="26">
        <v>0</v>
      </c>
      <c r="I1100" s="28">
        <v>0</v>
      </c>
      <c r="J1100" s="28">
        <v>0</v>
      </c>
      <c r="K1100" s="28">
        <v>0</v>
      </c>
      <c r="L1100" s="28">
        <v>0</v>
      </c>
      <c r="M1100" s="28">
        <v>0</v>
      </c>
      <c r="N1100" s="29">
        <v>0</v>
      </c>
    </row>
    <row r="1101" spans="2:14" x14ac:dyDescent="0.25">
      <c r="B1101" s="24">
        <v>45509</v>
      </c>
      <c r="C1101" s="24">
        <v>45510</v>
      </c>
      <c r="D1101" s="24" t="s">
        <v>116</v>
      </c>
      <c r="E1101" s="24" t="s">
        <v>117</v>
      </c>
      <c r="F1101" s="27">
        <v>125.473834</v>
      </c>
      <c r="G1101" s="27">
        <v>29.393198999999999</v>
      </c>
      <c r="H1101" s="26">
        <v>29</v>
      </c>
      <c r="I1101" s="28">
        <v>4.1934459999999998</v>
      </c>
      <c r="J1101" s="28">
        <v>100.659137</v>
      </c>
      <c r="K1101" s="28">
        <v>100.66</v>
      </c>
      <c r="L1101" s="28">
        <v>100</v>
      </c>
      <c r="M1101" s="28">
        <v>100.655</v>
      </c>
      <c r="N1101" s="29">
        <v>4.1370000000000001E-3</v>
      </c>
    </row>
    <row r="1102" spans="2:14" x14ac:dyDescent="0.25">
      <c r="B1102" s="24">
        <v>45509</v>
      </c>
      <c r="C1102" s="24">
        <v>45510</v>
      </c>
      <c r="D1102" s="24" t="s">
        <v>118</v>
      </c>
      <c r="E1102" s="24" t="s">
        <v>119</v>
      </c>
      <c r="F1102" s="27">
        <v>51.309617000000003</v>
      </c>
      <c r="G1102" s="27">
        <v>0</v>
      </c>
      <c r="H1102" s="26">
        <v>0</v>
      </c>
      <c r="I1102" s="28">
        <v>0</v>
      </c>
      <c r="J1102" s="28">
        <v>0</v>
      </c>
      <c r="K1102" s="28">
        <v>0</v>
      </c>
      <c r="L1102" s="28">
        <v>0</v>
      </c>
      <c r="M1102" s="28">
        <v>0</v>
      </c>
      <c r="N1102" s="29">
        <v>0</v>
      </c>
    </row>
    <row r="1103" spans="2:14" x14ac:dyDescent="0.25">
      <c r="B1103" s="24">
        <v>45509</v>
      </c>
      <c r="C1103" s="24">
        <v>45510</v>
      </c>
      <c r="D1103" s="24" t="s">
        <v>124</v>
      </c>
      <c r="E1103" s="24" t="s">
        <v>125</v>
      </c>
      <c r="F1103" s="27">
        <v>0</v>
      </c>
      <c r="G1103" s="27">
        <v>0</v>
      </c>
      <c r="H1103" s="26">
        <v>0</v>
      </c>
      <c r="I1103" s="28">
        <v>0</v>
      </c>
      <c r="J1103" s="28">
        <v>0</v>
      </c>
      <c r="K1103" s="28">
        <v>0</v>
      </c>
      <c r="L1103" s="28">
        <v>0</v>
      </c>
      <c r="M1103" s="28">
        <v>0</v>
      </c>
      <c r="N1103" s="29">
        <v>0</v>
      </c>
    </row>
    <row r="1104" spans="2:14" x14ac:dyDescent="0.25">
      <c r="B1104" s="24">
        <v>45509</v>
      </c>
      <c r="C1104" s="24">
        <v>45510</v>
      </c>
      <c r="D1104" s="24" t="s">
        <v>126</v>
      </c>
      <c r="E1104" s="24" t="s">
        <v>127</v>
      </c>
      <c r="F1104" s="27">
        <v>64.175104000000005</v>
      </c>
      <c r="G1104" s="27">
        <v>0</v>
      </c>
      <c r="H1104" s="26">
        <v>0</v>
      </c>
      <c r="I1104" s="28">
        <v>0</v>
      </c>
      <c r="J1104" s="28">
        <v>0</v>
      </c>
      <c r="K1104" s="28">
        <v>0</v>
      </c>
      <c r="L1104" s="28">
        <v>0</v>
      </c>
      <c r="M1104" s="28">
        <v>0</v>
      </c>
      <c r="N1104" s="29">
        <v>0</v>
      </c>
    </row>
    <row r="1105" spans="2:23" x14ac:dyDescent="0.25">
      <c r="B1105" s="24">
        <v>45516</v>
      </c>
      <c r="C1105" s="24">
        <v>45517</v>
      </c>
      <c r="D1105" s="24" t="s">
        <v>84</v>
      </c>
      <c r="E1105" s="24" t="s">
        <v>85</v>
      </c>
      <c r="F1105" s="27">
        <v>0</v>
      </c>
      <c r="G1105" s="27">
        <v>0</v>
      </c>
      <c r="H1105" s="26">
        <v>0</v>
      </c>
      <c r="I1105" s="28">
        <v>0</v>
      </c>
      <c r="J1105" s="28">
        <v>0</v>
      </c>
      <c r="K1105" s="28">
        <v>0</v>
      </c>
      <c r="L1105" s="28">
        <v>0</v>
      </c>
      <c r="M1105" s="28">
        <v>0</v>
      </c>
      <c r="N1105" s="29">
        <v>0</v>
      </c>
    </row>
    <row r="1106" spans="2:23" x14ac:dyDescent="0.25">
      <c r="B1106" s="24">
        <v>45516</v>
      </c>
      <c r="C1106" s="24">
        <v>45517</v>
      </c>
      <c r="D1106" s="24" t="s">
        <v>86</v>
      </c>
      <c r="E1106" s="24" t="s">
        <v>87</v>
      </c>
      <c r="F1106" s="27">
        <v>691.39049199999999</v>
      </c>
      <c r="G1106" s="27">
        <v>629.38070200000004</v>
      </c>
      <c r="H1106" s="26">
        <v>710</v>
      </c>
      <c r="I1106" s="28">
        <v>3.6446830000000001</v>
      </c>
      <c r="J1106" s="28">
        <v>88.640754000000001</v>
      </c>
      <c r="K1106" s="28">
        <v>88.649000000000001</v>
      </c>
      <c r="L1106" s="28">
        <v>100</v>
      </c>
      <c r="M1106" s="28">
        <v>88.614999999999995</v>
      </c>
      <c r="N1106" s="29">
        <v>2.5753999999999999E-2</v>
      </c>
    </row>
    <row r="1107" spans="2:23" x14ac:dyDescent="0.25">
      <c r="B1107" s="24">
        <v>45516</v>
      </c>
      <c r="C1107" s="24">
        <v>45517</v>
      </c>
      <c r="D1107" s="24" t="s">
        <v>88</v>
      </c>
      <c r="E1107" s="24" t="s">
        <v>89</v>
      </c>
      <c r="F1107" s="27">
        <v>0</v>
      </c>
      <c r="G1107" s="27">
        <v>0</v>
      </c>
      <c r="H1107" s="26">
        <v>0</v>
      </c>
      <c r="I1107" s="28">
        <v>0</v>
      </c>
      <c r="J1107" s="28">
        <v>0</v>
      </c>
      <c r="K1107" s="28">
        <v>0</v>
      </c>
      <c r="L1107" s="28">
        <v>0</v>
      </c>
      <c r="M1107" s="28">
        <v>0</v>
      </c>
      <c r="N1107" s="29">
        <v>0</v>
      </c>
    </row>
    <row r="1108" spans="2:23" x14ac:dyDescent="0.25">
      <c r="B1108" s="24">
        <v>45516</v>
      </c>
      <c r="C1108" s="24">
        <v>45517</v>
      </c>
      <c r="D1108" s="24" t="s">
        <v>90</v>
      </c>
      <c r="E1108" s="24" t="s">
        <v>91</v>
      </c>
      <c r="F1108" s="27">
        <v>0</v>
      </c>
      <c r="G1108" s="27">
        <v>0</v>
      </c>
      <c r="H1108" s="26">
        <v>0</v>
      </c>
      <c r="I1108" s="28">
        <v>0</v>
      </c>
      <c r="J1108" s="28">
        <v>0</v>
      </c>
      <c r="K1108" s="28">
        <v>0</v>
      </c>
      <c r="L1108" s="28">
        <v>0</v>
      </c>
      <c r="M1108" s="28">
        <v>0</v>
      </c>
      <c r="N1108" s="29">
        <v>0</v>
      </c>
    </row>
    <row r="1109" spans="2:23" x14ac:dyDescent="0.25">
      <c r="B1109" s="24">
        <v>45516</v>
      </c>
      <c r="C1109" s="24">
        <v>45517</v>
      </c>
      <c r="D1109" s="24" t="s">
        <v>120</v>
      </c>
      <c r="E1109" s="24" t="s">
        <v>121</v>
      </c>
      <c r="F1109" s="27">
        <v>199.32842500000001</v>
      </c>
      <c r="G1109" s="27">
        <v>0</v>
      </c>
      <c r="H1109" s="26">
        <v>0</v>
      </c>
      <c r="I1109" s="28">
        <v>0</v>
      </c>
      <c r="J1109" s="28">
        <v>0</v>
      </c>
      <c r="K1109" s="28">
        <v>0</v>
      </c>
      <c r="L1109" s="28">
        <v>0</v>
      </c>
      <c r="M1109" s="28">
        <v>0</v>
      </c>
      <c r="N1109" s="29">
        <v>0</v>
      </c>
    </row>
    <row r="1110" spans="2:23" x14ac:dyDescent="0.25">
      <c r="B1110" s="24">
        <v>45516</v>
      </c>
      <c r="C1110" s="24">
        <v>45517</v>
      </c>
      <c r="D1110" s="24" t="s">
        <v>92</v>
      </c>
      <c r="E1110" s="24" t="s">
        <v>93</v>
      </c>
      <c r="F1110" s="27">
        <v>34.817059999999998</v>
      </c>
      <c r="G1110" s="27">
        <v>0</v>
      </c>
      <c r="H1110" s="26">
        <v>0</v>
      </c>
      <c r="I1110" s="28">
        <v>0</v>
      </c>
      <c r="J1110" s="28">
        <v>0</v>
      </c>
      <c r="K1110" s="28">
        <v>0</v>
      </c>
      <c r="L1110" s="28">
        <v>0</v>
      </c>
      <c r="M1110" s="28">
        <v>0</v>
      </c>
      <c r="N1110" s="29">
        <v>0</v>
      </c>
    </row>
    <row r="1111" spans="2:23" x14ac:dyDescent="0.25">
      <c r="B1111" s="24">
        <v>45516</v>
      </c>
      <c r="C1111" s="24">
        <v>45517</v>
      </c>
      <c r="D1111" s="24" t="s">
        <v>94</v>
      </c>
      <c r="E1111" s="24" t="s">
        <v>95</v>
      </c>
      <c r="F1111" s="27">
        <v>0</v>
      </c>
      <c r="G1111" s="27">
        <v>0</v>
      </c>
      <c r="H1111" s="26">
        <v>0</v>
      </c>
      <c r="I1111" s="28">
        <v>0</v>
      </c>
      <c r="J1111" s="28">
        <v>0</v>
      </c>
      <c r="K1111" s="28">
        <v>0</v>
      </c>
      <c r="L1111" s="28">
        <v>0</v>
      </c>
      <c r="M1111" s="28">
        <v>0</v>
      </c>
      <c r="N1111" s="29">
        <v>0</v>
      </c>
    </row>
    <row r="1112" spans="2:23" x14ac:dyDescent="0.25">
      <c r="B1112" s="24">
        <v>45516</v>
      </c>
      <c r="C1112" s="24">
        <v>45517</v>
      </c>
      <c r="D1112" s="24" t="s">
        <v>96</v>
      </c>
      <c r="E1112" s="24" t="s">
        <v>97</v>
      </c>
      <c r="F1112" s="27">
        <v>398.44325800000001</v>
      </c>
      <c r="G1112" s="27">
        <v>170.61317</v>
      </c>
      <c r="H1112" s="26">
        <v>160.5</v>
      </c>
      <c r="I1112" s="28">
        <v>3.7746140000000001</v>
      </c>
      <c r="J1112" s="28">
        <v>105.431504</v>
      </c>
      <c r="K1112" s="28">
        <v>105.435</v>
      </c>
      <c r="L1112" s="28">
        <v>1</v>
      </c>
      <c r="M1112" s="28">
        <v>105.413</v>
      </c>
      <c r="N1112" s="29">
        <v>1.8504E-2</v>
      </c>
    </row>
    <row r="1113" spans="2:23" x14ac:dyDescent="0.25">
      <c r="B1113" s="24">
        <v>45516</v>
      </c>
      <c r="C1113" s="24">
        <v>45517</v>
      </c>
      <c r="D1113" s="24" t="s">
        <v>98</v>
      </c>
      <c r="E1113" s="24" t="s">
        <v>99</v>
      </c>
      <c r="F1113" s="27">
        <v>149.46777900000001</v>
      </c>
      <c r="G1113" s="27">
        <v>0</v>
      </c>
      <c r="H1113" s="26">
        <v>0</v>
      </c>
      <c r="I1113" s="28">
        <v>0</v>
      </c>
      <c r="J1113" s="28">
        <v>0</v>
      </c>
      <c r="K1113" s="28">
        <v>0</v>
      </c>
      <c r="L1113" s="28">
        <v>0</v>
      </c>
      <c r="M1113" s="28">
        <v>0</v>
      </c>
      <c r="N1113" s="29">
        <v>0</v>
      </c>
    </row>
    <row r="1114" spans="2:23" x14ac:dyDescent="0.25">
      <c r="B1114" s="24">
        <v>45523</v>
      </c>
      <c r="C1114" s="24">
        <v>45524</v>
      </c>
      <c r="D1114" s="24" t="s">
        <v>100</v>
      </c>
      <c r="E1114" s="24" t="s">
        <v>101</v>
      </c>
      <c r="F1114" s="27">
        <v>129.863112</v>
      </c>
      <c r="G1114" s="27">
        <v>25.990321999999999</v>
      </c>
      <c r="H1114" s="26">
        <v>25</v>
      </c>
      <c r="I1114" s="28">
        <v>3.7861440000000002</v>
      </c>
      <c r="J1114" s="28">
        <v>103.102</v>
      </c>
      <c r="K1114" s="28">
        <v>103.102</v>
      </c>
      <c r="L1114" s="28">
        <v>100</v>
      </c>
      <c r="M1114" s="28">
        <v>103.102</v>
      </c>
      <c r="N1114" s="29">
        <v>0</v>
      </c>
    </row>
    <row r="1115" spans="2:23" x14ac:dyDescent="0.25">
      <c r="B1115" s="24">
        <v>45523</v>
      </c>
      <c r="C1115" s="24">
        <v>45524</v>
      </c>
      <c r="D1115" s="24" t="s">
        <v>122</v>
      </c>
      <c r="E1115" s="24" t="s">
        <v>123</v>
      </c>
      <c r="F1115" s="27">
        <v>0</v>
      </c>
      <c r="G1115" s="27">
        <v>0</v>
      </c>
      <c r="H1115" s="26">
        <v>0</v>
      </c>
      <c r="I1115" s="28">
        <v>0</v>
      </c>
      <c r="J1115" s="28">
        <v>0</v>
      </c>
      <c r="K1115" s="28">
        <v>0</v>
      </c>
      <c r="L1115" s="28">
        <v>0</v>
      </c>
      <c r="M1115" s="28">
        <v>0</v>
      </c>
      <c r="N1115" s="29">
        <v>0</v>
      </c>
    </row>
    <row r="1116" spans="2:23" x14ac:dyDescent="0.25">
      <c r="B1116" s="24">
        <v>45523</v>
      </c>
      <c r="C1116" s="24">
        <v>45524</v>
      </c>
      <c r="D1116" s="24" t="s">
        <v>102</v>
      </c>
      <c r="E1116" s="24" t="s">
        <v>103</v>
      </c>
      <c r="F1116" s="27">
        <v>132.81886399999999</v>
      </c>
      <c r="G1116" s="27">
        <v>18.624181</v>
      </c>
      <c r="H1116" s="26">
        <v>17.5</v>
      </c>
      <c r="I1116" s="28">
        <v>3.965347</v>
      </c>
      <c r="J1116" s="28">
        <v>104.39400000000001</v>
      </c>
      <c r="K1116" s="28">
        <v>104.39400000000001</v>
      </c>
      <c r="L1116" s="28">
        <v>69.999999000000003</v>
      </c>
      <c r="M1116" s="28">
        <v>104.39400000000001</v>
      </c>
      <c r="N1116" s="29">
        <v>0</v>
      </c>
      <c r="O1116" s="27"/>
      <c r="P1116" s="27"/>
      <c r="Q1116" s="26"/>
      <c r="R1116" s="28"/>
      <c r="S1116" s="28"/>
      <c r="T1116" s="28"/>
      <c r="U1116" s="28"/>
      <c r="V1116" s="28"/>
      <c r="W1116" s="29"/>
    </row>
    <row r="1117" spans="2:23" x14ac:dyDescent="0.25">
      <c r="B1117" s="24">
        <v>45523</v>
      </c>
      <c r="C1117" s="24">
        <v>45524</v>
      </c>
      <c r="D1117" s="24" t="s">
        <v>104</v>
      </c>
      <c r="E1117" s="24" t="s">
        <v>105</v>
      </c>
      <c r="F1117" s="27">
        <v>179.56636599999999</v>
      </c>
      <c r="G1117" s="27">
        <v>126.778391</v>
      </c>
      <c r="H1117" s="26">
        <v>180</v>
      </c>
      <c r="I1117" s="28">
        <v>3.9890819999999998</v>
      </c>
      <c r="J1117" s="28">
        <v>70.398471999999998</v>
      </c>
      <c r="K1117" s="28">
        <v>70.424999999999997</v>
      </c>
      <c r="L1117" s="28">
        <v>100</v>
      </c>
      <c r="M1117" s="28">
        <v>70.39</v>
      </c>
      <c r="N1117" s="29">
        <v>8.4720000000000004E-3</v>
      </c>
    </row>
    <row r="1118" spans="2:23" x14ac:dyDescent="0.25">
      <c r="B1118" s="24">
        <v>45523</v>
      </c>
      <c r="C1118" s="24">
        <v>45524</v>
      </c>
      <c r="D1118" s="24" t="s">
        <v>106</v>
      </c>
      <c r="E1118" s="24" t="s">
        <v>107</v>
      </c>
      <c r="F1118" s="27">
        <v>753.11151600000005</v>
      </c>
      <c r="G1118" s="27">
        <v>498.87657400000001</v>
      </c>
      <c r="H1118" s="26">
        <v>480</v>
      </c>
      <c r="I1118" s="28">
        <v>4.0298059999999998</v>
      </c>
      <c r="J1118" s="28">
        <v>102.01550400000001</v>
      </c>
      <c r="K1118" s="28">
        <v>102.04300000000001</v>
      </c>
      <c r="L1118" s="28">
        <v>100</v>
      </c>
      <c r="M1118" s="28">
        <v>101.988</v>
      </c>
      <c r="N1118" s="29">
        <v>2.7504000000000001E-2</v>
      </c>
    </row>
    <row r="1119" spans="2:23" x14ac:dyDescent="0.25">
      <c r="B1119" s="24">
        <v>45523</v>
      </c>
      <c r="C1119" s="24">
        <v>45524</v>
      </c>
      <c r="D1119" s="24" t="s">
        <v>108</v>
      </c>
      <c r="E1119" s="24" t="s">
        <v>109</v>
      </c>
      <c r="F1119" s="27">
        <v>96.493251999999998</v>
      </c>
      <c r="G1119" s="27">
        <v>0</v>
      </c>
      <c r="H1119" s="26">
        <v>0</v>
      </c>
      <c r="I1119" s="28">
        <v>0</v>
      </c>
      <c r="J1119" s="28">
        <v>0</v>
      </c>
      <c r="K1119" s="28">
        <v>0</v>
      </c>
      <c r="L1119" s="28">
        <v>0</v>
      </c>
      <c r="M1119" s="28">
        <v>0</v>
      </c>
      <c r="N1119" s="29">
        <v>0</v>
      </c>
    </row>
    <row r="1120" spans="2:23" x14ac:dyDescent="0.25">
      <c r="B1120" s="24">
        <v>45523</v>
      </c>
      <c r="C1120" s="24">
        <v>45524</v>
      </c>
      <c r="D1120" s="24" t="s">
        <v>110</v>
      </c>
      <c r="E1120" s="24" t="s">
        <v>111</v>
      </c>
      <c r="F1120" s="27">
        <v>115.54724299999999</v>
      </c>
      <c r="G1120" s="27">
        <v>0</v>
      </c>
      <c r="H1120" s="26">
        <v>0</v>
      </c>
      <c r="I1120" s="28">
        <v>0</v>
      </c>
      <c r="J1120" s="28">
        <v>0</v>
      </c>
      <c r="K1120" s="28">
        <v>0</v>
      </c>
      <c r="L1120" s="28">
        <v>0</v>
      </c>
      <c r="M1120" s="28">
        <v>0</v>
      </c>
      <c r="N1120" s="29">
        <v>0</v>
      </c>
    </row>
    <row r="1121" spans="2:14" x14ac:dyDescent="0.25">
      <c r="B1121" s="24">
        <v>45523</v>
      </c>
      <c r="C1121" s="24">
        <v>45524</v>
      </c>
      <c r="D1121" s="24" t="s">
        <v>114</v>
      </c>
      <c r="E1121" s="24" t="s">
        <v>115</v>
      </c>
      <c r="F1121" s="27">
        <v>0</v>
      </c>
      <c r="G1121" s="27">
        <v>0</v>
      </c>
      <c r="H1121" s="26">
        <v>0</v>
      </c>
      <c r="I1121" s="28">
        <v>0</v>
      </c>
      <c r="J1121" s="28">
        <v>0</v>
      </c>
      <c r="K1121" s="28">
        <v>0</v>
      </c>
      <c r="L1121" s="28">
        <v>0</v>
      </c>
      <c r="M1121" s="28">
        <v>0</v>
      </c>
      <c r="N1121" s="29">
        <v>0</v>
      </c>
    </row>
    <row r="1122" spans="2:14" x14ac:dyDescent="0.25">
      <c r="B1122" s="24">
        <v>45523</v>
      </c>
      <c r="C1122" s="24">
        <v>45524</v>
      </c>
      <c r="D1122" s="24" t="s">
        <v>116</v>
      </c>
      <c r="E1122" s="24" t="s">
        <v>117</v>
      </c>
      <c r="F1122" s="27">
        <v>20.068256999999999</v>
      </c>
      <c r="G1122" s="27">
        <v>20.068258</v>
      </c>
      <c r="H1122" s="26">
        <v>20</v>
      </c>
      <c r="I1122" s="28">
        <v>4.2940509999999996</v>
      </c>
      <c r="J1122" s="28">
        <v>99.481999999999999</v>
      </c>
      <c r="K1122" s="28">
        <v>99.481999999999999</v>
      </c>
      <c r="L1122" s="28">
        <v>100</v>
      </c>
      <c r="M1122" s="28">
        <v>99.481999999999999</v>
      </c>
      <c r="N1122" s="29">
        <v>0</v>
      </c>
    </row>
    <row r="1123" spans="2:14" x14ac:dyDescent="0.25">
      <c r="B1123" s="24">
        <v>45523</v>
      </c>
      <c r="C1123" s="24">
        <v>45524</v>
      </c>
      <c r="D1123" s="24" t="s">
        <v>118</v>
      </c>
      <c r="E1123" s="24" t="s">
        <v>119</v>
      </c>
      <c r="F1123" s="27">
        <v>6.3680830000000004</v>
      </c>
      <c r="G1123" s="27">
        <v>6.3680839999999996</v>
      </c>
      <c r="H1123" s="26">
        <v>10</v>
      </c>
      <c r="I1123" s="28">
        <v>4.2956219999999998</v>
      </c>
      <c r="J1123" s="28">
        <v>63.271000000000001</v>
      </c>
      <c r="K1123" s="28">
        <v>63.271000000000001</v>
      </c>
      <c r="L1123" s="28">
        <v>100</v>
      </c>
      <c r="M1123" s="28">
        <v>63.271000000000001</v>
      </c>
      <c r="N1123" s="29">
        <v>0</v>
      </c>
    </row>
    <row r="1124" spans="2:14" x14ac:dyDescent="0.25">
      <c r="B1124" s="24">
        <v>45523</v>
      </c>
      <c r="C1124" s="24">
        <v>45524</v>
      </c>
      <c r="D1124" s="24" t="s">
        <v>124</v>
      </c>
      <c r="E1124" s="24" t="s">
        <v>125</v>
      </c>
      <c r="F1124" s="27">
        <v>0</v>
      </c>
      <c r="G1124" s="27">
        <v>0</v>
      </c>
      <c r="H1124" s="26">
        <v>0</v>
      </c>
      <c r="I1124" s="28">
        <v>0</v>
      </c>
      <c r="J1124" s="28">
        <v>0</v>
      </c>
      <c r="K1124" s="28">
        <v>0</v>
      </c>
      <c r="L1124" s="28">
        <v>0</v>
      </c>
      <c r="M1124" s="28">
        <v>0</v>
      </c>
      <c r="N1124" s="29">
        <v>0</v>
      </c>
    </row>
    <row r="1125" spans="2:14" x14ac:dyDescent="0.25">
      <c r="B1125" s="24">
        <v>45523</v>
      </c>
      <c r="C1125" s="24">
        <v>45524</v>
      </c>
      <c r="D1125" s="24" t="s">
        <v>126</v>
      </c>
      <c r="E1125" s="24" t="s">
        <v>127</v>
      </c>
      <c r="F1125" s="27">
        <v>28.189957</v>
      </c>
      <c r="G1125" s="27">
        <v>28.189958000000001</v>
      </c>
      <c r="H1125" s="26">
        <v>33</v>
      </c>
      <c r="I1125" s="28">
        <v>4.3929470000000004</v>
      </c>
      <c r="J1125" s="28">
        <v>85.168000000000006</v>
      </c>
      <c r="K1125" s="28">
        <v>85.168000000000006</v>
      </c>
      <c r="L1125" s="28">
        <v>100</v>
      </c>
      <c r="M1125" s="28">
        <v>85.168000000000006</v>
      </c>
      <c r="N1125" s="29">
        <v>0</v>
      </c>
    </row>
  </sheetData>
  <pageMargins left="0.75" right="0.75" top="1" bottom="1" header="0" footer="0"/>
  <pageSetup paperSize="9" orientation="portrait" r:id="rId1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Chart Data</vt:lpstr>
      <vt:lpstr>Maturity Profile of APF (Table)</vt:lpstr>
      <vt:lpstr>APF gilt sales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2023-12-04T16:04:37Z</dcterms:created>
  <dcterms:modified xsi:type="dcterms:W3CDTF">2024-09-19T13:27:30Z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2023-12-04T16:18:37Z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b15ee26c-70ef-4cef-9e2f-031606cb8bef</vt:lpwstr>
  </property>
  <property fmtid="{D5CDD505-2E9C-101B-9397-08002B2CF9AE}" pid="8" name="MSIP_Label_231f5784-19ed-4d1e-9a93-4ea41014d730_ContentBits">
    <vt:lpwstr>0</vt:lpwstr>
  </property>
</Properties>
</file>